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haporg.sharepoint.com/sites/DevelopmentPlanningBudgeting/Development Planning  Budgeting/Planning/"/>
    </mc:Choice>
  </mc:AlternateContent>
  <xr:revisionPtr revIDLastSave="0" documentId="8_{9BD9A04B-E1EC-43E8-8704-024E9DA29426}" xr6:coauthVersionLast="47" xr6:coauthVersionMax="47" xr10:uidLastSave="{00000000-0000-0000-0000-000000000000}"/>
  <bookViews>
    <workbookView xWindow="-108" yWindow="-108" windowWidth="23256" windowHeight="12456" xr2:uid="{ED7E4490-F6F5-4B40-BEC8-6055DC65AE1C}"/>
  </bookViews>
  <sheets>
    <sheet name="SLW NOA" sheetId="13" r:id="rId1"/>
    <sheet name="DRJ" sheetId="10" r:id="rId2"/>
    <sheet name="HPT" sheetId="9" r:id="rId3"/>
    <sheet name="CRI" sheetId="8" r:id="rId4"/>
    <sheet name="SLR" sheetId="7" r:id="rId5"/>
    <sheet name="SLNX" sheetId="6" r:id="rId6"/>
    <sheet name="Lotus" sheetId="5" r:id="rId7"/>
    <sheet name="Keys 52" sheetId="2" r:id="rId8"/>
    <sheet name="Encore" sheetId="12" r:id="rId9"/>
    <sheet name="Refresh" sheetId="15" r:id="rId10"/>
  </sheets>
  <externalReferences>
    <externalReference r:id="rId11"/>
    <externalReference r:id="rId12"/>
  </externalReferences>
  <definedNames>
    <definedName name="\">#REF!</definedName>
    <definedName name="\0">#N/A</definedName>
    <definedName name="\3" hidden="1">#REF!</definedName>
    <definedName name="\4" hidden="1">#REF!</definedName>
    <definedName name="\5" hidden="1">#REF!</definedName>
    <definedName name="\A">#REF!</definedName>
    <definedName name="\B">#REF!</definedName>
    <definedName name="\C">#REF!</definedName>
    <definedName name="\D">#REF!</definedName>
    <definedName name="\E">#REF!</definedName>
    <definedName name="\F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P">#REF!</definedName>
    <definedName name="\Q">#REF!</definedName>
    <definedName name="\R">#REF!</definedName>
    <definedName name="\S">#REF!</definedName>
    <definedName name="\T">#REF!</definedName>
    <definedName name="\V">#REF!</definedName>
    <definedName name="\z">#N/A</definedName>
    <definedName name="_______s1">#N/A</definedName>
    <definedName name="______a1" hidden="1">{#N/A,#N/A,FALSE,"Finanzplan";#N/A,#N/A,FALSE,"Bilanz";#N/A,#N/A,FALSE,"GuV"}</definedName>
    <definedName name="______DCF1" hidden="1">{#N/A,#N/A,FALSE,"DCF Summary";#N/A,#N/A,FALSE,"Casema";#N/A,#N/A,FALSE,"Casema NoTel";#N/A,#N/A,FALSE,"UK";#N/A,#N/A,FALSE,"RCF";#N/A,#N/A,FALSE,"Intercable CZ";#N/A,#N/A,FALSE,"Interkabel P"}</definedName>
    <definedName name="______del76" hidden="1">{#N/A,#N/A,FALSE,"Summary";#N/A,#N/A,FALSE,"CF";#N/A,#N/A,FALSE,"P&amp;L";"summary",#N/A,FALSE,"Returns";#N/A,#N/A,FALSE,"BS";"summary",#N/A,FALSE,"Analysis";#N/A,#N/A,FALSE,"Assumptions"}</definedName>
    <definedName name="______del8" hidden="1">{#N/A,#N/A,FALSE,"Summary";#N/A,#N/A,FALSE,"CF";#N/A,#N/A,FALSE,"P&amp;L";"summary",#N/A,FALSE,"Returns";#N/A,#N/A,FALSE,"BS";"summary",#N/A,FALSE,"Analysis";#N/A,#N/A,FALSE,"Assumptions"}</definedName>
    <definedName name="______e1" hidden="1">{#N/A,#N/A,FALSE,"Summary";#N/A,#N/A,FALSE,"CF";#N/A,#N/A,FALSE,"P&amp;L";"summary",#N/A,FALSE,"Returns";#N/A,#N/A,FALSE,"BS";"summary",#N/A,FALSE,"Analysis";#N/A,#N/A,FALSE,"Assumptions"}</definedName>
    <definedName name="______o1" hidden="1">{#N/A,#N/A,FALSE,"Finanzplan";#N/A,#N/A,FALSE,"Bilanz";#N/A,#N/A,FALSE,"GuV"}</definedName>
    <definedName name="______wr2" hidden="1">{#N/A,#N/A,FALSE,"Finanzplan";#N/A,#N/A,FALSE,"Bilanz";#N/A,#N/A,FALSE,"GuV"}</definedName>
    <definedName name="______wr3" hidden="1">{"vi1",#N/A,FALSE,"Financial Statements";"vi2",#N/A,FALSE,"Financial Statements";#N/A,#N/A,FALSE,"DCF"}</definedName>
    <definedName name="______wr4" hidden="1">{#N/A,#N/A,TRUE,"Sheet16"}</definedName>
    <definedName name="______wr5" hidden="1">{#N/A,#N/A,FALSE,"Summary";#N/A,#N/A,FALSE,"CF";#N/A,#N/A,FALSE,"P&amp;L";"summary",#N/A,FALSE,"Returns";#N/A,#N/A,FALSE,"BS";"summary",#N/A,FALSE,"Analysis";#N/A,#N/A,FALSE,"Assumptions"}</definedName>
    <definedName name="______wr72" hidden="1">{#N/A,#N/A,TRUE,"Sheet16"}</definedName>
    <definedName name="_____s1">#N/A</definedName>
    <definedName name="____a1" hidden="1">{#N/A,#N/A,FALSE,"Finanzplan";#N/A,#N/A,FALSE,"Bilanz";#N/A,#N/A,FALSE,"GuV"}</definedName>
    <definedName name="____DCF1" hidden="1">{#N/A,#N/A,FALSE,"DCF Summary";#N/A,#N/A,FALSE,"Casema";#N/A,#N/A,FALSE,"Casema NoTel";#N/A,#N/A,FALSE,"UK";#N/A,#N/A,FALSE,"RCF";#N/A,#N/A,FALSE,"Intercable CZ";#N/A,#N/A,FALSE,"Interkabel P"}</definedName>
    <definedName name="____del76" hidden="1">{#N/A,#N/A,FALSE,"Summary";#N/A,#N/A,FALSE,"CF";#N/A,#N/A,FALSE,"P&amp;L";"summary",#N/A,FALSE,"Returns";#N/A,#N/A,FALSE,"BS";"summary",#N/A,FALSE,"Analysis";#N/A,#N/A,FALSE,"Assumptions"}</definedName>
    <definedName name="____del8" hidden="1">{#N/A,#N/A,FALSE,"Summary";#N/A,#N/A,FALSE,"CF";#N/A,#N/A,FALSE,"P&amp;L";"summary",#N/A,FALSE,"Returns";#N/A,#N/A,FALSE,"BS";"summary",#N/A,FALSE,"Analysis";#N/A,#N/A,FALSE,"Assumptions"}</definedName>
    <definedName name="____e1" hidden="1">{#N/A,#N/A,FALSE,"Summary";#N/A,#N/A,FALSE,"CF";#N/A,#N/A,FALSE,"P&amp;L";"summary",#N/A,FALSE,"Returns";#N/A,#N/A,FALSE,"BS";"summary",#N/A,FALSE,"Analysis";#N/A,#N/A,FALSE,"Assumptions"}</definedName>
    <definedName name="____o1" hidden="1">{#N/A,#N/A,FALSE,"Finanzplan";#N/A,#N/A,FALSE,"Bilanz";#N/A,#N/A,FALSE,"GuV"}</definedName>
    <definedName name="____s1">#N/A</definedName>
    <definedName name="____wr2" hidden="1">{#N/A,#N/A,FALSE,"Finanzplan";#N/A,#N/A,FALSE,"Bilanz";#N/A,#N/A,FALSE,"GuV"}</definedName>
    <definedName name="____wr3" hidden="1">{"vi1",#N/A,FALSE,"Financial Statements";"vi2",#N/A,FALSE,"Financial Statements";#N/A,#N/A,FALSE,"DCF"}</definedName>
    <definedName name="____wr4" hidden="1">{#N/A,#N/A,TRUE,"Sheet16"}</definedName>
    <definedName name="____wr5" hidden="1">{#N/A,#N/A,FALSE,"Summary";#N/A,#N/A,FALSE,"CF";#N/A,#N/A,FALSE,"P&amp;L";"summary",#N/A,FALSE,"Returns";#N/A,#N/A,FALSE,"BS";"summary",#N/A,FALSE,"Analysis";#N/A,#N/A,FALSE,"Assumptions"}</definedName>
    <definedName name="____wr72" hidden="1">{#N/A,#N/A,TRUE,"Sheet16"}</definedName>
    <definedName name="___a1" hidden="1">{#N/A,#N/A,FALSE,"Finanzplan";#N/A,#N/A,FALSE,"Bilanz";#N/A,#N/A,FALSE,"GuV"}</definedName>
    <definedName name="___DCF1" hidden="1">{#N/A,#N/A,FALSE,"DCF Summary";#N/A,#N/A,FALSE,"Casema";#N/A,#N/A,FALSE,"Casema NoTel";#N/A,#N/A,FALSE,"UK";#N/A,#N/A,FALSE,"RCF";#N/A,#N/A,FALSE,"Intercable CZ";#N/A,#N/A,FALSE,"Interkabel P"}</definedName>
    <definedName name="___del76" hidden="1">{#N/A,#N/A,FALSE,"Summary";#N/A,#N/A,FALSE,"CF";#N/A,#N/A,FALSE,"P&amp;L";"summary",#N/A,FALSE,"Returns";#N/A,#N/A,FALSE,"BS";"summary",#N/A,FALSE,"Analysis";#N/A,#N/A,FALSE,"Assumptions"}</definedName>
    <definedName name="___del8" hidden="1">{#N/A,#N/A,FALSE,"Summary";#N/A,#N/A,FALSE,"CF";#N/A,#N/A,FALSE,"P&amp;L";"summary",#N/A,FALSE,"Returns";#N/A,#N/A,FALSE,"BS";"summary",#N/A,FALSE,"Analysis";#N/A,#N/A,FALSE,"Assumptions"}</definedName>
    <definedName name="___e1" hidden="1">{#N/A,#N/A,FALSE,"Summary";#N/A,#N/A,FALSE,"CF";#N/A,#N/A,FALSE,"P&amp;L";"summary",#N/A,FALSE,"Returns";#N/A,#N/A,FALSE,"BS";"summary",#N/A,FALSE,"Analysis";#N/A,#N/A,FALSE,"Assumptions"}</definedName>
    <definedName name="___o1" hidden="1">{#N/A,#N/A,FALSE,"Finanzplan";#N/A,#N/A,FALSE,"Bilanz";#N/A,#N/A,FALSE,"GuV"}</definedName>
    <definedName name="___s1">#N/A</definedName>
    <definedName name="___wr2" hidden="1">{#N/A,#N/A,FALSE,"Finanzplan";#N/A,#N/A,FALSE,"Bilanz";#N/A,#N/A,FALSE,"GuV"}</definedName>
    <definedName name="___wr3" hidden="1">{"vi1",#N/A,FALSE,"Financial Statements";"vi2",#N/A,FALSE,"Financial Statements";#N/A,#N/A,FALSE,"DCF"}</definedName>
    <definedName name="___wr4" hidden="1">{#N/A,#N/A,TRUE,"Sheet16"}</definedName>
    <definedName name="___wr5" hidden="1">{#N/A,#N/A,FALSE,"Summary";#N/A,#N/A,FALSE,"CF";#N/A,#N/A,FALSE,"P&amp;L";"summary",#N/A,FALSE,"Returns";#N/A,#N/A,FALSE,"BS";"summary",#N/A,FALSE,"Analysis";#N/A,#N/A,FALSE,"Assumptions"}</definedName>
    <definedName name="___wr72" hidden="1">{#N/A,#N/A,TRUE,"Sheet16"}</definedName>
    <definedName name="__123Graph_A" hidden="1">#REF!</definedName>
    <definedName name="__123Graph_ACURRENT" hidden="1">#REF!</definedName>
    <definedName name="__123Graph_B" hidden="1">#REF!</definedName>
    <definedName name="__123Graph_C" hidden="1">#REF!</definedName>
    <definedName name="__123Graph_X" hidden="1">#REF!</definedName>
    <definedName name="__a1" hidden="1">{#N/A,#N/A,FALSE,"Finanzplan";#N/A,#N/A,FALSE,"Bilanz";#N/A,#N/A,FALSE,"GuV"}</definedName>
    <definedName name="__DAT1">#REF!</definedName>
    <definedName name="__DAT10">#REF!</definedName>
    <definedName name="__DAT11">#REF!</definedName>
    <definedName name="__DAT12">#REF!</definedName>
    <definedName name="__DAT2">#REF!</definedName>
    <definedName name="__DAT3">#REF!</definedName>
    <definedName name="__DAT4">#REF!</definedName>
    <definedName name="__DAT5">#REF!</definedName>
    <definedName name="__DAT6">#REF!</definedName>
    <definedName name="__DAT7">#REF!</definedName>
    <definedName name="__DAT8">#REF!</definedName>
    <definedName name="__DAT9">#REF!</definedName>
    <definedName name="__DCF1" hidden="1">{#N/A,#N/A,FALSE,"DCF Summary";#N/A,#N/A,FALSE,"Casema";#N/A,#N/A,FALSE,"Casema NoTel";#N/A,#N/A,FALSE,"UK";#N/A,#N/A,FALSE,"RCF";#N/A,#N/A,FALSE,"Intercable CZ";#N/A,#N/A,FALSE,"Interkabel P"}</definedName>
    <definedName name="__Dec02">#REF!</definedName>
    <definedName name="__Dec03">#REF!</definedName>
    <definedName name="__del76" hidden="1">{#N/A,#N/A,FALSE,"Summary";#N/A,#N/A,FALSE,"CF";#N/A,#N/A,FALSE,"P&amp;L";"summary",#N/A,FALSE,"Returns";#N/A,#N/A,FALSE,"BS";"summary",#N/A,FALSE,"Analysis";#N/A,#N/A,FALSE,"Assumptions"}</definedName>
    <definedName name="__del8" hidden="1">{#N/A,#N/A,FALSE,"Summary";#N/A,#N/A,FALSE,"CF";#N/A,#N/A,FALSE,"P&amp;L";"summary",#N/A,FALSE,"Returns";#N/A,#N/A,FALSE,"BS";"summary",#N/A,FALSE,"Analysis";#N/A,#N/A,FALSE,"Assumptions"}</definedName>
    <definedName name="__DemandLoad">TRUE</definedName>
    <definedName name="__e1" hidden="1">{#N/A,#N/A,FALSE,"Summary";#N/A,#N/A,FALSE,"CF";#N/A,#N/A,FALSE,"P&amp;L";"summary",#N/A,FALSE,"Returns";#N/A,#N/A,FALSE,"BS";"summary",#N/A,FALSE,"Analysis";#N/A,#N/A,FALSE,"Assumptions"}</definedName>
    <definedName name="__FDS_HYPERLINK_TOGGLE_STATE__" hidden="1">"ON"</definedName>
    <definedName name="__IntlFixup">TRUE</definedName>
    <definedName name="__is5" hidden="1">{#N/A,#N/A,FALSE,"inctrnd99"}</definedName>
    <definedName name="__JAN02">#REF!</definedName>
    <definedName name="__o1" hidden="1">{#N/A,#N/A,FALSE,"Finanzplan";#N/A,#N/A,FALSE,"Bilanz";#N/A,#N/A,FALSE,"GuV"}</definedName>
    <definedName name="__s1">#N/A</definedName>
    <definedName name="__wc04">#REF!-#REF!</definedName>
    <definedName name="__wr2" hidden="1">{#N/A,#N/A,FALSE,"Finanzplan";#N/A,#N/A,FALSE,"Bilanz";#N/A,#N/A,FALSE,"GuV"}</definedName>
    <definedName name="__wr3" hidden="1">{"vi1",#N/A,FALSE,"Financial Statements";"vi2",#N/A,FALSE,"Financial Statements";#N/A,#N/A,FALSE,"DCF"}</definedName>
    <definedName name="__wr4" hidden="1">{#N/A,#N/A,TRUE,"Sheet16"}</definedName>
    <definedName name="__wr5" hidden="1">{#N/A,#N/A,FALSE,"Summary";#N/A,#N/A,FALSE,"CF";#N/A,#N/A,FALSE,"P&amp;L";"summary",#N/A,FALSE,"Returns";#N/A,#N/A,FALSE,"BS";"summary",#N/A,FALSE,"Analysis";#N/A,#N/A,FALSE,"Assumptions"}</definedName>
    <definedName name="__wr72" hidden="1">{#N/A,#N/A,TRUE,"Sheet16"}</definedName>
    <definedName name="__ww1">#REF!</definedName>
    <definedName name="_0.01">#REF!</definedName>
    <definedName name="_0.02">#REF!</definedName>
    <definedName name="_0.03">#REF!</definedName>
    <definedName name="_0.04">#REF!</definedName>
    <definedName name="_1">#N/A</definedName>
    <definedName name="_1.01">#REF!</definedName>
    <definedName name="_1.02">#REF!</definedName>
    <definedName name="_1.03">#REF!</definedName>
    <definedName name="_1.04">#REF!</definedName>
    <definedName name="_1.05">#REF!</definedName>
    <definedName name="_1.06">#REF!</definedName>
    <definedName name="_1.07">#REF!</definedName>
    <definedName name="_10">#N/A</definedName>
    <definedName name="_10P_BS">#REF!</definedName>
    <definedName name="_11P_CF">#REF!</definedName>
    <definedName name="_123" hidden="1">#REF!</definedName>
    <definedName name="_12P_COV">#REF!</definedName>
    <definedName name="_13P_IS">#REF!</definedName>
    <definedName name="_14P_SEG">#REF!</definedName>
    <definedName name="_1995_2002">#REF!</definedName>
    <definedName name="_1A_BS">#REF!</definedName>
    <definedName name="_1ELECB">#REF!</definedName>
    <definedName name="_1FLOW">#REF!</definedName>
    <definedName name="_2">#N/A</definedName>
    <definedName name="_2A_FUND">#REF!</definedName>
    <definedName name="_2x_pom.">#REF!</definedName>
    <definedName name="_3">#N/A</definedName>
    <definedName name="_3A_IS">#REF!</definedName>
    <definedName name="_4">#N/A</definedName>
    <definedName name="_4A_PPE">#REF!</definedName>
    <definedName name="_5">#N/A</definedName>
    <definedName name="_55">IF([0]!Values_Entered,[1]!Header_Row+[0]!Number_of_Payments,[1]!Header_Row)</definedName>
    <definedName name="_5A_SEG">#REF!</definedName>
    <definedName name="_6">#N/A</definedName>
    <definedName name="_6H_BS">#REF!</definedName>
    <definedName name="_7">#N/A</definedName>
    <definedName name="_7H_CF">#REF!</definedName>
    <definedName name="_8">#N/A</definedName>
    <definedName name="_8.cívková">#REF!</definedName>
    <definedName name="_8H_COV">#REF!</definedName>
    <definedName name="_9">#N/A</definedName>
    <definedName name="_9H_IS">#REF!</definedName>
    <definedName name="_a1" hidden="1">{#N/A,#N/A,FALSE,"Finanzplan";#N/A,#N/A,FALSE,"Bilanz";#N/A,#N/A,FALSE,"GuV"}</definedName>
    <definedName name="_A225000">#REF!</definedName>
    <definedName name="_A90000">#REF!</definedName>
    <definedName name="_Act1">#REF!</definedName>
    <definedName name="_Act10">#REF!</definedName>
    <definedName name="_Act11">#REF!</definedName>
    <definedName name="_Act12">#REF!</definedName>
    <definedName name="_Act2">#REF!</definedName>
    <definedName name="_Act3">#REF!</definedName>
    <definedName name="_Act4">#REF!</definedName>
    <definedName name="_Act5">#REF!</definedName>
    <definedName name="_Act6">#REF!</definedName>
    <definedName name="_Act7">#REF!</definedName>
    <definedName name="_Act8">#REF!</definedName>
    <definedName name="_Act9">#REF!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Bud1">#REF!</definedName>
    <definedName name="_Bud10">#REF!</definedName>
    <definedName name="_Bud11">#REF!</definedName>
    <definedName name="_Bud12">#REF!</definedName>
    <definedName name="_Bud2">#REF!</definedName>
    <definedName name="_Bud3">#REF!</definedName>
    <definedName name="_Bud4">#REF!</definedName>
    <definedName name="_Bud5">#REF!</definedName>
    <definedName name="_Bud6">#REF!</definedName>
    <definedName name="_Bud7">#REF!</definedName>
    <definedName name="_Bud8">#REF!</definedName>
    <definedName name="_Bud9">#REF!</definedName>
    <definedName name="_CAC22">#REF!</definedName>
    <definedName name="_DAT11">#REF!</definedName>
    <definedName name="_DAT12">#REF!</definedName>
    <definedName name="_DAT2">#REF!</definedName>
    <definedName name="_DAT3">#REF!</definedName>
    <definedName name="_DAT4">#REF!</definedName>
    <definedName name="_DAT5">#REF!</definedName>
    <definedName name="_DAT6">#REF!</definedName>
    <definedName name="_DAT7">#REF!</definedName>
    <definedName name="_DAT8">#REF!</definedName>
    <definedName name="_DAT9">#REF!</definedName>
    <definedName name="_DCF1" hidden="1">{#N/A,#N/A,FALSE,"DCF Summary";#N/A,#N/A,FALSE,"Casema";#N/A,#N/A,FALSE,"Casema NoTel";#N/A,#N/A,FALSE,"UK";#N/A,#N/A,FALSE,"RCF";#N/A,#N/A,FALSE,"Intercable CZ";#N/A,#N/A,FALSE,"Interkabel P"}</definedName>
    <definedName name="_Dec02">#REF!</definedName>
    <definedName name="_Dec03">#REF!</definedName>
    <definedName name="_del76" hidden="1">{#N/A,#N/A,FALSE,"Summary";#N/A,#N/A,FALSE,"CF";#N/A,#N/A,FALSE,"P&amp;L";"summary",#N/A,FALSE,"Returns";#N/A,#N/A,FALSE,"BS";"summary",#N/A,FALSE,"Analysis";#N/A,#N/A,FALSE,"Assumptions"}</definedName>
    <definedName name="_del8" hidden="1">{#N/A,#N/A,FALSE,"Summary";#N/A,#N/A,FALSE,"CF";#N/A,#N/A,FALSE,"P&amp;L";"summary",#N/A,FALSE,"Returns";#N/A,#N/A,FALSE,"BS";"summary",#N/A,FALSE,"Analysis";#N/A,#N/A,FALSE,"Assumptions"}</definedName>
    <definedName name="_e1" hidden="1">{#N/A,#N/A,FALSE,"Summary";#N/A,#N/A,FALSE,"CF";#N/A,#N/A,FALSE,"P&amp;L";"summary",#N/A,FALSE,"Returns";#N/A,#N/A,FALSE,"BS";"summary",#N/A,FALSE,"Analysis";#N/A,#N/A,FALSE,"Assumptions"}</definedName>
    <definedName name="_eu_lblSeed1" hidden="1">6648124</definedName>
    <definedName name="_eu_lblSeed2" hidden="1">3105613</definedName>
    <definedName name="_eu_lblSeed3" hidden="1">9092828</definedName>
    <definedName name="_eu_lblSeed4" hidden="1">8231087</definedName>
    <definedName name="_eu_lblSeed5" hidden="1">8045525</definedName>
    <definedName name="_eu_lblSeed6" hidden="1">1463957</definedName>
    <definedName name="_eu_lblSeed7" hidden="1">1146085</definedName>
    <definedName name="_eu_lblSeed8" hidden="1">0</definedName>
    <definedName name="_Fill" hidden="1">#REF!</definedName>
    <definedName name="_xlnm._FilterDatabase" localSheetId="3" hidden="1">CRI!$A$3:$N$312</definedName>
    <definedName name="_xlnm._FilterDatabase" localSheetId="1" hidden="1">DRJ!$A$3:$N$339</definedName>
    <definedName name="_xlnm._FilterDatabase" localSheetId="8" hidden="1">Encore!$A$3:$N$312</definedName>
    <definedName name="_xlnm._FilterDatabase" localSheetId="2" hidden="1">HPT!$A$3:$N$312</definedName>
    <definedName name="_xlnm._FilterDatabase" localSheetId="7" hidden="1">'Keys 52'!$A$3:$N$312</definedName>
    <definedName name="_xlnm._FilterDatabase" localSheetId="6" hidden="1">Lotus!$A$3:$N$312</definedName>
    <definedName name="_xlnm._FilterDatabase" localSheetId="5" hidden="1">SLNX!$A$3:$N$312</definedName>
    <definedName name="_xlnm._FilterDatabase" localSheetId="4" hidden="1">SLR!$A$3:$N$312</definedName>
    <definedName name="_xlnm._FilterDatabase" localSheetId="0" hidden="1">'SLW NOA'!$A$3:$N$1109</definedName>
    <definedName name="_xlnm._FilterDatabase" hidden="1">#REF!</definedName>
    <definedName name="_is5" hidden="1">{#N/A,#N/A,FALSE,"inctrnd99"}</definedName>
    <definedName name="_JAN02">#REF!</definedName>
    <definedName name="_Key1" hidden="1">#REF!</definedName>
    <definedName name="_Key2" hidden="1">#REF!</definedName>
    <definedName name="_MDE13">#REF!</definedName>
    <definedName name="_ML2">#REF!</definedName>
    <definedName name="_ML3">#REF!</definedName>
    <definedName name="_ML4">#REF!</definedName>
    <definedName name="_ML5">#REF!</definedName>
    <definedName name="_ML6">#REF!</definedName>
    <definedName name="_ML7">#REF!</definedName>
    <definedName name="_NB2">#REF!</definedName>
    <definedName name="_NB3">#REF!</definedName>
    <definedName name="_NB4">#REF!</definedName>
    <definedName name="_NB5">#REF!</definedName>
    <definedName name="_NB6">#REF!</definedName>
    <definedName name="_NB7">#REF!</definedName>
    <definedName name="_o1" hidden="1">{#N/A,#N/A,FALSE,"Finanzplan";#N/A,#N/A,FALSE,"Bilanz";#N/A,#N/A,FALSE,"GuV"}</definedName>
    <definedName name="_Order1" hidden="1">0</definedName>
    <definedName name="_Order2" hidden="1">0</definedName>
    <definedName name="_PER2">#REF!</definedName>
    <definedName name="_PER3">#REF!</definedName>
    <definedName name="_PER4">#REF!</definedName>
    <definedName name="_PER5">#REF!</definedName>
    <definedName name="_PER6">#REF!</definedName>
    <definedName name="_PER7">#REF!</definedName>
    <definedName name="_PR1">#N/A</definedName>
    <definedName name="_R">#REF!</definedName>
    <definedName name="_s1">#N/A</definedName>
    <definedName name="_SH2">#REF!</definedName>
    <definedName name="_SH3">#REF!</definedName>
    <definedName name="_SH4">#REF!</definedName>
    <definedName name="_SH5">#REF!</definedName>
    <definedName name="_SH6">#REF!</definedName>
    <definedName name="_SH7">#REF!</definedName>
    <definedName name="_SM2">#REF!</definedName>
    <definedName name="_SM3">#REF!</definedName>
    <definedName name="_SM4">#REF!</definedName>
    <definedName name="_SM5">#REF!</definedName>
    <definedName name="_SM6">#REF!</definedName>
    <definedName name="_SM7">#REF!</definedName>
    <definedName name="_Sort" hidden="1">#REF!</definedName>
    <definedName name="_SV2">#REF!</definedName>
    <definedName name="_SV3">#REF!</definedName>
    <definedName name="_SV4">#REF!</definedName>
    <definedName name="_SV5">#REF!</definedName>
    <definedName name="_SV6">#REF!</definedName>
    <definedName name="_SV7">#REF!</definedName>
    <definedName name="_Table2_Out" hidden="1">#REF!</definedName>
    <definedName name="_VOL2">#REF!</definedName>
    <definedName name="_VOL3">#REF!</definedName>
    <definedName name="_VOL4">#REF!</definedName>
    <definedName name="_VOL5">#REF!</definedName>
    <definedName name="_VOL6">#REF!</definedName>
    <definedName name="_VOL7">#REF!</definedName>
    <definedName name="_wc04">#REF!-#REF!</definedName>
    <definedName name="_wr2" hidden="1">{#N/A,#N/A,FALSE,"Finanzplan";#N/A,#N/A,FALSE,"Bilanz";#N/A,#N/A,FALSE,"GuV"}</definedName>
    <definedName name="_wr3" hidden="1">{"vi1",#N/A,FALSE,"Financial Statements";"vi2",#N/A,FALSE,"Financial Statements";#N/A,#N/A,FALSE,"DCF"}</definedName>
    <definedName name="_wr4" hidden="1">{#N/A,#N/A,TRUE,"Sheet16"}</definedName>
    <definedName name="_wr5" hidden="1">{#N/A,#N/A,FALSE,"Summary";#N/A,#N/A,FALSE,"CF";#N/A,#N/A,FALSE,"P&amp;L";"summary",#N/A,FALSE,"Returns";#N/A,#N/A,FALSE,"BS";"summary",#N/A,FALSE,"Analysis";#N/A,#N/A,FALSE,"Assumptions"}</definedName>
    <definedName name="_wr72" hidden="1">{#N/A,#N/A,TRUE,"Sheet16"}</definedName>
    <definedName name="_ww1">#REF!</definedName>
    <definedName name="_xleta.MIN" hidden="1" xlm="1">#NAME?</definedName>
    <definedName name="_xleta.T" hidden="1" xlm="1">#NAME?</definedName>
    <definedName name="_xleta.TIME" hidden="1" xlm="1">#NAME?</definedName>
    <definedName name="_xlpm.a" hidden="1" xlm="1">#NAME?</definedName>
    <definedName name="_xlpm.cons" hidden="1" xlm="1">#NAME?</definedName>
    <definedName name="_xlpm.d" hidden="1" xlm="1">#NAME?</definedName>
    <definedName name="_xlpm.due" hidden="1" xlm="1">#NAME?</definedName>
    <definedName name="_xlpm.f" hidden="1" xlm="1">#NAME?</definedName>
    <definedName name="_xlpm.keep" hidden="1" xlm="1">#NAME?</definedName>
    <definedName name="_xlpm.leaf" hidden="1" xlm="1">#NAME?</definedName>
    <definedName name="_xlpm.parent" hidden="1" xlm="1">#NAME?</definedName>
    <definedName name="_xlpm.tag" hidden="1" xlm="1">#NAME?</definedName>
    <definedName name="_xlpm.task" hidden="1" xlm="1">#NAME?</definedName>
    <definedName name="a">#REF!</definedName>
    <definedName name="A.01">#REF!</definedName>
    <definedName name="A.02">#REF!</definedName>
    <definedName name="A.03">#REF!</definedName>
    <definedName name="A.04">#REF!</definedName>
    <definedName name="A.05">#REF!</definedName>
    <definedName name="A.06">#REF!</definedName>
    <definedName name="A.07">#REF!</definedName>
    <definedName name="A.08">#REF!</definedName>
    <definedName name="A.09">#REF!</definedName>
    <definedName name="A.11a">#REF!</definedName>
    <definedName name="A.11b">#REF!</definedName>
    <definedName name="A.12">#REF!</definedName>
    <definedName name="A.13">#REF!</definedName>
    <definedName name="A.14">#REF!</definedName>
    <definedName name="A.15">#REF!</definedName>
    <definedName name="A.16">#REF!</definedName>
    <definedName name="A.17">#REF!</definedName>
    <definedName name="A.18">#REF!</definedName>
    <definedName name="A.20">#REF!</definedName>
    <definedName name="A.21">#REF!</definedName>
    <definedName name="A.22">#REF!</definedName>
    <definedName name="A.23">#REF!</definedName>
    <definedName name="A.30">#REF!</definedName>
    <definedName name="A__Formwork">#REF!</definedName>
    <definedName name="aa">#REF!</definedName>
    <definedName name="AAA">#REF!</definedName>
    <definedName name="AAA_DOCTOPS" hidden="1">"AAA_SET"</definedName>
    <definedName name="AAA_duser" hidden="1">"OFF"</definedName>
    <definedName name="aaaa">#REF!</definedName>
    <definedName name="AAAAA">#REF!</definedName>
    <definedName name="aaaaaaaaaaaaaaaaaaaaa">OFFSET(#REF!,0,0,1,Projectend+1)</definedName>
    <definedName name="aaaaaaaaaaaaaaaaaaaaaaaaaaaaaaaaaaaaaaaaa">OFFSET(#REF!,0,0,1,Projectend+1)</definedName>
    <definedName name="AAB_Addin5" hidden="1">"AAB_Description for addin 5,Description for addin 5,Description for addin 5,Description for addin 5,Description for addin 5,Description for addin 5"</definedName>
    <definedName name="ab">#REF!</definedName>
    <definedName name="ABALSHA">#REF!</definedName>
    <definedName name="ABALSHE">#REF!</definedName>
    <definedName name="ABALSHYR">#REF!</definedName>
    <definedName name="abc">#REF!</definedName>
    <definedName name="abcd">#REF!</definedName>
    <definedName name="AbilityToPayCalc">#N/A</definedName>
    <definedName name="Abschreibungen">#REF!</definedName>
    <definedName name="ac">#REF!</definedName>
    <definedName name="AC_M32">#REF!</definedName>
    <definedName name="AC_M33">#REF!</definedName>
    <definedName name="AC_M34">#REF!</definedName>
    <definedName name="AC_M35">#REF!</definedName>
    <definedName name="AC_M36">#REF!</definedName>
    <definedName name="AC_M37">#REF!</definedName>
    <definedName name="ACAM">SUM(#REF!:#REF!)</definedName>
    <definedName name="Access_Button" hidden="1">"Zusammenstellung_SGF_KGF_970515_Tabelle1_Liste"</definedName>
    <definedName name="AccessDatabase" hidden="1">"C:\Old D\planning\Master Project Cost Format.mdb"</definedName>
    <definedName name="Accessories">#REF!</definedName>
    <definedName name="Account">OFFSET(#REF!,1,2,COUNTA(#REF!),1)</definedName>
    <definedName name="AccountType">#REF!</definedName>
    <definedName name="accounttype1">#REF!</definedName>
    <definedName name="AcctMapCode">#REF!</definedName>
    <definedName name="ACE">#REF!+#REF!</definedName>
    <definedName name="ACIER2">#REF!</definedName>
    <definedName name="ACIER3">#REF!</definedName>
    <definedName name="ACIER4">#REF!</definedName>
    <definedName name="ACIER5">#REF!</definedName>
    <definedName name="ACIER6">#REF!</definedName>
    <definedName name="ACIER7">#REF!</definedName>
    <definedName name="acq">#REF!</definedName>
    <definedName name="Acrylic_Prod">#REF!</definedName>
    <definedName name="Actdata">#REF!</definedName>
    <definedName name="Activation">#REF!</definedName>
    <definedName name="Activation_Fee">#REF!</definedName>
    <definedName name="Actual">#REF!</definedName>
    <definedName name="actual_96_004">#N/A</definedName>
    <definedName name="ActualMonth">#REF!</definedName>
    <definedName name="ad">#REF!</definedName>
    <definedName name="address">#REF!</definedName>
    <definedName name="adfa" hidden="1">{#N/A,#N/A,FALSE,"Finanzplan";#N/A,#N/A,FALSE,"Bilanz";#N/A,#N/A,FALSE,"GuV"}</definedName>
    <definedName name="ads">#REF!</definedName>
    <definedName name="adsf" hidden="1">{#N/A,#N/A,TRUE,"Sheet16"}</definedName>
    <definedName name="Advance">#REF!</definedName>
    <definedName name="af">#REF!</definedName>
    <definedName name="afa" hidden="1">{"vi1",#N/A,FALSE,"Financial Statements";"vi2",#N/A,FALSE,"Financial Statements";#N/A,#N/A,FALSE,"DCF"}</definedName>
    <definedName name="Afdruktitels_MI">#REF!</definedName>
    <definedName name="AFUND">#REF!</definedName>
    <definedName name="AG">#REF!</definedName>
    <definedName name="agerange">#REF!</definedName>
    <definedName name="agfrwfr" hidden="1">{#N/A,#N/A,FALSE,"Summary04";#N/A,#N/A,FALSE,"CCP Group";#N/A,#N/A,FALSE,"Jubail Group Rev2";#N/A,#N/A,FALSE,"CML Group"}</definedName>
    <definedName name="Aging_percent">#REF!,#REF!</definedName>
    <definedName name="Agrerange">#REF!</definedName>
    <definedName name="ai">#REF!</definedName>
    <definedName name="Aida_2" hidden="1">{#N/A,#N/A,FALSE,"Finanzplan";#N/A,#N/A,FALSE,"Bilanz";#N/A,#N/A,FALSE,"GuV"}</definedName>
    <definedName name="Aida_4" hidden="1">{#N/A,#N/A,FALSE,"Finanzplan";#N/A,#N/A,FALSE,"Bilanz";#N/A,#N/A,FALSE,"GuV"}</definedName>
    <definedName name="AIDiv">#REF!</definedName>
    <definedName name="AINCST">#REF!</definedName>
    <definedName name="AINCSTYR">#REF!</definedName>
    <definedName name="AIT">#REF!</definedName>
    <definedName name="AITALL">#REF!</definedName>
    <definedName name="ak">#REF!</definedName>
    <definedName name="al">#REF!</definedName>
    <definedName name="Alex_Actual_98">#N/A</definedName>
    <definedName name="Alex_Actual_99">#N/A</definedName>
    <definedName name="Alex_Consolidated">#N/A</definedName>
    <definedName name="Alex_YTD_98">#N/A</definedName>
    <definedName name="Alex_YTD_99">#N/A</definedName>
    <definedName name="Algeria">#REF!</definedName>
    <definedName name="AlgeriaExch">#REF!</definedName>
    <definedName name="AlgeriaGDP">#REF!</definedName>
    <definedName name="ALL">#REF!</definedName>
    <definedName name="All_Stages_Input">#REF!,#REF!,#REF!,#REF!,#REF!,#REF!,#REF!,#REF!,#REF!,#REF!,#REF!,#REF!,#REF!,#REF!,#REF!</definedName>
    <definedName name="allline">#REF!</definedName>
    <definedName name="alllines">#REF!</definedName>
    <definedName name="Allowance_to_Receivables">#REF!,#REF!</definedName>
    <definedName name="Allowance_to_Sales">#REF!,#REF!</definedName>
    <definedName name="Allowances">#REF!</definedName>
    <definedName name="AlphaT">#REF!</definedName>
    <definedName name="AltMonth">#REF!</definedName>
    <definedName name="AM">#REF!</definedName>
    <definedName name="amenity">#REF!</definedName>
    <definedName name="amort_gw">#REF!</definedName>
    <definedName name="AmortizePeriod">#REF!</definedName>
    <definedName name="AmortY">#REF!</definedName>
    <definedName name="Amount">#REF!</definedName>
    <definedName name="Amr" hidden="1">#REF!</definedName>
    <definedName name="Amt_prev_paid">#REF!</definedName>
    <definedName name="Amt_prev_paid_range">#REF!</definedName>
    <definedName name="An">#REF!</definedName>
    <definedName name="Andrew___Data">#REF!</definedName>
    <definedName name="Angola">#REF!</definedName>
    <definedName name="AngolaExch">#REF!</definedName>
    <definedName name="AngolaGDP">#REF!</definedName>
    <definedName name="Annual_Rate">#REF!</definedName>
    <definedName name="Annual_Report">#REF!</definedName>
    <definedName name="anscount">10</definedName>
    <definedName name="antifire.selant">#REF!</definedName>
    <definedName name="aocd">#REF!</definedName>
    <definedName name="AP">#REF!</definedName>
    <definedName name="APPE">#REF!</definedName>
    <definedName name="Apr_08">#REF!</definedName>
    <definedName name="AprSun1">DATEVALUE("4/1/"&amp;TheYear)-WEEKDAY(DATEVALUE("4/1/"&amp;TheYear))+1</definedName>
    <definedName name="AR">#REF!</definedName>
    <definedName name="ARA_Threshold">#REF!</definedName>
    <definedName name="AREA">#REF!</definedName>
    <definedName name="AREA100APT">#REF!</definedName>
    <definedName name="AREA200MC">#REF!</definedName>
    <definedName name="AREA244">#REF!</definedName>
    <definedName name="AREA402">#REF!</definedName>
    <definedName name="AREA434">#REF!</definedName>
    <definedName name="Area497">#REF!</definedName>
    <definedName name="areabroad">#REF!</definedName>
    <definedName name="areacentral">#REF!</definedName>
    <definedName name="AREAEC">#REF!</definedName>
    <definedName name="areaencentre">#REF!</definedName>
    <definedName name="areafins">#REF!</definedName>
    <definedName name="Areas">#REF!</definedName>
    <definedName name="Areas2">#REF!</definedName>
    <definedName name="areawc2">#REF!</definedName>
    <definedName name="areawc3">#REF!</definedName>
    <definedName name="Argentina">#REF!</definedName>
    <definedName name="ArgentinaExch">#REF!</definedName>
    <definedName name="ArgentinaGDP">#REF!</definedName>
    <definedName name="ARP_Threshold">#REF!</definedName>
    <definedName name="Arrange">#N/A</definedName>
    <definedName name="as" hidden="1">#REF!</definedName>
    <definedName name="AS2DocOpenMode" hidden="1">"AS2DocumentEdit"</definedName>
    <definedName name="AS2ReportLS" hidden="1">1</definedName>
    <definedName name="AS2StaticLS" hidden="1">#REF!</definedName>
    <definedName name="AS2SyncStepLS" hidden="1">0</definedName>
    <definedName name="AS2TickmarkLS" hidden="1">#REF!</definedName>
    <definedName name="AS2VersionLS" hidden="1">300</definedName>
    <definedName name="asasas">#REF!</definedName>
    <definedName name="asd">#REF!</definedName>
    <definedName name="asfd" hidden="1">{#N/A,#N/A,FALSE,"Finanzplan";#N/A,#N/A,FALSE,"Bilanz";#N/A,#N/A,FALSE,"GuV"}</definedName>
    <definedName name="ASia">#REF!</definedName>
    <definedName name="asif">#REF!</definedName>
    <definedName name="ass_swa50to70">#REF!</definedName>
    <definedName name="assds">#REF!</definedName>
    <definedName name="asstname">#REF!</definedName>
    <definedName name="assttype">#REF!</definedName>
    <definedName name="Assumptions">#REF!</definedName>
    <definedName name="assumten">#REF!</definedName>
    <definedName name="Atrium_NLA">#REF!</definedName>
    <definedName name="AuditChecks">#REF!</definedName>
    <definedName name="Aug_08">#REF!</definedName>
    <definedName name="AugSun1">DATEVALUE("8/1/"&amp;TheYear)-WEEKDAY(DATEVALUE("8/1/"&amp;TheYear))+1</definedName>
    <definedName name="Australia">#REF!</definedName>
    <definedName name="AustraliaExch">#REF!</definedName>
    <definedName name="AustraliaGDP">#REF!</definedName>
    <definedName name="Austria">#REF!</definedName>
    <definedName name="Austria_BelgiumExch">#REF!</definedName>
    <definedName name="AustriaGDP">#REF!</definedName>
    <definedName name="AuthMI">#REF!</definedName>
    <definedName name="Author">#REF!</definedName>
    <definedName name="_xlnm.Auto_Open">#REF!</definedName>
    <definedName name="Average_number_of_subs">#REF!</definedName>
    <definedName name="Avg_Sub">#REF!</definedName>
    <definedName name="AvgCapEmp">#REF!</definedName>
    <definedName name="AvRoE">#REF!</definedName>
    <definedName name="aw">#REF!</definedName>
    <definedName name="ayear">#REF!</definedName>
    <definedName name="ayear1">#REF!</definedName>
    <definedName name="ayear3">#REF!</definedName>
    <definedName name="ayear5">#REF!</definedName>
    <definedName name="ayman" hidden="1">{#N/A,#N/A,FALSE,"Bal.Sht"}</definedName>
    <definedName name="AYTOPSAAT">#REF!</definedName>
    <definedName name="Azerbaijan">#REF!</definedName>
    <definedName name="AzerbaijanExch">#REF!</definedName>
    <definedName name="AzerbaijanGDP">#REF!</definedName>
    <definedName name="b">#REF!</definedName>
    <definedName name="B.01">#REF!</definedName>
    <definedName name="B.02">#REF!</definedName>
    <definedName name="B.02a">#REF!</definedName>
    <definedName name="B.02b">#REF!</definedName>
    <definedName name="B.02c">#REF!</definedName>
    <definedName name="B.02d">#REF!</definedName>
    <definedName name="B.02e">#REF!</definedName>
    <definedName name="B.03">#REF!</definedName>
    <definedName name="B.04">#REF!</definedName>
    <definedName name="B_____CONCRETE_PRICING_TABLE">#REF!</definedName>
    <definedName name="B1T">#REF!</definedName>
    <definedName name="B2T">#REF!</definedName>
    <definedName name="B3T">#REF!</definedName>
    <definedName name="B4T">#REF!</definedName>
    <definedName name="B5T">#REF!</definedName>
    <definedName name="B6T">#REF!</definedName>
    <definedName name="B7T">#REF!</definedName>
    <definedName name="badawy">#REF!</definedName>
    <definedName name="badawy1">#REF!</definedName>
    <definedName name="BALANCE_SHEET_">#REF!</definedName>
    <definedName name="Balance2">#REF!</definedName>
    <definedName name="BalloonPayment">#REF!</definedName>
    <definedName name="BalloonPeriod">#REF!</definedName>
    <definedName name="Bank">#REF!</definedName>
    <definedName name="Banks">#REF!</definedName>
    <definedName name="Banq_DayD_Vs_MICE">#REF!</definedName>
    <definedName name="Banq_DayDelRate">#REF!</definedName>
    <definedName name="Banq_FB_Rev">#REF!</definedName>
    <definedName name="Banq_Layout">#REF!</definedName>
    <definedName name="Banq_Outside_Catering">#REF!</definedName>
    <definedName name="Banq_RoomHire">#REF!</definedName>
    <definedName name="Banq_Summ">#REF!</definedName>
    <definedName name="Banq_Usage">#REF!</definedName>
    <definedName name="Banq_Usage_growth">#REF!</definedName>
    <definedName name="Bar">#REF!</definedName>
    <definedName name="barwa">#REF!</definedName>
    <definedName name="Barwa_New_Cairo">#REF!</definedName>
    <definedName name="BaseCase">#REF!</definedName>
    <definedName name="BaseExchrate">#REF!</definedName>
    <definedName name="BaseYear">#REF!</definedName>
    <definedName name="BasicSalaries">#REF!</definedName>
    <definedName name="BassErrorT">#REF!</definedName>
    <definedName name="BassParaT">#REF!</definedName>
    <definedName name="BAYMESKAT">#REF!</definedName>
    <definedName name="BB">#REF!</definedName>
    <definedName name="BBB">#REF!</definedName>
    <definedName name="BBBBB">#REF!</definedName>
    <definedName name="bbl_per_tonne">#REF!</definedName>
    <definedName name="Bdgt_Prd">#REF!</definedName>
    <definedName name="beds">#REF!</definedName>
    <definedName name="beds_P2">#REF!</definedName>
    <definedName name="Beg_Bal">#REF!</definedName>
    <definedName name="Beginning_of_Year_Principal">#REF!</definedName>
    <definedName name="Belgium">#REF!</definedName>
    <definedName name="BelgiumGDP">#REF!</definedName>
    <definedName name="BetaT">#REF!</definedName>
    <definedName name="BEWhatif1">#REF!</definedName>
    <definedName name="BEWhatif2">#REF!</definedName>
    <definedName name="BG_Del" hidden="1">15</definedName>
    <definedName name="BG_Ins" hidden="1">4</definedName>
    <definedName name="BG_Mod" hidden="1">6</definedName>
    <definedName name="BGP">#REF!</definedName>
    <definedName name="BIC_Cal">#REF!</definedName>
    <definedName name="bid_price">#REF!</definedName>
    <definedName name="bigassswa">#REF!</definedName>
    <definedName name="BIN">#REF!</definedName>
    <definedName name="BoC_Margin">#REF!</definedName>
    <definedName name="BOLGE">#REF!</definedName>
    <definedName name="BOLGE1">#REF!</definedName>
    <definedName name="Bolivia">#REF!</definedName>
    <definedName name="BoliviaExch">#REF!</definedName>
    <definedName name="BoliviaGDP">#REF!</definedName>
    <definedName name="Bollocks">#REF!</definedName>
    <definedName name="BOMPack">#REF!</definedName>
    <definedName name="BOMPackCJ">#REF!</definedName>
    <definedName name="BOMPackCL">#REF!</definedName>
    <definedName name="BOMPackIJ">#REF!</definedName>
    <definedName name="BOMPackIL">#REF!</definedName>
    <definedName name="BomPackJ">#REF!</definedName>
    <definedName name="BomPackKSA">#REF!</definedName>
    <definedName name="BOMPackRJ">#REF!</definedName>
    <definedName name="BOMPackRL">#REF!</definedName>
    <definedName name="BomPackSD">#REF!</definedName>
    <definedName name="bompacky">#REF!</definedName>
    <definedName name="BOMref">#REF!</definedName>
    <definedName name="BOMRefCJ">#REF!</definedName>
    <definedName name="BOMRefCL">#REF!</definedName>
    <definedName name="BOMRefIJ">#REF!</definedName>
    <definedName name="BOMRefIL">#REF!</definedName>
    <definedName name="BomRefJ">#REF!</definedName>
    <definedName name="BOMRefRJ">#REF!</definedName>
    <definedName name="BOMRefRL">#REF!</definedName>
    <definedName name="BomRefSD">#REF!</definedName>
    <definedName name="borrow">#REF!</definedName>
    <definedName name="Botswana">#REF!</definedName>
    <definedName name="BotswanaExch">#REF!</definedName>
    <definedName name="BotswanaGDP">#REF!</definedName>
    <definedName name="BottomNote">#REF!</definedName>
    <definedName name="BPCE">#REF!</definedName>
    <definedName name="BPIRR">#REF!</definedName>
    <definedName name="BPPayback">#REF!</definedName>
    <definedName name="BPPV">#REF!</definedName>
    <definedName name="BrandNamePrice">#REF!</definedName>
    <definedName name="Brazil">#REF!</definedName>
    <definedName name="BrazilExch">#REF!</definedName>
    <definedName name="BrazilGDP">#REF!</definedName>
    <definedName name="Breakdown">#REF!</definedName>
    <definedName name="Breakeven_point">#REF!</definedName>
    <definedName name="BS">#REF!</definedName>
    <definedName name="BS_IS_Mapping_Values">#REF!</definedName>
    <definedName name="BSACC">#REF!</definedName>
    <definedName name="BSHEETALL">#REF!</definedName>
    <definedName name="bsmay" hidden="1">{#N/A,#N/A,FALSE,"inctrnd99"}</definedName>
    <definedName name="BUA_Clubs">#REF!</definedName>
    <definedName name="BUA_Creek_villas">#REF!</definedName>
    <definedName name="BUA_High_end_Apts">#REF!</definedName>
    <definedName name="BUA_Lobbies_Cores">#REF!</definedName>
    <definedName name="BUA_offices">#REF!</definedName>
    <definedName name="BUA_Parking">#REF!</definedName>
    <definedName name="BUA_Retail">#REF!</definedName>
    <definedName name="BUA_Street_apts">#REF!</definedName>
    <definedName name="BUDGET">#REF!</definedName>
    <definedName name="budgetallocation">#REF!</definedName>
    <definedName name="buildingera">#REF!</definedName>
    <definedName name="Buildingsdep">#REF!</definedName>
    <definedName name="BuiltIn_Print_Area">#REF!</definedName>
    <definedName name="BuiltIn_Print_Area___0">#REF!</definedName>
    <definedName name="BuiltIn_Print_Area___0___0">#REF!</definedName>
    <definedName name="BuiltIn_Print_Area___0___0___0">#REF!</definedName>
    <definedName name="BuiltIn_Print_Titles">#REF!</definedName>
    <definedName name="BuiltIn_Print_Titles___0">#REF!</definedName>
    <definedName name="BuiltIn_Print_Titles___0___0">#REF!</definedName>
    <definedName name="Bulgaria">#REF!</definedName>
    <definedName name="BulgariaExch">#REF!</definedName>
    <definedName name="BulgariaGDP">#REF!</definedName>
    <definedName name="BUNames">#REF!</definedName>
    <definedName name="Burida">#REF!</definedName>
    <definedName name="BUS">#REF!</definedName>
    <definedName name="Business_Unit">#REF!</definedName>
    <definedName name="Buyer">#REF!</definedName>
    <definedName name="C.01">#REF!</definedName>
    <definedName name="C.02">#REF!</definedName>
    <definedName name="C.02a">#REF!</definedName>
    <definedName name="C.02b">#REF!</definedName>
    <definedName name="C.02c">#REF!</definedName>
    <definedName name="C.02d">#REF!</definedName>
    <definedName name="C.02e">#REF!</definedName>
    <definedName name="C.03">#REF!</definedName>
    <definedName name="C.04">#REF!</definedName>
    <definedName name="C.05">#REF!</definedName>
    <definedName name="C.06">#REF!</definedName>
    <definedName name="C.07">#REF!</definedName>
    <definedName name="C.10">#REF!</definedName>
    <definedName name="C.11">#REF!</definedName>
    <definedName name="c.cost">#REF!</definedName>
    <definedName name="C_">#REF!</definedName>
    <definedName name="C_____STEEL_REBAR">#REF!</definedName>
    <definedName name="C_Final">#REF!</definedName>
    <definedName name="CAC10S">#REF!</definedName>
    <definedName name="CAC10T">#REF!</definedName>
    <definedName name="CAC11S">#REF!</definedName>
    <definedName name="CAC11T">#REF!</definedName>
    <definedName name="CAC12S">#REF!</definedName>
    <definedName name="CAC12T">#REF!</definedName>
    <definedName name="CAC13S">#REF!</definedName>
    <definedName name="CAC13T">#REF!</definedName>
    <definedName name="CAC14S">#REF!</definedName>
    <definedName name="CAC14T">#REF!</definedName>
    <definedName name="CAC15s">#REF!</definedName>
    <definedName name="CAC15T">#REF!</definedName>
    <definedName name="CAC16S">#REF!</definedName>
    <definedName name="CAC16T">#REF!</definedName>
    <definedName name="CAC17S">#REF!</definedName>
    <definedName name="CAC17T">#REF!</definedName>
    <definedName name="CAC18s">#REF!</definedName>
    <definedName name="CAC18T">#REF!</definedName>
    <definedName name="CAC19s">#REF!</definedName>
    <definedName name="CAC19T">#REF!</definedName>
    <definedName name="CAC1S">#REF!</definedName>
    <definedName name="CAC1T">#REF!</definedName>
    <definedName name="CAC20S">#REF!</definedName>
    <definedName name="CAC20T">#REF!</definedName>
    <definedName name="CAC21S">#REF!</definedName>
    <definedName name="CAC21T">#REF!</definedName>
    <definedName name="CAC22s">#REF!</definedName>
    <definedName name="CAC22T">#REF!</definedName>
    <definedName name="CAC23S">#REF!</definedName>
    <definedName name="CAC23T">#REF!</definedName>
    <definedName name="CAC24S">#REF!</definedName>
    <definedName name="CAC24T">#REF!</definedName>
    <definedName name="CAC25S">#REF!</definedName>
    <definedName name="CAC25T">#REF!</definedName>
    <definedName name="CAC26S">#REF!</definedName>
    <definedName name="CAC26T">#REF!</definedName>
    <definedName name="CAC27S">#REF!</definedName>
    <definedName name="CAC27T">#REF!</definedName>
    <definedName name="CAC28S">#REF!</definedName>
    <definedName name="CAC28T">#REF!</definedName>
    <definedName name="CAC29S">#REF!</definedName>
    <definedName name="CAC29T">#REF!</definedName>
    <definedName name="CAC2S">#REF!</definedName>
    <definedName name="CAC2T">#REF!</definedName>
    <definedName name="CAC30S">#REF!</definedName>
    <definedName name="CAC30T">#REF!</definedName>
    <definedName name="CAC31S">#REF!</definedName>
    <definedName name="CAC31T">#REF!</definedName>
    <definedName name="CAC32S">#REF!</definedName>
    <definedName name="CAC32T">#REF!</definedName>
    <definedName name="CAC33S">#REF!</definedName>
    <definedName name="CAC33T">#REF!</definedName>
    <definedName name="CAC34S">#REF!</definedName>
    <definedName name="CAC34T">#REF!</definedName>
    <definedName name="CAC35S">#REF!</definedName>
    <definedName name="CAC35T">#REF!</definedName>
    <definedName name="CAC36S">#REF!</definedName>
    <definedName name="CAC36T">#REF!</definedName>
    <definedName name="CAC37S">#REF!</definedName>
    <definedName name="CAC37T">#REF!</definedName>
    <definedName name="CAC38S">#REF!</definedName>
    <definedName name="CAC38T">#REF!</definedName>
    <definedName name="CAC39S">#REF!</definedName>
    <definedName name="CAC39T">#REF!</definedName>
    <definedName name="CAC3S">#REF!</definedName>
    <definedName name="CAC3T">#REF!</definedName>
    <definedName name="CAC40S">#REF!</definedName>
    <definedName name="CAC40T">#REF!</definedName>
    <definedName name="CAC41S">#REF!</definedName>
    <definedName name="CAC41T">#REF!</definedName>
    <definedName name="CAC42S">#REF!</definedName>
    <definedName name="CAC42T">#REF!</definedName>
    <definedName name="CAC43S">#REF!</definedName>
    <definedName name="CAC43T">#REF!</definedName>
    <definedName name="CAC44S">#REF!</definedName>
    <definedName name="CAC44T">#REF!</definedName>
    <definedName name="CAC45S">#REF!</definedName>
    <definedName name="CAC45T">#REF!</definedName>
    <definedName name="CAC46S">#REF!</definedName>
    <definedName name="CAC46T">#REF!</definedName>
    <definedName name="CAC47S">#REF!</definedName>
    <definedName name="CAC47T">#REF!</definedName>
    <definedName name="CAC48S">#REF!</definedName>
    <definedName name="CAC48T">#REF!</definedName>
    <definedName name="CAC49S">#REF!</definedName>
    <definedName name="CAC49T">#REF!</definedName>
    <definedName name="CAC4S">#REF!</definedName>
    <definedName name="cac4t">#REF!</definedName>
    <definedName name="CAC50S">#REF!</definedName>
    <definedName name="CAC50T">#REF!</definedName>
    <definedName name="CAC51S">#REF!</definedName>
    <definedName name="CAC51T">#REF!</definedName>
    <definedName name="CAC52S">#REF!</definedName>
    <definedName name="CAC52T">#REF!</definedName>
    <definedName name="CAC53S">#REF!</definedName>
    <definedName name="CAC53T">#REF!</definedName>
    <definedName name="CAC54S">#REF!</definedName>
    <definedName name="CAC54T">#REF!</definedName>
    <definedName name="CAC55S">#REF!</definedName>
    <definedName name="CAC55T">#REF!</definedName>
    <definedName name="CAC56S">#REF!</definedName>
    <definedName name="CAC56T">#REF!</definedName>
    <definedName name="CAC57S">#REF!</definedName>
    <definedName name="CAC57T">#REF!</definedName>
    <definedName name="CAC58S">#REF!</definedName>
    <definedName name="CAC58T">#REF!,#REF!</definedName>
    <definedName name="CAC59S">#REF!</definedName>
    <definedName name="CAC59T">#REF!</definedName>
    <definedName name="CAC5S">#REF!</definedName>
    <definedName name="CAC5T">#REF!</definedName>
    <definedName name="CAC60S">#REF!</definedName>
    <definedName name="CAC60T">#REF!,#REF!</definedName>
    <definedName name="CAC61S">#REF!</definedName>
    <definedName name="CAC61T">#REF!,#REF!,#REF!,#REF!,#REF!,#REF!</definedName>
    <definedName name="CAC6S">#REF!</definedName>
    <definedName name="CAC6T">#REF!</definedName>
    <definedName name="CAC70S">#REF!</definedName>
    <definedName name="CAC70T">#REF!</definedName>
    <definedName name="CAC71S">#REF!</definedName>
    <definedName name="CAC71T">#REF!</definedName>
    <definedName name="CAC72S">#REF!</definedName>
    <definedName name="CAC72T">#REF!</definedName>
    <definedName name="CAC73S">#REF!</definedName>
    <definedName name="CAC73T">#REF!,#REF!</definedName>
    <definedName name="CAC74S">#REF!</definedName>
    <definedName name="CAC74T">#REF!</definedName>
    <definedName name="CAC75S">#REF!</definedName>
    <definedName name="CAC75T">#REF!</definedName>
    <definedName name="CAC76S">#REF!</definedName>
    <definedName name="CAC76T">#REF!</definedName>
    <definedName name="CAC77S">#REF!</definedName>
    <definedName name="CAC77T">#REF!</definedName>
    <definedName name="CAC7S">#REF!</definedName>
    <definedName name="CAC7T">#REF!</definedName>
    <definedName name="CAC8S">#REF!</definedName>
    <definedName name="CAC8T">#REF!</definedName>
    <definedName name="CAC9S">#REF!</definedName>
    <definedName name="CAC9T">#REF!</definedName>
    <definedName name="CAct1">#REF!</definedName>
    <definedName name="CAct10">#REF!</definedName>
    <definedName name="CAct11">#REF!</definedName>
    <definedName name="CAct12">#REF!</definedName>
    <definedName name="CAct2">#REF!</definedName>
    <definedName name="CAct3">#REF!</definedName>
    <definedName name="CAct4">#REF!</definedName>
    <definedName name="CAct5">#REF!</definedName>
    <definedName name="CAct6">#REF!</definedName>
    <definedName name="CAct7">#REF!</definedName>
    <definedName name="CAct8">#REF!</definedName>
    <definedName name="CAct9">#REF!</definedName>
    <definedName name="calc_show">#REF!</definedName>
    <definedName name="Call_by_Call">#REF!</definedName>
    <definedName name="Canada">#REF!</definedName>
    <definedName name="CanadaExch">#REF!</definedName>
    <definedName name="CanadaGDP">#REF!</definedName>
    <definedName name="Cap600BPIRR3">#REF!</definedName>
    <definedName name="Capacity">#REF!</definedName>
    <definedName name="CapConst">#REF!</definedName>
    <definedName name="capempl">#REF!</definedName>
    <definedName name="CAPEX">#REF!</definedName>
    <definedName name="CAPEX_">#REF!</definedName>
    <definedName name="CapEx_up">#REF!</definedName>
    <definedName name="CapexChange">#REF!</definedName>
    <definedName name="capexi13">#REF!</definedName>
    <definedName name="CapexYear">#REF!</definedName>
    <definedName name="capin">#REF!</definedName>
    <definedName name="capital">#REF!</definedName>
    <definedName name="Capital_value">#REF!</definedName>
    <definedName name="Car_Ownewship">#REF!</definedName>
    <definedName name="CarAllowance">#REF!</definedName>
    <definedName name="carry">#REF!</definedName>
    <definedName name="case">#REF!</definedName>
    <definedName name="case1">#REF!</definedName>
    <definedName name="case2">#REF!</definedName>
    <definedName name="case3">#REF!</definedName>
    <definedName name="Cash_Flow">#REF!</definedName>
    <definedName name="cash_int">#REF!</definedName>
    <definedName name="CashF">#REF!</definedName>
    <definedName name="CashF1">#REF!</definedName>
    <definedName name="CashF2">#REF!</definedName>
    <definedName name="CashF3">#REF!</definedName>
    <definedName name="CashF4">#REF!</definedName>
    <definedName name="CashF5">#REF!</definedName>
    <definedName name="CashF6">#REF!</definedName>
    <definedName name="CashF7">#REF!</definedName>
    <definedName name="CashF8">#REF!</definedName>
    <definedName name="cashflow">#REF!</definedName>
    <definedName name="CASHFLOWALL">#REF!</definedName>
    <definedName name="CASHFLOWRKING">#REF!</definedName>
    <definedName name="cashlist">#REF!</definedName>
    <definedName name="CashVariableCosts">#REF!</definedName>
    <definedName name="CatIndex">#REF!</definedName>
    <definedName name="cb">#N/A</definedName>
    <definedName name="CBud1">#REF!</definedName>
    <definedName name="CBud10">#REF!</definedName>
    <definedName name="CBud11">#REF!</definedName>
    <definedName name="CBud12">#REF!</definedName>
    <definedName name="CBud2">#REF!</definedName>
    <definedName name="CBud3">#REF!</definedName>
    <definedName name="CBud4">#REF!</definedName>
    <definedName name="CBud5">#REF!</definedName>
    <definedName name="CBud6">#REF!</definedName>
    <definedName name="CBud7">#REF!</definedName>
    <definedName name="CBud8">#REF!</definedName>
    <definedName name="CBud9">#REF!</definedName>
    <definedName name="CBWorkbookPriority" hidden="1">-376489937</definedName>
    <definedName name="cc">#REF!</definedName>
    <definedName name="cc5to24ALLtype">#REF!</definedName>
    <definedName name="CCap_Pol">#REF!</definedName>
    <definedName name="CCF_1a">#REF!</definedName>
    <definedName name="CCF_2a">#REF!</definedName>
    <definedName name="CCF_3a">#REF!</definedName>
    <definedName name="CCF_4a">#REF!</definedName>
    <definedName name="CCF_5a">#REF!</definedName>
    <definedName name="CCF_6a">#REF!</definedName>
    <definedName name="CCF_7a">#REF!</definedName>
    <definedName name="CCF_8a">#REF!</definedName>
    <definedName name="CCList">#REF!</definedName>
    <definedName name="CCS">#REF!</definedName>
    <definedName name="CDmd_Tot">#REF!</definedName>
    <definedName name="Celkem_univerzál">#REF!</definedName>
    <definedName name="cellAppraise">#REF!</definedName>
    <definedName name="CellBusinessUnit">#REF!</definedName>
    <definedName name="CellCE">#REF!</definedName>
    <definedName name="CellCluster">#REF!</definedName>
    <definedName name="cellDefine">#REF!</definedName>
    <definedName name="CellDescription">#REF!</definedName>
    <definedName name="cellEquityShare">#REF!</definedName>
    <definedName name="cellExecute">#REF!</definedName>
    <definedName name="CellFlexibility">#REF!</definedName>
    <definedName name="CellGeneral">#REF!</definedName>
    <definedName name="CellGeography">#REF!</definedName>
    <definedName name="CellIRR">#REF!</definedName>
    <definedName name="CellNPV">#REF!</definedName>
    <definedName name="cellOperate">#REF!</definedName>
    <definedName name="CellOptionName">#REF!</definedName>
    <definedName name="CellOptionType">#REF!</definedName>
    <definedName name="CellPayback">#REF!</definedName>
    <definedName name="CellProbability">#REF!</definedName>
    <definedName name="cellSelect">#REF!</definedName>
    <definedName name="CellShape">#REF!</definedName>
    <definedName name="cellSite">#REF!</definedName>
    <definedName name="CellSponsor">#REF!</definedName>
    <definedName name="CellStartYear">#REF!</definedName>
    <definedName name="CellStatus">#REF!</definedName>
    <definedName name="CellStrategicFit">#REF!</definedName>
    <definedName name="CellStrategicOption">#REF!</definedName>
    <definedName name="Cellulosic_Prod">#REF!</definedName>
    <definedName name="ceramics_ass">#REF!</definedName>
    <definedName name="Ceramics_Factory">#REF!</definedName>
    <definedName name="Ceramics_Factory__cost_per_unit">#REF!</definedName>
    <definedName name="Ceramics_proj">#REF!</definedName>
    <definedName name="CF">#REF!</definedName>
    <definedName name="CF_ManualRows">#REF!,#REF!,#REF!,#REF!,#REF!,#REF!,#REF!,#REF!,#REF!,#REF!,#REF!,#REF!,#REF!</definedName>
    <definedName name="CFACC">#REF!</definedName>
    <definedName name="CFAfterProfitShare_1">#REF!</definedName>
    <definedName name="CFAfterProfitShare_2">#REF!</definedName>
    <definedName name="CFAfterProfitShare_3">#REF!</definedName>
    <definedName name="CFAfterProfitShare_4">#REF!</definedName>
    <definedName name="CFAfterProfitShare_5">#REF!</definedName>
    <definedName name="CFAfterProfitShare_6">#REF!</definedName>
    <definedName name="CFAfterProfitShare_7">#REF!</definedName>
    <definedName name="CFAfterProfitShare_8">#REF!</definedName>
    <definedName name="CFB4ProfitShare_1">#REF!</definedName>
    <definedName name="CFB4ProfitShare_2">#REF!</definedName>
    <definedName name="CFB4ProfitShare_3">#REF!</definedName>
    <definedName name="CFB4ProfitShare_4">#REF!</definedName>
    <definedName name="CFB4ProfitShare_5">#REF!</definedName>
    <definedName name="CFB4ProfitShare_6">#REF!</definedName>
    <definedName name="CFB4ProfitShare_7">#REF!</definedName>
    <definedName name="CFB4ProfitShare_8">#REF!</definedName>
    <definedName name="CFC">#REF!</definedName>
    <definedName name="ch_lta">#REF!</definedName>
    <definedName name="ch_ltl">#REF!</definedName>
    <definedName name="Change1">#REF!</definedName>
    <definedName name="Change2a">#REF!</definedName>
    <definedName name="Change2b">#REF!</definedName>
    <definedName name="Change3">#REF!</definedName>
    <definedName name="Change4">#REF!</definedName>
    <definedName name="Change5">#REF!</definedName>
    <definedName name="Change6">#REF!</definedName>
    <definedName name="Change7">#REF!</definedName>
    <definedName name="Change8">#REF!</definedName>
    <definedName name="Chart_CCFCol">#REF!</definedName>
    <definedName name="Chart_Date">#REF!</definedName>
    <definedName name="Chart_NCFCol">#REF!</definedName>
    <definedName name="Chart_OptEndCol">#REF!</definedName>
    <definedName name="Chart_OptStartCol">#REF!</definedName>
    <definedName name="check">#REF!</definedName>
    <definedName name="Check_error">#REF!</definedName>
    <definedName name="chf">#REF!</definedName>
    <definedName name="China">#REF!</definedName>
    <definedName name="ChinaExch">#REF!</definedName>
    <definedName name="ChinaGDP">#REF!</definedName>
    <definedName name="ChpCap_DMT">#REF!</definedName>
    <definedName name="ChpCap_PTA">#REF!</definedName>
    <definedName name="ChpCap_Tot">#REF!</definedName>
    <definedName name="ChpDmd_Tot">#REF!</definedName>
    <definedName name="ChpPrd_DMT">#REF!</definedName>
    <definedName name="ChpPrd_PTA">#REF!</definedName>
    <definedName name="ChpPrd_PTAextra">#REF!</definedName>
    <definedName name="ChpPrd_Tot">#REF!</definedName>
    <definedName name="Churn">#REF!</definedName>
    <definedName name="churn1">#REF!</definedName>
    <definedName name="circswitch">#REF!</definedName>
    <definedName name="CIS_Exports">#REF!</definedName>
    <definedName name="City">#REF!</definedName>
    <definedName name="city1area">#REF!</definedName>
    <definedName name="CleanData">#REF!</definedName>
    <definedName name="client">#REF!</definedName>
    <definedName name="Close">#N/A</definedName>
    <definedName name="Cluster">#REF!</definedName>
    <definedName name="CNVC">#REF!</definedName>
    <definedName name="CNVD">#REF!</definedName>
    <definedName name="CNVF">#REF!</definedName>
    <definedName name="CNVF1">#REF!</definedName>
    <definedName name="CNVS">#REF!</definedName>
    <definedName name="co">#REF!</definedName>
    <definedName name="COA">#REF!</definedName>
    <definedName name="COCUK">#REF!</definedName>
    <definedName name="Code" hidden="1">#REF!</definedName>
    <definedName name="codes">#REF!</definedName>
    <definedName name="colarea">#REF!</definedName>
    <definedName name="Colombia">#REF!</definedName>
    <definedName name="ColombiaExch">#REF!</definedName>
    <definedName name="ColombiaGDP">#REF!</definedName>
    <definedName name="COLUMNDEF">#REF!</definedName>
    <definedName name="ComboLink">#REF!</definedName>
    <definedName name="ComboList">#REF!</definedName>
    <definedName name="ComboStart">#REF!</definedName>
    <definedName name="Comp">#REF!</definedName>
    <definedName name="Company">#REF!</definedName>
    <definedName name="Company_name">#REF!</definedName>
    <definedName name="Company2">#REF!</definedName>
    <definedName name="companyname">#REF!</definedName>
    <definedName name="Comparison_clr1_a">#REF!</definedName>
    <definedName name="Comparison_clr2_a">#REF!</definedName>
    <definedName name="Comparison_clr3_a">#REF!</definedName>
    <definedName name="Comparison_clr4_a">#REF!</definedName>
    <definedName name="Comparison_clr5_a">#REF!</definedName>
    <definedName name="Comparison_clr6_a">#REF!</definedName>
    <definedName name="Comparison_clr7_a">#REF!</definedName>
    <definedName name="Comparison_clr8_a">#REF!</definedName>
    <definedName name="Comparison_end">#REF!</definedName>
    <definedName name="COMPCOL1">#REF!</definedName>
    <definedName name="con">#REF!</definedName>
    <definedName name="CONCA">#REF!</definedName>
    <definedName name="CONCB">#REF!</definedName>
    <definedName name="CONCC">#REF!</definedName>
    <definedName name="ConCol_1">#REF!</definedName>
    <definedName name="ConCol_2">#REF!</definedName>
    <definedName name="ConCol_3">#REF!</definedName>
    <definedName name="ConCol_4">#REF!</definedName>
    <definedName name="ConCol_5">#REF!</definedName>
    <definedName name="ConCol_6">#REF!</definedName>
    <definedName name="ConCol_7">#REF!</definedName>
    <definedName name="ConCol_8">#REF!</definedName>
    <definedName name="conparporfive">#REF!</definedName>
    <definedName name="conrad">#REF!</definedName>
    <definedName name="Cons">#REF!</definedName>
    <definedName name="Cons_Form">#REF!</definedName>
    <definedName name="Cons_Past">#REF!</definedName>
    <definedName name="ConsCF_Form">#REF!</definedName>
    <definedName name="ConsCF_Past">#REF!</definedName>
    <definedName name="ConsColtoHide">#REF!</definedName>
    <definedName name="Consol_Mode">#REF!</definedName>
    <definedName name="Consol_ModePaste">#REF!</definedName>
    <definedName name="consol_start">#REF!</definedName>
    <definedName name="Consol_view">#REF!,#REF!</definedName>
    <definedName name="consolcol_view">#REF!</definedName>
    <definedName name="Consolidate_clr1">#REF!</definedName>
    <definedName name="Consolidate_clr2">#REF!</definedName>
    <definedName name="Consolidate_clr3">#REF!</definedName>
    <definedName name="Consolidate_clr4">#REF!</definedName>
    <definedName name="Consolidate_clr5">#REF!</definedName>
    <definedName name="Consolidate_clr6">#REF!</definedName>
    <definedName name="Consolidate_clr7">#REF!</definedName>
    <definedName name="Consolidate_clr8">#REF!</definedName>
    <definedName name="Consolidate_end">#REF!</definedName>
    <definedName name="ConsolidateKPIRowVis_1">#REF!</definedName>
    <definedName name="ConsolidateKPIRowVis_10">#REF!</definedName>
    <definedName name="ConsolidateKPIRowVis_11">#REF!</definedName>
    <definedName name="ConsolidateKPIRowVis_12">#REF!</definedName>
    <definedName name="ConsolidateKPIRowVis_13">#REF!</definedName>
    <definedName name="ConsolidateKPIRowVis_14">#REF!</definedName>
    <definedName name="ConsolidateKPIRowVis_15">#REF!</definedName>
    <definedName name="ConsolidateKPIRowVis_16">#REF!</definedName>
    <definedName name="ConsolidateKPIRowVis_17">#REF!</definedName>
    <definedName name="ConsolidateKPIRowVis_18">#REF!</definedName>
    <definedName name="ConsolidateKPIRowVis_19">#REF!</definedName>
    <definedName name="ConsolidateKPIRowVis_2">#REF!</definedName>
    <definedName name="ConsolidateKPIRowVis_20">#REF!</definedName>
    <definedName name="ConsolidateKPIRowVis_21">#REF!</definedName>
    <definedName name="ConsolidateKPIRowVis_22">#REF!</definedName>
    <definedName name="ConsolidateKPIRowVis_3">#REF!</definedName>
    <definedName name="ConsolidateKPIRowVis_4">#REF!</definedName>
    <definedName name="ConsolidateKPIRowVis_5">#REF!</definedName>
    <definedName name="ConsolidateKPIRowVis_6">#REF!</definedName>
    <definedName name="ConsolidateKPIRowVis_7">#REF!</definedName>
    <definedName name="ConsolidateKPIRowVis_8">#REF!</definedName>
    <definedName name="ConsolidateKPIRowVis_9">#REF!</definedName>
    <definedName name="ConsolidateRowVis_1">#REF!</definedName>
    <definedName name="ConsolidateRowVis_10">#REF!</definedName>
    <definedName name="ConsolidateRowVis_11">#REF!</definedName>
    <definedName name="ConsolidateRowVis_12">#REF!</definedName>
    <definedName name="ConsolidateRowVis_13">#REF!</definedName>
    <definedName name="ConsolidateRowVis_14">#REF!</definedName>
    <definedName name="ConsolidateRowVis_15">#REF!</definedName>
    <definedName name="ConsolidateRowVis_16">#REF!</definedName>
    <definedName name="ConsolidateRowVis_17">#REF!</definedName>
    <definedName name="ConsolidateRowVis_18">#REF!</definedName>
    <definedName name="ConsolidateRowVis_19">#REF!</definedName>
    <definedName name="ConsolidateRowVis_2">#REF!</definedName>
    <definedName name="ConsolidateRowVis_20">#REF!</definedName>
    <definedName name="ConsolidateRowVis_21">#REF!</definedName>
    <definedName name="ConsolidateRowVis_22">#REF!</definedName>
    <definedName name="ConsolidateRowVis_23">#REF!</definedName>
    <definedName name="ConsolidateRowVis_24">#REF!</definedName>
    <definedName name="ConsolidateRowVis_25">#REF!</definedName>
    <definedName name="ConsolidateRowVis_26">#REF!</definedName>
    <definedName name="ConsolidateRowVis_27">#REF!</definedName>
    <definedName name="ConsolidateRowVis_28">#REF!</definedName>
    <definedName name="ConsolidateRowVis_29">#REF!</definedName>
    <definedName name="ConsolidateRowVis_3">#REF!</definedName>
    <definedName name="ConsolidateRowVis_30">#REF!</definedName>
    <definedName name="ConsolidateRowVis_4">#REF!</definedName>
    <definedName name="ConsolidateRowVis_5">#REF!</definedName>
    <definedName name="ConsolidateRowVis_6">#REF!</definedName>
    <definedName name="ConsolidateRowVis_7">#REF!</definedName>
    <definedName name="ConsolidateRowVis_8">#REF!</definedName>
    <definedName name="ConsolidateRowVis_9">#REF!</definedName>
    <definedName name="ConsolidateScreen">#REF!</definedName>
    <definedName name="ConsSummData1_1">#REF!</definedName>
    <definedName name="ConsSummData1_2">#REF!</definedName>
    <definedName name="ConsSummData1_3">#REF!</definedName>
    <definedName name="ConsSummData1_4">#REF!</definedName>
    <definedName name="ConsSummData1_5">#REF!</definedName>
    <definedName name="ConsSummData1_6">#REF!</definedName>
    <definedName name="ConsSummData1_7">#REF!</definedName>
    <definedName name="ConsSummData1_8">#REF!</definedName>
    <definedName name="ConsSummData10_1">#REF!</definedName>
    <definedName name="ConsSummData10_2">#REF!</definedName>
    <definedName name="ConsSummData10_3">#REF!</definedName>
    <definedName name="ConsSummData10_4">#REF!</definedName>
    <definedName name="ConsSummData10_5">#REF!</definedName>
    <definedName name="ConsSummData10_6">#REF!</definedName>
    <definedName name="ConsSummData10_7">#REF!</definedName>
    <definedName name="ConsSummData10_8">#REF!</definedName>
    <definedName name="ConsSummData100_1">#REF!</definedName>
    <definedName name="ConsSummData100_2">#REF!</definedName>
    <definedName name="ConsSummData100_3">#REF!</definedName>
    <definedName name="ConsSummData100_4">#REF!</definedName>
    <definedName name="ConsSummData100_5">#REF!</definedName>
    <definedName name="ConsSummData100_6">#REF!</definedName>
    <definedName name="ConsSummData100_7">#REF!</definedName>
    <definedName name="ConsSummData100_8">#REF!</definedName>
    <definedName name="ConsSummData101_1">#REF!</definedName>
    <definedName name="ConsSummData101_2">#REF!</definedName>
    <definedName name="ConsSummData101_3">#REF!</definedName>
    <definedName name="ConsSummData101_4">#REF!</definedName>
    <definedName name="ConsSummData101_5">#REF!</definedName>
    <definedName name="ConsSummData101_6">#REF!</definedName>
    <definedName name="ConsSummData101_7">#REF!</definedName>
    <definedName name="ConsSummData101_8">#REF!</definedName>
    <definedName name="ConsSummData102_1">#REF!</definedName>
    <definedName name="ConsSummData102_2">#REF!</definedName>
    <definedName name="ConsSummData102_3">#REF!</definedName>
    <definedName name="ConsSummData102_4">#REF!</definedName>
    <definedName name="ConsSummData102_5">#REF!</definedName>
    <definedName name="ConsSummData102_6">#REF!</definedName>
    <definedName name="ConsSummData102_7">#REF!</definedName>
    <definedName name="ConsSummData102_8">#REF!</definedName>
    <definedName name="ConsSummData103_1">#REF!</definedName>
    <definedName name="ConsSummData103_2">#REF!</definedName>
    <definedName name="ConsSummData103_3">#REF!</definedName>
    <definedName name="ConsSummData103_4">#REF!</definedName>
    <definedName name="ConsSummData103_5">#REF!</definedName>
    <definedName name="ConsSummData103_6">#REF!</definedName>
    <definedName name="ConsSummData103_7">#REF!</definedName>
    <definedName name="ConsSummData103_8">#REF!</definedName>
    <definedName name="ConsSummData104_1">#REF!</definedName>
    <definedName name="ConsSummData104_2">#REF!</definedName>
    <definedName name="ConsSummData104_3">#REF!</definedName>
    <definedName name="ConsSummData104_4">#REF!</definedName>
    <definedName name="ConsSummData104_5">#REF!</definedName>
    <definedName name="ConsSummData104_6">#REF!</definedName>
    <definedName name="ConsSummData104_7">#REF!</definedName>
    <definedName name="ConsSummData104_8">#REF!</definedName>
    <definedName name="ConsSummData105_1">#REF!</definedName>
    <definedName name="ConsSummData105_2">#REF!</definedName>
    <definedName name="ConsSummData105_3">#REF!</definedName>
    <definedName name="ConsSummData105_4">#REF!</definedName>
    <definedName name="ConsSummData105_5">#REF!</definedName>
    <definedName name="ConsSummData105_6">#REF!</definedName>
    <definedName name="ConsSummData105_7">#REF!</definedName>
    <definedName name="ConsSummData105_8">#REF!</definedName>
    <definedName name="ConsSummData106_1">#REF!</definedName>
    <definedName name="ConsSummData106_2">#REF!</definedName>
    <definedName name="ConsSummData106_3">#REF!</definedName>
    <definedName name="ConsSummData106_4">#REF!</definedName>
    <definedName name="ConsSummData106_5">#REF!</definedName>
    <definedName name="ConsSummData106_6">#REF!</definedName>
    <definedName name="ConsSummData106_7">#REF!</definedName>
    <definedName name="ConsSummData106_8">#REF!</definedName>
    <definedName name="ConsSummData107_1">#REF!</definedName>
    <definedName name="ConsSummData107_2">#REF!</definedName>
    <definedName name="ConsSummData107_3">#REF!</definedName>
    <definedName name="ConsSummData107_4">#REF!</definedName>
    <definedName name="ConsSummData107_5">#REF!</definedName>
    <definedName name="ConsSummData107_6">#REF!</definedName>
    <definedName name="ConsSummData107_7">#REF!</definedName>
    <definedName name="ConsSummData107_8">#REF!</definedName>
    <definedName name="ConsSummData108_1">#REF!</definedName>
    <definedName name="ConsSummData108_2">#REF!</definedName>
    <definedName name="ConsSummData108_3">#REF!</definedName>
    <definedName name="ConsSummData108_4">#REF!</definedName>
    <definedName name="ConsSummData108_5">#REF!</definedName>
    <definedName name="ConsSummData108_6">#REF!</definedName>
    <definedName name="ConsSummData108_7">#REF!</definedName>
    <definedName name="ConsSummData108_8">#REF!</definedName>
    <definedName name="ConsSummData109_1">#REF!</definedName>
    <definedName name="ConsSummData109_2">#REF!</definedName>
    <definedName name="ConsSummData109_3">#REF!</definedName>
    <definedName name="ConsSummData109_4">#REF!</definedName>
    <definedName name="ConsSummData109_5">#REF!</definedName>
    <definedName name="ConsSummData109_6">#REF!</definedName>
    <definedName name="ConsSummData109_7">#REF!</definedName>
    <definedName name="ConsSummData109_8">#REF!</definedName>
    <definedName name="ConsSummData11_1">#REF!</definedName>
    <definedName name="ConsSummData11_2">#REF!</definedName>
    <definedName name="ConsSummData11_3">#REF!</definedName>
    <definedName name="ConsSummData11_4">#REF!</definedName>
    <definedName name="ConsSummData11_5">#REF!</definedName>
    <definedName name="ConsSummData11_6">#REF!</definedName>
    <definedName name="ConsSummData11_7">#REF!</definedName>
    <definedName name="ConsSummData11_8">#REF!</definedName>
    <definedName name="ConsSummData110_1">#REF!</definedName>
    <definedName name="ConsSummData110_2">#REF!</definedName>
    <definedName name="ConsSummData110_3">#REF!</definedName>
    <definedName name="ConsSummData110_4">#REF!</definedName>
    <definedName name="ConsSummData110_5">#REF!</definedName>
    <definedName name="ConsSummData110_6">#REF!</definedName>
    <definedName name="ConsSummData110_7">#REF!</definedName>
    <definedName name="ConsSummData110_8">#REF!</definedName>
    <definedName name="ConsSummData111_1">#REF!</definedName>
    <definedName name="ConsSummData111_2">#REF!</definedName>
    <definedName name="ConsSummData111_3">#REF!</definedName>
    <definedName name="ConsSummData111_4">#REF!</definedName>
    <definedName name="ConsSummData111_5">#REF!</definedName>
    <definedName name="ConsSummData111_6">#REF!</definedName>
    <definedName name="ConsSummData111_7">#REF!</definedName>
    <definedName name="ConsSummData111_8">#REF!</definedName>
    <definedName name="ConsSummData112_1">#REF!</definedName>
    <definedName name="ConsSummData112_2">#REF!</definedName>
    <definedName name="ConsSummData112_3">#REF!</definedName>
    <definedName name="ConsSummData112_4">#REF!</definedName>
    <definedName name="ConsSummData112_5">#REF!</definedName>
    <definedName name="ConsSummData112_6">#REF!</definedName>
    <definedName name="ConsSummData112_7">#REF!</definedName>
    <definedName name="ConsSummData112_8">#REF!</definedName>
    <definedName name="ConsSummData113_1">#REF!</definedName>
    <definedName name="ConsSummData113_2">#REF!</definedName>
    <definedName name="ConsSummData113_3">#REF!</definedName>
    <definedName name="ConsSummData113_4">#REF!</definedName>
    <definedName name="ConsSummData113_5">#REF!</definedName>
    <definedName name="ConsSummData113_6">#REF!</definedName>
    <definedName name="ConsSummData113_7">#REF!</definedName>
    <definedName name="ConsSummData113_8">#REF!</definedName>
    <definedName name="ConsSummData114_1">#REF!</definedName>
    <definedName name="ConsSummData114_2">#REF!</definedName>
    <definedName name="ConsSummData114_3">#REF!</definedName>
    <definedName name="ConsSummData114_4">#REF!</definedName>
    <definedName name="ConsSummData114_5">#REF!</definedName>
    <definedName name="ConsSummData114_6">#REF!</definedName>
    <definedName name="ConsSummData114_7">#REF!</definedName>
    <definedName name="ConsSummData114_8">#REF!</definedName>
    <definedName name="ConsSummData115_1">#REF!</definedName>
    <definedName name="ConsSummData115_2">#REF!</definedName>
    <definedName name="ConsSummData115_3">#REF!</definedName>
    <definedName name="ConsSummData115_4">#REF!</definedName>
    <definedName name="ConsSummData115_5">#REF!</definedName>
    <definedName name="ConsSummData115_6">#REF!</definedName>
    <definedName name="ConsSummData115_7">#REF!</definedName>
    <definedName name="ConsSummData115_8">#REF!</definedName>
    <definedName name="ConsSummData116_1">#REF!</definedName>
    <definedName name="ConsSummData116_2">#REF!</definedName>
    <definedName name="ConsSummData116_3">#REF!</definedName>
    <definedName name="ConsSummData116_4">#REF!</definedName>
    <definedName name="ConsSummData116_5">#REF!</definedName>
    <definedName name="ConsSummData116_6">#REF!</definedName>
    <definedName name="ConsSummData116_7">#REF!</definedName>
    <definedName name="ConsSummData116_8">#REF!</definedName>
    <definedName name="ConsSummData117_1">#REF!</definedName>
    <definedName name="ConsSummData117_2">#REF!</definedName>
    <definedName name="ConsSummData117_3">#REF!</definedName>
    <definedName name="ConsSummData117_4">#REF!</definedName>
    <definedName name="ConsSummData117_5">#REF!</definedName>
    <definedName name="ConsSummData117_6">#REF!</definedName>
    <definedName name="ConsSummData117_7">#REF!</definedName>
    <definedName name="ConsSummData117_8">#REF!</definedName>
    <definedName name="ConsSummData118_1">#REF!</definedName>
    <definedName name="ConsSummData118_2">#REF!</definedName>
    <definedName name="ConsSummData118_3">#REF!</definedName>
    <definedName name="ConsSummData118_4">#REF!</definedName>
    <definedName name="ConsSummData118_5">#REF!</definedName>
    <definedName name="ConsSummData118_6">#REF!</definedName>
    <definedName name="ConsSummData118_7">#REF!</definedName>
    <definedName name="ConsSummData118_8">#REF!</definedName>
    <definedName name="ConsSummData119_1">#REF!</definedName>
    <definedName name="ConsSummData119_2">#REF!</definedName>
    <definedName name="ConsSummData119_3">#REF!</definedName>
    <definedName name="ConsSummData119_4">#REF!</definedName>
    <definedName name="ConsSummData119_5">#REF!</definedName>
    <definedName name="ConsSummData119_6">#REF!</definedName>
    <definedName name="ConsSummData119_7">#REF!</definedName>
    <definedName name="ConsSummData119_8">#REF!</definedName>
    <definedName name="ConsSummData12_1">#REF!</definedName>
    <definedName name="ConsSummData12_2">#REF!</definedName>
    <definedName name="ConsSummData12_3">#REF!</definedName>
    <definedName name="ConsSummData12_4">#REF!</definedName>
    <definedName name="ConsSummData12_5">#REF!</definedName>
    <definedName name="ConsSummData12_6">#REF!</definedName>
    <definedName name="ConsSummData12_7">#REF!</definedName>
    <definedName name="ConsSummData12_8">#REF!</definedName>
    <definedName name="ConsSummData120_1">#REF!</definedName>
    <definedName name="ConsSummData120_2">#REF!</definedName>
    <definedName name="ConsSummData120_3">#REF!</definedName>
    <definedName name="ConsSummData120_4">#REF!</definedName>
    <definedName name="ConsSummData120_5">#REF!</definedName>
    <definedName name="ConsSummData120_6">#REF!</definedName>
    <definedName name="ConsSummData120_7">#REF!</definedName>
    <definedName name="ConsSummData120_8">#REF!</definedName>
    <definedName name="ConsSummData121_1">#REF!</definedName>
    <definedName name="ConsSummData121_2">#REF!</definedName>
    <definedName name="ConsSummData121_3">#REF!</definedName>
    <definedName name="ConsSummData121_4">#REF!</definedName>
    <definedName name="ConsSummData121_5">#REF!</definedName>
    <definedName name="ConsSummData121_6">#REF!</definedName>
    <definedName name="ConsSummData121_7">#REF!</definedName>
    <definedName name="ConsSummData121_8">#REF!</definedName>
    <definedName name="ConsSummData122_1">#REF!</definedName>
    <definedName name="ConsSummData122_2">#REF!</definedName>
    <definedName name="ConsSummData122_3">#REF!</definedName>
    <definedName name="ConsSummData122_4">#REF!</definedName>
    <definedName name="ConsSummData122_5">#REF!</definedName>
    <definedName name="ConsSummData122_6">#REF!</definedName>
    <definedName name="ConsSummData122_7">#REF!</definedName>
    <definedName name="ConsSummData122_8">#REF!</definedName>
    <definedName name="ConsSummData123_1">#REF!</definedName>
    <definedName name="ConsSummData123_2">#REF!</definedName>
    <definedName name="ConsSummData123_3">#REF!</definedName>
    <definedName name="ConsSummData123_4">#REF!</definedName>
    <definedName name="ConsSummData123_5">#REF!</definedName>
    <definedName name="ConsSummData123_6">#REF!</definedName>
    <definedName name="ConsSummData123_7">#REF!</definedName>
    <definedName name="ConsSummData123_8">#REF!</definedName>
    <definedName name="ConsSummData124_1">#REF!</definedName>
    <definedName name="ConsSummData124_2">#REF!</definedName>
    <definedName name="ConsSummData124_3">#REF!</definedName>
    <definedName name="ConsSummData124_4">#REF!</definedName>
    <definedName name="ConsSummData124_5">#REF!</definedName>
    <definedName name="ConsSummData124_6">#REF!</definedName>
    <definedName name="ConsSummData124_7">#REF!</definedName>
    <definedName name="ConsSummData124_8">#REF!</definedName>
    <definedName name="ConsSummData125_1">#REF!</definedName>
    <definedName name="ConsSummData125_2">#REF!</definedName>
    <definedName name="ConsSummData125_3">#REF!</definedName>
    <definedName name="ConsSummData125_4">#REF!</definedName>
    <definedName name="ConsSummData125_5">#REF!</definedName>
    <definedName name="ConsSummData125_6">#REF!</definedName>
    <definedName name="ConsSummData125_7">#REF!</definedName>
    <definedName name="ConsSummData125_8">#REF!</definedName>
    <definedName name="ConsSummData126_1">#REF!</definedName>
    <definedName name="ConsSummData126_2">#REF!</definedName>
    <definedName name="ConsSummData126_3">#REF!</definedName>
    <definedName name="ConsSummData126_4">#REF!</definedName>
    <definedName name="ConsSummData126_5">#REF!</definedName>
    <definedName name="ConsSummData126_6">#REF!</definedName>
    <definedName name="ConsSummData126_7">#REF!</definedName>
    <definedName name="ConsSummData126_8">#REF!</definedName>
    <definedName name="ConsSummData127_1">#REF!</definedName>
    <definedName name="ConsSummData127_2">#REF!</definedName>
    <definedName name="ConsSummData127_3">#REF!</definedName>
    <definedName name="ConsSummData127_4">#REF!</definedName>
    <definedName name="ConsSummData127_5">#REF!</definedName>
    <definedName name="ConsSummData127_6">#REF!</definedName>
    <definedName name="ConsSummData127_7">#REF!</definedName>
    <definedName name="ConsSummData127_8">#REF!</definedName>
    <definedName name="ConsSummData128_1">#REF!</definedName>
    <definedName name="ConsSummData128_2">#REF!</definedName>
    <definedName name="ConsSummData128_3">#REF!</definedName>
    <definedName name="ConsSummData128_4">#REF!</definedName>
    <definedName name="ConsSummData128_5">#REF!</definedName>
    <definedName name="ConsSummData128_6">#REF!</definedName>
    <definedName name="ConsSummData128_7">#REF!</definedName>
    <definedName name="ConsSummData128_8">#REF!</definedName>
    <definedName name="ConsSummData129_1">#REF!</definedName>
    <definedName name="ConsSummData129_2">#REF!</definedName>
    <definedName name="ConsSummData129_3">#REF!</definedName>
    <definedName name="ConsSummData129_4">#REF!</definedName>
    <definedName name="ConsSummData129_5">#REF!</definedName>
    <definedName name="ConsSummData129_6">#REF!</definedName>
    <definedName name="ConsSummData129_7">#REF!</definedName>
    <definedName name="ConsSummData129_8">#REF!</definedName>
    <definedName name="ConsSummData13_1">#REF!</definedName>
    <definedName name="ConsSummData13_2">#REF!</definedName>
    <definedName name="ConsSummData13_3">#REF!</definedName>
    <definedName name="ConsSummData13_4">#REF!</definedName>
    <definedName name="ConsSummData13_5">#REF!</definedName>
    <definedName name="ConsSummData13_6">#REF!</definedName>
    <definedName name="ConsSummData13_7">#REF!</definedName>
    <definedName name="ConsSummData13_8">#REF!</definedName>
    <definedName name="ConsSummData130_1">#REF!</definedName>
    <definedName name="ConsSummData130_2">#REF!</definedName>
    <definedName name="ConsSummData130_3">#REF!</definedName>
    <definedName name="ConsSummData130_4">#REF!</definedName>
    <definedName name="ConsSummData130_5">#REF!</definedName>
    <definedName name="ConsSummData130_6">#REF!</definedName>
    <definedName name="ConsSummData130_7">#REF!</definedName>
    <definedName name="ConsSummData130_8">#REF!</definedName>
    <definedName name="ConsSummData131_1">#REF!</definedName>
    <definedName name="ConsSummData131_2">#REF!</definedName>
    <definedName name="ConsSummData131_3">#REF!</definedName>
    <definedName name="ConsSummData131_4">#REF!</definedName>
    <definedName name="ConsSummData131_5">#REF!</definedName>
    <definedName name="ConsSummData131_6">#REF!</definedName>
    <definedName name="ConsSummData131_7">#REF!</definedName>
    <definedName name="ConsSummData131_8">#REF!</definedName>
    <definedName name="ConsSummData14_1">#REF!</definedName>
    <definedName name="ConsSummData14_2">#REF!</definedName>
    <definedName name="ConsSummData14_3">#REF!</definedName>
    <definedName name="ConsSummData14_4">#REF!</definedName>
    <definedName name="ConsSummData14_5">#REF!</definedName>
    <definedName name="ConsSummData14_6">#REF!</definedName>
    <definedName name="ConsSummData14_7">#REF!</definedName>
    <definedName name="ConsSummData14_8">#REF!</definedName>
    <definedName name="ConsSummData15_1">#REF!</definedName>
    <definedName name="ConsSummData15_2">#REF!</definedName>
    <definedName name="ConsSummData15_3">#REF!</definedName>
    <definedName name="ConsSummData15_4">#REF!</definedName>
    <definedName name="ConsSummData15_5">#REF!</definedName>
    <definedName name="ConsSummData15_6">#REF!</definedName>
    <definedName name="ConsSummData15_7">#REF!</definedName>
    <definedName name="ConsSummData15_8">#REF!</definedName>
    <definedName name="ConsSummData16_1">#REF!</definedName>
    <definedName name="ConsSummData16_2">#REF!</definedName>
    <definedName name="ConsSummData16_3">#REF!</definedName>
    <definedName name="ConsSummData16_4">#REF!</definedName>
    <definedName name="ConsSummData16_5">#REF!</definedName>
    <definedName name="ConsSummData16_6">#REF!</definedName>
    <definedName name="ConsSummData16_7">#REF!</definedName>
    <definedName name="ConsSummData16_8">#REF!</definedName>
    <definedName name="ConsSummData17_1">#REF!</definedName>
    <definedName name="ConsSummData17_2">#REF!</definedName>
    <definedName name="ConsSummData17_3">#REF!</definedName>
    <definedName name="ConsSummData17_4">#REF!</definedName>
    <definedName name="ConsSummData17_5">#REF!</definedName>
    <definedName name="ConsSummData17_6">#REF!</definedName>
    <definedName name="ConsSummData17_7">#REF!</definedName>
    <definedName name="ConsSummData17_8">#REF!</definedName>
    <definedName name="ConsSummData18_1">#REF!</definedName>
    <definedName name="ConsSummData18_2">#REF!</definedName>
    <definedName name="ConsSummData18_3">#REF!</definedName>
    <definedName name="ConsSummData18_4">#REF!</definedName>
    <definedName name="ConsSummData18_5">#REF!</definedName>
    <definedName name="ConsSummData18_6">#REF!</definedName>
    <definedName name="ConsSummData18_7">#REF!</definedName>
    <definedName name="ConsSummData18_8">#REF!</definedName>
    <definedName name="ConsSummData19_1">#REF!</definedName>
    <definedName name="ConsSummData19_2">#REF!</definedName>
    <definedName name="ConsSummData19_3">#REF!</definedName>
    <definedName name="ConsSummData19_4">#REF!</definedName>
    <definedName name="ConsSummData19_5">#REF!</definedName>
    <definedName name="ConsSummData19_6">#REF!</definedName>
    <definedName name="ConsSummData19_7">#REF!</definedName>
    <definedName name="ConsSummData19_8">#REF!</definedName>
    <definedName name="ConsSummData2_1">#REF!</definedName>
    <definedName name="ConsSummData2_2">#REF!</definedName>
    <definedName name="ConsSummData2_3">#REF!</definedName>
    <definedName name="ConsSummData2_4">#REF!</definedName>
    <definedName name="ConsSummData2_5">#REF!</definedName>
    <definedName name="ConsSummData2_6">#REF!</definedName>
    <definedName name="ConsSummData2_7">#REF!</definedName>
    <definedName name="ConsSummData2_8">#REF!</definedName>
    <definedName name="ConsSummData20_1">#REF!</definedName>
    <definedName name="ConsSummData20_2">#REF!</definedName>
    <definedName name="ConsSummData20_3">#REF!</definedName>
    <definedName name="ConsSummData20_4">#REF!</definedName>
    <definedName name="ConsSummData20_5">#REF!</definedName>
    <definedName name="ConsSummData20_6">#REF!</definedName>
    <definedName name="ConsSummData20_7">#REF!</definedName>
    <definedName name="ConsSummData20_8">#REF!</definedName>
    <definedName name="ConsSummData21_1">#REF!</definedName>
    <definedName name="ConsSummData21_2">#REF!</definedName>
    <definedName name="ConsSummData21_3">#REF!</definedName>
    <definedName name="ConsSummData21_4">#REF!</definedName>
    <definedName name="ConsSummData21_5">#REF!</definedName>
    <definedName name="ConsSummData21_6">#REF!</definedName>
    <definedName name="ConsSummData21_7">#REF!</definedName>
    <definedName name="ConsSummData21_8">#REF!</definedName>
    <definedName name="ConsSummData22_1">#REF!</definedName>
    <definedName name="ConsSummData22_2">#REF!</definedName>
    <definedName name="ConsSummData22_3">#REF!</definedName>
    <definedName name="ConsSummData22_4">#REF!</definedName>
    <definedName name="ConsSummData22_5">#REF!</definedName>
    <definedName name="ConsSummData22_6">#REF!</definedName>
    <definedName name="ConsSummData22_7">#REF!</definedName>
    <definedName name="ConsSummData22_8">#REF!</definedName>
    <definedName name="ConsSummData23_1">#REF!</definedName>
    <definedName name="ConsSummData23_2">#REF!</definedName>
    <definedName name="ConsSummData23_3">#REF!</definedName>
    <definedName name="ConsSummData23_4">#REF!</definedName>
    <definedName name="ConsSummData23_5">#REF!</definedName>
    <definedName name="ConsSummData23_6">#REF!</definedName>
    <definedName name="ConsSummData23_7">#REF!</definedName>
    <definedName name="ConsSummData23_8">#REF!</definedName>
    <definedName name="ConsSummData24_1">#REF!</definedName>
    <definedName name="ConsSummData24_2">#REF!</definedName>
    <definedName name="ConsSummData24_3">#REF!</definedName>
    <definedName name="ConsSummData24_4">#REF!</definedName>
    <definedName name="ConsSummData24_5">#REF!</definedName>
    <definedName name="ConsSummData24_6">#REF!</definedName>
    <definedName name="ConsSummData24_7">#REF!</definedName>
    <definedName name="ConsSummData24_8">#REF!</definedName>
    <definedName name="ConsSummData25_1">#REF!</definedName>
    <definedName name="ConsSummData25_2">#REF!</definedName>
    <definedName name="ConsSummData25_3">#REF!</definedName>
    <definedName name="ConsSummData25_4">#REF!</definedName>
    <definedName name="ConsSummData25_5">#REF!</definedName>
    <definedName name="ConsSummData25_6">#REF!</definedName>
    <definedName name="ConsSummData25_7">#REF!</definedName>
    <definedName name="ConsSummData25_8">#REF!</definedName>
    <definedName name="ConsSummData26_1">#REF!</definedName>
    <definedName name="ConsSummData26_2">#REF!</definedName>
    <definedName name="ConsSummData26_3">#REF!</definedName>
    <definedName name="ConsSummData26_4">#REF!</definedName>
    <definedName name="ConsSummData26_5">#REF!</definedName>
    <definedName name="ConsSummData26_6">#REF!</definedName>
    <definedName name="ConsSummData26_7">#REF!</definedName>
    <definedName name="ConsSummData26_8">#REF!</definedName>
    <definedName name="ConsSummData27_1">#REF!</definedName>
    <definedName name="ConsSummData27_2">#REF!</definedName>
    <definedName name="ConsSummData27_3">#REF!</definedName>
    <definedName name="ConsSummData27_4">#REF!</definedName>
    <definedName name="ConsSummData27_5">#REF!</definedName>
    <definedName name="ConsSummData27_6">#REF!</definedName>
    <definedName name="ConsSummData27_7">#REF!</definedName>
    <definedName name="ConsSummData27_8">#REF!</definedName>
    <definedName name="ConsSummData28_1">#REF!</definedName>
    <definedName name="ConsSummData28_2">#REF!</definedName>
    <definedName name="ConsSummData28_3">#REF!</definedName>
    <definedName name="ConsSummData28_4">#REF!</definedName>
    <definedName name="ConsSummData28_5">#REF!</definedName>
    <definedName name="ConsSummData28_6">#REF!</definedName>
    <definedName name="ConsSummData28_7">#REF!</definedName>
    <definedName name="ConsSummData28_8">#REF!</definedName>
    <definedName name="ConsSummData29_1">#REF!</definedName>
    <definedName name="ConsSummData29_2">#REF!</definedName>
    <definedName name="ConsSummData29_3">#REF!</definedName>
    <definedName name="ConsSummData29_4">#REF!</definedName>
    <definedName name="ConsSummData29_5">#REF!</definedName>
    <definedName name="ConsSummData29_6">#REF!</definedName>
    <definedName name="ConsSummData29_7">#REF!</definedName>
    <definedName name="ConsSummData29_8">#REF!</definedName>
    <definedName name="ConsSummData3_1">#REF!</definedName>
    <definedName name="ConsSummData3_2">#REF!</definedName>
    <definedName name="ConsSummData3_3">#REF!</definedName>
    <definedName name="ConsSummData3_4">#REF!</definedName>
    <definedName name="ConsSummData3_5">#REF!</definedName>
    <definedName name="ConsSummData3_6">#REF!</definedName>
    <definedName name="ConsSummData3_7">#REF!</definedName>
    <definedName name="ConsSummData3_8">#REF!</definedName>
    <definedName name="ConsSummData30_1">#REF!</definedName>
    <definedName name="ConsSummData30_2">#REF!</definedName>
    <definedName name="ConsSummData30_3">#REF!</definedName>
    <definedName name="ConsSummData30_4">#REF!</definedName>
    <definedName name="ConsSummData30_5">#REF!</definedName>
    <definedName name="ConsSummData30_6">#REF!</definedName>
    <definedName name="ConsSummData30_7">#REF!</definedName>
    <definedName name="ConsSummData30_8">#REF!</definedName>
    <definedName name="ConsSummData31_1">#REF!</definedName>
    <definedName name="ConsSummData31_2">#REF!</definedName>
    <definedName name="ConsSummData31_3">#REF!</definedName>
    <definedName name="ConsSummData31_4">#REF!</definedName>
    <definedName name="ConsSummData31_5">#REF!</definedName>
    <definedName name="ConsSummData31_6">#REF!</definedName>
    <definedName name="ConsSummData31_7">#REF!</definedName>
    <definedName name="ConsSummData31_8">#REF!</definedName>
    <definedName name="ConsSummData32_1">#REF!</definedName>
    <definedName name="ConsSummData32_2">#REF!</definedName>
    <definedName name="ConsSummData32_3">#REF!</definedName>
    <definedName name="ConsSummData32_4">#REF!</definedName>
    <definedName name="ConsSummData32_5">#REF!</definedName>
    <definedName name="ConsSummData32_6">#REF!</definedName>
    <definedName name="ConsSummData32_7">#REF!</definedName>
    <definedName name="ConsSummData32_8">#REF!</definedName>
    <definedName name="ConsSummData33_1">#REF!</definedName>
    <definedName name="ConsSummData33_2">#REF!</definedName>
    <definedName name="ConsSummData33_3">#REF!</definedName>
    <definedName name="ConsSummData33_4">#REF!</definedName>
    <definedName name="ConsSummData33_5">#REF!</definedName>
    <definedName name="ConsSummData33_6">#REF!</definedName>
    <definedName name="ConsSummData33_7">#REF!</definedName>
    <definedName name="ConsSummData33_8">#REF!</definedName>
    <definedName name="ConsSummData34_1">#REF!</definedName>
    <definedName name="ConsSummData34_2">#REF!</definedName>
    <definedName name="ConsSummData34_3">#REF!</definedName>
    <definedName name="ConsSummData34_4">#REF!</definedName>
    <definedName name="ConsSummData34_5">#REF!</definedName>
    <definedName name="ConsSummData34_6">#REF!</definedName>
    <definedName name="ConsSummData34_7">#REF!</definedName>
    <definedName name="ConsSummData34_8">#REF!</definedName>
    <definedName name="ConsSummData35_1">#REF!</definedName>
    <definedName name="ConsSummData35_2">#REF!</definedName>
    <definedName name="ConsSummData35_3">#REF!</definedName>
    <definedName name="ConsSummData35_4">#REF!</definedName>
    <definedName name="ConsSummData35_5">#REF!</definedName>
    <definedName name="ConsSummData35_6">#REF!</definedName>
    <definedName name="ConsSummData35_7">#REF!</definedName>
    <definedName name="ConsSummData35_8">#REF!</definedName>
    <definedName name="ConsSummData36_1">#REF!</definedName>
    <definedName name="ConsSummData36_2">#REF!</definedName>
    <definedName name="ConsSummData36_3">#REF!</definedName>
    <definedName name="ConsSummData36_4">#REF!</definedName>
    <definedName name="ConsSummData36_5">#REF!</definedName>
    <definedName name="ConsSummData36_6">#REF!</definedName>
    <definedName name="ConsSummData36_7">#REF!</definedName>
    <definedName name="ConsSummData36_8">#REF!</definedName>
    <definedName name="ConsSummData37_1">#REF!</definedName>
    <definedName name="ConsSummData37_2">#REF!</definedName>
    <definedName name="ConsSummData37_3">#REF!</definedName>
    <definedName name="ConsSummData37_4">#REF!</definedName>
    <definedName name="ConsSummData37_5">#REF!</definedName>
    <definedName name="ConsSummData37_6">#REF!</definedName>
    <definedName name="ConsSummData37_7">#REF!</definedName>
    <definedName name="ConsSummData37_8">#REF!</definedName>
    <definedName name="ConsSummData38_1">#REF!</definedName>
    <definedName name="ConsSummData38_2">#REF!</definedName>
    <definedName name="ConsSummData38_3">#REF!</definedName>
    <definedName name="ConsSummData38_4">#REF!</definedName>
    <definedName name="ConsSummData38_5">#REF!</definedName>
    <definedName name="ConsSummData38_6">#REF!</definedName>
    <definedName name="ConsSummData38_7">#REF!</definedName>
    <definedName name="ConsSummData38_8">#REF!</definedName>
    <definedName name="ConsSummData39_1">#REF!</definedName>
    <definedName name="ConsSummData39_2">#REF!</definedName>
    <definedName name="ConsSummData39_3">#REF!</definedName>
    <definedName name="ConsSummData39_4">#REF!</definedName>
    <definedName name="ConsSummData39_5">#REF!</definedName>
    <definedName name="ConsSummData39_6">#REF!</definedName>
    <definedName name="ConsSummData39_7">#REF!</definedName>
    <definedName name="ConsSummData39_8">#REF!</definedName>
    <definedName name="ConsSummData4_1">#REF!</definedName>
    <definedName name="ConsSummData4_2">#REF!</definedName>
    <definedName name="ConsSummData4_3">#REF!</definedName>
    <definedName name="ConsSummData4_4">#REF!</definedName>
    <definedName name="ConsSummData4_5">#REF!</definedName>
    <definedName name="ConsSummData4_6">#REF!</definedName>
    <definedName name="ConsSummData4_7">#REF!</definedName>
    <definedName name="ConsSummData4_8">#REF!</definedName>
    <definedName name="ConsSummData40_1">#REF!</definedName>
    <definedName name="ConsSummData40_2">#REF!</definedName>
    <definedName name="ConsSummData40_3">#REF!</definedName>
    <definedName name="ConsSummData40_4">#REF!</definedName>
    <definedName name="ConsSummData40_5">#REF!</definedName>
    <definedName name="ConsSummData40_6">#REF!</definedName>
    <definedName name="ConsSummData40_7">#REF!</definedName>
    <definedName name="ConsSummData40_8">#REF!</definedName>
    <definedName name="ConsSummData41_1">#REF!</definedName>
    <definedName name="ConsSummData41_2">#REF!</definedName>
    <definedName name="ConsSummData41_3">#REF!</definedName>
    <definedName name="ConsSummData41_4">#REF!</definedName>
    <definedName name="ConsSummData41_5">#REF!</definedName>
    <definedName name="ConsSummData41_6">#REF!</definedName>
    <definedName name="ConsSummData41_7">#REF!</definedName>
    <definedName name="ConsSummData41_8">#REF!</definedName>
    <definedName name="ConsSummData42_1">#REF!</definedName>
    <definedName name="ConsSummData42_2">#REF!</definedName>
    <definedName name="ConsSummData42_3">#REF!</definedName>
    <definedName name="ConsSummData42_4">#REF!</definedName>
    <definedName name="ConsSummData42_5">#REF!</definedName>
    <definedName name="ConsSummData42_6">#REF!</definedName>
    <definedName name="ConsSummData42_7">#REF!</definedName>
    <definedName name="ConsSummData42_8">#REF!</definedName>
    <definedName name="ConsSummData43_1">#REF!</definedName>
    <definedName name="ConsSummData43_2">#REF!</definedName>
    <definedName name="ConsSummData43_3">#REF!</definedName>
    <definedName name="ConsSummData43_4">#REF!</definedName>
    <definedName name="ConsSummData43_5">#REF!</definedName>
    <definedName name="ConsSummData43_6">#REF!</definedName>
    <definedName name="ConsSummData43_7">#REF!</definedName>
    <definedName name="ConsSummData43_8">#REF!</definedName>
    <definedName name="ConsSummData44_1">#REF!</definedName>
    <definedName name="ConsSummData44_2">#REF!</definedName>
    <definedName name="ConsSummData44_3">#REF!</definedName>
    <definedName name="ConsSummData44_4">#REF!</definedName>
    <definedName name="ConsSummData44_5">#REF!</definedName>
    <definedName name="ConsSummData44_6">#REF!</definedName>
    <definedName name="ConsSummData44_7">#REF!</definedName>
    <definedName name="ConsSummData44_8">#REF!</definedName>
    <definedName name="ConsSummData45_1">#REF!</definedName>
    <definedName name="ConsSummData45_2">#REF!</definedName>
    <definedName name="ConsSummData45_3">#REF!</definedName>
    <definedName name="ConsSummData45_4">#REF!</definedName>
    <definedName name="ConsSummData45_5">#REF!</definedName>
    <definedName name="ConsSummData45_6">#REF!</definedName>
    <definedName name="ConsSummData45_7">#REF!</definedName>
    <definedName name="ConsSummData45_8">#REF!</definedName>
    <definedName name="ConsSummData46_1">#REF!</definedName>
    <definedName name="ConsSummData46_2">#REF!</definedName>
    <definedName name="ConsSummData46_3">#REF!</definedName>
    <definedName name="ConsSummData46_4">#REF!</definedName>
    <definedName name="ConsSummData46_5">#REF!</definedName>
    <definedName name="ConsSummData46_6">#REF!</definedName>
    <definedName name="ConsSummData46_7">#REF!</definedName>
    <definedName name="ConsSummData46_8">#REF!</definedName>
    <definedName name="ConsSummData47_1">#REF!</definedName>
    <definedName name="ConsSummData47_2">#REF!</definedName>
    <definedName name="ConsSummData47_3">#REF!</definedName>
    <definedName name="ConsSummData47_4">#REF!</definedName>
    <definedName name="ConsSummData47_5">#REF!</definedName>
    <definedName name="ConsSummData47_6">#REF!</definedName>
    <definedName name="ConsSummData47_7">#REF!</definedName>
    <definedName name="ConsSummData47_8">#REF!</definedName>
    <definedName name="ConsSummData48_1">#REF!</definedName>
    <definedName name="ConsSummData48_2">#REF!</definedName>
    <definedName name="ConsSummData48_3">#REF!</definedName>
    <definedName name="ConsSummData48_4">#REF!</definedName>
    <definedName name="ConsSummData48_5">#REF!</definedName>
    <definedName name="ConsSummData48_6">#REF!</definedName>
    <definedName name="ConsSummData48_7">#REF!</definedName>
    <definedName name="ConsSummData48_8">#REF!</definedName>
    <definedName name="ConsSummData49_1">#REF!</definedName>
    <definedName name="ConsSummData49_2">#REF!</definedName>
    <definedName name="ConsSummData49_3">#REF!</definedName>
    <definedName name="ConsSummData49_4">#REF!</definedName>
    <definedName name="ConsSummData49_5">#REF!</definedName>
    <definedName name="ConsSummData49_6">#REF!</definedName>
    <definedName name="ConsSummData49_7">#REF!</definedName>
    <definedName name="ConsSummData49_8">#REF!</definedName>
    <definedName name="ConsSummData5_1">#REF!</definedName>
    <definedName name="ConsSummData5_2">#REF!</definedName>
    <definedName name="ConsSummData5_3">#REF!</definedName>
    <definedName name="ConsSummData5_4">#REF!</definedName>
    <definedName name="ConsSummData5_5">#REF!</definedName>
    <definedName name="ConsSummData5_6">#REF!</definedName>
    <definedName name="ConsSummData5_7">#REF!</definedName>
    <definedName name="ConsSummData5_8">#REF!</definedName>
    <definedName name="ConsSummData50_1">#REF!</definedName>
    <definedName name="ConsSummData50_2">#REF!</definedName>
    <definedName name="ConsSummData50_3">#REF!</definedName>
    <definedName name="ConsSummData50_4">#REF!</definedName>
    <definedName name="ConsSummData50_5">#REF!</definedName>
    <definedName name="ConsSummData50_6">#REF!</definedName>
    <definedName name="ConsSummData50_7">#REF!</definedName>
    <definedName name="ConsSummData50_8">#REF!</definedName>
    <definedName name="ConsSummData51_1">#REF!</definedName>
    <definedName name="ConsSummData51_2">#REF!</definedName>
    <definedName name="ConsSummData51_3">#REF!</definedName>
    <definedName name="ConsSummData51_4">#REF!</definedName>
    <definedName name="ConsSummData51_5">#REF!</definedName>
    <definedName name="ConsSummData51_6">#REF!</definedName>
    <definedName name="ConsSummData51_7">#REF!</definedName>
    <definedName name="ConsSummData51_8">#REF!</definedName>
    <definedName name="ConsSummData52_1">#REF!</definedName>
    <definedName name="ConsSummData52_2">#REF!</definedName>
    <definedName name="ConsSummData52_3">#REF!</definedName>
    <definedName name="ConsSummData52_4">#REF!</definedName>
    <definedName name="ConsSummData52_5">#REF!</definedName>
    <definedName name="ConsSummData52_6">#REF!</definedName>
    <definedName name="ConsSummData52_7">#REF!</definedName>
    <definedName name="ConsSummData52_8">#REF!</definedName>
    <definedName name="ConsSummData53_1">#REF!</definedName>
    <definedName name="ConsSummData53_2">#REF!</definedName>
    <definedName name="ConsSummData53_3">#REF!</definedName>
    <definedName name="ConsSummData53_4">#REF!</definedName>
    <definedName name="ConsSummData53_5">#REF!</definedName>
    <definedName name="ConsSummData53_6">#REF!</definedName>
    <definedName name="ConsSummData53_7">#REF!</definedName>
    <definedName name="ConsSummData53_8">#REF!</definedName>
    <definedName name="ConsSummData54_1">#REF!</definedName>
    <definedName name="ConsSummData54_2">#REF!</definedName>
    <definedName name="ConsSummData54_3">#REF!</definedName>
    <definedName name="ConsSummData54_4">#REF!</definedName>
    <definedName name="ConsSummData54_5">#REF!</definedName>
    <definedName name="ConsSummData54_6">#REF!</definedName>
    <definedName name="ConsSummData54_7">#REF!</definedName>
    <definedName name="ConsSummData54_8">#REF!</definedName>
    <definedName name="ConsSummData55_1">#REF!</definedName>
    <definedName name="ConsSummData55_2">#REF!</definedName>
    <definedName name="ConsSummData55_3">#REF!</definedName>
    <definedName name="ConsSummData55_4">#REF!</definedName>
    <definedName name="ConsSummData55_5">#REF!</definedName>
    <definedName name="ConsSummData55_6">#REF!</definedName>
    <definedName name="ConsSummData55_7">#REF!</definedName>
    <definedName name="ConsSummData55_8">#REF!</definedName>
    <definedName name="ConsSummData56_1">#REF!</definedName>
    <definedName name="ConsSummData56_2">#REF!</definedName>
    <definedName name="ConsSummData56_3">#REF!</definedName>
    <definedName name="ConsSummData56_4">#REF!</definedName>
    <definedName name="ConsSummData56_5">#REF!</definedName>
    <definedName name="ConsSummData56_6">#REF!</definedName>
    <definedName name="ConsSummData56_7">#REF!</definedName>
    <definedName name="ConsSummData56_8">#REF!</definedName>
    <definedName name="ConsSummData57_1">#REF!</definedName>
    <definedName name="ConsSummData57_2">#REF!</definedName>
    <definedName name="ConsSummData57_3">#REF!</definedName>
    <definedName name="ConsSummData57_4">#REF!</definedName>
    <definedName name="ConsSummData57_5">#REF!</definedName>
    <definedName name="ConsSummData57_6">#REF!</definedName>
    <definedName name="ConsSummData57_7">#REF!</definedName>
    <definedName name="ConsSummData57_8">#REF!</definedName>
    <definedName name="ConsSummData58_1">#REF!</definedName>
    <definedName name="ConsSummData58_2">#REF!</definedName>
    <definedName name="ConsSummData58_3">#REF!</definedName>
    <definedName name="ConsSummData58_4">#REF!</definedName>
    <definedName name="ConsSummData58_5">#REF!</definedName>
    <definedName name="ConsSummData58_6">#REF!</definedName>
    <definedName name="ConsSummData58_7">#REF!</definedName>
    <definedName name="ConsSummData58_8">#REF!</definedName>
    <definedName name="ConsSummData59_1">#REF!</definedName>
    <definedName name="ConsSummData59_2">#REF!</definedName>
    <definedName name="ConsSummData59_3">#REF!</definedName>
    <definedName name="ConsSummData59_4">#REF!</definedName>
    <definedName name="ConsSummData59_5">#REF!</definedName>
    <definedName name="ConsSummData59_6">#REF!</definedName>
    <definedName name="ConsSummData59_7">#REF!</definedName>
    <definedName name="ConsSummData59_8">#REF!</definedName>
    <definedName name="ConsSummData6_1">#REF!</definedName>
    <definedName name="ConsSummData6_2">#REF!</definedName>
    <definedName name="ConsSummData6_3">#REF!</definedName>
    <definedName name="ConsSummData6_4">#REF!</definedName>
    <definedName name="ConsSummData6_5">#REF!</definedName>
    <definedName name="ConsSummData6_6">#REF!</definedName>
    <definedName name="ConsSummData6_7">#REF!</definedName>
    <definedName name="ConsSummData6_8">#REF!</definedName>
    <definedName name="ConsSummData60_1">#REF!</definedName>
    <definedName name="ConsSummData60_2">#REF!</definedName>
    <definedName name="ConsSummData60_3">#REF!</definedName>
    <definedName name="ConsSummData60_4">#REF!</definedName>
    <definedName name="ConsSummData60_5">#REF!</definedName>
    <definedName name="ConsSummData60_6">#REF!</definedName>
    <definedName name="ConsSummData60_7">#REF!</definedName>
    <definedName name="ConsSummData60_8">#REF!</definedName>
    <definedName name="ConsSummData61_1">#REF!</definedName>
    <definedName name="ConsSummData61_2">#REF!</definedName>
    <definedName name="ConsSummData61_3">#REF!</definedName>
    <definedName name="ConsSummData61_4">#REF!</definedName>
    <definedName name="ConsSummData61_5">#REF!</definedName>
    <definedName name="ConsSummData61_6">#REF!</definedName>
    <definedName name="ConsSummData61_7">#REF!</definedName>
    <definedName name="ConsSummData61_8">#REF!</definedName>
    <definedName name="ConsSummData62_1">#REF!</definedName>
    <definedName name="ConsSummData62_2">#REF!</definedName>
    <definedName name="ConsSummData62_3">#REF!</definedName>
    <definedName name="ConsSummData62_4">#REF!</definedName>
    <definedName name="ConsSummData62_5">#REF!</definedName>
    <definedName name="ConsSummData62_6">#REF!</definedName>
    <definedName name="ConsSummData62_7">#REF!</definedName>
    <definedName name="ConsSummData62_8">#REF!</definedName>
    <definedName name="ConsSummData63_1">#REF!</definedName>
    <definedName name="ConsSummData63_2">#REF!</definedName>
    <definedName name="ConsSummData63_3">#REF!</definedName>
    <definedName name="ConsSummData63_4">#REF!</definedName>
    <definedName name="ConsSummData63_5">#REF!</definedName>
    <definedName name="ConsSummData63_6">#REF!</definedName>
    <definedName name="ConsSummData63_7">#REF!</definedName>
    <definedName name="ConsSummData63_8">#REF!</definedName>
    <definedName name="ConsSummData64_1">#REF!</definedName>
    <definedName name="ConsSummData64_2">#REF!</definedName>
    <definedName name="ConsSummData64_3">#REF!</definedName>
    <definedName name="ConsSummData64_4">#REF!</definedName>
    <definedName name="ConsSummData64_5">#REF!</definedName>
    <definedName name="ConsSummData64_6">#REF!</definedName>
    <definedName name="ConsSummData64_7">#REF!</definedName>
    <definedName name="ConsSummData64_8">#REF!</definedName>
    <definedName name="ConsSummData65_1">#REF!</definedName>
    <definedName name="ConsSummData65_2">#REF!</definedName>
    <definedName name="ConsSummData65_3">#REF!</definedName>
    <definedName name="ConsSummData65_4">#REF!</definedName>
    <definedName name="ConsSummData65_5">#REF!</definedName>
    <definedName name="ConsSummData65_6">#REF!</definedName>
    <definedName name="ConsSummData65_7">#REF!</definedName>
    <definedName name="ConsSummData65_8">#REF!</definedName>
    <definedName name="ConsSummData66_1">#REF!</definedName>
    <definedName name="ConsSummData66_2">#REF!</definedName>
    <definedName name="ConsSummData66_3">#REF!</definedName>
    <definedName name="ConsSummData66_4">#REF!</definedName>
    <definedName name="ConsSummData66_5">#REF!</definedName>
    <definedName name="ConsSummData66_6">#REF!</definedName>
    <definedName name="ConsSummData66_7">#REF!</definedName>
    <definedName name="ConsSummData66_8">#REF!</definedName>
    <definedName name="ConsSummData67_1">#REF!</definedName>
    <definedName name="ConsSummData67_2">#REF!</definedName>
    <definedName name="ConsSummData67_3">#REF!</definedName>
    <definedName name="ConsSummData67_4">#REF!</definedName>
    <definedName name="ConsSummData67_5">#REF!</definedName>
    <definedName name="ConsSummData67_6">#REF!</definedName>
    <definedName name="ConsSummData67_7">#REF!</definedName>
    <definedName name="ConsSummData67_8">#REF!</definedName>
    <definedName name="ConsSummData68_1">#REF!</definedName>
    <definedName name="ConsSummData68_2">#REF!</definedName>
    <definedName name="ConsSummData68_3">#REF!</definedName>
    <definedName name="ConsSummData68_4">#REF!</definedName>
    <definedName name="ConsSummData68_5">#REF!</definedName>
    <definedName name="ConsSummData68_6">#REF!</definedName>
    <definedName name="ConsSummData68_7">#REF!</definedName>
    <definedName name="ConsSummData68_8">#REF!</definedName>
    <definedName name="ConsSummData69_1">#REF!</definedName>
    <definedName name="ConsSummData69_2">#REF!</definedName>
    <definedName name="ConsSummData69_3">#REF!</definedName>
    <definedName name="ConsSummData69_4">#REF!</definedName>
    <definedName name="ConsSummData69_5">#REF!</definedName>
    <definedName name="ConsSummData69_6">#REF!</definedName>
    <definedName name="ConsSummData69_7">#REF!</definedName>
    <definedName name="ConsSummData69_8">#REF!</definedName>
    <definedName name="ConsSummData7_1">#REF!</definedName>
    <definedName name="ConsSummData7_2">#REF!</definedName>
    <definedName name="ConsSummData7_3">#REF!</definedName>
    <definedName name="ConsSummData7_4">#REF!</definedName>
    <definedName name="ConsSummData7_5">#REF!</definedName>
    <definedName name="ConsSummData7_6">#REF!</definedName>
    <definedName name="ConsSummData7_7">#REF!</definedName>
    <definedName name="ConsSummData7_8">#REF!</definedName>
    <definedName name="ConsSummData70_1">#REF!</definedName>
    <definedName name="ConsSummData70_2">#REF!</definedName>
    <definedName name="ConsSummData70_3">#REF!</definedName>
    <definedName name="ConsSummData70_4">#REF!</definedName>
    <definedName name="ConsSummData70_5">#REF!</definedName>
    <definedName name="ConsSummData70_6">#REF!</definedName>
    <definedName name="ConsSummData70_7">#REF!</definedName>
    <definedName name="ConsSummData70_8">#REF!</definedName>
    <definedName name="ConsSummData71_1">#REF!</definedName>
    <definedName name="ConsSummData71_2">#REF!</definedName>
    <definedName name="ConsSummData71_3">#REF!</definedName>
    <definedName name="ConsSummData71_4">#REF!</definedName>
    <definedName name="ConsSummData71_5">#REF!</definedName>
    <definedName name="ConsSummData71_6">#REF!</definedName>
    <definedName name="ConsSummData71_7">#REF!</definedName>
    <definedName name="ConsSummData71_8">#REF!</definedName>
    <definedName name="ConsSummData72_1">#REF!</definedName>
    <definedName name="ConsSummData72_2">#REF!</definedName>
    <definedName name="ConsSummData72_3">#REF!</definedName>
    <definedName name="ConsSummData72_4">#REF!</definedName>
    <definedName name="ConsSummData72_5">#REF!</definedName>
    <definedName name="ConsSummData72_6">#REF!</definedName>
    <definedName name="ConsSummData72_7">#REF!</definedName>
    <definedName name="ConsSummData72_8">#REF!</definedName>
    <definedName name="ConsSummData73_1">#REF!</definedName>
    <definedName name="ConsSummData73_2">#REF!</definedName>
    <definedName name="ConsSummData73_3">#REF!</definedName>
    <definedName name="ConsSummData73_4">#REF!</definedName>
    <definedName name="ConsSummData73_5">#REF!</definedName>
    <definedName name="ConsSummData73_6">#REF!</definedName>
    <definedName name="ConsSummData73_7">#REF!</definedName>
    <definedName name="ConsSummData73_8">#REF!</definedName>
    <definedName name="ConsSummData74_1">#REF!</definedName>
    <definedName name="ConsSummData74_2">#REF!</definedName>
    <definedName name="ConsSummData74_3">#REF!</definedName>
    <definedName name="ConsSummData74_4">#REF!</definedName>
    <definedName name="ConsSummData74_5">#REF!</definedName>
    <definedName name="ConsSummData74_6">#REF!</definedName>
    <definedName name="ConsSummData74_7">#REF!</definedName>
    <definedName name="ConsSummData74_8">#REF!</definedName>
    <definedName name="ConsSummData75_1">#REF!</definedName>
    <definedName name="ConsSummData75_2">#REF!</definedName>
    <definedName name="ConsSummData75_3">#REF!</definedName>
    <definedName name="ConsSummData75_4">#REF!</definedName>
    <definedName name="ConsSummData75_5">#REF!</definedName>
    <definedName name="ConsSummData75_6">#REF!</definedName>
    <definedName name="ConsSummData75_7">#REF!</definedName>
    <definedName name="ConsSummData75_8">#REF!</definedName>
    <definedName name="ConsSummData76_1">#REF!</definedName>
    <definedName name="ConsSummData76_2">#REF!</definedName>
    <definedName name="ConsSummData76_3">#REF!</definedName>
    <definedName name="ConsSummData76_4">#REF!</definedName>
    <definedName name="ConsSummData76_5">#REF!</definedName>
    <definedName name="ConsSummData76_6">#REF!</definedName>
    <definedName name="ConsSummData76_7">#REF!</definedName>
    <definedName name="ConsSummData76_8">#REF!</definedName>
    <definedName name="ConsSummData77_1">#REF!</definedName>
    <definedName name="ConsSummData77_2">#REF!</definedName>
    <definedName name="ConsSummData77_3">#REF!</definedName>
    <definedName name="ConsSummData77_4">#REF!</definedName>
    <definedName name="ConsSummData77_5">#REF!</definedName>
    <definedName name="ConsSummData77_6">#REF!</definedName>
    <definedName name="ConsSummData77_7">#REF!</definedName>
    <definedName name="ConsSummData77_8">#REF!</definedName>
    <definedName name="ConsSummData78_1">#REF!</definedName>
    <definedName name="ConsSummData78_2">#REF!</definedName>
    <definedName name="ConsSummData78_3">#REF!</definedName>
    <definedName name="ConsSummData78_4">#REF!</definedName>
    <definedName name="ConsSummData78_5">#REF!</definedName>
    <definedName name="ConsSummData78_6">#REF!</definedName>
    <definedName name="ConsSummData78_7">#REF!</definedName>
    <definedName name="ConsSummData78_8">#REF!</definedName>
    <definedName name="ConsSummData79_1">#REF!</definedName>
    <definedName name="ConsSummData79_2">#REF!</definedName>
    <definedName name="ConsSummData79_3">#REF!</definedName>
    <definedName name="ConsSummData79_4">#REF!</definedName>
    <definedName name="ConsSummData79_5">#REF!</definedName>
    <definedName name="ConsSummData79_6">#REF!</definedName>
    <definedName name="ConsSummData79_7">#REF!</definedName>
    <definedName name="ConsSummData79_8">#REF!</definedName>
    <definedName name="ConsSummData8_1">#REF!</definedName>
    <definedName name="ConsSummData8_2">#REF!</definedName>
    <definedName name="ConsSummData8_3">#REF!</definedName>
    <definedName name="ConsSummData8_4">#REF!</definedName>
    <definedName name="ConsSummData8_5">#REF!</definedName>
    <definedName name="ConsSummData8_6">#REF!</definedName>
    <definedName name="ConsSummData8_7">#REF!</definedName>
    <definedName name="ConsSummData8_8">#REF!</definedName>
    <definedName name="ConsSummData80_1">#REF!</definedName>
    <definedName name="ConsSummData80_2">#REF!</definedName>
    <definedName name="ConsSummData80_3">#REF!</definedName>
    <definedName name="ConsSummData80_4">#REF!</definedName>
    <definedName name="ConsSummData80_5">#REF!</definedName>
    <definedName name="ConsSummData80_6">#REF!</definedName>
    <definedName name="ConsSummData80_7">#REF!</definedName>
    <definedName name="ConsSummData80_8">#REF!</definedName>
    <definedName name="ConsSummData81_1">#REF!</definedName>
    <definedName name="ConsSummData81_2">#REF!</definedName>
    <definedName name="ConsSummData81_3">#REF!</definedName>
    <definedName name="ConsSummData81_4">#REF!</definedName>
    <definedName name="ConsSummData81_5">#REF!</definedName>
    <definedName name="ConsSummData81_6">#REF!</definedName>
    <definedName name="ConsSummData81_7">#REF!</definedName>
    <definedName name="ConsSummData81_8">#REF!</definedName>
    <definedName name="ConsSummData82_1">#REF!</definedName>
    <definedName name="ConsSummData82_2">#REF!</definedName>
    <definedName name="ConsSummData82_3">#REF!</definedName>
    <definedName name="ConsSummData82_4">#REF!</definedName>
    <definedName name="ConsSummData82_5">#REF!</definedName>
    <definedName name="ConsSummData82_6">#REF!</definedName>
    <definedName name="ConsSummData82_7">#REF!</definedName>
    <definedName name="ConsSummData82_8">#REF!</definedName>
    <definedName name="ConsSummData83_1">#REF!</definedName>
    <definedName name="ConsSummData83_2">#REF!</definedName>
    <definedName name="ConsSummData83_3">#REF!</definedName>
    <definedName name="ConsSummData83_4">#REF!</definedName>
    <definedName name="ConsSummData83_5">#REF!</definedName>
    <definedName name="ConsSummData83_6">#REF!</definedName>
    <definedName name="ConsSummData83_7">#REF!</definedName>
    <definedName name="ConsSummData83_8">#REF!</definedName>
    <definedName name="ConsSummData84_1">#REF!</definedName>
    <definedName name="ConsSummData84_2">#REF!</definedName>
    <definedName name="ConsSummData84_3">#REF!</definedName>
    <definedName name="ConsSummData84_4">#REF!</definedName>
    <definedName name="ConsSummData84_5">#REF!</definedName>
    <definedName name="ConsSummData84_6">#REF!</definedName>
    <definedName name="ConsSummData84_7">#REF!</definedName>
    <definedName name="ConsSummData84_8">#REF!</definedName>
    <definedName name="ConsSummData85_1">#REF!</definedName>
    <definedName name="ConsSummData85_2">#REF!</definedName>
    <definedName name="ConsSummData85_3">#REF!</definedName>
    <definedName name="ConsSummData85_4">#REF!</definedName>
    <definedName name="ConsSummData85_5">#REF!</definedName>
    <definedName name="ConsSummData85_6">#REF!</definedName>
    <definedName name="ConsSummData85_7">#REF!</definedName>
    <definedName name="ConsSummData85_8">#REF!</definedName>
    <definedName name="ConsSummData86_1">#REF!</definedName>
    <definedName name="ConsSummData86_2">#REF!</definedName>
    <definedName name="ConsSummData86_3">#REF!</definedName>
    <definedName name="ConsSummData86_4">#REF!</definedName>
    <definedName name="ConsSummData86_5">#REF!</definedName>
    <definedName name="ConsSummData86_6">#REF!</definedName>
    <definedName name="ConsSummData86_7">#REF!</definedName>
    <definedName name="ConsSummData86_8">#REF!</definedName>
    <definedName name="ConsSummData87_1">#REF!</definedName>
    <definedName name="ConsSummData87_2">#REF!</definedName>
    <definedName name="ConsSummData87_3">#REF!</definedName>
    <definedName name="ConsSummData87_4">#REF!</definedName>
    <definedName name="ConsSummData87_5">#REF!</definedName>
    <definedName name="ConsSummData87_6">#REF!</definedName>
    <definedName name="ConsSummData87_7">#REF!</definedName>
    <definedName name="ConsSummData87_8">#REF!</definedName>
    <definedName name="ConsSummData88_1">#REF!</definedName>
    <definedName name="ConsSummData88_2">#REF!</definedName>
    <definedName name="ConsSummData88_3">#REF!</definedName>
    <definedName name="ConsSummData88_4">#REF!</definedName>
    <definedName name="ConsSummData88_5">#REF!</definedName>
    <definedName name="ConsSummData88_6">#REF!</definedName>
    <definedName name="ConsSummData88_7">#REF!</definedName>
    <definedName name="ConsSummData88_8">#REF!</definedName>
    <definedName name="ConsSummData89_1">#REF!</definedName>
    <definedName name="ConsSummData89_2">#REF!</definedName>
    <definedName name="ConsSummData89_3">#REF!</definedName>
    <definedName name="ConsSummData89_4">#REF!</definedName>
    <definedName name="ConsSummData89_5">#REF!</definedName>
    <definedName name="ConsSummData89_6">#REF!</definedName>
    <definedName name="ConsSummData89_7">#REF!</definedName>
    <definedName name="ConsSummData89_8">#REF!</definedName>
    <definedName name="ConsSummData9_1">#REF!</definedName>
    <definedName name="ConsSummData9_2">#REF!</definedName>
    <definedName name="ConsSummData9_3">#REF!</definedName>
    <definedName name="ConsSummData9_4">#REF!</definedName>
    <definedName name="ConsSummData9_5">#REF!</definedName>
    <definedName name="ConsSummData9_6">#REF!</definedName>
    <definedName name="ConsSummData9_7">#REF!</definedName>
    <definedName name="ConsSummData9_8">#REF!</definedName>
    <definedName name="ConsSummData90_1">#REF!</definedName>
    <definedName name="ConsSummData90_2">#REF!</definedName>
    <definedName name="ConsSummData90_3">#REF!</definedName>
    <definedName name="ConsSummData90_4">#REF!</definedName>
    <definedName name="ConsSummData90_5">#REF!</definedName>
    <definedName name="ConsSummData90_6">#REF!</definedName>
    <definedName name="ConsSummData90_7">#REF!</definedName>
    <definedName name="ConsSummData90_8">#REF!</definedName>
    <definedName name="ConsSummData91_1">#REF!</definedName>
    <definedName name="ConsSummData91_2">#REF!</definedName>
    <definedName name="ConsSummData91_3">#REF!</definedName>
    <definedName name="ConsSummData91_4">#REF!</definedName>
    <definedName name="ConsSummData91_5">#REF!</definedName>
    <definedName name="ConsSummData91_6">#REF!</definedName>
    <definedName name="ConsSummData91_7">#REF!</definedName>
    <definedName name="ConsSummData91_8">#REF!</definedName>
    <definedName name="ConsSummData92_1">#REF!</definedName>
    <definedName name="ConsSummData92_2">#REF!</definedName>
    <definedName name="ConsSummData92_3">#REF!</definedName>
    <definedName name="ConsSummData92_4">#REF!</definedName>
    <definedName name="ConsSummData92_5">#REF!</definedName>
    <definedName name="ConsSummData92_6">#REF!</definedName>
    <definedName name="ConsSummData92_7">#REF!</definedName>
    <definedName name="ConsSummData92_8">#REF!</definedName>
    <definedName name="ConsSummData93_1">#REF!</definedName>
    <definedName name="ConsSummData93_2">#REF!</definedName>
    <definedName name="ConsSummData93_3">#REF!</definedName>
    <definedName name="ConsSummData93_4">#REF!</definedName>
    <definedName name="ConsSummData93_5">#REF!</definedName>
    <definedName name="ConsSummData93_6">#REF!</definedName>
    <definedName name="ConsSummData93_7">#REF!</definedName>
    <definedName name="ConsSummData93_8">#REF!</definedName>
    <definedName name="ConsSummData94_1">#REF!</definedName>
    <definedName name="ConsSummData94_2">#REF!</definedName>
    <definedName name="ConsSummData94_3">#REF!</definedName>
    <definedName name="ConsSummData94_4">#REF!</definedName>
    <definedName name="ConsSummData94_5">#REF!</definedName>
    <definedName name="ConsSummData94_6">#REF!</definedName>
    <definedName name="ConsSummData94_7">#REF!</definedName>
    <definedName name="ConsSummData94_8">#REF!</definedName>
    <definedName name="ConsSummData95_1">#REF!</definedName>
    <definedName name="ConsSummData95_2">#REF!</definedName>
    <definedName name="ConsSummData95_3">#REF!</definedName>
    <definedName name="ConsSummData95_4">#REF!</definedName>
    <definedName name="ConsSummData95_5">#REF!</definedName>
    <definedName name="ConsSummData95_6">#REF!</definedName>
    <definedName name="ConsSummData95_7">#REF!</definedName>
    <definedName name="ConsSummData95_8">#REF!</definedName>
    <definedName name="ConsSummData96_1">#REF!</definedName>
    <definedName name="ConsSummData96_2">#REF!</definedName>
    <definedName name="ConsSummData96_3">#REF!</definedName>
    <definedName name="ConsSummData96_4">#REF!</definedName>
    <definedName name="ConsSummData96_5">#REF!</definedName>
    <definedName name="ConsSummData96_6">#REF!</definedName>
    <definedName name="ConsSummData96_7">#REF!</definedName>
    <definedName name="ConsSummData96_8">#REF!</definedName>
    <definedName name="ConsSummData97_1">#REF!</definedName>
    <definedName name="ConsSummData97_2">#REF!</definedName>
    <definedName name="ConsSummData97_3">#REF!</definedName>
    <definedName name="ConsSummData97_4">#REF!</definedName>
    <definedName name="ConsSummData97_5">#REF!</definedName>
    <definedName name="ConsSummData97_6">#REF!</definedName>
    <definedName name="ConsSummData97_7">#REF!</definedName>
    <definedName name="ConsSummData97_8">#REF!</definedName>
    <definedName name="ConsSummData98_1">#REF!</definedName>
    <definedName name="ConsSummData98_2">#REF!</definedName>
    <definedName name="ConsSummData98_3">#REF!</definedName>
    <definedName name="ConsSummData98_4">#REF!</definedName>
    <definedName name="ConsSummData98_5">#REF!</definedName>
    <definedName name="ConsSummData98_6">#REF!</definedName>
    <definedName name="ConsSummData98_7">#REF!</definedName>
    <definedName name="ConsSummData98_8">#REF!</definedName>
    <definedName name="ConsSummData99_1">#REF!</definedName>
    <definedName name="ConsSummData99_2">#REF!</definedName>
    <definedName name="ConsSummData99_3">#REF!</definedName>
    <definedName name="ConsSummData99_4">#REF!</definedName>
    <definedName name="ConsSummData99_5">#REF!</definedName>
    <definedName name="ConsSummData99_6">#REF!</definedName>
    <definedName name="ConsSummData99_7">#REF!</definedName>
    <definedName name="ConsSummData99_8">#REF!</definedName>
    <definedName name="CONSTANT">#REF!</definedName>
    <definedName name="constdelay">#REF!</definedName>
    <definedName name="ConstructMI">#REF!</definedName>
    <definedName name="ConstTotal">#REF!</definedName>
    <definedName name="ConsUsed">#REF!</definedName>
    <definedName name="Contact">#REF!</definedName>
    <definedName name="Contact2">#REF!</definedName>
    <definedName name="ConTax1">#REF!</definedName>
    <definedName name="ConTax2">#REF!</definedName>
    <definedName name="ConTax3">#REF!</definedName>
    <definedName name="ConTax4">#REF!</definedName>
    <definedName name="conten">#REF!</definedName>
    <definedName name="contracttype">#REF!</definedName>
    <definedName name="contractype">#REF!</definedName>
    <definedName name="contrat">#REF!</definedName>
    <definedName name="contrib">#REF!</definedName>
    <definedName name="Control_Link_1">#REF!</definedName>
    <definedName name="Control_Link_1Save">#REF!</definedName>
    <definedName name="conv">#REF!</definedName>
    <definedName name="Conv_real">#REF!</definedName>
    <definedName name="Conversion">#REF!</definedName>
    <definedName name="ConversionFactor">#REF!</definedName>
    <definedName name="Convesrion_rate">#REF!</definedName>
    <definedName name="ConView">#REF!</definedName>
    <definedName name="Copy">#N/A</definedName>
    <definedName name="Copy_Debt1">#REF!</definedName>
    <definedName name="Copy_Debt2">#REF!</definedName>
    <definedName name="core">#REF!</definedName>
    <definedName name="CorpTaxTest">#REF!</definedName>
    <definedName name="correction">#REF!</definedName>
    <definedName name="correctionn">#REF!</definedName>
    <definedName name="cos">#REF!</definedName>
    <definedName name="COST_VALUE_REPO">#REF!</definedName>
    <definedName name="CostAccountDescrbCapex">#REF!</definedName>
    <definedName name="CostCenter">#REF!</definedName>
    <definedName name="costs">#REF!</definedName>
    <definedName name="CostTypeListOffset">IF(IsLite,#REF!,#REF!)</definedName>
    <definedName name="Cotton_Prod">#REF!</definedName>
    <definedName name="cotype">#REF!</definedName>
    <definedName name="Country">#REF!</definedName>
    <definedName name="Country_ratio">#REF!</definedName>
    <definedName name="COUNTRYCODE">#REF!</definedName>
    <definedName name="countrycurrency">#REF!</definedName>
    <definedName name="COUNTRYNAME">#REF!</definedName>
    <definedName name="county">#REF!</definedName>
    <definedName name="COVACC">#REF!</definedName>
    <definedName name="covenants" hidden="1">{#N/A,#N/A,FALSE,"Finanzplan";#N/A,#N/A,FALSE,"Bilanz";#N/A,#N/A,FALSE,"GuV"}</definedName>
    <definedName name="Cover_Ar" hidden="1">{#N/A,#N/A,FALSE,"Sensitivity"}</definedName>
    <definedName name="CPrd_Pol">#REF!</definedName>
    <definedName name="CPrd_Pol1">#REF!</definedName>
    <definedName name="CPrd_Rcy">#REF!</definedName>
    <definedName name="CPrd_Tot">#REF!</definedName>
    <definedName name="CRM">#REF!</definedName>
    <definedName name="CrudeType">#REF!</definedName>
    <definedName name="cScenarioValuations">#REF!</definedName>
    <definedName name="Cshow">#REF!</definedName>
    <definedName name="CSN">#REF!</definedName>
    <definedName name="CSNMININV">#REF!</definedName>
    <definedName name="CSNTOTAL">#REF!</definedName>
    <definedName name="CSynOpCost">#REF!</definedName>
    <definedName name="ctr_num">#REF!</definedName>
    <definedName name="cTrafficData">#REF!</definedName>
    <definedName name="ctry">#REF!</definedName>
    <definedName name="ctry1">#REF!</definedName>
    <definedName name="ctry2">#REF!</definedName>
    <definedName name="čtyřkovačky_Maillefer">#REF!</definedName>
    <definedName name="Cum.No.NodesPD">#REF!</definedName>
    <definedName name="CummulativeCFAfterInterest_1">#REF!</definedName>
    <definedName name="CummulativeCFAfterInterest_2">#REF!</definedName>
    <definedName name="CummulativeCFAfterInterest_3">#REF!</definedName>
    <definedName name="CummulativeCFAfterInterest_4">#REF!</definedName>
    <definedName name="CummulativeCFAfterInterest_5">#REF!</definedName>
    <definedName name="CummulativeCFAfterInterest_6">#REF!</definedName>
    <definedName name="CummulativeCFAfterInterest_7">#REF!</definedName>
    <definedName name="CummulativeCFAfterInterest_8">#REF!</definedName>
    <definedName name="CurMonth">#REF!</definedName>
    <definedName name="Curmth">#REF!</definedName>
    <definedName name="curr">#REF!</definedName>
    <definedName name="curr_action">#REF!</definedName>
    <definedName name="curr_option">#REF!</definedName>
    <definedName name="Currency">#REF!</definedName>
    <definedName name="Currency_List">#REF!</definedName>
    <definedName name="Currency_multiple">#REF!</definedName>
    <definedName name="Currency_Unit">#REF!</definedName>
    <definedName name="Currency1">#REF!</definedName>
    <definedName name="CurrencyName">#REF!</definedName>
    <definedName name="CurrencySymbol">#REF!</definedName>
    <definedName name="CurrencyText">#REF!</definedName>
    <definedName name="CurrentAge">#REF!</definedName>
    <definedName name="CurrentYear">#REF!</definedName>
    <definedName name="CustName">#REF!</definedName>
    <definedName name="customer">#REF!</definedName>
    <definedName name="cValuation">#REF!</definedName>
    <definedName name="cxsadcadsa" hidden="1">{#N/A,#N/A,FALSE,"Summary04";#N/A,#N/A,FALSE,"CCP Group";#N/A,#N/A,FALSE,"Jubail Group Rev2";#N/A,#N/A,FALSE,"CML Group"}</definedName>
    <definedName name="Cyprus">#REF!</definedName>
    <definedName name="CyprusExch">#REF!</definedName>
    <definedName name="CyprusGDP">#REF!</definedName>
    <definedName name="CyrYear">#REF!</definedName>
    <definedName name="Czech_Republic">#REF!</definedName>
    <definedName name="Czech_RepublicExch">#REF!</definedName>
    <definedName name="Czech_RepublicGDP">#REF!</definedName>
    <definedName name="D">#REF!</definedName>
    <definedName name="D.01">#REF!</definedName>
    <definedName name="D.02">#REF!</definedName>
    <definedName name="D.03">#REF!</definedName>
    <definedName name="D.04">#REF!</definedName>
    <definedName name="D.05">#REF!</definedName>
    <definedName name="D.06">#REF!</definedName>
    <definedName name="D.07">#REF!</definedName>
    <definedName name="D.10">#REF!</definedName>
    <definedName name="D.10a">#REF!</definedName>
    <definedName name="D.10b">#REF!</definedName>
    <definedName name="D.10c">#REF!</definedName>
    <definedName name="D.10d">#REF!</definedName>
    <definedName name="D.20">#REF!</definedName>
    <definedName name="D.25">#REF!</definedName>
    <definedName name="D.26">#REF!</definedName>
    <definedName name="D.30">#REF!</definedName>
    <definedName name="D.31">#REF!</definedName>
    <definedName name="D.32">#REF!</definedName>
    <definedName name="D.40">#REF!</definedName>
    <definedName name="D.50">#REF!</definedName>
    <definedName name="D.51">#REF!</definedName>
    <definedName name="D.52">#REF!</definedName>
    <definedName name="D.60">#REF!</definedName>
    <definedName name="D.70">#REF!</definedName>
    <definedName name="D.81">#REF!</definedName>
    <definedName name="D.82">#REF!</definedName>
    <definedName name="D.83">#REF!</definedName>
    <definedName name="D.84">#REF!</definedName>
    <definedName name="D_____MASONRY___PLASTER_WORKS">#REF!</definedName>
    <definedName name="Dammam">#REF!</definedName>
    <definedName name="data">#REF!</definedName>
    <definedName name="Data.Dump">OFFSET(#REF!,1,0)</definedName>
    <definedName name="Data__Internet_Privatkunden">#REF!</definedName>
    <definedName name="Data__X.25_Frame_Relay">#REF!</definedName>
    <definedName name="DATA_01" hidden="1">#REF!</definedName>
    <definedName name="DATA_02" hidden="1">#REF!</definedName>
    <definedName name="DATA_03" hidden="1">#REF!</definedName>
    <definedName name="DATA_04" hidden="1">#REF!</definedName>
    <definedName name="DATA_05" hidden="1">#REF!</definedName>
    <definedName name="DATA_06" hidden="1">#REF!</definedName>
    <definedName name="DATA_07" hidden="1">#REF!</definedName>
    <definedName name="DATA_08" hidden="1">#REF!</definedName>
    <definedName name="data1" hidden="1">#REF!</definedName>
    <definedName name="data100">#REF!</definedName>
    <definedName name="data101">#REF!</definedName>
    <definedName name="data102">#REF!</definedName>
    <definedName name="data103">#REF!</definedName>
    <definedName name="data104">#REF!</definedName>
    <definedName name="data105">#REF!</definedName>
    <definedName name="data106">#REF!</definedName>
    <definedName name="data107">#REF!</definedName>
    <definedName name="data108">#REF!</definedName>
    <definedName name="data109">#REF!</definedName>
    <definedName name="data110">#REF!</definedName>
    <definedName name="data111">#REF!</definedName>
    <definedName name="data112">#REF!</definedName>
    <definedName name="data113">#REF!</definedName>
    <definedName name="data114">#REF!</definedName>
    <definedName name="data115">#REF!</definedName>
    <definedName name="data116">#REF!</definedName>
    <definedName name="data117">#REF!</definedName>
    <definedName name="data118">#REF!</definedName>
    <definedName name="data119">#REF!</definedName>
    <definedName name="data120">#REF!</definedName>
    <definedName name="data121">#REF!</definedName>
    <definedName name="data122">#REF!</definedName>
    <definedName name="data123">#REF!</definedName>
    <definedName name="data124">#REF!</definedName>
    <definedName name="data125">#REF!</definedName>
    <definedName name="data126">#REF!</definedName>
    <definedName name="data127">#REF!</definedName>
    <definedName name="data128">#REF!</definedName>
    <definedName name="data129">#REF!</definedName>
    <definedName name="data16a">#REF!,#REF!,#REF!,#REF!</definedName>
    <definedName name="data2" hidden="1">#REF!</definedName>
    <definedName name="data20a">#REF!,#REF!,#REF!,#REF!,#REF!,#REF!,#REF!,#REF!</definedName>
    <definedName name="data21">#REF!,#REF!,#REF!,#REF!</definedName>
    <definedName name="data22">#REF!,#REF!,#REF!,#REF!</definedName>
    <definedName name="data23">#REF!,#REF!,#REF!,#REF!</definedName>
    <definedName name="data24">#REF!,#REF!,#REF!,#REF!</definedName>
    <definedName name="data25">#REF!,#REF!,#REF!,#REF!</definedName>
    <definedName name="data2ab">#REF!</definedName>
    <definedName name="data3" hidden="1">#REF!</definedName>
    <definedName name="data39">#REF!</definedName>
    <definedName name="data40">#REF!</definedName>
    <definedName name="data41">#REF!</definedName>
    <definedName name="data42">#REF!</definedName>
    <definedName name="data43">#REF!</definedName>
    <definedName name="data44">#REF!</definedName>
    <definedName name="data45">#REF!</definedName>
    <definedName name="data46">#REF!</definedName>
    <definedName name="data47">#REF!</definedName>
    <definedName name="data48">#REF!</definedName>
    <definedName name="data49">#REF!</definedName>
    <definedName name="data50">#REF!</definedName>
    <definedName name="data51">#REF!</definedName>
    <definedName name="data52">#REF!</definedName>
    <definedName name="data53">#REF!</definedName>
    <definedName name="data54">#REF!</definedName>
    <definedName name="data55">#REF!</definedName>
    <definedName name="data56">#REF!</definedName>
    <definedName name="data57">#REF!</definedName>
    <definedName name="data58">#REF!</definedName>
    <definedName name="data59">#REF!</definedName>
    <definedName name="data60">#REF!</definedName>
    <definedName name="data61">#REF!</definedName>
    <definedName name="data62">#REF!</definedName>
    <definedName name="data63">#REF!</definedName>
    <definedName name="data64">#REF!</definedName>
    <definedName name="data65">#REF!</definedName>
    <definedName name="data66">#REF!</definedName>
    <definedName name="data67">#REF!</definedName>
    <definedName name="data68">#REF!</definedName>
    <definedName name="data69">#REF!</definedName>
    <definedName name="data70">#REF!</definedName>
    <definedName name="data71">#REF!</definedName>
    <definedName name="data72">#REF!</definedName>
    <definedName name="data73">#REF!</definedName>
    <definedName name="data74">#REF!</definedName>
    <definedName name="data75">#REF!</definedName>
    <definedName name="data76">#REF!</definedName>
    <definedName name="data77">#REF!</definedName>
    <definedName name="data78">#REF!</definedName>
    <definedName name="data79">#REF!</definedName>
    <definedName name="data80">#REF!</definedName>
    <definedName name="data81">#REF!</definedName>
    <definedName name="data82">#REF!</definedName>
    <definedName name="data83">#REF!</definedName>
    <definedName name="data84">#REF!</definedName>
    <definedName name="data85">#REF!</definedName>
    <definedName name="data86">#REF!</definedName>
    <definedName name="data87">#REF!</definedName>
    <definedName name="data88">#REF!</definedName>
    <definedName name="data89">#REF!</definedName>
    <definedName name="data90">#REF!</definedName>
    <definedName name="data91">#REF!</definedName>
    <definedName name="data92">#REF!</definedName>
    <definedName name="data93">#REF!</definedName>
    <definedName name="data94">#REF!</definedName>
    <definedName name="data95">#REF!</definedName>
    <definedName name="data96">#REF!</definedName>
    <definedName name="data97">#REF!</definedName>
    <definedName name="data98">#REF!</definedName>
    <definedName name="data99">#REF!</definedName>
    <definedName name="_xlnm.Database">#REF!</definedName>
    <definedName name="Database_Range">#REF!</definedName>
    <definedName name="Database_Range2">#REF!</definedName>
    <definedName name="database1">#REF!</definedName>
    <definedName name="DataEntered">#REF!</definedName>
    <definedName name="date">#REF!</definedName>
    <definedName name="DateHeader">#REF!</definedName>
    <definedName name="DateSelected">#REF!</definedName>
    <definedName name="Days">#REF!</definedName>
    <definedName name="Days_in_Receivables">#REF!,#REF!</definedName>
    <definedName name="DC_at_BoC_Margin">#REF!</definedName>
    <definedName name="DC_at_Frct_Margin">#REF!</definedName>
    <definedName name="DC_at_Margin_at_SA">#REF!</definedName>
    <definedName name="DCF">#REF!</definedName>
    <definedName name="DCF_analysis___Standard_model">#REF!</definedName>
    <definedName name="DD">#REF!</definedName>
    <definedName name="ddd">#REF!</definedName>
    <definedName name="dddd">#REF!</definedName>
    <definedName name="ddsD">#REF!</definedName>
    <definedName name="Dealer_Commission">#REF!</definedName>
    <definedName name="Debottling">#REF!</definedName>
    <definedName name="DEBT">#REF!</definedName>
    <definedName name="Debt_Exp_to_Sales">#REF!,#REF!</definedName>
    <definedName name="Debt_Run_off">#REF!</definedName>
    <definedName name="debt1">#REF!</definedName>
    <definedName name="debt2">#REF!</definedName>
    <definedName name="Dec_08">#REF!</definedName>
    <definedName name="Decprod">#REF!</definedName>
    <definedName name="DecSun1">DATEVALUE("12/1/"&amp;TheYear)-WEEKDAY(DATEVALUE("12/1/"&amp;TheYear))+1</definedName>
    <definedName name="def">#REF!</definedName>
    <definedName name="deftax">#REF!</definedName>
    <definedName name="del" hidden="1">{#N/A,#N/A,FALSE,"Summary";#N/A,#N/A,FALSE,"CF";#N/A,#N/A,FALSE,"P&amp;L";#N/A,#N/A,FALSE,"BS";#N/A,#N/A,FALSE,"Returns";#N/A,#N/A,FALSE,"Assumptions";#N/A,#N/A,FALSE,"Analysis"}</definedName>
    <definedName name="deleteme1" hidden="1">{#N/A,#N/A,FALSE,"Summary";#N/A,#N/A,FALSE,"CF";#N/A,#N/A,FALSE,"P&amp;L";#N/A,#N/A,FALSE,"BS";#N/A,#N/A,FALSE,"Returns";#N/A,#N/A,FALSE,"Assumptions";#N/A,#N/A,FALSE,"Analysis"}</definedName>
    <definedName name="deleteme3" hidden="1">{#N/A,#N/A,FALSE,"Summary";#N/A,#N/A,FALSE,"CF";#N/A,#N/A,FALSE,"P&amp;L";"summary",#N/A,FALSE,"Returns";#N/A,#N/A,FALSE,"BS";"summary",#N/A,FALSE,"Analysis";#N/A,#N/A,FALSE,"Assumptions"}</definedName>
    <definedName name="Delshan" hidden="1">{#N/A,#N/A,FALSE,"VCR"}</definedName>
    <definedName name="Denmark">#REF!</definedName>
    <definedName name="DenmarkExch">#REF!</definedName>
    <definedName name="DenmarkGDP">#REF!</definedName>
    <definedName name="Departements">#REF!</definedName>
    <definedName name="depr_bb">#REF!</definedName>
    <definedName name="depr_build">#REF!</definedName>
    <definedName name="Depr_Computers">#REF!</definedName>
    <definedName name="depr_equip">#REF!</definedName>
    <definedName name="depr_ex_network">#REF!</definedName>
    <definedName name="depr_Furniture">#REF!</definedName>
    <definedName name="depr_land">#REF!</definedName>
    <definedName name="depr_oth">#REF!</definedName>
    <definedName name="Deprec">#REF!</definedName>
    <definedName name="Desc_Bonus">#REF!</definedName>
    <definedName name="DesignEfficiencies">#REF!</definedName>
    <definedName name="Destruct1">#REF!</definedName>
    <definedName name="Destruct2">#REF!</definedName>
    <definedName name="Development_Cost">#REF!</definedName>
    <definedName name="Devproj">#REF!</definedName>
    <definedName name="dez">#REF!,#REF!,#REF!,#REF!</definedName>
    <definedName name="dfg" localSheetId="9">Word</definedName>
    <definedName name="dfg">Word</definedName>
    <definedName name="DHLC_0.5___SKET">#REF!</definedName>
    <definedName name="DickVos_Total_Lines">#REF!</definedName>
    <definedName name="DickVos_Voice_Channels">#REF!</definedName>
    <definedName name="DiffusionMethod">#REF!</definedName>
    <definedName name="DiffusionModel">#REF!</definedName>
    <definedName name="DIRECTORY">#REF!</definedName>
    <definedName name="Direktanschaltung__GK_All_in___resale">#REF!</definedName>
    <definedName name="Direktanschaltung__GK_All_in___TAL">#REF!</definedName>
    <definedName name="Disc">#REF!</definedName>
    <definedName name="disc_rate1">#REF!</definedName>
    <definedName name="Discount" hidden="1">#REF!</definedName>
    <definedName name="Discount_rate">#REF!</definedName>
    <definedName name="discount2data">#REF!</definedName>
    <definedName name="discount34">#REF!</definedName>
    <definedName name="discount64data">#REF!</definedName>
    <definedName name="discount9.6">#REF!</definedName>
    <definedName name="display_area_2" hidden="1">#REF!</definedName>
    <definedName name="display_area_3">#REF!</definedName>
    <definedName name="display_area_5">#REF!</definedName>
    <definedName name="display_area_7">#REF!</definedName>
    <definedName name="disposal">#REF!</definedName>
    <definedName name="distance">#REF!</definedName>
    <definedName name="DISTRIBUTION_CHANNEL">#REF!</definedName>
    <definedName name="dividend">#REF!</definedName>
    <definedName name="divroster">#REF!</definedName>
    <definedName name="divroster_group">#REF!</definedName>
    <definedName name="DLX1.USE">#REF!</definedName>
    <definedName name="DLX2.USE">#REF!</definedName>
    <definedName name="DLX3.USE">#REF!</definedName>
    <definedName name="dMonteCarloResults">#REF!</definedName>
    <definedName name="dMonteCarloVariables">#REF!</definedName>
    <definedName name="dmtb">#REF!</definedName>
    <definedName name="DMTCap_PX">#REF!</definedName>
    <definedName name="dmtcashb">#REF!</definedName>
    <definedName name="dmtcasht">#REF!</definedName>
    <definedName name="DMTDmd_Tot">#REF!</definedName>
    <definedName name="DMTPrd_PX">#REF!</definedName>
    <definedName name="dmtt">#REF!</definedName>
    <definedName name="DocType" localSheetId="9">Word</definedName>
    <definedName name="DocType">Word</definedName>
    <definedName name="Dollar_DM">#REF!</definedName>
    <definedName name="DollarHeader">#REF!</definedName>
    <definedName name="Down_Pymt">#REF!</definedName>
    <definedName name="Download_series">#REF!</definedName>
    <definedName name="DownPayment">#REF!</definedName>
    <definedName name="dp">#REF!</definedName>
    <definedName name="draft">#REF!</definedName>
    <definedName name="dsadaSFDWE">#REF!</definedName>
    <definedName name="DSAdd">#REF!</definedName>
    <definedName name="dScenariosDefined">#REF!</definedName>
    <definedName name="dScenarioValuations">#REF!</definedName>
    <definedName name="dsdsaqd">#REF!</definedName>
    <definedName name="dsfaa">#REF!</definedName>
    <definedName name="dsfs">#REF!</definedName>
    <definedName name="dsfsd" hidden="1">{#N/A,#N/A,FALSE,"Sensitivity"}</definedName>
    <definedName name="dso">#REF!</definedName>
    <definedName name="DTAGUmsatzklnorm">#REF!</definedName>
    <definedName name="DTAGUmsatzklredu">#REF!</definedName>
    <definedName name="DTAGUmsatzmitlnorm">#REF!</definedName>
    <definedName name="DTAGUmsatzmittlreduz">#REF!</definedName>
    <definedName name="DTAGUmsatznorm">#REF!</definedName>
    <definedName name="DTAGUmsatzreduziert">#REF!</definedName>
    <definedName name="dTrafficData">#REF!</definedName>
    <definedName name="Durchleitungsgebühren">#REF!</definedName>
    <definedName name="dValuation">#REF!</definedName>
    <definedName name="dVariableSetting">#REF!</definedName>
    <definedName name="dwdsd" hidden="1">{#N/A,#N/A,FALSE,"Finanzplan";#N/A,#N/A,FALSE,"Bilanz";#N/A,#N/A,FALSE,"GuV"}</definedName>
    <definedName name="E">#REF!</definedName>
    <definedName name="E.01">#REF!</definedName>
    <definedName name="E.01a">#REF!</definedName>
    <definedName name="E.01b">#REF!</definedName>
    <definedName name="E.01c">#REF!</definedName>
    <definedName name="E.01d">#REF!</definedName>
    <definedName name="E.02">#REF!</definedName>
    <definedName name="E.02a">#REF!</definedName>
    <definedName name="E.02b">#REF!</definedName>
    <definedName name="E.02c">#REF!</definedName>
    <definedName name="E.02d">#REF!</definedName>
    <definedName name="E.03">#REF!</definedName>
    <definedName name="E.03a">#REF!</definedName>
    <definedName name="E.04">#REF!</definedName>
    <definedName name="E.04a">#REF!</definedName>
    <definedName name="E.04b">#REF!</definedName>
    <definedName name="E.04c">#REF!</definedName>
    <definedName name="E.05">#REF!</definedName>
    <definedName name="E.05a">#REF!</definedName>
    <definedName name="E.05b">#REF!</definedName>
    <definedName name="E.06">#REF!</definedName>
    <definedName name="E.06a">#REF!</definedName>
    <definedName name="E.07">#REF!</definedName>
    <definedName name="E____FLOORING___WALL_TILES">#REF!</definedName>
    <definedName name="E_GreaterBalloon">#REF!</definedName>
    <definedName name="E_ZeroBalloon">#REF!</definedName>
    <definedName name="Earnings">#REF!</definedName>
    <definedName name="EarningsVol">#REF!</definedName>
    <definedName name="EAsia_LTA">SUM(#REF!)</definedName>
    <definedName name="EBITDA_exit_multiple">#REF!</definedName>
    <definedName name="EBITDA_up">#REF!</definedName>
    <definedName name="EBITPLAN05APR">#REF!+#REF!+#REF!</definedName>
    <definedName name="ECGD" hidden="1">#REF!</definedName>
    <definedName name="EconInput">#REF!</definedName>
    <definedName name="EconInput1">#REF!</definedName>
    <definedName name="edds">#REF!</definedName>
    <definedName name="EE">#REF!</definedName>
    <definedName name="eee" hidden="1">{#N/A,#N/A,FALSE,"Bal.Sht"}</definedName>
    <definedName name="effective_date">#REF!</definedName>
    <definedName name="Efficiencies">#REF!</definedName>
    <definedName name="EFG">#REF!</definedName>
    <definedName name="egy">#REF!</definedName>
    <definedName name="Egypt">#REF!</definedName>
    <definedName name="EgyptExch">#REF!</definedName>
    <definedName name="EgyptGDP">#REF!</definedName>
    <definedName name="ELBISE">#REF!</definedName>
    <definedName name="Ele" hidden="1">{"'Break down'!$A$4"}</definedName>
    <definedName name="ELECBILL">#REF!</definedName>
    <definedName name="eLECTRICAL" hidden="1">{"analysis",#N/A,TRUE,"ANALYSIS";"cartaway",#N/A,TRUE,"Excavation Equipment";"excavation",#N/A,TRUE,"Excavation Equipment";"compaction",#N/A,TRUE,"Backfilling Equipment";"riprap transportation",#N/A,TRUE,"RIPRAP PRODUCTION";"summary",#N/A,TRUE,"SUMMARY";"price of imported material",#N/A,TRUE,"Price of Imported Mat'l";"boq summary",#N/A,TRUE,"B.O.Q. SUMMARY"}</definedName>
    <definedName name="Email">#REF!</definedName>
    <definedName name="eman">#REF!</definedName>
    <definedName name="Emask">#REF!</definedName>
    <definedName name="EMDF_Construct_1" hidden="1">#REF!</definedName>
    <definedName name="EMDF_Construct_2" hidden="1">#REF!</definedName>
    <definedName name="EMDF_Construct_3" hidden="1">#REF!</definedName>
    <definedName name="EMDF_Construct_4" hidden="1">#REF!</definedName>
    <definedName name="EMDF_Construct_5" hidden="1">#REF!</definedName>
    <definedName name="EMDF_Construct_6" hidden="1">#REF!</definedName>
    <definedName name="EMDF_Construct_7" hidden="1">#REF!</definedName>
    <definedName name="EMDF_Construct_8" hidden="1">#REF!</definedName>
    <definedName name="EMDF_DevMgn_1" hidden="1">#REF!</definedName>
    <definedName name="EMDF_DevMgn_2" hidden="1">#REF!</definedName>
    <definedName name="EMDF_DevMgn_3" hidden="1">#REF!</definedName>
    <definedName name="EMDF_DevMgn_4" hidden="1">#REF!</definedName>
    <definedName name="EMDF_DevMgn_5" hidden="1">#REF!</definedName>
    <definedName name="EMDF_DevMgn_6" hidden="1">#REF!</definedName>
    <definedName name="EMDF_DevMgn_7" hidden="1">#REF!</definedName>
    <definedName name="EMDF_DevMgn_8" hidden="1">#REF!</definedName>
    <definedName name="EMDF_GrossRent_1" hidden="1">#REF!</definedName>
    <definedName name="EMDF_GrossRent_2" hidden="1">#REF!</definedName>
    <definedName name="EMDF_GrossRent_3" hidden="1">#REF!</definedName>
    <definedName name="EMDF_GrossRent_4" hidden="1">#REF!</definedName>
    <definedName name="EMDF_GrossRent_5" hidden="1">#REF!</definedName>
    <definedName name="EMDF_GrossRent_6" hidden="1">#REF!</definedName>
    <definedName name="EMDF_GrossRent_7" hidden="1">#REF!</definedName>
    <definedName name="EMDF_GrossRent_8" hidden="1">#REF!</definedName>
    <definedName name="EMDF_GrossSale_1" hidden="1">#REF!</definedName>
    <definedName name="EMDF_GrossSale_2" hidden="1">#REF!</definedName>
    <definedName name="EMDF_GrossSale_3" hidden="1">#REF!</definedName>
    <definedName name="EMDF_GrossSale_4" hidden="1">#REF!</definedName>
    <definedName name="EMDF_GrossSale_5" hidden="1">#REF!</definedName>
    <definedName name="EMDF_GrossSale_6" hidden="1">#REF!</definedName>
    <definedName name="EMDF_GrossSale_7" hidden="1">#REF!</definedName>
    <definedName name="EMDF_GrossSale_8" hidden="1">#REF!</definedName>
    <definedName name="EMDF_IRR_1" hidden="1">#REF!</definedName>
    <definedName name="EMDF_IRR_2" hidden="1">#REF!</definedName>
    <definedName name="EMDF_IRR_3" hidden="1">#REF!</definedName>
    <definedName name="EMDF_IRR_4" hidden="1">#REF!</definedName>
    <definedName name="EMDF_IRR_5" hidden="1">#REF!</definedName>
    <definedName name="EMDF_IRR_6" hidden="1">#REF!</definedName>
    <definedName name="EMDF_IRR_7" hidden="1">#REF!</definedName>
    <definedName name="EMDF_IRR_8" hidden="1">#REF!</definedName>
    <definedName name="EMDF_Land_1" hidden="1">#REF!</definedName>
    <definedName name="EMDF_Land_2" hidden="1">#REF!</definedName>
    <definedName name="EMDF_Land_3" hidden="1">#REF!</definedName>
    <definedName name="EMDF_Land_4" hidden="1">#REF!</definedName>
    <definedName name="EMDF_Land_5" hidden="1">#REF!</definedName>
    <definedName name="EMDF_Land_6" hidden="1">#REF!</definedName>
    <definedName name="EMDF_Land_7" hidden="1">#REF!</definedName>
    <definedName name="EMDF_Land_8" hidden="1">#REF!</definedName>
    <definedName name="EMDF_NetProf_1" hidden="1">#REF!</definedName>
    <definedName name="EMDF_NetProf_2" hidden="1">#REF!</definedName>
    <definedName name="EMDF_NetProf_3" hidden="1">#REF!</definedName>
    <definedName name="EMDF_NetProf_4" hidden="1">#REF!</definedName>
    <definedName name="EMDF_NetProf_5" hidden="1">#REF!</definedName>
    <definedName name="EMDF_NetProf_6" hidden="1">#REF!</definedName>
    <definedName name="EMDF_NetProf_7" hidden="1">#REF!</definedName>
    <definedName name="EMDF_NetProf_8" hidden="1">#REF!</definedName>
    <definedName name="EMDF_NPV_1" hidden="1">#REF!</definedName>
    <definedName name="EMDF_NPV_2" hidden="1">#REF!</definedName>
    <definedName name="EMDF_NPV_3" hidden="1">#REF!</definedName>
    <definedName name="EMDF_NPV_4" hidden="1">#REF!</definedName>
    <definedName name="EMDF_NPV_5" hidden="1">#REF!</definedName>
    <definedName name="EMDF_NPV_6" hidden="1">#REF!</definedName>
    <definedName name="EMDF_NPV_7" hidden="1">#REF!</definedName>
    <definedName name="EMDF_NPV_8" hidden="1">#REF!</definedName>
    <definedName name="EMDF_RLVMgn_1" hidden="1">#REF!</definedName>
    <definedName name="EMDF_RLVMgn_2" hidden="1">#REF!</definedName>
    <definedName name="EMDF_RLVMgn_3" hidden="1">#REF!</definedName>
    <definedName name="EMDF_RLVMgn_4" hidden="1">#REF!</definedName>
    <definedName name="EMDF_RLVMgn_5" hidden="1">#REF!</definedName>
    <definedName name="EMDF_RLVMgn_6" hidden="1">#REF!</definedName>
    <definedName name="EMDF_RLVMgn_7" hidden="1">#REF!</definedName>
    <definedName name="EMDF_RLVMgn_8" hidden="1">#REF!</definedName>
    <definedName name="EMDF_RLVNPV_1" hidden="1">#REF!</definedName>
    <definedName name="EMDF_RLVNPV_2" hidden="1">#REF!</definedName>
    <definedName name="EMDF_RLVNPV_3" hidden="1">#REF!</definedName>
    <definedName name="EMDF_RLVNPV_4" hidden="1">#REF!</definedName>
    <definedName name="EMDF_RLVNPV_5" hidden="1">#REF!</definedName>
    <definedName name="EMDF_RLVNPV_6" hidden="1">#REF!</definedName>
    <definedName name="EMDF_RLVNPV_7" hidden="1">#REF!</definedName>
    <definedName name="EMDF_RLVNPV_8" hidden="1">#REF!</definedName>
    <definedName name="EMDM_BCR" hidden="1">#REF!</definedName>
    <definedName name="EMDM_BEDate" hidden="1">#REF!</definedName>
    <definedName name="EMDM_ConstCont" hidden="1">#REF!</definedName>
    <definedName name="EMDM_Construct" hidden="1">#REF!</definedName>
    <definedName name="EMDM_CorpTax" hidden="1">#REF!</definedName>
    <definedName name="EMDM_CostAT" hidden="1">#REF!</definedName>
    <definedName name="EMDM_CostBT" hidden="1">#REF!</definedName>
    <definedName name="EMDM_CostTax" hidden="1">#REF!</definedName>
    <definedName name="EMDM_Debt_App" hidden="1">#REF!</definedName>
    <definedName name="EMDM_Debt_AvgRte" hidden="1">#REF!</definedName>
    <definedName name="EMDM_Debt_DatePk" hidden="1">#REF!</definedName>
    <definedName name="EMDM_Debt_Funds" hidden="1">#REF!</definedName>
    <definedName name="EMDM_Debt_Int" hidden="1">#REF!</definedName>
    <definedName name="EMDM_Debt_IRR" hidden="1">#REF!</definedName>
    <definedName name="EMDM_Debt_Line" hidden="1">#REF!</definedName>
    <definedName name="EMDM_Debt_LVR" hidden="1">#REF!</definedName>
    <definedName name="EMDM_Debt_Mgn" hidden="1">#REF!</definedName>
    <definedName name="EMDM_Debt_Pback" hidden="1">#REF!</definedName>
    <definedName name="EMDM_Debt_Peak" hidden="1">#REF!</definedName>
    <definedName name="EMDM_Debt_Prof" hidden="1">#REF!</definedName>
    <definedName name="EMDM_Debt_Share" hidden="1">#REF!</definedName>
    <definedName name="EMDM_DevMgn" hidden="1">#REF!</definedName>
    <definedName name="EMDM_Eq_AvgRte" hidden="1">#REF!</definedName>
    <definedName name="EMDM_Eq_DatePk" hidden="1">#REF!</definedName>
    <definedName name="EMDM_Eq_Funds" hidden="1">#REF!</definedName>
    <definedName name="EMDM_Eq_Int" hidden="1">#REF!</definedName>
    <definedName name="EMDM_Eq_IRR" hidden="1">#REF!</definedName>
    <definedName name="EMDM_Eq_LVR" hidden="1">#REF!</definedName>
    <definedName name="EMDM_Eq_Mgn" hidden="1">#REF!</definedName>
    <definedName name="EMDM_Eq_Pback" hidden="1">#REF!</definedName>
    <definedName name="EMDM_Eq_Peak" hidden="1">#REF!</definedName>
    <definedName name="EMDM_Eq_Prof" hidden="1">#REF!</definedName>
    <definedName name="EMDM_EquGFA" hidden="1">#REF!</definedName>
    <definedName name="EMDM_FinChg" hidden="1">#REF!</definedName>
    <definedName name="EMDM_FSR" hidden="1">#REF!</definedName>
    <definedName name="EMDM_GrossProf" hidden="1">#REF!</definedName>
    <definedName name="EMDM_GrossRent" hidden="1">#REF!</definedName>
    <definedName name="EMDM_GrossSale" hidden="1">#REF!</definedName>
    <definedName name="EMDM_Incent" hidden="1">#REF!</definedName>
    <definedName name="EMDM_IntExp" hidden="1">#REF!</definedName>
    <definedName name="EMDM_IntRec" hidden="1">#REF!</definedName>
    <definedName name="EMDM_IRR" hidden="1">#REF!</definedName>
    <definedName name="EMDM_L1_App" hidden="1">#REF!</definedName>
    <definedName name="EMDM_L1_AvgRte" hidden="1">#REF!</definedName>
    <definedName name="EMDM_L1_DatePk" hidden="1">#REF!</definedName>
    <definedName name="EMDM_L1_Funds" hidden="1">#REF!</definedName>
    <definedName name="EMDM_L1_Int" hidden="1">#REF!</definedName>
    <definedName name="EMDM_L1_IRR" hidden="1">#REF!</definedName>
    <definedName name="EMDM_L1_Line" hidden="1">#REF!</definedName>
    <definedName name="EMDM_L1_LVR" hidden="1">#REF!</definedName>
    <definedName name="EMDM_L1_Mgn" hidden="1">#REF!</definedName>
    <definedName name="EMDM_L1_Name" hidden="1">#REF!</definedName>
    <definedName name="EMDM_L1_Pback" hidden="1">#REF!</definedName>
    <definedName name="EMDM_L1_Peak" hidden="1">#REF!</definedName>
    <definedName name="EMDM_L1_Prof" hidden="1">#REF!</definedName>
    <definedName name="EMDM_L1_Share" hidden="1">#REF!</definedName>
    <definedName name="EMDM_L2_App" hidden="1">#REF!</definedName>
    <definedName name="EMDM_L2_AvgRte" hidden="1">#REF!</definedName>
    <definedName name="EMDM_L2_DatePk" hidden="1">#REF!</definedName>
    <definedName name="EMDM_L2_Funds" hidden="1">#REF!</definedName>
    <definedName name="EMDM_L2_Int" hidden="1">#REF!</definedName>
    <definedName name="EMDM_L2_IRR" hidden="1">#REF!</definedName>
    <definedName name="EMDM_L2_Line" hidden="1">#REF!</definedName>
    <definedName name="EMDM_L2_LVR" hidden="1">#REF!</definedName>
    <definedName name="EMDM_L2_Mgn" hidden="1">#REF!</definedName>
    <definedName name="EMDM_L2_Name" hidden="1">#REF!</definedName>
    <definedName name="EMDM_L2_Pback" hidden="1">#REF!</definedName>
    <definedName name="EMDM_L2_Peak" hidden="1">#REF!</definedName>
    <definedName name="EMDM_L2_Prof" hidden="1">#REF!</definedName>
    <definedName name="EMDM_L2_Share" hidden="1">#REF!</definedName>
    <definedName name="EMDM_L3_App" hidden="1">#REF!</definedName>
    <definedName name="EMDM_L3_AvgRte" hidden="1">#REF!</definedName>
    <definedName name="EMDM_L3_DatePk" hidden="1">#REF!</definedName>
    <definedName name="EMDM_L3_Funds" hidden="1">#REF!</definedName>
    <definedName name="EMDM_L3_Int" hidden="1">#REF!</definedName>
    <definedName name="EMDM_L3_IRR" hidden="1">#REF!</definedName>
    <definedName name="EMDM_L3_Line" hidden="1">#REF!</definedName>
    <definedName name="EMDM_L3_LVR" hidden="1">#REF!</definedName>
    <definedName name="EMDM_L3_Mgn" hidden="1">#REF!</definedName>
    <definedName name="EMDM_L3_Name" hidden="1">#REF!</definedName>
    <definedName name="EMDM_L3_Pback" hidden="1">#REF!</definedName>
    <definedName name="EMDM_L3_Peak" hidden="1">#REF!</definedName>
    <definedName name="EMDM_L3_Prof" hidden="1">#REF!</definedName>
    <definedName name="EMDM_L3_Share" hidden="1">#REF!</definedName>
    <definedName name="EMDM_Land" hidden="1">#REF!</definedName>
    <definedName name="EMDM_LandHold" hidden="1">#REF!</definedName>
    <definedName name="EMDM_LeaseCost" hidden="1">#REF!</definedName>
    <definedName name="EMDM_LetFee" hidden="1">#REF!</definedName>
    <definedName name="EMDM_Misc1" hidden="1">#REF!</definedName>
    <definedName name="EMDM_Misc2" hidden="1">#REF!</definedName>
    <definedName name="EMDM_Misc3" hidden="1">#REF!</definedName>
    <definedName name="EMDM_NetProf" hidden="1">#REF!</definedName>
    <definedName name="EMDM_NetRent" hidden="1">#REF!</definedName>
    <definedName name="EMDM_NetSale" hidden="1">#REF!</definedName>
    <definedName name="EMDM_NPV" hidden="1">#REF!</definedName>
    <definedName name="EMDM_NPVFut" hidden="1">#REF!</definedName>
    <definedName name="EMDM_OG" hidden="1">#REF!</definedName>
    <definedName name="EMDM_OtherInc" hidden="1">#REF!</definedName>
    <definedName name="EMDM_OthLand" hidden="1">#REF!</definedName>
    <definedName name="EMDM_PreComm" hidden="1">#REF!</definedName>
    <definedName name="EMDM_ProFee" hidden="1">#REF!</definedName>
    <definedName name="EMDM_ProfErn" hidden="1">#REF!</definedName>
    <definedName name="EMDM_ProjCont" hidden="1">#REF!</definedName>
    <definedName name="EMDM_PurchCost" hidden="1">#REF!</definedName>
    <definedName name="EMDM_RentCvr" hidden="1">#REF!</definedName>
    <definedName name="EMDM_RevAT" hidden="1">#REF!</definedName>
    <definedName name="EMDM_RevBT" hidden="1">#REF!</definedName>
    <definedName name="EMDM_RevTax" hidden="1">#REF!</definedName>
    <definedName name="EMDM_SellCost" hidden="1">#REF!</definedName>
    <definedName name="EMDM_Site" hidden="1">#REF!</definedName>
    <definedName name="EMDM_SizeA" hidden="1">#REF!</definedName>
    <definedName name="EMDM_SizeB" hidden="1">#REF!</definedName>
    <definedName name="EMDM_Snr_App" hidden="1">#REF!</definedName>
    <definedName name="EMDM_Snr_AvgRte" hidden="1">#REF!</definedName>
    <definedName name="EMDM_Snr_DatePk" hidden="1">#REF!</definedName>
    <definedName name="EMDM_Snr_Funds" hidden="1">#REF!</definedName>
    <definedName name="EMDM_Snr_Int" hidden="1">#REF!</definedName>
    <definedName name="EMDM_Snr_IRR" hidden="1">#REF!</definedName>
    <definedName name="EMDM_Snr_Line" hidden="1">#REF!</definedName>
    <definedName name="EMDM_Snr_LVR" hidden="1">#REF!</definedName>
    <definedName name="EMDM_Snr_Mgn" hidden="1">#REF!</definedName>
    <definedName name="EMDM_Snr_Name" hidden="1">#REF!</definedName>
    <definedName name="EMDM_Snr_Pback" hidden="1">#REF!</definedName>
    <definedName name="EMDM_Snr_Peak" hidden="1">#REF!</definedName>
    <definedName name="EMDM_Snr_Prof" hidden="1">#REF!</definedName>
    <definedName name="EMDM_Span" hidden="1">#REF!</definedName>
    <definedName name="EMDM_StatFee" hidden="1">#REF!</definedName>
    <definedName name="EMDM_WACC" hidden="1">#REF!</definedName>
    <definedName name="EMDM_YldCost" hidden="1">#REF!</definedName>
    <definedName name="Enable">#REF!</definedName>
    <definedName name="EnableOptCol_1">#REF!</definedName>
    <definedName name="EnableOptCol_2">#REF!</definedName>
    <definedName name="EnableOptCol_3">#REF!</definedName>
    <definedName name="EnableOptCol_4">#REF!</definedName>
    <definedName name="EnableOptCol_5">#REF!</definedName>
    <definedName name="EnableOptCol_6">#REF!</definedName>
    <definedName name="EnableOptCol_7">#REF!</definedName>
    <definedName name="EnableOptCol_8">#REF!</definedName>
    <definedName name="End_Bal">#REF!</definedName>
    <definedName name="End_of_Year_Principal">#REF!</definedName>
    <definedName name="EndBalance">OFFSET(#REF!,1,5,COUNTA(#REF!),1)</definedName>
    <definedName name="EndCapEmp">#REF!</definedName>
    <definedName name="Engineering_Links">#REF!</definedName>
    <definedName name="EngineeringLinksStart">#REF!</definedName>
    <definedName name="EngineeringStart">#REF!</definedName>
    <definedName name="EngLinksStart">#REF!</definedName>
    <definedName name="EngSummaryStart">#REF!</definedName>
    <definedName name="Entity">#REF!</definedName>
    <definedName name="EOSB_Charge">#REF!</definedName>
    <definedName name="EOSB_Paid">#REF!</definedName>
    <definedName name="EoYError1">#REF!</definedName>
    <definedName name="EoYInit1">#REF!</definedName>
    <definedName name="EQ">#REF!</definedName>
    <definedName name="EquGFA_Chk">#REF!</definedName>
    <definedName name="Equity">#REF!</definedName>
    <definedName name="EquityCF_1">#REF!</definedName>
    <definedName name="EquityCF_2">#REF!</definedName>
    <definedName name="EquityCF_3">#REF!</definedName>
    <definedName name="EquityCF_4">#REF!</definedName>
    <definedName name="EquityCF_5">#REF!</definedName>
    <definedName name="EquityCF_6">#REF!</definedName>
    <definedName name="EquityCF_7">#REF!</definedName>
    <definedName name="EquityCF_8">#REF!</definedName>
    <definedName name="erase2" hidden="1">{#N/A,#N/A,FALSE,"Summary";#N/A,#N/A,FALSE,"CF";#N/A,#N/A,FALSE,"P&amp;L";#N/A,#N/A,FALSE,"BS";#N/A,#N/A,FALSE,"Returns";#N/A,#N/A,FALSE,"Assumptions";#N/A,#N/A,FALSE,"Analysis"}</definedName>
    <definedName name="erase3" hidden="1">{#N/A,#N/A,FALSE,"Summary";#N/A,#N/A,FALSE,"CF";#N/A,#N/A,FALSE,"P&amp;L";"summary",#N/A,FALSE,"Returns";#N/A,#N/A,FALSE,"BS";"summary",#N/A,FALSE,"Analysis";#N/A,#N/A,FALSE,"Assumptions"}</definedName>
    <definedName name="ergadfg">#N/A</definedName>
    <definedName name="Err_Alert">#REF!</definedName>
    <definedName name="ERROR">#REF!</definedName>
    <definedName name="ErrorT">#REF!</definedName>
    <definedName name="esclation">#REF!</definedName>
    <definedName name="esclation2">#REF!</definedName>
    <definedName name="Esortrange">#REF!</definedName>
    <definedName name="Etstart">#REF!</definedName>
    <definedName name="EU">#REF!</definedName>
    <definedName name="Eur_LTA">SUM(#REF!)</definedName>
    <definedName name="euro">#REF!</definedName>
    <definedName name="Euroland">#REF!</definedName>
    <definedName name="EurolandExch">#REF!</definedName>
    <definedName name="EurolandGDP">#REF!</definedName>
    <definedName name="Europe">#REF!</definedName>
    <definedName name="ewf" hidden="1">#REF!</definedName>
    <definedName name="EX_Map">#REF!</definedName>
    <definedName name="exc">0.275</definedName>
    <definedName name="Exceptions">OFFSET(#REF!,0,0,COUNTA(#REF!),1)</definedName>
    <definedName name="exchange.rate">#REF!</definedName>
    <definedName name="Exchange_rate_US">#REF!</definedName>
    <definedName name="Exit">#N/A</definedName>
    <definedName name="Exitmtlp">#REF!</definedName>
    <definedName name="ExNBDiff1">#REF!</definedName>
    <definedName name="exp_00">#REF!</definedName>
    <definedName name="exp_98">#REF!</definedName>
    <definedName name="exp_99">#REF!</definedName>
    <definedName name="exp1ctrl">#REF!</definedName>
    <definedName name="expcateg">#REF!</definedName>
    <definedName name="expctrl">#REF!</definedName>
    <definedName name="expmix">#REF!</definedName>
    <definedName name="Exports">#REF!</definedName>
    <definedName name="Exrate">#REF!</definedName>
    <definedName name="ext">#REF!</definedName>
    <definedName name="Extra_Pay">#REF!</definedName>
    <definedName name="F">#REF!</definedName>
    <definedName name="F.01">#REF!</definedName>
    <definedName name="F.02">#REF!</definedName>
    <definedName name="F.03">#REF!</definedName>
    <definedName name="F.04">#REF!</definedName>
    <definedName name="F.05">#REF!</definedName>
    <definedName name="F.08">#REF!</definedName>
    <definedName name="F.10">#REF!</definedName>
    <definedName name="F.20">#REF!</definedName>
    <definedName name="F.30">#REF!</definedName>
    <definedName name="F.30a">#REF!</definedName>
    <definedName name="F.30b">#REF!</definedName>
    <definedName name="F.41">#REF!</definedName>
    <definedName name="F.42">#REF!</definedName>
    <definedName name="F.50">#REF!</definedName>
    <definedName name="F.51">#REF!</definedName>
    <definedName name="F.60">#REF!</definedName>
    <definedName name="F.61">#REF!</definedName>
    <definedName name="F_____PAINTING">#REF!</definedName>
    <definedName name="FA_Cost_Add_Other_Assets">#REF!</definedName>
    <definedName name="fac">#REF!</definedName>
    <definedName name="FandB_Summary">#REF!</definedName>
    <definedName name="fas">#N/A</definedName>
    <definedName name="FastTrack">#REF!</definedName>
    <definedName name="Fax">#REF!</definedName>
    <definedName name="Fb">#REF!</definedName>
    <definedName name="FBCPX">#REF!</definedName>
    <definedName name="FC">#REF!</definedName>
    <definedName name="FCode" hidden="1">#REF!</definedName>
    <definedName name="FCSummary">#REF!</definedName>
    <definedName name="FCSummary1">#REF!</definedName>
    <definedName name="fdssa" hidden="1">{#N/A,#N/A,FALSE,"Summary";#N/A,#N/A,FALSE,"CF";#N/A,#N/A,FALSE,"P&amp;L";#N/A,#N/A,FALSE,"BS";#N/A,#N/A,FALSE,"Returns";#N/A,#N/A,FALSE,"Assumptions";#N/A,#N/A,FALSE,"Analysis"}</definedName>
    <definedName name="Feb_08">#REF!</definedName>
    <definedName name="FebSun1">DATEVALUE("2/1/"&amp;TheYear)-WEEKDAY(DATEVALUE("2/1/"&amp;TheYear))+1</definedName>
    <definedName name="Fee">#REF!</definedName>
    <definedName name="FF">#REF!</definedName>
    <definedName name="fffff" hidden="1">{#N/A,#N/A,FALSE,"Bal.Sht"}</definedName>
    <definedName name="fffffffffffffffff">#REF!</definedName>
    <definedName name="fgh">#N/A</definedName>
    <definedName name="FHYCOL1">#REF!</definedName>
    <definedName name="FibCons_Dmd">#REF!</definedName>
    <definedName name="FibMill_Dmd">#REF!</definedName>
    <definedName name="FigTitle">#REF!</definedName>
    <definedName name="file">#REF!</definedName>
    <definedName name="FileName">#REF!</definedName>
    <definedName name="Final_Data">#REF!</definedName>
    <definedName name="FinaMI">#REF!</definedName>
    <definedName name="Financing_Balloon_Repayment">#REF!</definedName>
    <definedName name="Financing_Drawdowns">#REF!</definedName>
    <definedName name="Financing_Fee_Expense">#REF!</definedName>
    <definedName name="Financing_Fees_Amort">#REF!</definedName>
    <definedName name="Financing_Interest_Amort">#REF!</definedName>
    <definedName name="Financing_Interest_Expense">#REF!</definedName>
    <definedName name="Financing_Net_Assets_Purchased">#REF!</definedName>
    <definedName name="Financing_Total_Cont_Payment">#REF!</definedName>
    <definedName name="Financing_Total_Loan_Repayments">#REF!</definedName>
    <definedName name="FinEquity">#REF!</definedName>
    <definedName name="Finland">#REF!</definedName>
    <definedName name="Finland_FranceExch">#REF!</definedName>
    <definedName name="FinlandGDP">#REF!</definedName>
    <definedName name="finsarea">#REF!</definedName>
    <definedName name="FinWIPTest">#REF!</definedName>
    <definedName name="First">#REF!</definedName>
    <definedName name="firstyear">#REF!</definedName>
    <definedName name="Fixed_costs">#REF!</definedName>
    <definedName name="flag_d1">#REF!</definedName>
    <definedName name="flag_d2">#REF!</definedName>
    <definedName name="flag_sub">#REF!</definedName>
    <definedName name="flag_t">#REF!</definedName>
    <definedName name="FlagTGMT">#REF!</definedName>
    <definedName name="FLOW0">#REF!</definedName>
    <definedName name="forcast2">#REF!</definedName>
    <definedName name="forCBScode">#N/A</definedName>
    <definedName name="forGLcode">#N/A</definedName>
    <definedName name="forGLcodeCapex">#N/A</definedName>
    <definedName name="FormulaStart">#REF!</definedName>
    <definedName name="FOType">#REF!</definedName>
    <definedName name="FPrd_FIL">#REF!</definedName>
    <definedName name="FPrd_Rcy">#REF!</definedName>
    <definedName name="FPrd_STP">#REF!</definedName>
    <definedName name="FPrd_Tot">#REF!</definedName>
    <definedName name="France">#REF!</definedName>
    <definedName name="FranceGDP">#REF!</definedName>
    <definedName name="Frct_Margin">#REF!</definedName>
    <definedName name="fred" hidden="1">{"'Break down'!$A$4"}</definedName>
    <definedName name="frf">#REF!</definedName>
    <definedName name="fs">#N/A</definedName>
    <definedName name="ftebasic">#REF!</definedName>
    <definedName name="Fuck">#REF!</definedName>
    <definedName name="FuelOilDel">#REF!</definedName>
    <definedName name="fullyr_local_IS">#REF!</definedName>
    <definedName name="fullyr_us_IS">#REF!</definedName>
    <definedName name="functionaltype">#REF!</definedName>
    <definedName name="functionaluse">#REF!</definedName>
    <definedName name="fundingtype">#REF!</definedName>
    <definedName name="furnituredep">#REF!</definedName>
    <definedName name="fwsdgwerg">#N/A</definedName>
    <definedName name="FX">#REF!</definedName>
    <definedName name="fxb">#REF!</definedName>
    <definedName name="fxc">#REF!</definedName>
    <definedName name="fxd">#REF!</definedName>
    <definedName name="FYDay">#REF!</definedName>
    <definedName name="fye">#REF!</definedName>
    <definedName name="FYMonth">#REF!</definedName>
    <definedName name="FYYear">#REF!</definedName>
    <definedName name="g">#REF!</definedName>
    <definedName name="G.01">#REF!</definedName>
    <definedName name="G.01a">#REF!</definedName>
    <definedName name="G.01b">#REF!</definedName>
    <definedName name="G.01c">#REF!</definedName>
    <definedName name="G.01d">#REF!</definedName>
    <definedName name="G.01e">#REF!</definedName>
    <definedName name="G.05">#REF!</definedName>
    <definedName name="G.10">#REF!</definedName>
    <definedName name="G.101">#REF!</definedName>
    <definedName name="G.10a">#REF!</definedName>
    <definedName name="G.10b">#REF!</definedName>
    <definedName name="G.10c">#REF!</definedName>
    <definedName name="G.110">#REF!</definedName>
    <definedName name="G.20">#REF!</definedName>
    <definedName name="G.20a">#REF!</definedName>
    <definedName name="G.20b">#REF!</definedName>
    <definedName name="G.20c">#REF!</definedName>
    <definedName name="G.20d">#REF!</definedName>
    <definedName name="G.20e">#REF!</definedName>
    <definedName name="G.20f">#REF!</definedName>
    <definedName name="G.30">#REF!</definedName>
    <definedName name="G.30a">#REF!</definedName>
    <definedName name="G.30b">#REF!</definedName>
    <definedName name="G.50">#REF!</definedName>
    <definedName name="G.60">#REF!</definedName>
    <definedName name="G.61">#REF!</definedName>
    <definedName name="G.62">#REF!</definedName>
    <definedName name="G.63">#REF!</definedName>
    <definedName name="G.71">#REF!</definedName>
    <definedName name="G.72">#REF!</definedName>
    <definedName name="G.73">#REF!</definedName>
    <definedName name="G.75">#REF!</definedName>
    <definedName name="G.78">#REF!</definedName>
    <definedName name="G.80">#REF!</definedName>
    <definedName name="G.90">#REF!</definedName>
    <definedName name="G______SANITARY___PLUMBING">#REF!</definedName>
    <definedName name="GA">#REF!</definedName>
    <definedName name="Gantt_colhide">#REF!,#REF!</definedName>
    <definedName name="Gantt_rowhide">#REF!,#REF!,#REF!,#REF!</definedName>
    <definedName name="Gantt_rowhiderent">#REF!,#REF!</definedName>
    <definedName name="GasP1">#REF!</definedName>
    <definedName name="GasPricepasted">#REF!</definedName>
    <definedName name="gawegrwragfa" hidden="1">{#N/A,#N/A,FALSE,"Summary04";#N/A,#N/A,FALSE,"CCP Group";#N/A,#N/A,FALSE,"Jubail Group Rev2";#N/A,#N/A,FALSE,"CML Group"}</definedName>
    <definedName name="gbp">#REF!</definedName>
    <definedName name="gdfdf">#REF!</definedName>
    <definedName name="GDP">#REF!</definedName>
    <definedName name="GEFA">#REF!</definedName>
    <definedName name="GEFAGF">#REF!</definedName>
    <definedName name="Gender">#REF!</definedName>
    <definedName name="Generation">#REF!</definedName>
    <definedName name="GenericBrandPrice">#REF!</definedName>
    <definedName name="geodispersal">#REF!</definedName>
    <definedName name="Geography">#REF!</definedName>
    <definedName name="Germany">#REF!</definedName>
    <definedName name="Germany_IrelandExch">#REF!</definedName>
    <definedName name="GermanyGDP">#REF!</definedName>
    <definedName name="gf">#N/A</definedName>
    <definedName name="GFA_Apts">#REF!</definedName>
    <definedName name="GFA_Clubs">#REF!</definedName>
    <definedName name="GFA_creek_villas">#REF!</definedName>
    <definedName name="GFA_High_end_Apts">#REF!</definedName>
    <definedName name="GFA_offices">#REF!</definedName>
    <definedName name="GFA_Retail">#REF!</definedName>
    <definedName name="GFA_street_apts">#REF!</definedName>
    <definedName name="gfffd">#REF!</definedName>
    <definedName name="gfggfghsda">#REF!</definedName>
    <definedName name="gggg">#N/A</definedName>
    <definedName name="GIFA">#REF!</definedName>
    <definedName name="GKV_2P00_012000">#REF!</definedName>
    <definedName name="GKV_2P00_022000">#REF!</definedName>
    <definedName name="GKV_2P00_032000">#REF!</definedName>
    <definedName name="GKV_2P00_042000">#REF!</definedName>
    <definedName name="GKV_2P00_052000">#REF!</definedName>
    <definedName name="GKV_2P00_062000">#REF!</definedName>
    <definedName name="GKV_2P00_072000">#REF!</definedName>
    <definedName name="GKV_2P00_082000">#REF!</definedName>
    <definedName name="GKV_2P00_092000">#REF!</definedName>
    <definedName name="GKV_2P00_102000">#REF!</definedName>
    <definedName name="GKV_2P00_112000">#REF!</definedName>
    <definedName name="GKV_2P00_122000">#REF!</definedName>
    <definedName name="GKV_2P00_2000">#REF!</definedName>
    <definedName name="GKV_2P00_2001">#REF!</definedName>
    <definedName name="GKV_2P00_2002">#REF!</definedName>
    <definedName name="GKV_2P00_2003">#REF!</definedName>
    <definedName name="GKV_2P00_2004">#REF!</definedName>
    <definedName name="GKV_2P00_2005">#REF!</definedName>
    <definedName name="GKV_AfA">#REF!</definedName>
    <definedName name="GKV_aktEigen">#REF!</definedName>
    <definedName name="GKV_Bestandsver">#REF!</definedName>
    <definedName name="GKV_DurchleitungExtern">#REF!</definedName>
    <definedName name="GKV_DurchleitungIntern">#REF!</definedName>
    <definedName name="GKV_MatProjekteDB">#REF!</definedName>
    <definedName name="GKV_Menge">#REF!</definedName>
    <definedName name="GKV_MietenBuT">#REF!</definedName>
    <definedName name="GKV_MietenVuV">#REF!</definedName>
    <definedName name="GKV_Mietleitunge">#REF!</definedName>
    <definedName name="GKV_MinCarrier">#REF!</definedName>
    <definedName name="GKV_MinInternet">#REF!</definedName>
    <definedName name="GKV_MinVoice">#REF!</definedName>
    <definedName name="GKV_Personalaufwand">#REF!</definedName>
    <definedName name="GKV_Positionen">#REF!</definedName>
    <definedName name="GKV_Provisionen">#REF!</definedName>
    <definedName name="GKV_SonstEuA">#REF!</definedName>
    <definedName name="GKV_SonstMat">#REF!</definedName>
    <definedName name="GKV_SonstVuV">#REF!</definedName>
    <definedName name="GKV_Steuern">#REF!</definedName>
    <definedName name="GKV_Umsatz_Carrier">#REF!</definedName>
    <definedName name="GKV_Umsatz_Daten">#REF!</definedName>
    <definedName name="GKV_Umsatz_Intern">#REF!</definedName>
    <definedName name="GKV_Umsatz_InternetAccess">#REF!</definedName>
    <definedName name="GKV_Umsatz_InternetTransaktion">#REF!</definedName>
    <definedName name="GKV_Umsatz_InternetWerbung">#REF!</definedName>
    <definedName name="GKV_Umsatz_LeadedLine">#REF!</definedName>
    <definedName name="GKV_Umsatz_Sonst">#REF!</definedName>
    <definedName name="GKV_Umsatz_Sprache">#REF!</definedName>
    <definedName name="GKV_VerrechungMCO">#REF!</definedName>
    <definedName name="GKV_VuVintern">#REF!</definedName>
    <definedName name="GKV_Werbeaufwand">#REF!</definedName>
    <definedName name="GKV_Zinsen">#REF!</definedName>
    <definedName name="gl">#REF!</definedName>
    <definedName name="GL_XFrom_My_Table_2">#REF!</definedName>
    <definedName name="globale_marge">#REF!</definedName>
    <definedName name="Govt">#REF!</definedName>
    <definedName name="Grace">#REF!</definedName>
    <definedName name="gracele">#REF!</definedName>
    <definedName name="Graph1">#REF!</definedName>
    <definedName name="Graph1_0">#REF!</definedName>
    <definedName name="Graph1_1">#REF!</definedName>
    <definedName name="Graph10">#REF!</definedName>
    <definedName name="Graph10_0">#REF!</definedName>
    <definedName name="Graph10_1">#REF!</definedName>
    <definedName name="Graph14">#REF!</definedName>
    <definedName name="Graph14_0">#REF!</definedName>
    <definedName name="Graph14_1">#REF!</definedName>
    <definedName name="Graph15">#REF!</definedName>
    <definedName name="Graph15_0">#REF!</definedName>
    <definedName name="Graph15_1">#REF!</definedName>
    <definedName name="Graph16">#REF!</definedName>
    <definedName name="Graph16_0">#REF!</definedName>
    <definedName name="Graph16_1">#REF!</definedName>
    <definedName name="Graph2">#REF!</definedName>
    <definedName name="Graph2_0">#REF!</definedName>
    <definedName name="Graph2_1">#REF!</definedName>
    <definedName name="Graph3">#REF!</definedName>
    <definedName name="Graph3_0">#REF!</definedName>
    <definedName name="Graph3_1">#REF!</definedName>
    <definedName name="Graph5">#REF!</definedName>
    <definedName name="Graph5_0">#REF!</definedName>
    <definedName name="Graph5_1">#REF!</definedName>
    <definedName name="Graph9">#REF!</definedName>
    <definedName name="Graph9_0">#REF!</definedName>
    <definedName name="Graph9_1">#REF!</definedName>
    <definedName name="grcountry">#REF!</definedName>
    <definedName name="Greece">#REF!</definedName>
    <definedName name="GreeceExch">#REF!</definedName>
    <definedName name="GreeceGDP">#REF!</definedName>
    <definedName name="grname">#REF!</definedName>
    <definedName name="Gross_margin">#REF!</definedName>
    <definedName name="grosstariff">#REF!</definedName>
    <definedName name="GroupCo_Names_Long">#REF!</definedName>
    <definedName name="GST_Method">#REF!</definedName>
    <definedName name="GSTLease">#REF!</definedName>
    <definedName name="GSTLease_1">#REF!</definedName>
    <definedName name="GSTLease_2">#REF!</definedName>
    <definedName name="GSTLease_3">#REF!</definedName>
    <definedName name="GSTLease_4">#REF!</definedName>
    <definedName name="GSTLease_5">#REF!</definedName>
    <definedName name="GSTLease_6">#REF!</definedName>
    <definedName name="GSTLease_7">#REF!</definedName>
    <definedName name="GSTLease_8">#REF!</definedName>
    <definedName name="GSTSale">#REF!</definedName>
    <definedName name="GSTSale_1">#REF!</definedName>
    <definedName name="GSTSale_2">#REF!</definedName>
    <definedName name="GSTSale_3">#REF!</definedName>
    <definedName name="GSTSale_4">#REF!</definedName>
    <definedName name="GSTSale_5">#REF!</definedName>
    <definedName name="GSTSale_6">#REF!</definedName>
    <definedName name="GSTSale_7">#REF!</definedName>
    <definedName name="GSTSale_8">#REF!</definedName>
    <definedName name="GSTSell">#REF!</definedName>
    <definedName name="GSTSell_1">#REF!</definedName>
    <definedName name="GSTSell_2">#REF!</definedName>
    <definedName name="GSTSell_3">#REF!</definedName>
    <definedName name="GSTSell_4">#REF!</definedName>
    <definedName name="GSTSell_5">#REF!</definedName>
    <definedName name="GSTSell_6">#REF!</definedName>
    <definedName name="GSTSell_7">#REF!</definedName>
    <definedName name="GSTSell_8">#REF!</definedName>
    <definedName name="GSTVAT">#REF!</definedName>
    <definedName name="gw">#REF!</definedName>
    <definedName name="gwyr">#REF!</definedName>
    <definedName name="h">#REF!</definedName>
    <definedName name="H.01">#REF!</definedName>
    <definedName name="H.01a">#REF!</definedName>
    <definedName name="H.01b">#REF!</definedName>
    <definedName name="H.01c">#REF!</definedName>
    <definedName name="H.01d">#REF!</definedName>
    <definedName name="H.01e">#REF!</definedName>
    <definedName name="H.01f">#REF!</definedName>
    <definedName name="H.02">#REF!</definedName>
    <definedName name="H.02a">#REF!</definedName>
    <definedName name="H.02b">#REF!</definedName>
    <definedName name="H.02c">#REF!</definedName>
    <definedName name="H.02d">#REF!</definedName>
    <definedName name="H.03">#REF!</definedName>
    <definedName name="H.03a">#REF!</definedName>
    <definedName name="H.21">#REF!</definedName>
    <definedName name="H.22">#REF!</definedName>
    <definedName name="H.23">#REF!</definedName>
    <definedName name="H.24">#REF!</definedName>
    <definedName name="H.26">#REF!</definedName>
    <definedName name="H.30">#REF!</definedName>
    <definedName name="H.30a">#REF!</definedName>
    <definedName name="H.30b">#REF!</definedName>
    <definedName name="H.30c">#REF!</definedName>
    <definedName name="H.40">#REF!</definedName>
    <definedName name="H.41">#REF!</definedName>
    <definedName name="H.42">#REF!</definedName>
    <definedName name="H.50">#REF!</definedName>
    <definedName name="H.60">#REF!</definedName>
    <definedName name="H.65">#REF!</definedName>
    <definedName name="H.70">#REF!</definedName>
    <definedName name="H_______EARTH_WORKS">#REF!</definedName>
    <definedName name="H_______PLUMBING_PVC_PIPES">#REF!</definedName>
    <definedName name="hahchcjcv" hidden="1">{"vi1",#N/A,FALSE,"Financial Statements";"vi2",#N/A,FALSE,"Financial Statements";#N/A,#N/A,FALSE,"DCF"}</definedName>
    <definedName name="halls">#REF!</definedName>
    <definedName name="Handel">#REF!</definedName>
    <definedName name="Handsets">#REF!</definedName>
    <definedName name="Hassa">#REF!</definedName>
    <definedName name="HAUT2">#REF!</definedName>
    <definedName name="HAUT3">#REF!</definedName>
    <definedName name="HAUT4">#REF!</definedName>
    <definedName name="HAUT5">#REF!</definedName>
    <definedName name="HAUT6">#REF!</definedName>
    <definedName name="HAUT7">#REF!</definedName>
    <definedName name="hazem">#REF!</definedName>
    <definedName name="HBALSHA">#REF!</definedName>
    <definedName name="HBALSHE">#REF!</definedName>
    <definedName name="HBALSHEYR">#REF!</definedName>
    <definedName name="HBALSHYR">#REF!</definedName>
    <definedName name="HC">#REF!</definedName>
    <definedName name="HCASHFLO">#REF!</definedName>
    <definedName name="HCASHYR">#REF!</definedName>
    <definedName name="HCOV">#REF!</definedName>
    <definedName name="HData_Segm_splitup">#REF!</definedName>
    <definedName name="Header_Row">ROW(#REF!)</definedName>
    <definedName name="hello">#REF!</definedName>
    <definedName name="hellooooasdajid">#REF!</definedName>
    <definedName name="hgfdhg">#REF!</definedName>
    <definedName name="hgkghkgkg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hgkgkghk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HH">#REF!</definedName>
    <definedName name="HiddenRows" hidden="1">#REF!</definedName>
    <definedName name="high">#REF!</definedName>
    <definedName name="HighValue">#REF!</definedName>
    <definedName name="HINCST">#REF!</definedName>
    <definedName name="HINCSTYR">#REF!</definedName>
    <definedName name="HoldDR">#REF!</definedName>
    <definedName name="Holidays">#REF!</definedName>
    <definedName name="Hong_Kong">#REF!</definedName>
    <definedName name="Hong_KongExch">#REF!</definedName>
    <definedName name="Hong_KongGDP">#REF!</definedName>
    <definedName name="Hosam" hidden="1">{#N/A,#N/A,FALSE,"inctrnd99"}</definedName>
    <definedName name="HOTEL">#REF!</definedName>
    <definedName name="Hotelnetrent1">#REF!</definedName>
    <definedName name="hotelnetrent2">#REF!</definedName>
    <definedName name="HPL">#REF!</definedName>
    <definedName name="HR">#REF!</definedName>
    <definedName name="HRATIO">#REF!</definedName>
    <definedName name="HRATIOYR">#REF!</definedName>
    <definedName name="hrcs">#REF!</definedName>
    <definedName name="HSHS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HSHSHSHSHS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hth">#REF!</definedName>
    <definedName name="HTML_CodePage" hidden="1">1252</definedName>
    <definedName name="HTML_Control" hidden="1">{"'DCF mthod 15%'!$A$1:$L$85"}</definedName>
    <definedName name="HTML_Description" hidden="1">"This is test model for UNILEVER"</definedName>
    <definedName name="HTML_Email" hidden="1">"ashaikh@savola.com"</definedName>
    <definedName name="HTML_Header" hidden="1">"DCF mthod 15%"</definedName>
    <definedName name="HTML_LastUpdate" hidden="1">"2/21/01"</definedName>
    <definedName name="HTML_LineAfter" hidden="1">TRUE</definedName>
    <definedName name="HTML_LineBefore" hidden="1">TRUE</definedName>
    <definedName name="HTML_Name" hidden="1">"Asif Iqbal"</definedName>
    <definedName name="HTML_OBDlg2" hidden="1">TRUE</definedName>
    <definedName name="HTML_OBDlg4" hidden="1">TRUE</definedName>
    <definedName name="HTML_OS" hidden="1">0</definedName>
    <definedName name="HTML_PathFile" hidden="1">"C:\My Documents\MyHTML.htm"</definedName>
    <definedName name="HTML_Title" hidden="1">"Valuation Pakistan-Best Estimate"</definedName>
    <definedName name="Hungary">#REF!</definedName>
    <definedName name="HungaryExch">#REF!</definedName>
    <definedName name="HungaryGDP">#REF!</definedName>
    <definedName name="HYPERION">#REF!</definedName>
    <definedName name="I">#REF!</definedName>
    <definedName name="I.01">#REF!</definedName>
    <definedName name="I.02">#REF!</definedName>
    <definedName name="I.03">#REF!</definedName>
    <definedName name="I.04">#REF!</definedName>
    <definedName name="I.05">#REF!</definedName>
    <definedName name="ID">#REF!</definedName>
    <definedName name="igrissam">#REF!</definedName>
    <definedName name="igrsaadia">#REF!</definedName>
    <definedName name="IHBARSURESI">#REF!</definedName>
    <definedName name="IKRAMIYESURESI">#REF!</definedName>
    <definedName name="Import_1071">#REF!</definedName>
    <definedName name="Import_11">#REF!</definedName>
    <definedName name="Import_1572">#REF!</definedName>
    <definedName name="Import_73">#REF!</definedName>
    <definedName name="Import_734">#REF!</definedName>
    <definedName name="Import_738">#REF!</definedName>
    <definedName name="Import_760">#REF!</definedName>
    <definedName name="Import_762">#REF!</definedName>
    <definedName name="Import_768">#REF!</definedName>
    <definedName name="Import_770">#REF!</definedName>
    <definedName name="Import_960">#REF!</definedName>
    <definedName name="Import_Export_Region">#REF!</definedName>
    <definedName name="INCENFEE">#REF!</definedName>
    <definedName name="incl_OS">#REF!</definedName>
    <definedName name="incl_voice">#REF!</definedName>
    <definedName name="Included">#REF!</definedName>
    <definedName name="Income_Statement">#REF!</definedName>
    <definedName name="IncomeDistType">#REF!</definedName>
    <definedName name="INDEX">#REF!,#REF!</definedName>
    <definedName name="India">#REF!</definedName>
    <definedName name="IndiaExch">#REF!</definedName>
    <definedName name="IndiaGDP">#REF!</definedName>
    <definedName name="Indonesia">#REF!</definedName>
    <definedName name="IndonesiaExch">#REF!</definedName>
    <definedName name="IndonesiaGDP">#REF!</definedName>
    <definedName name="infaten">#REF!</definedName>
    <definedName name="InfExO1">#REF!</definedName>
    <definedName name="inflatefive">#REF!</definedName>
    <definedName name="Inflation_Index">#REF!</definedName>
    <definedName name="inflporparfive">#REF!</definedName>
    <definedName name="Info">#N/A</definedName>
    <definedName name="Inhalte_einfügen">#REF!</definedName>
    <definedName name="InitCalcStatus">-4135</definedName>
    <definedName name="input">#REF!</definedName>
    <definedName name="INPUT_SHT_Actual_Signed_Contracts_Mall1">#REF!</definedName>
    <definedName name="INPUT_SHT_Actual_Signed_Contracts_Mall2">#REF!</definedName>
    <definedName name="INPUT_SHT_Actual_Signed_Contracts_Mall3">#REF!</definedName>
    <definedName name="INPUT_SHT_Actual_Signed_Contracts_Mall4">#REF!</definedName>
    <definedName name="INPUT_SHT_Actual_Signed_Contracts_Mall5">#REF!</definedName>
    <definedName name="INPUT_SHT_Actual_Signed_Contracts_Mall6">#REF!</definedName>
    <definedName name="INPUT_SHT_Actual_Signed_Contracts_Mall7">#REF!</definedName>
    <definedName name="INPUT_SHT_Actual_Signed_Contracts_Mall8">#REF!</definedName>
    <definedName name="INPUT_SHT_Actual_Signed_Contracts_Mall9">#REF!</definedName>
    <definedName name="INPUT_SHT_GLA_Mall1">#REF!</definedName>
    <definedName name="INPUT_SHT_GLA_Mall1B">#REF!</definedName>
    <definedName name="INPUT_SHT_GLA_Mall2">#REF!</definedName>
    <definedName name="INPUT_SHT_GLA_Mall3">#REF!</definedName>
    <definedName name="INPUT_SHT_GLA_Mall3B">#REF!</definedName>
    <definedName name="INPUT_SHT_GLA_Mall4">#REF!</definedName>
    <definedName name="INPUT_SHT_GLA_Mall5">#REF!</definedName>
    <definedName name="INPUT_SHT_GLA_Mall6">#REF!</definedName>
    <definedName name="INPUT_SHT_GLA_Mall7">#REF!</definedName>
    <definedName name="INPUT_SHT_GLA_Mall8">#REF!</definedName>
    <definedName name="INPUT_SHT_GLA_Mall9">#REF!</definedName>
    <definedName name="INPUT_SHT_Recov_Charge_Mall1">#REF!</definedName>
    <definedName name="INPUT_SHT_Recov_Charge_Mall2">#REF!</definedName>
    <definedName name="INPUT_SHT_Recov_Charge_Mall3">#REF!</definedName>
    <definedName name="INPUT_SHT_Recov_Charge_Mall4">#REF!</definedName>
    <definedName name="INPUT_SHT_Recov_Charge_Mall5">#REF!</definedName>
    <definedName name="INPUT_SHT_Recov_Charge_Mall6">#REF!</definedName>
    <definedName name="INPUT_SHT_Recov_Charge_Mall7">#REF!</definedName>
    <definedName name="INPUT_SHT_Recov_Charge_Mall8">#REF!</definedName>
    <definedName name="INPUT_SHT_Recov_Charge_Mall9">#REF!</definedName>
    <definedName name="INPUT_SHT_Serv_Charge_Mall1">#REF!</definedName>
    <definedName name="INPUT_SHT_Serv_Charge_Mall2">#REF!</definedName>
    <definedName name="INPUT_SHT_Serv_Charge_Mall3">#REF!</definedName>
    <definedName name="INPUT_SHT_Serv_Charge_Mall4">#REF!</definedName>
    <definedName name="INPUT_SHT_Serv_Charge_Mall5">#REF!</definedName>
    <definedName name="INPUT_SHT_Serv_Charge_Mall6">#REF!</definedName>
    <definedName name="INPUT_SHT_Serv_Charge_Mall7">#REF!</definedName>
    <definedName name="INPUT_SHT_Serv_Charge_Mall8">#REF!</definedName>
    <definedName name="INPUT_SHT_Serv_Charge_Mall9">#REF!</definedName>
    <definedName name="INPUT_SHT_Start_Date_Mall1">#REF!</definedName>
    <definedName name="INPUT_SHT_Start_Date_Mall1B">#REF!</definedName>
    <definedName name="INPUT_SHT_Start_Date_Mall2">#REF!</definedName>
    <definedName name="INPUT_SHT_Start_Date_Mall3">#REF!</definedName>
    <definedName name="INPUT_SHT_Start_Date_Mall3B">#REF!</definedName>
    <definedName name="INPUT_SHT_Start_Date_Mall4">#REF!</definedName>
    <definedName name="INPUT_SHT_Start_Date_Mall5">#REF!</definedName>
    <definedName name="INPUT_SHT_Start_Date_Mall6">#REF!</definedName>
    <definedName name="INPUT_SHT_Start_Date_Mall7">#REF!</definedName>
    <definedName name="INPUT_SHT_Start_Date_Mall8">#REF!</definedName>
    <definedName name="INPUT_SHT_Start_Date_Mall9">#REF!</definedName>
    <definedName name="INPUT_SHT_Total_Possible_Inc_Mall1">#REF!</definedName>
    <definedName name="INPUT_SHT_Total_Possible_Inc_Mall1B">#REF!</definedName>
    <definedName name="INPUT_SHT_Total_Possible_Inc_Mall2">#REF!</definedName>
    <definedName name="INPUT_SHT_Total_Possible_Inc_Mall3">#REF!</definedName>
    <definedName name="INPUT_SHT_Total_Possible_Inc_Mall3B">#REF!</definedName>
    <definedName name="INPUT_SHT_Total_Possible_Inc_Mall4">#REF!</definedName>
    <definedName name="INPUT_SHT_Total_Possible_Inc_Mall5">#REF!</definedName>
    <definedName name="INPUT_SHT_Total_Possible_Inc_Mall6">#REF!</definedName>
    <definedName name="INPUT_SHT_Total_Possible_Inc_Mall7">#REF!</definedName>
    <definedName name="INPUT_SHT_Total_Possible_Inc_Mall8">#REF!</definedName>
    <definedName name="INPUT_SHT_Total_Possible_Inc_Mall9">#REF!</definedName>
    <definedName name="Input_View">#REF!</definedName>
    <definedName name="InputManualInputAll">#REF!,#REF!,#REF!,#REF!,#REF!,#REF!,#REF!,#REF!,#REF!,#REF!,#REF!,#REF!,#REF!</definedName>
    <definedName name="InputSheetDialogBox">"Edit Box 4"</definedName>
    <definedName name="Insurance">#REF!</definedName>
    <definedName name="Int">#REF!</definedName>
    <definedName name="Int_Rate">#REF!</definedName>
    <definedName name="IntAnnuity">#REF!</definedName>
    <definedName name="Interc_Rev_LD_Min">#REF!</definedName>
    <definedName name="Interc_Rev_Loc_Min">#REF!</definedName>
    <definedName name="Interconnect_Cost">#REF!</definedName>
    <definedName name="Interconnect_Sharing">#REF!</definedName>
    <definedName name="InterconnectIncomeStart">#REF!</definedName>
    <definedName name="InterconnectStart">#REF!</definedName>
    <definedName name="Interest_Module.Interest_Module">#REF!</definedName>
    <definedName name="Interest_Payments">#REF!</definedName>
    <definedName name="Interest_Rate">#REF!</definedName>
    <definedName name="interest1">#REF!</definedName>
    <definedName name="interest2">#REF!</definedName>
    <definedName name="interestpas">#REF!,#REF!,#REF!,#REF!,#REF!</definedName>
    <definedName name="InterExpDIY">#REF!</definedName>
    <definedName name="Interim">#REF!</definedName>
    <definedName name="Interval">#REF!</definedName>
    <definedName name="Interval_cutoff">#REF!</definedName>
    <definedName name="IntRepayProfile">#REF!</definedName>
    <definedName name="IntroPrintArea" hidden="1">#REF!</definedName>
    <definedName name="Inv">#REF!</definedName>
    <definedName name="InvestmentRate">#REF!</definedName>
    <definedName name="INVISTA">#REF!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PRICE_TARGET" hidden="1">"c82"</definedName>
    <definedName name="IQ_AVG_SHAREOUTSTANDING" hidden="1">"c83"</definedName>
    <definedName name="IQ_AVG_TEV" hidden="1">"c84"</definedName>
    <definedName name="IQ_AVG_VOLUME" hidden="1">"c1346"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L_Q" hidden="1">"c101"</definedName>
    <definedName name="IQ_CAL_Y" hidden="1">"c102"</definedName>
    <definedName name="IQ_CALL_FEATURE" hidden="1">"c2197"</definedName>
    <definedName name="IQ_CALLABLE" hidden="1">"c2196"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IZED_INTEREST" hidden="1">"c2076"</definedName>
    <definedName name="IQ_CASH" hidden="1">"c1458"</definedName>
    <definedName name="IQ_CASH_ACQUIRE_CF" hidden="1">"c1630"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ASSA_OUTSTANDING_BS_DATE" hidden="1">"c1971"</definedName>
    <definedName name="IQ_CLASSA_OUTSTANDING_FILING_DATE" hidden="1">"c1973"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PREMIUM" hidden="1">"c2195"</definedName>
    <definedName name="IQ_CONV_PRICE" hidden="1">"c2193"</definedName>
    <definedName name="IQ_CONV_RATE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XITY" hidden="1">"c2182"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RATIO" hidden="1">"c246"</definedName>
    <definedName name="IQ_CUSIP" hidden="1">"c2245"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OTHER_COST" hidden="1">"c284"</definedName>
    <definedName name="IQ_DEF_BENEFIT_ROA" hidden="1">"c285"</definedName>
    <definedName name="IQ_DEF_BENEFIT_SERVICE_COST" hidden="1">"c286"</definedName>
    <definedName name="IQ_DEF_BENEFIT_TOTAL_COST" hidden="1">"c287"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INT" hidden="1">"c360"</definedName>
    <definedName name="IQ_EBIT_MARGIN" hidden="1">"c359"</definedName>
    <definedName name="IQ_EBIT_OVER_IE" hidden="1">"c1369"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CAPEX_INT" hidden="1">"c368"</definedName>
    <definedName name="IQ_EBITDA_CAPEX_OVER_TOTAL_IE" hidden="1">"c1370"</definedName>
    <definedName name="IQ_EBITDA_INT" hidden="1">"c373"</definedName>
    <definedName name="IQ_EBITDA_MARGIN" hidden="1">"c372"</definedName>
    <definedName name="IQ_EBITDA_OVER_TOTAL_IE" hidden="1">"c1371"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UM_EST" hidden="1">"c402"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EPS" hidden="1">"c1648"</definedName>
    <definedName name="IQ_EST_CURRENCY" hidden="1">"c2140"</definedName>
    <definedName name="IQ_EST_DATE" hidden="1">"c1634"</definedName>
    <definedName name="IQ_EST_EPS_DIFF" hidden="1">"c1864"</definedName>
    <definedName name="IQ_EST_EPS_GROWTH_1YR" hidden="1">"c1636"</definedName>
    <definedName name="IQ_EST_EPS_GROWTH_5YR" hidden="1">"c1655"</definedName>
    <definedName name="IQ_EST_EPS_GROWTH_Q_1YR" hidden="1">"c1641"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FO" hidden="1">"c1574"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DIVID" hidden="1">"c1446"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ROFIT" hidden="1">"c1378"</definedName>
    <definedName name="IQ_GROSS_SPRD" hidden="1">"c2155"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PARENT" hidden="1">"c2144"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ICENSED_POPS" hidden="1">"c2123"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REPAIR" hidden="1">"c2087"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ET_CHANGE" hidden="1">"c749"</definedName>
    <definedName name="IQ_NET_DEBT" hidden="1">"c1584"</definedName>
    <definedName name="IQ_NET_DEBT_EBITDA" hidden="1">"c750"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SFAS" hidden="1">"c795"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CLOSE_BALANCE_GAS" hidden="1">"c2049"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OIL" hidden="1">"c2035"</definedName>
    <definedName name="IQ_OG_PURCHASES_GAS" hidden="1">"c2045"</definedName>
    <definedName name="IQ_OG_PURCHASES_OIL" hidden="1">"c2033"</definedName>
    <definedName name="IQ_OG_REVISIONS_GAS" hidden="1">"c2042"</definedName>
    <definedName name="IQ_OG_REVISIONS_OIL" hidden="1">"c2030"</definedName>
    <definedName name="IQ_OG_SALES_IN_PLACE_GAS" hidden="1">"c2046"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ON" hidden="1">"c2059"</definedName>
    <definedName name="IQ_OG_UNDEVELOPED_RESERVES_GAS" hidden="1">"c2051"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"c1448"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ISSUED" hidden="1">"c857"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UTSTANDING_BS_DATE" hidden="1">"c2128"</definedName>
    <definedName name="IQ_OUTSTANDING_FILING_DATE" hidden="1">"c2127"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NSION" hidden="1">"c1031"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VG_STORE_SIZE_GROSS" hidden="1">"c2066"</definedName>
    <definedName name="IQ_RETAIL_AVG_STORE_SIZE_NET" hidden="1">"c2067"</definedName>
    <definedName name="IQ_RETAIL_CLOSED_STORES" hidden="1">"c2063"</definedName>
    <definedName name="IQ_RETAIL_OPENED_STORES" hidden="1">"c2062"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Q_FOOTAGE" hidden="1">"c2064"</definedName>
    <definedName name="IQ_RETAIL_STORE_SELLING_AREA" hidden="1">"c2065"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UTI" hidden="1">"c1125"</definedName>
    <definedName name="IQ_REVENUE" hidden="1">"c1422"</definedName>
    <definedName name="IQ_REVISION_DATE_" hidden="1">38715.9041203704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VING_DEP" hidden="1">"c1150"</definedName>
    <definedName name="IQ_SECUR_RECEIV" hidden="1">"c1151"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" hidden="1">"c2171"</definedName>
    <definedName name="IQ_SP_DATE" hidden="1">"c2172"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CF" hidden="1">"c1203"</definedName>
    <definedName name="IQ_STRIKE_PRICE_ISSUED" hidden="1">"c1645"</definedName>
    <definedName name="IQ_STRIKE_PRICE_OS" hidden="1">"c1646"</definedName>
    <definedName name="IQ_STW" hidden="1">"c2166"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UFCF" hidden="1">"c2208"</definedName>
    <definedName name="IQ_TIER_ONE_RATIO" hidden="1">"c1229"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QUITY" hidden="1">"c1250"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EXP" hidden="1">"c1291"</definedName>
    <definedName name="IQ_TOTAL_PENSION_OBLIGATION" hidden="1">"c1292"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S" hidden="1">"c2119"</definedName>
    <definedName name="IQ_TOTAL_UNUSUAL" hidden="1">"c1508"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USUAL_EXP" hidden="1">"c1456"</definedName>
    <definedName name="IQ_US_GAAP" hidden="1">"c1331"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"c2203"</definedName>
    <definedName name="IQ_YEARHIGH" hidden="1">"c1337"</definedName>
    <definedName name="IQ_YEARLOW" hidden="1">"c1338"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Iran">#REF!</definedName>
    <definedName name="IranExch">#REF!</definedName>
    <definedName name="IranGDP">#REF!</definedName>
    <definedName name="Ireland">#REF!</definedName>
    <definedName name="IrelandGDP">#REF!</definedName>
    <definedName name="IRR">#REF!</definedName>
    <definedName name="IRR_EQUITY">#REF!</definedName>
    <definedName name="IRR_FIRM">#REF!</definedName>
    <definedName name="IS_Amort_Exp">#REF!</definedName>
    <definedName name="IS_EBITDA">#REF!</definedName>
    <definedName name="ISACC">#REF!</definedName>
    <definedName name="ISallocataion">#REF!</definedName>
    <definedName name="IsCurrency">#REF!</definedName>
    <definedName name="IsLite" hidden="1">#REF!</definedName>
    <definedName name="ismay" hidden="1">{#N/A,#N/A,FALSE,"inctrnd99"}</definedName>
    <definedName name="ISSIGCAL">#REF!</definedName>
    <definedName name="ISSIGEMK">#REF!</definedName>
    <definedName name="ISSIGISVCAL">#REF!</definedName>
    <definedName name="Italy">#REF!</definedName>
    <definedName name="Italy_NetherlandsExch">#REF!</definedName>
    <definedName name="ItalyGDP">#REF!</definedName>
    <definedName name="ITEM">#REF!</definedName>
    <definedName name="ITEM2">#REF!</definedName>
    <definedName name="ITEM3">#REF!</definedName>
    <definedName name="ITEM4">#REF!</definedName>
    <definedName name="ITEM5">#REF!</definedName>
    <definedName name="ITEM6">#REF!</definedName>
    <definedName name="ITEM7">#REF!</definedName>
    <definedName name="ItemTRX_Date_Sum">#REF!</definedName>
    <definedName name="iteration">#REF!</definedName>
    <definedName name="IZIN">#REF!</definedName>
    <definedName name="J">#REF!</definedName>
    <definedName name="J.01">#REF!</definedName>
    <definedName name="J.02">#REF!</definedName>
    <definedName name="J.03">#REF!</definedName>
    <definedName name="J.04">#REF!</definedName>
    <definedName name="J.05">#REF!</definedName>
    <definedName name="J.06">#REF!</definedName>
    <definedName name="J.07">#REF!</definedName>
    <definedName name="J.08">#REF!</definedName>
    <definedName name="J.09">#REF!</definedName>
    <definedName name="J.10">#REF!</definedName>
    <definedName name="J.11">#REF!</definedName>
    <definedName name="J.20">#REF!</definedName>
    <definedName name="J.30">#REF!</definedName>
    <definedName name="J_cutoff">#REF!</definedName>
    <definedName name="Jan_08">#REF!</definedName>
    <definedName name="JanSun1">DATEVALUE("1/1/"&amp;TheYear)-WEEKDAY(DATEVALUE("1/1/"&amp;TheYear))+1</definedName>
    <definedName name="Japan">#REF!</definedName>
    <definedName name="JapanExch">#REF!</definedName>
    <definedName name="JapanGDP">#REF!</definedName>
    <definedName name="Jassim" hidden="1">{#N/A,#N/A,FALSE,"inctrnd99"}</definedName>
    <definedName name="jdbytraftype">#REF!</definedName>
    <definedName name="jdmktsplitup">#REF!</definedName>
    <definedName name="jhjhj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Jo" hidden="1">{"vi1",#N/A,FALSE,"Financial Statements";"vi2",#N/A,FALSE,"Financial Statements";#N/A,#N/A,FALSE,"DCF"}</definedName>
    <definedName name="Jose" hidden="1">{"vi1",#N/A,FALSE,"Financial Statements";"vi2",#N/A,FALSE,"Financial Statements";#N/A,#N/A,FALSE,"DCF"}</definedName>
    <definedName name="jose31" hidden="1">{"vi1",#N/A,FALSE,"Financial Statements";"vi2",#N/A,FALSE,"Financial Statements";#N/A,#N/A,FALSE,"DCF"}</definedName>
    <definedName name="Jul_08">#REF!</definedName>
    <definedName name="JulSun1">DATEVALUE("7/1/"&amp;TheYear)-WEEKDAY(DATEVALUE("7/1/"&amp;TheYear))+1</definedName>
    <definedName name="Jump_to_Acetic_Anhydride">#REF!</definedName>
    <definedName name="Jump_to_acid">#REF!</definedName>
    <definedName name="Jump_to_Butyl_Acetate">#REF!</definedName>
    <definedName name="Jump_to_Cellulose_Acetate">#REF!</definedName>
    <definedName name="Jump_to_Ethyl_Acetate">#REF!</definedName>
    <definedName name="Jump_to_MCA">#REF!</definedName>
    <definedName name="Jump_to_Propyl_Acetate">#REF!</definedName>
    <definedName name="Jump_to_PTA">#REF!</definedName>
    <definedName name="Jump_to_PVOH">#REF!</definedName>
    <definedName name="Jump_to_VAM">#REF!</definedName>
    <definedName name="Jun_08">#REF!</definedName>
    <definedName name="JunSun1">DATEVALUE("6/1/"&amp;TheYear)-WEEKDAY(DATEVALUE("6/1/"&amp;TheYear))+1</definedName>
    <definedName name="JVCE">#REF!</definedName>
    <definedName name="JVIRR">#REF!</definedName>
    <definedName name="JVPayback">#REF!</definedName>
    <definedName name="JVPV">#REF!</definedName>
    <definedName name="JVYes">#REF!</definedName>
    <definedName name="k">#REF!</definedName>
    <definedName name="K.01">#REF!</definedName>
    <definedName name="K.01a">#REF!</definedName>
    <definedName name="K.01b">#REF!</definedName>
    <definedName name="K.01c">#REF!</definedName>
    <definedName name="K.02">#REF!</definedName>
    <definedName name="K.02a">#REF!</definedName>
    <definedName name="K.02b">#REF!</definedName>
    <definedName name="K.03">#REF!</definedName>
    <definedName name="K.04">#REF!</definedName>
    <definedName name="K.05">#REF!</definedName>
    <definedName name="K.06">#REF!</definedName>
    <definedName name="K.07">#REF!</definedName>
    <definedName name="K.08">#REF!</definedName>
    <definedName name="k76gpn323eld">#REF!</definedName>
    <definedName name="Kamel" hidden="1">#REF!</definedName>
    <definedName name="kareem" hidden="1">#REF!</definedName>
    <definedName name="kareem1">#REF!</definedName>
    <definedName name="Kazakhstan">#REF!</definedName>
    <definedName name="KazakhstanExch">#REF!</definedName>
    <definedName name="KazakhstanGDP">#REF!</definedName>
    <definedName name="Ke">#REF!</definedName>
    <definedName name="Kenya">#REF!</definedName>
    <definedName name="KenyaExch">#REF!</definedName>
    <definedName name="KenyaGDP">#REF!</definedName>
    <definedName name="kghkhgkhg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kh">#N/A</definedName>
    <definedName name="khaled">#N/A</definedName>
    <definedName name="khkh">#N/A</definedName>
    <definedName name="Khurais">#REF!</definedName>
    <definedName name="KIDEMTAVANI">#REF!</definedName>
    <definedName name="kkk">#REF!</definedName>
    <definedName name="kkkkkk">#REF!</definedName>
    <definedName name="KONTROL">#REF!</definedName>
    <definedName name="KOPF1">#REF!</definedName>
    <definedName name="KT_USD">#REF!</definedName>
    <definedName name="KUR">#REF!</definedName>
    <definedName name="Kuwait">#REF!</definedName>
    <definedName name="KuwaitExch">#REF!</definedName>
    <definedName name="KuwaitGDP">#REF!</definedName>
    <definedName name="kuyf">#REF!</definedName>
    <definedName name="L">#REF!</definedName>
    <definedName name="L_______EARTH_WORKS">#REF!</definedName>
    <definedName name="L_1">#REF!</definedName>
    <definedName name="L_Adjust">#REF!</definedName>
    <definedName name="L_AJE_Tot">#REF!</definedName>
    <definedName name="L_CY_Beg">#REF!</definedName>
    <definedName name="L_CY_End">#REF!</definedName>
    <definedName name="L_PY_End">#REF!</definedName>
    <definedName name="L_RJE_Tot">#REF!</definedName>
    <definedName name="Land">#REF!</definedName>
    <definedName name="LandMI">#REF!</definedName>
    <definedName name="LandpMI">#REF!</definedName>
    <definedName name="LandUseList">#REF!</definedName>
    <definedName name="LandUseListOffset">IF(IsLite,OFFSET(#REF!,0,0,5,1),#REF!)</definedName>
    <definedName name="LARG2">#REF!</definedName>
    <definedName name="LARG3">#REF!</definedName>
    <definedName name="LARG4">#REF!</definedName>
    <definedName name="LARG5">#REF!</definedName>
    <definedName name="LARG6">#REF!</definedName>
    <definedName name="LARG7">#REF!</definedName>
    <definedName name="Last_Row">#N/A</definedName>
    <definedName name="lastactual">#REF!</definedName>
    <definedName name="Lastdata">#REF!</definedName>
    <definedName name="LastOpenedWorkSheet">#REF!</definedName>
    <definedName name="LastRefreshed">#REF!</definedName>
    <definedName name="LASTROW">#REF!</definedName>
    <definedName name="lavatory">#REF!</definedName>
    <definedName name="Lbr_Tp">#REF!</definedName>
    <definedName name="LC">#REF!</definedName>
    <definedName name="LCap_POL">#REF!</definedName>
    <definedName name="lcy">#REF!</definedName>
    <definedName name="LD_B_Pt_oLD">#REF!</definedName>
    <definedName name="LD_B_Pt_Re2">#REF!</definedName>
    <definedName name="LD_B_Pt_Re5">#REF!</definedName>
    <definedName name="LD_B_Pt_Reg200">#REF!</definedName>
    <definedName name="LD_B_Pt_Reg50">#REF!</definedName>
    <definedName name="LD_B_Pt_Rw5">#REF!</definedName>
    <definedName name="LD_Bus_GPM">#REF!</definedName>
    <definedName name="LD_R_Pt_oLD">#REF!</definedName>
    <definedName name="LD_R_Pt_Re2">#REF!</definedName>
    <definedName name="LD_R_Pt_Re5">#REF!</definedName>
    <definedName name="LD_R_Pt_Reg200">#REF!</definedName>
    <definedName name="LD_R_Pt_Reg50">#REF!</definedName>
    <definedName name="LD_Tariff">#REF!</definedName>
    <definedName name="LDmd_Tot">#REF!</definedName>
    <definedName name="LEASE">#REF!</definedName>
    <definedName name="lease_mat">#REF!</definedName>
    <definedName name="LeasMI">#REF!</definedName>
    <definedName name="length_3">#REF!</definedName>
    <definedName name="Lesotho">#REF!</definedName>
    <definedName name="LesothoExch">#REF!</definedName>
    <definedName name="LesothoGDP">#REF!</definedName>
    <definedName name="levels">#REF!</definedName>
    <definedName name="LF">#REF!</definedName>
    <definedName name="lfy">#REF!</definedName>
    <definedName name="LFYCOL1">#REF!</definedName>
    <definedName name="LHYCOL1">#REF!</definedName>
    <definedName name="LIABILITY">#REF!</definedName>
    <definedName name="LIB">#REF!</definedName>
    <definedName name="LIBOR">#REF!</definedName>
    <definedName name="License7">#REF!</definedName>
    <definedName name="lieu">#REF!</definedName>
    <definedName name="Life">#REF!</definedName>
    <definedName name="LifeExpectancy">#REF!</definedName>
    <definedName name="limcount" hidden="1">1</definedName>
    <definedName name="lines">#REF!</definedName>
    <definedName name="lines_oth">#REF!</definedName>
    <definedName name="LineToBeSwitched">#REF!</definedName>
    <definedName name="Linka_Nokia">#REF!</definedName>
    <definedName name="Linka_SKET_foau_skin">#REF!</definedName>
    <definedName name="List_RCP">#REF!</definedName>
    <definedName name="LL">#REF!</definedName>
    <definedName name="LL_Length">#REF!</definedName>
    <definedName name="LL_Price_Evolution">#REF!</definedName>
    <definedName name="LLLLL">#REF!</definedName>
    <definedName name="Loan">#REF!</definedName>
    <definedName name="Loan_Amount">#REF!</definedName>
    <definedName name="Loan_Amt">#REF!</definedName>
    <definedName name="Loan_Payment">#REF!</definedName>
    <definedName name="Loan_Start">#REF!</definedName>
    <definedName name="Loan_Years">#REF!</definedName>
    <definedName name="Loc_Tariff">#REF!</definedName>
    <definedName name="Local_Bus_GPM">#REF!</definedName>
    <definedName name="Local_Bus_PPM">#REF!</definedName>
    <definedName name="Local_Res_PPM">#REF!</definedName>
    <definedName name="location">#REF!</definedName>
    <definedName name="Location_Annual">#REF!</definedName>
    <definedName name="LocRate">#REF!</definedName>
    <definedName name="LONG2">#REF!</definedName>
    <definedName name="LONG3">#REF!</definedName>
    <definedName name="LONG4">#REF!</definedName>
    <definedName name="LONG5">#REF!</definedName>
    <definedName name="LONG6">#REF!</definedName>
    <definedName name="LONG7">#REF!</definedName>
    <definedName name="low">#REF!</definedName>
    <definedName name="LowValue">#REF!</definedName>
    <definedName name="lp">#REF!</definedName>
    <definedName name="LPrd_Tot">#REF!</definedName>
    <definedName name="lstGrpeDim_ORGA">#REF!</definedName>
    <definedName name="LTdebt_amort">#REF!</definedName>
    <definedName name="LTdebt_int">#REF!</definedName>
    <definedName name="LTEC">#REF!</definedName>
    <definedName name="LTECMININV">#REF!</definedName>
    <definedName name="LTECTOTAL">#REF!</definedName>
    <definedName name="lth">#REF!</definedName>
    <definedName name="Ltitle">#REF!</definedName>
    <definedName name="m">#REF!</definedName>
    <definedName name="M.01">#REF!</definedName>
    <definedName name="M.01a">#REF!</definedName>
    <definedName name="M.01b">#REF!</definedName>
    <definedName name="M.01c">#REF!</definedName>
    <definedName name="M.01d">#REF!</definedName>
    <definedName name="M.01e">#REF!</definedName>
    <definedName name="M.01f">#REF!</definedName>
    <definedName name="M.10">#REF!</definedName>
    <definedName name="M.Samy" hidden="1">{#N/A,#N/A,FALSE,"inctrnd99"}</definedName>
    <definedName name="M\" hidden="1">{#N/A,#N/A,FALSE,"inctrnd99"}</definedName>
    <definedName name="M_1">#REF!</definedName>
    <definedName name="machinedep">#REF!</definedName>
    <definedName name="Macro1">#N/A</definedName>
    <definedName name="Macro113">#N/A</definedName>
    <definedName name="Macro15">#REF!</definedName>
    <definedName name="Macro16">#REF!</definedName>
    <definedName name="Macro17">#REF!</definedName>
    <definedName name="Macro18">#REF!</definedName>
    <definedName name="Macro2">#N/A</definedName>
    <definedName name="MacroAss">#REF!</definedName>
    <definedName name="MACROS">#REF!</definedName>
    <definedName name="Malawi">#REF!</definedName>
    <definedName name="MalawiExch">#REF!</definedName>
    <definedName name="MalawiGDP">#REF!</definedName>
    <definedName name="Malaysia">#REF!</definedName>
    <definedName name="MalaysiaExch">#REF!</definedName>
    <definedName name="MalaysiaGDP">#REF!</definedName>
    <definedName name="Managers_Per_Executive">#REF!</definedName>
    <definedName name="ManagersPerExecutive_Outsourcing">#REF!</definedName>
    <definedName name="manf">#REF!</definedName>
    <definedName name="Map">#REF!</definedName>
    <definedName name="MappedWorkbookName">"SFAS_13_Classification.xls"</definedName>
    <definedName name="Mar_08">#REF!</definedName>
    <definedName name="marco" hidden="1">{#N/A,#N/A,FALSE,"Sensitivity"}</definedName>
    <definedName name="Margin">#REF!</definedName>
    <definedName name="Margin_at_SA">#REF!</definedName>
    <definedName name="MarginDecline">#REF!</definedName>
    <definedName name="MARKETING07">#REF!</definedName>
    <definedName name="MARKETING98">#REF!</definedName>
    <definedName name="MARKETINGALL">#REF!</definedName>
    <definedName name="marketshare">#REF!</definedName>
    <definedName name="markup">#REF!</definedName>
    <definedName name="MarSun1">DATEVALUE("3/1/"&amp;TheYear)-WEEKDAY(DATEVALUE("3/1/"&amp;TheYear))+1</definedName>
    <definedName name="MasterSpinner2">#REF!</definedName>
    <definedName name="Maximize">#N/A</definedName>
    <definedName name="maxocc">#REF!</definedName>
    <definedName name="May_08">#REF!</definedName>
    <definedName name="MaySun1">DATEVALUE("5/1/"&amp;TheYear)-WEEKDAY(DATEVALUE("5/1/"&amp;TheYear))+1</definedName>
    <definedName name="MBW_No_Seg1_Lines">#REF!</definedName>
    <definedName name="MBW_No_Seg2_Lines">#REF!</definedName>
    <definedName name="MBW_No_Seg3_Lines">#REF!</definedName>
    <definedName name="MBW_No_Seg4_Lines">#REF!</definedName>
    <definedName name="MBW_No_Seg5_Lines">#REF!</definedName>
    <definedName name="MBW_No_Seg6_Lines">#REF!</definedName>
    <definedName name="MBW_No_Seg7_Lines">#REF!</definedName>
    <definedName name="MBW_No_Seg8_Lines">#REF!</definedName>
    <definedName name="MBW_Total_lines">#REF!</definedName>
    <definedName name="MBW_Traf_Type">#REF!</definedName>
    <definedName name="MBW_Type">#REF!</definedName>
    <definedName name="MEast_LTA">#REF!+#REF!</definedName>
    <definedName name="Mech" hidden="1">{"analysis",#N/A,TRUE,"ANALYSIS";"cartaway",#N/A,TRUE,"Excavation Equipment";"excavation",#N/A,TRUE,"Excavation Equipment";"compaction",#N/A,TRUE,"Backfilling Equipment";"riprap transportation",#N/A,TRUE,"RIPRAP PRODUCTION";"summary",#N/A,TRUE,"SUMMARY";"price of imported material",#N/A,TRUE,"Price of Imported Mat'l";"boq summary",#N/A,TRUE,"B.O.Q. SUMMARY"}</definedName>
    <definedName name="med">#REF!</definedName>
    <definedName name="Medunet">#REF!</definedName>
    <definedName name="megb">#REF!</definedName>
    <definedName name="megt">#REF!</definedName>
    <definedName name="Membership_Data">#REF!</definedName>
    <definedName name="MET_Rate">#REF!</definedName>
    <definedName name="MET_RefOilRate">#REF!</definedName>
    <definedName name="Mexico">#REF!</definedName>
    <definedName name="MexicoExch">#REF!</definedName>
    <definedName name="MexicoGDP">#REF!</definedName>
    <definedName name="mgmt">#REF!</definedName>
    <definedName name="MH">#REF!</definedName>
    <definedName name="Mietleitungen">#REF!</definedName>
    <definedName name="Mine">#REF!</definedName>
    <definedName name="MINGOP">#REF!</definedName>
    <definedName name="Minimum_NPV">#REF!</definedName>
    <definedName name="MIReset">#REF!,#REF!,#REF!,#REF!,#REF!,#REF!,#REF!,#REF!,#REF!,#REF!,#REF!,#REF!,#REF!,#REF!,#REF!</definedName>
    <definedName name="Misc2MI">#REF!</definedName>
    <definedName name="Misc3MI">#REF!</definedName>
    <definedName name="MiscMI">#REF!</definedName>
    <definedName name="mktsize2data">#REF!</definedName>
    <definedName name="mktsize34">#REF!</definedName>
    <definedName name="mktsize64data">#REF!</definedName>
    <definedName name="mktsize9.6">#REF!</definedName>
    <definedName name="mm">#REF!</definedName>
    <definedName name="MMC_Cal">#REF!</definedName>
    <definedName name="MMMMM">#REF!</definedName>
    <definedName name="mmmmmm">#REF!</definedName>
    <definedName name="MN">#REF!</definedName>
    <definedName name="MoC_Margin">#REF!</definedName>
    <definedName name="modb">#REF!</definedName>
    <definedName name="model">#REF!</definedName>
    <definedName name="ModelLife">#REF!</definedName>
    <definedName name="ModelName">#REF!</definedName>
    <definedName name="modt">#REF!</definedName>
    <definedName name="Monetary_Precision">#REF!</definedName>
    <definedName name="Month">#REF!</definedName>
    <definedName name="Month_of_activity">#REF!</definedName>
    <definedName name="Month_of_exploitation">#REF!</definedName>
    <definedName name="monthly">#REF!</definedName>
    <definedName name="Monthly_BS">#REF!</definedName>
    <definedName name="Monthly_PL">#REF!</definedName>
    <definedName name="MonthlyDiff">#REF!</definedName>
    <definedName name="MonthlyRetirementIncome">#REF!</definedName>
    <definedName name="MonthNo">IF(MonthStart="JAN",1,IF(MonthStart="FEB",2,IF(MonthStart="MAR",3,IF(MonthStart="APR",4,IF(MonthStart="MAY",5,IF(MonthStart="JUN",6,IF(MonthStart="JUL",7,IF(FYMonth="AUG",8,IF(MonthStart="SEP",9,IF(MonthStart="OCT",10,IF(MonthStart="NOV",11,12)))))))))))</definedName>
    <definedName name="MonthResult">#REF!</definedName>
    <definedName name="Months">#REF!</definedName>
    <definedName name="MonthStart">"Jan"</definedName>
    <definedName name="MotherExpanded">#REF!</definedName>
    <definedName name="Motiv_Bonus">#REF!</definedName>
    <definedName name="Mozambique">#REF!</definedName>
    <definedName name="MozambiqueExch">#REF!</definedName>
    <definedName name="MozambiqueGDP">#REF!</definedName>
    <definedName name="MSA">#REF!</definedName>
    <definedName name="MSECov">#REF!</definedName>
    <definedName name="MthBud">#REF!</definedName>
    <definedName name="MthCur">#REF!</definedName>
    <definedName name="MthPrior">#REF!</definedName>
    <definedName name="Mtotal">#REF!</definedName>
    <definedName name="n">#REF!</definedName>
    <definedName name="N.01">#REF!</definedName>
    <definedName name="N.02">#REF!</definedName>
    <definedName name="n_a">#REF!</definedName>
    <definedName name="NA">"NA "</definedName>
    <definedName name="Naguib">#REF!</definedName>
    <definedName name="name">#REF!</definedName>
    <definedName name="Names">#N/A</definedName>
    <definedName name="Namibia">#REF!</definedName>
    <definedName name="NamibiaExch">#REF!</definedName>
    <definedName name="NamibiaGDP">#REF!</definedName>
    <definedName name="NavPoint">#REF!</definedName>
    <definedName name="NCFAfterInterest_1">#REF!</definedName>
    <definedName name="NCFAfterInterest_2">#REF!</definedName>
    <definedName name="NCFAfterInterest_3">#REF!</definedName>
    <definedName name="NCFAfterInterest_4">#REF!</definedName>
    <definedName name="NCFAfterInterest_5">#REF!</definedName>
    <definedName name="NCFAfterInterest_6">#REF!</definedName>
    <definedName name="NCFAfterInterest_7">#REF!</definedName>
    <definedName name="NCFAfterInterest_8">#REF!</definedName>
    <definedName name="NCFB4Interest_1">#REF!</definedName>
    <definedName name="NCFB4Interest_2">#REF!</definedName>
    <definedName name="NCFB4Interest_3">#REF!</definedName>
    <definedName name="NCFB4Interest_4">#REF!</definedName>
    <definedName name="NCFB4Interest_5">#REF!</definedName>
    <definedName name="NCFB4Interest_6">#REF!</definedName>
    <definedName name="NCFB4Interest_7">#REF!</definedName>
    <definedName name="NCFB4Interest_8">#REF!</definedName>
    <definedName name="nes">#REF!</definedName>
    <definedName name="Net_profit">#REF!</definedName>
    <definedName name="NetCashF">#REF!</definedName>
    <definedName name="NetCashF2">#REF!</definedName>
    <definedName name="netcashflow">#REF!</definedName>
    <definedName name="Netherlands">#REF!</definedName>
    <definedName name="NetherlandsGDP">#REF!</definedName>
    <definedName name="neu">#N/A</definedName>
    <definedName name="New">#REF!</definedName>
    <definedName name="new_areas">#REF!</definedName>
    <definedName name="new_units">#REF!</definedName>
    <definedName name="New_Zealand">#REF!</definedName>
    <definedName name="New_ZealandExch">#REF!</definedName>
    <definedName name="New_ZealandGDP">#REF!</definedName>
    <definedName name="NewMarginType">#REF!</definedName>
    <definedName name="newrefurb">#REF!</definedName>
    <definedName name="NI">#REF!</definedName>
    <definedName name="Nigeria">#REF!</definedName>
    <definedName name="NigeriaExch">#REF!</definedName>
    <definedName name="NigeriaGDP">#REF!</definedName>
    <definedName name="NM">"NM  "</definedName>
    <definedName name="NNNNNNN">#REF!</definedName>
    <definedName name="NO_OF_PAY">MATCH(0.01,[1]!End_Bal,-1)+1</definedName>
    <definedName name="No_Units">#REF!</definedName>
    <definedName name="noidea" hidden="1">-524804638</definedName>
    <definedName name="Noise">#REF!</definedName>
    <definedName name="None">#REF!</definedName>
    <definedName name="NORMESKAT">#REF!</definedName>
    <definedName name="North_America_LTA">#REF!</definedName>
    <definedName name="Norway">#REF!</definedName>
    <definedName name="NorwayExch">#REF!</definedName>
    <definedName name="NorwayGDP">#REF!</definedName>
    <definedName name="NoShares">#REF!</definedName>
    <definedName name="NotActive">#REF!</definedName>
    <definedName name="Notes_Mapping_Values">#REF!</definedName>
    <definedName name="NotIncluded">#REF!</definedName>
    <definedName name="Nov_08">#REF!</definedName>
    <definedName name="NovSun1">DATEVALUE("11/1/"&amp;TheYear)-WEEKDAY(DATEVALUE("11/1/"&amp;TheYear))+1</definedName>
    <definedName name="NPV">#REF!</definedName>
    <definedName name="NPVLocationDialogBox">"Edit Box 6"</definedName>
    <definedName name="NSA_Apts">#REF!</definedName>
    <definedName name="NSA_Clubs">#REF!</definedName>
    <definedName name="NSA_Creek_villas">#REF!</definedName>
    <definedName name="NSA_High_end_apts">#REF!</definedName>
    <definedName name="NSA_Offices">#REF!</definedName>
    <definedName name="NSA_Retail">#REF!</definedName>
    <definedName name="NSA_street_Apts">#REF!</definedName>
    <definedName name="Ntotal">#REF!</definedName>
    <definedName name="Num_Pmt_Per_Year">#REF!</definedName>
    <definedName name="num_rooms">#REF!</definedName>
    <definedName name="Number_of_Payments">MATCH(0.01,End_Bal,-1)+1</definedName>
    <definedName name="Numbers">#REF!</definedName>
    <definedName name="NumCBN">#REF!</definedName>
    <definedName name="NumProducts">#REF!</definedName>
    <definedName name="NumTechnologies">#REF!</definedName>
    <definedName name="NWOH">#REF!</definedName>
    <definedName name="Nylon_Prod">#REF!</definedName>
    <definedName name="o.h">#REF!</definedName>
    <definedName name="OAL.OM_Close">#REF!</definedName>
    <definedName name="OAL.OM_Currency">#REF!</definedName>
    <definedName name="OAL.OM_High">#REF!</definedName>
    <definedName name="OAL.OM_Historic">#REF!</definedName>
    <definedName name="OAL.OM_Low">#REF!</definedName>
    <definedName name="OAL.OM_Name">#REF!</definedName>
    <definedName name="OAL.OM_Open">#REF!</definedName>
    <definedName name="OAL.OM_Trans.">#REF!</definedName>
    <definedName name="OAL.OM_Value">#REF!</definedName>
    <definedName name="OAL.OM_Volume">#REF!</definedName>
    <definedName name="Objective">#REF!</definedName>
    <definedName name="OCA">#REF!</definedName>
    <definedName name="occupancy">#REF!</definedName>
    <definedName name="OCL">#REF!</definedName>
    <definedName name="Oct_08">#REF!</definedName>
    <definedName name="OctSun1">DATEVALUE("10/1/"&amp;TheYear)-WEEKDAY(DATEVALUE("10/1/"&amp;TheYear))+1</definedName>
    <definedName name="OD">#REF!</definedName>
    <definedName name="offpeak">#REF!</definedName>
    <definedName name="Offpeak_land_by_time">#REF!</definedName>
    <definedName name="Offset_Indicator_EM">#REF!</definedName>
    <definedName name="OGI">#REF!</definedName>
    <definedName name="OGI_USD">#REF!</definedName>
    <definedName name="OH">#REF!</definedName>
    <definedName name="oha">#REF!</definedName>
    <definedName name="ohc">#REF!</definedName>
    <definedName name="OI">#REF!</definedName>
    <definedName name="oik" hidden="1">{#N/A,#N/A,FALSE,"Finanzplan";#N/A,#N/A,FALSE,"Bilanz";#N/A,#N/A,FALSE,"GuV"}</definedName>
    <definedName name="oilc">#REF!</definedName>
    <definedName name="OilPEx1">#REF!</definedName>
    <definedName name="OincMI">#REF!</definedName>
    <definedName name="ojiawf" hidden="1">{#N/A,#N/A,FALSE,"Finanzplan";#N/A,#N/A,FALSE,"Bilanz";#N/A,#N/A,FALSE,"GuV"}</definedName>
    <definedName name="OLA">#REF!</definedName>
    <definedName name="Old">#REF!</definedName>
    <definedName name="Olefin_Prod">#REF!</definedName>
    <definedName name="Oman">#REF!</definedName>
    <definedName name="OmanExch">#REF!</definedName>
    <definedName name="OmanGDP">#REF!</definedName>
    <definedName name="ONE_ROW">IF([0]!Values_Entered,[1]!Header_Row+[0]!Number_of_Payments,[1]!Header_Row)</definedName>
    <definedName name="onnet">#REF!</definedName>
    <definedName name="op">#N/A</definedName>
    <definedName name="OP_DAYS_Mall1">#REF!</definedName>
    <definedName name="OP_DAYS_Mall1B">#REF!</definedName>
    <definedName name="OP_DAYS_Mall2">#REF!</definedName>
    <definedName name="OP_DAYS_Mall3">#REF!</definedName>
    <definedName name="OP_DAYS_Mall3B">#REF!</definedName>
    <definedName name="OP_DAYS_Mall4">#REF!</definedName>
    <definedName name="OP_DAYS_Mall5">#REF!</definedName>
    <definedName name="OP_DAYS_Mall6">#REF!</definedName>
    <definedName name="OP_DAYS_Mall7">#REF!</definedName>
    <definedName name="OP_DAYS_Mall8">#REF!</definedName>
    <definedName name="OP_DAYS_Mall9">#REF!</definedName>
    <definedName name="OPC">#REF!</definedName>
    <definedName name="OpCap_EVA">#REF!</definedName>
    <definedName name="Oper">#REF!</definedName>
    <definedName name="OperAss">#REF!</definedName>
    <definedName name="Operassets">#REF!</definedName>
    <definedName name="Operationcurrency">#REF!</definedName>
    <definedName name="opertion_revenue">#REF!,#REF!,#REF!</definedName>
    <definedName name="Opexp">#REF!</definedName>
    <definedName name="Oplášťovací_linka_Rosend.">#REF!</definedName>
    <definedName name="oprateb">#REF!</definedName>
    <definedName name="Option">#REF!</definedName>
    <definedName name="option_clr">#REF!</definedName>
    <definedName name="OptionChoice">#REF!</definedName>
    <definedName name="OptionIndex">#REF!</definedName>
    <definedName name="Oracle_GL_Codes">#REF!</definedName>
    <definedName name="OrderTable" hidden="1">#REF!</definedName>
    <definedName name="OT">#REF!</definedName>
    <definedName name="Other">#REF!</definedName>
    <definedName name="OtherCost">#REF!</definedName>
    <definedName name="OtherRev">#REF!</definedName>
    <definedName name="othervarcosts">#REF!</definedName>
    <definedName name="Outgoing">#REF!</definedName>
    <definedName name="OutGoingTraffic">#REF!</definedName>
    <definedName name="OutputsheetDialogBox">"Edit Box 7"</definedName>
    <definedName name="Overdraft_1">#REF!</definedName>
    <definedName name="Overdraft_2">#REF!</definedName>
    <definedName name="Overdraft_3">#REF!</definedName>
    <definedName name="Overdraft_4">#REF!</definedName>
    <definedName name="Overdraft_5">#REF!</definedName>
    <definedName name="Overdraft_6">#REF!</definedName>
    <definedName name="Overdraft_7">#REF!</definedName>
    <definedName name="Overdraft_8">#REF!</definedName>
    <definedName name="overdues">#REF!</definedName>
    <definedName name="Ownership">OFFSET(#REF!,1,0)</definedName>
    <definedName name="OZUK">#REF!</definedName>
    <definedName name="P">#REF!</definedName>
    <definedName name="P.01">#REF!</definedName>
    <definedName name="P.02">#REF!</definedName>
    <definedName name="P.03">#REF!</definedName>
    <definedName name="P.04">#REF!</definedName>
    <definedName name="P.05">#REF!</definedName>
    <definedName name="P.06">#REF!</definedName>
    <definedName name="P.07">#REF!</definedName>
    <definedName name="P.10">#REF!</definedName>
    <definedName name="P.11">#REF!</definedName>
    <definedName name="P.20">#REF!</definedName>
    <definedName name="P.21">#REF!</definedName>
    <definedName name="P.30">#REF!</definedName>
    <definedName name="P.31">#REF!</definedName>
    <definedName name="P.40">#REF!</definedName>
    <definedName name="P.50">#REF!</definedName>
    <definedName name="P_1">#REF!</definedName>
    <definedName name="P_10">#REF!</definedName>
    <definedName name="P_10A">#REF!</definedName>
    <definedName name="P_11">#REF!</definedName>
    <definedName name="P_12">#REF!</definedName>
    <definedName name="P_13">#REF!</definedName>
    <definedName name="P_14">#REF!</definedName>
    <definedName name="P_15">#REF!</definedName>
    <definedName name="P_16">#REF!</definedName>
    <definedName name="P_17">#REF!</definedName>
    <definedName name="P_18">#REF!</definedName>
    <definedName name="P_19">#REF!</definedName>
    <definedName name="P_2">#REF!</definedName>
    <definedName name="P_20">#REF!</definedName>
    <definedName name="P_21">#REF!</definedName>
    <definedName name="P_21Mech_S">#REF!</definedName>
    <definedName name="P_22">#REF!</definedName>
    <definedName name="P_23">#REF!</definedName>
    <definedName name="P_24">#REF!</definedName>
    <definedName name="P_25">#REF!</definedName>
    <definedName name="P_26">#REF!</definedName>
    <definedName name="P_27">#REF!</definedName>
    <definedName name="P_28">#REF!</definedName>
    <definedName name="P_29">#REF!</definedName>
    <definedName name="P_3">#REF!</definedName>
    <definedName name="P_30">#REF!</definedName>
    <definedName name="P_31">#REF!</definedName>
    <definedName name="P_4">#REF!</definedName>
    <definedName name="P_5">#REF!</definedName>
    <definedName name="P_6">#REF!</definedName>
    <definedName name="P_7">#REF!</definedName>
    <definedName name="P_8">#REF!</definedName>
    <definedName name="P_9">#REF!</definedName>
    <definedName name="p_Depr1">#REF!</definedName>
    <definedName name="p_Depr2">#REF!</definedName>
    <definedName name="p_Depr3">#REF!</definedName>
    <definedName name="p_Depr4">#REF!</definedName>
    <definedName name="p_Depr5">#REF!</definedName>
    <definedName name="P_L_PAGE1">#REF!</definedName>
    <definedName name="P_L_PAGE2">#REF!</definedName>
    <definedName name="P_L_PAGE3">#REF!</definedName>
    <definedName name="p9tg">#REF!</definedName>
    <definedName name="Page_01">#REF!</definedName>
    <definedName name="Page_02">#REF!</definedName>
    <definedName name="Page_03">#REF!</definedName>
    <definedName name="Page_04">#REF!</definedName>
    <definedName name="Page_05">#REF!</definedName>
    <definedName name="Page_06">#REF!</definedName>
    <definedName name="Page_07">#REF!</definedName>
    <definedName name="Page_08">#REF!</definedName>
    <definedName name="Page_08A">#REF!</definedName>
    <definedName name="Page_08B">#REF!</definedName>
    <definedName name="Page_09">#REF!</definedName>
    <definedName name="Page_1">#REF!</definedName>
    <definedName name="Page_10">#REF!</definedName>
    <definedName name="Page_11">#REF!</definedName>
    <definedName name="Page_12">#REF!</definedName>
    <definedName name="Page_13">#REF!</definedName>
    <definedName name="Page_14">#REF!</definedName>
    <definedName name="Page_15">#REF!</definedName>
    <definedName name="Page_16">#REF!</definedName>
    <definedName name="Page_17">#REF!</definedName>
    <definedName name="Page_18">#REF!</definedName>
    <definedName name="Page_2">#REF!</definedName>
    <definedName name="Page_3">#REF!</definedName>
    <definedName name="Page_4">#REF!</definedName>
    <definedName name="Page_5">#REF!</definedName>
    <definedName name="Page_6">#REF!</definedName>
    <definedName name="Page_8A">#REF!</definedName>
    <definedName name="Page_8B">#REF!</definedName>
    <definedName name="Page_9">#REF!</definedName>
    <definedName name="page_number">#REF!</definedName>
    <definedName name="ParaT">#REF!</definedName>
    <definedName name="ParentChild">#REF!</definedName>
    <definedName name="part1">#REF!</definedName>
    <definedName name="part2">#REF!</definedName>
    <definedName name="Paste_Debt1">#REF!</definedName>
    <definedName name="Pay_Num">#REF!</definedName>
    <definedName name="Pay_out_ratio">#REF!</definedName>
    <definedName name="Payment">#REF!</definedName>
    <definedName name="Payment_Date" localSheetId="9">DATE(YEAR([0]!Loan_Start),MONTH([0]!Loan_Start)+Payment_Number,DAY([0]!Loan_Start))</definedName>
    <definedName name="Payment_Date">DATE(YEAR(Loan_Start),MONTH(Loan_Start)+Payment_Number,DAY(Loan_Start))</definedName>
    <definedName name="payments_per_year">#REF!</definedName>
    <definedName name="PAYTYPE">#REF!</definedName>
    <definedName name="PBALSHA">#REF!</definedName>
    <definedName name="PBALSHE">#REF!</definedName>
    <definedName name="PBALSHEYR">#REF!</definedName>
    <definedName name="PBALSHYR">#REF!</definedName>
    <definedName name="pbPrinterFormat">"\\SGB24810\P0083071 on Ne03:"</definedName>
    <definedName name="pbStartPageNumber">1</definedName>
    <definedName name="pbUpdatePageNumbering">TRUE</definedName>
    <definedName name="PCASHFLO">#REF!</definedName>
    <definedName name="PCASHYR">#REF!</definedName>
    <definedName name="PContMI">#REF!</definedName>
    <definedName name="PCOV">#REF!</definedName>
    <definedName name="peak">#REF!</definedName>
    <definedName name="Peak_land_by_time">#REF!</definedName>
    <definedName name="Pensions">#REF!</definedName>
    <definedName name="Perc_Reg_of_LD">#REF!</definedName>
    <definedName name="percase">#REF!</definedName>
    <definedName name="percent_inc">#REF!</definedName>
    <definedName name="Percent_Monthly_Fee_If_SA">#REF!</definedName>
    <definedName name="PercentageAch">#REF!</definedName>
    <definedName name="PercentChangeDialogBox">"Edit Box 5"</definedName>
    <definedName name="PerfCode">#REF!</definedName>
    <definedName name="performspaces">#REF!</definedName>
    <definedName name="Period">#REF!</definedName>
    <definedName name="Period.Choice">"Drop Down 6"</definedName>
    <definedName name="Periodic_cash_flow">#REF!</definedName>
    <definedName name="Perpetual_growth">#REF!</definedName>
    <definedName name="pershare">#REF!</definedName>
    <definedName name="Personalaufwand">#REF!</definedName>
    <definedName name="Peru">#REF!</definedName>
    <definedName name="PeruExch">#REF!</definedName>
    <definedName name="PeruGDP">#REF!</definedName>
    <definedName name="PFICredit">#REF!</definedName>
    <definedName name="pgtitle">#REF!</definedName>
    <definedName name="Phase1">#REF!</definedName>
    <definedName name="Philippines">#REF!</definedName>
    <definedName name="PhillipinesExch">#REF!</definedName>
    <definedName name="PhillipinesGDP">#REF!</definedName>
    <definedName name="Phone">#REF!</definedName>
    <definedName name="physical">#REF!</definedName>
    <definedName name="PINCST">#REF!</definedName>
    <definedName name="PINCSTYR">#REF!</definedName>
    <definedName name="PivotReport">#REF!</definedName>
    <definedName name="PLACap">#REF!</definedName>
    <definedName name="PLADmd">#REF!</definedName>
    <definedName name="plandata">#REF!</definedName>
    <definedName name="PlantOperations">#REF!</definedName>
    <definedName name="PLAPrd">#REF!</definedName>
    <definedName name="PLM">#REF!</definedName>
    <definedName name="Plot_TH">#REF!</definedName>
    <definedName name="Plot_TV">#REF!</definedName>
    <definedName name="PLOT_V">#REF!</definedName>
    <definedName name="plots_TH">#REF!</definedName>
    <definedName name="PM_Item">#REF!</definedName>
    <definedName name="poi">#N/A</definedName>
    <definedName name="Poland">#REF!</definedName>
    <definedName name="PolandExch">#REF!</definedName>
    <definedName name="PolandGDP">#REF!</definedName>
    <definedName name="PolyCap_POL">#REF!</definedName>
    <definedName name="polyconb">#REF!</definedName>
    <definedName name="polycont">#REF!</definedName>
    <definedName name="PolyDmd_Tot">#REF!</definedName>
    <definedName name="Polyester_Prod">#REF!</definedName>
    <definedName name="PolyPrd_Tot">#REF!</definedName>
    <definedName name="porcelaine_household_proj">#REF!</definedName>
    <definedName name="portfi">#REF!</definedName>
    <definedName name="Portugal">#REF!</definedName>
    <definedName name="Portugal_SpainExch">#REF!</definedName>
    <definedName name="PortugalGDP">#REF!</definedName>
    <definedName name="POSTPAID_RATE_PER_MINUTE">#REF!</definedName>
    <definedName name="Postpaid_Subscribers">#REF!</definedName>
    <definedName name="Postpaid_Usage">#REF!</definedName>
    <definedName name="PP_TATREN_141">#REF!</definedName>
    <definedName name="PPEFin">#REF!</definedName>
    <definedName name="PPEYR">#REF!</definedName>
    <definedName name="pppppp" hidden="1">{"analysis",#N/A,TRUE,"ANALYSIS";"cartaway",#N/A,TRUE,"Excavation Equipment";"excavation",#N/A,TRUE,"Excavation Equipment";"compaction",#N/A,TRUE,"Backfilling Equipment";"riprap transportation",#N/A,TRUE,"RIPRAP PRODUCTION";"summary",#N/A,TRUE,"SUMMARY";"price of imported material",#N/A,TRUE,"Price of Imported Mat'l";"boq summary",#N/A,TRUE,"B.O.Q. SUMMARY"}</definedName>
    <definedName name="PRATIO">#REF!</definedName>
    <definedName name="PRATIOYR">#REF!</definedName>
    <definedName name="Pre_Operating_Fees">#REF!</definedName>
    <definedName name="PremiumMean">#REF!</definedName>
    <definedName name="PremiumMedian">#REF!</definedName>
    <definedName name="PremiumQ1">#REF!</definedName>
    <definedName name="PremiumQ2">#REF!</definedName>
    <definedName name="Premiums">#REF!</definedName>
    <definedName name="PREPAID_RATE_PER_MINUTE">#REF!</definedName>
    <definedName name="Prepaid_Subscribers">#REF!</definedName>
    <definedName name="Prepaid_Usage">#REF!</definedName>
    <definedName name="Preselection__Business_Customers">#REF!</definedName>
    <definedName name="Preselection__Residential_Customers">#REF!</definedName>
    <definedName name="PRICE">#REF!</definedName>
    <definedName name="pricepc">#REF!</definedName>
    <definedName name="Prices">#REF!</definedName>
    <definedName name="pricing">#REF!</definedName>
    <definedName name="PricingCase">#REF!</definedName>
    <definedName name="Princ">#REF!</definedName>
    <definedName name="Principal">#REF!</definedName>
    <definedName name="Principal_Payments">#REF!</definedName>
    <definedName name="PrincipalLoaned">#REF!</definedName>
    <definedName name="Print_Acetic_Acid_Country">#REF!</definedName>
    <definedName name="Print_Acetic_Anhydride_Country">#REF!</definedName>
    <definedName name="Print_All_Derivatives_Country">#REF!</definedName>
    <definedName name="_xlnm.Print_Area">#REF!</definedName>
    <definedName name="Print_Area_MI">#REF!</definedName>
    <definedName name="Print_Area_Reset" localSheetId="9">OFFSET(Full_Print,0,0,[0]!Last_Row)</definedName>
    <definedName name="Print_Area_Reset">OFFSET(Full_Print,0,0,Last_Row)</definedName>
    <definedName name="Print_Butyl_Acetate_Country">#REF!</definedName>
    <definedName name="Print_Cellulose_Acetate_Country">#REF!</definedName>
    <definedName name="Print_Consolidate">#REF!</definedName>
    <definedName name="Print_Ethyl_Acetate_Country">#REF!</definedName>
    <definedName name="Print_MCA_Country">#REF!</definedName>
    <definedName name="Print_Propyl_Acetate_Country">#REF!</definedName>
    <definedName name="Print_PTA_Country">#REF!</definedName>
    <definedName name="Print_PVOH_Country">#REF!</definedName>
    <definedName name="_xlnm.Print_Titles">#N/A</definedName>
    <definedName name="Print_Titles_MI">#REF!</definedName>
    <definedName name="Print_Vinyl_Acetate_Country">#REF!</definedName>
    <definedName name="PrintAll">#N/A</definedName>
    <definedName name="PrintEoYSubs">#N/A</definedName>
    <definedName name="PrintPrev">#REF!</definedName>
    <definedName name="PrintPreview">#N/A</definedName>
    <definedName name="PrintTIWSubs">#N/A</definedName>
    <definedName name="printvar">#REF!</definedName>
    <definedName name="prob">#REF!</definedName>
    <definedName name="Probability">#REF!</definedName>
    <definedName name="prod_seg">#REF!</definedName>
    <definedName name="ProdForm" hidden="1">#REF!</definedName>
    <definedName name="Product" hidden="1">#REF!</definedName>
    <definedName name="Profit_Mgn">#REF!</definedName>
    <definedName name="PROFITALL">#REF!</definedName>
    <definedName name="ProfitShare">#REF!</definedName>
    <definedName name="ProfitSharePaste">#REF!</definedName>
    <definedName name="ProjCode">#REF!</definedName>
    <definedName name="ProjDay">#REF!</definedName>
    <definedName name="Project">#REF!</definedName>
    <definedName name="Project_Type">#REF!</definedName>
    <definedName name="Project1">#REF!</definedName>
    <definedName name="Project2">#REF!</definedName>
    <definedName name="Projectend">#REF!</definedName>
    <definedName name="ProjectName">{"Project Roma"}</definedName>
    <definedName name="projectod">0</definedName>
    <definedName name="projects">#REF!</definedName>
    <definedName name="ProjectWACC">#REF!</definedName>
    <definedName name="ProjMonth">#REF!</definedName>
    <definedName name="ProjYear">#REF!</definedName>
    <definedName name="ProMI">#REF!</definedName>
    <definedName name="prop_type">#REF!</definedName>
    <definedName name="PropCapexImported">#REF!</definedName>
    <definedName name="Property_Class">#REF!</definedName>
    <definedName name="ProRataTable">#REF!</definedName>
    <definedName name="prosource">#REF!</definedName>
    <definedName name="provision">#REF!</definedName>
    <definedName name="Provisionen_indirekter_Vertrieb">#REF!</definedName>
    <definedName name="prtar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Pru_SmAcq">#REF!</definedName>
    <definedName name="Pru_Today">#REF!</definedName>
    <definedName name="PruKe">#REF!</definedName>
    <definedName name="PTA">#REF!</definedName>
    <definedName name="PTACap_Tot">#REF!</definedName>
    <definedName name="ptacashb">#REF!</definedName>
    <definedName name="ptacasht">#REF!</definedName>
    <definedName name="PTADmd_Tot">#REF!</definedName>
    <definedName name="PTAPrd_PX">#REF!</definedName>
    <definedName name="PTD">#REF!</definedName>
    <definedName name="PTTCap">#REF!</definedName>
    <definedName name="PTTDmd">#REF!</definedName>
    <definedName name="PTTPrd">#REF!</definedName>
    <definedName name="PU">#REF!</definedName>
    <definedName name="PUD">#REF!</definedName>
    <definedName name="PUL">#REF!</definedName>
    <definedName name="PurchasesPerMonth">#REF!</definedName>
    <definedName name="PXCap_Tot">#REF!</definedName>
    <definedName name="PXDmd_Tot">#REF!</definedName>
    <definedName name="PXPrd_Tot">#REF!</definedName>
    <definedName name="q">#REF!</definedName>
    <definedName name="Q.A.Inspectors">#REF!</definedName>
    <definedName name="Q_Percent">#REF!</definedName>
    <definedName name="QQQ">#REF!</definedName>
    <definedName name="qryBranchSegmentSplit">#REF!</definedName>
    <definedName name="qsas">#REF!</definedName>
    <definedName name="qsqs">#REF!</definedName>
    <definedName name="QTE">#REF!</definedName>
    <definedName name="QTY">#REF!</definedName>
    <definedName name="Qty.">#REF!</definedName>
    <definedName name="QU">#REF!</definedName>
    <definedName name="qw">#REF!</definedName>
    <definedName name="qwed">#REF!</definedName>
    <definedName name="qwefewrqfvwer" hidden="1">#REF!</definedName>
    <definedName name="qwerty">#N/A</definedName>
    <definedName name="qwqw">#REF!</definedName>
    <definedName name="R.01">#REF!</definedName>
    <definedName name="R.01a">#REF!</definedName>
    <definedName name="R.01b">#REF!</definedName>
    <definedName name="R.02">#REF!</definedName>
    <definedName name="R.02a">#REF!</definedName>
    <definedName name="R.02b">#REF!</definedName>
    <definedName name="R.05">#REF!</definedName>
    <definedName name="R.06">#REF!</definedName>
    <definedName name="R.07">#REF!</definedName>
    <definedName name="R.08">#REF!</definedName>
    <definedName name="R.10">#REF!</definedName>
    <definedName name="R.11">#REF!</definedName>
    <definedName name="raActivity">#REF!</definedName>
    <definedName name="raBSS">#REF!</definedName>
    <definedName name="raBusinessUnit">#REF!</definedName>
    <definedName name="Rabwa">#REF!</definedName>
    <definedName name="raCVPStage">#REF!</definedName>
    <definedName name="Radiostroj">#REF!</definedName>
    <definedName name="radwa">#REF!</definedName>
    <definedName name="radwagad">#REF!</definedName>
    <definedName name="RAED">#REF!</definedName>
    <definedName name="raGeography">#REF!</definedName>
    <definedName name="raj">#REF!</definedName>
    <definedName name="RAJESH">#REF!</definedName>
    <definedName name="rand">#REF!</definedName>
    <definedName name="RANGE">#REF!</definedName>
    <definedName name="raOptionType">#REF!</definedName>
    <definedName name="raProbability">#REF!</definedName>
    <definedName name="raStatus">#REF!</definedName>
    <definedName name="rate">#REF!</definedName>
    <definedName name="rate_LE">#REF!</definedName>
    <definedName name="rate2">#REF!</definedName>
    <definedName name="RatesCode">#REF!</definedName>
    <definedName name="RatesSpec">#REF!</definedName>
    <definedName name="RatesUnit">#REF!</definedName>
    <definedName name="RATIOACC">#REF!</definedName>
    <definedName name="Ratios">#REF!</definedName>
    <definedName name="RatioVCMax">#REF!</definedName>
    <definedName name="RatioVCMed">#REF!</definedName>
    <definedName name="RatioVCMin">#REF!</definedName>
    <definedName name="RatioVCQ1">#REF!</definedName>
    <definedName name="RatioVCQ3">#REF!</definedName>
    <definedName name="Rawaby">#REF!</definedName>
    <definedName name="RawMtrlCost">#REF!</definedName>
    <definedName name="RCArea" hidden="1">#REF!</definedName>
    <definedName name="rcop">#REF!</definedName>
    <definedName name="rcp">#REF!</definedName>
    <definedName name="RCPView">#REF!</definedName>
    <definedName name="RealDiscRate">#REF!</definedName>
    <definedName name="rebar">#REF!</definedName>
    <definedName name="receivable_DOH">#REF!</definedName>
    <definedName name="Recharge___SIM">#REF!</definedName>
    <definedName name="_xlnm.Recorder">#REF!</definedName>
    <definedName name="Rééval">#REF!</definedName>
    <definedName name="Ref">#REF!</definedName>
    <definedName name="RefExchRate">#REF!</definedName>
    <definedName name="Refin1_result">#REF!</definedName>
    <definedName name="Refin2_result">#REF!</definedName>
    <definedName name="Refin3_result">#REF!</definedName>
    <definedName name="Refinance">#REF!</definedName>
    <definedName name="Reg200_Bus_GPM">#REF!</definedName>
    <definedName name="Reg50_Bus_GPM">#REF!</definedName>
    <definedName name="region">#REF!</definedName>
    <definedName name="RegProfile">#REF!</definedName>
    <definedName name="Reinsurance">#REF!</definedName>
    <definedName name="rentals">#REF!</definedName>
    <definedName name="RentMI">#REF!</definedName>
    <definedName name="RentRate">#REF!</definedName>
    <definedName name="RentYTot">#REF!</definedName>
    <definedName name="ReportCreated">TRUE</definedName>
    <definedName name="Reporting_Period">#REF!</definedName>
    <definedName name="requi">#REF!</definedName>
    <definedName name="RES">#REF!</definedName>
    <definedName name="Reseller">#REF!</definedName>
    <definedName name="reserves">#REF!</definedName>
    <definedName name="resizeRCP">#REF!</definedName>
    <definedName name="Responsible">#REF!</definedName>
    <definedName name="RestPeriod_1">#REF!</definedName>
    <definedName name="RestPeriod_2">#REF!</definedName>
    <definedName name="RestPeriod_3">#REF!</definedName>
    <definedName name="RestPeriod_4">#REF!</definedName>
    <definedName name="RestPeriod_5">#REF!</definedName>
    <definedName name="RestPeriod_6">#REF!</definedName>
    <definedName name="RestPeriod_7">#REF!</definedName>
    <definedName name="RestPeriod_8">#REF!</definedName>
    <definedName name="RetirementAge">#REF!</definedName>
    <definedName name="RevSynMax">#REF!</definedName>
    <definedName name="RevSynMed">#REF!</definedName>
    <definedName name="RevSynMin">#REF!</definedName>
    <definedName name="RevSynQ1">#REF!</definedName>
    <definedName name="RevSynQ3">#REF!</definedName>
    <definedName name="režie_stř.31">#REF!</definedName>
    <definedName name="režie_stř.32">#REF!</definedName>
    <definedName name="režie_stř.33">#REF!</definedName>
    <definedName name="režie_stř.34">#REF!</definedName>
    <definedName name="režie_stř.35">#REF!</definedName>
    <definedName name="režie_stř.35_plast.">#REF!</definedName>
    <definedName name="režie_stř.36">#REF!</definedName>
    <definedName name="RF">#REF!</definedName>
    <definedName name="Rfb">#REF!</definedName>
    <definedName name="rfqwtwerg">#N/A</definedName>
    <definedName name="RHSVARCOL1">#REF!</definedName>
    <definedName name="RID">#REF!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rnCAGR">#REF!</definedName>
    <definedName name="rnCo">#REF!</definedName>
    <definedName name="rnCompanies">#REF!</definedName>
    <definedName name="rnData">#REF!</definedName>
    <definedName name="rnDataset">#REF!</definedName>
    <definedName name="rnEBITratio">#REF!</definedName>
    <definedName name="rngAnswer">#REF!</definedName>
    <definedName name="rnIncomeData">#REF!</definedName>
    <definedName name="rnInd">#REF!</definedName>
    <definedName name="rnm3rdpartyinterestcredit">#REF!</definedName>
    <definedName name="rnm3rdpartyinterestdebit">#REF!</definedName>
    <definedName name="rnmAreaMeasure">#REF!</definedName>
    <definedName name="rnmAssetClass">OFFSET(#REF!,1,0,COUNTA(#REF!)-1,1)</definedName>
    <definedName name="rnmassociateJVCredit">#REF!</definedName>
    <definedName name="rnmassociateJVDebit">#REF!</definedName>
    <definedName name="rnmBondsCredit">#REF!</definedName>
    <definedName name="rnmBondsDebit">#REF!</definedName>
    <definedName name="rnmCapexAccounts">#REF!</definedName>
    <definedName name="rnmCapexCREDIT">#REF!</definedName>
    <definedName name="rnmCapexDEBIT">#REF!</definedName>
    <definedName name="rnmCellToLeft">#REF!</definedName>
    <definedName name="rnmCostAccountDescrb">#REF!</definedName>
    <definedName name="rnmCostAccountDescrbCapex">#REF!</definedName>
    <definedName name="rnmCostCategory">#REF!</definedName>
    <definedName name="rnmCostCategoryName">#REF!</definedName>
    <definedName name="rnmCostHeading">#REF!</definedName>
    <definedName name="rnmCostHeadingName1">#REF!</definedName>
    <definedName name="rnmCostHeadingName2">#REF!</definedName>
    <definedName name="rnmCostType">#REF!</definedName>
    <definedName name="rnmCounterParty">OFFSET(#REF!,1,0,COUNTA(#REF!)-1,1)</definedName>
    <definedName name="rnmCountry">OFFSET(#REF!,1,0,COUNTA(#REF!)-1,1)</definedName>
    <definedName name="rnmCountryRegion">OFFSET(#REF!,1,0,COUNTA(#REF!)-1,2)</definedName>
    <definedName name="rnmCurrency">OFFSET(#REF!,1,0,COUNTA(#REF!)-1,1)</definedName>
    <definedName name="rnmCurrentYear">#REF!</definedName>
    <definedName name="rnmDataExport">OFFSET(#REF!,0,0,COUNTA(#REF!),20)</definedName>
    <definedName name="rnmDetailedCost">#REF!</definedName>
    <definedName name="rnmDevelopment">OFFSET(#REF!,1,0,COUNTA(#REF!)-1,1)</definedName>
    <definedName name="rnmDevexCREDIT">#REF!</definedName>
    <definedName name="rnmDevexDEBIT">#REF!</definedName>
    <definedName name="rnmDisposalCREDIT">#REF!</definedName>
    <definedName name="rnmDisposalDEBIT">#REF!</definedName>
    <definedName name="rnmDividendCredit">#REF!</definedName>
    <definedName name="rnmDividendDebit">#REF!</definedName>
    <definedName name="rnmEntities">OFFSET(#REF!,1,0,COUNTA(#REF!)-1,1)</definedName>
    <definedName name="rnmEntryType">#REF!</definedName>
    <definedName name="rnmExportRanges">OFFSET(#REF!,1,0,COUNTA(#REF!)-1,1)</definedName>
    <definedName name="rnmFundingCREDIT">#REF!</definedName>
    <definedName name="rnmFundingDEBIT">#REF!</definedName>
    <definedName name="rnmFxRates">OFFSET(#REF!,1,0,COUNTA(#REF!)-1,19)</definedName>
    <definedName name="rnmHideassociatesJVinvestment">#REF!</definedName>
    <definedName name="rnmHideBonds">#REF!</definedName>
    <definedName name="rnmHideCapex">#REF!</definedName>
    <definedName name="rnmHideCostSales">#REF!</definedName>
    <definedName name="rnmHideDisposal">#REF!</definedName>
    <definedName name="rnmHideDrawdownCash">#REF!</definedName>
    <definedName name="rnmHideInterestIncome">#REF!</definedName>
    <definedName name="rnmHideInvestment">#REF!</definedName>
    <definedName name="rnmHideInvestmentDisposal">#REF!</definedName>
    <definedName name="rnmHideOpexDepn">#REF!</definedName>
    <definedName name="rnmHideOtherIncome">#REF!</definedName>
    <definedName name="rnmHideProvisions">#REF!</definedName>
    <definedName name="rnmHidePUDreclassInvestment">#REF!</definedName>
    <definedName name="rnmHidePUDreclassTrading">#REF!</definedName>
    <definedName name="rnmHideRecurringCoS">#REF!</definedName>
    <definedName name="rnmHideRental">#REF!</definedName>
    <definedName name="rnmHideRepaymentCash">#REF!</definedName>
    <definedName name="rnmHideReserves">#REF!</definedName>
    <definedName name="rnmHideResult">#REF!</definedName>
    <definedName name="rnmHideShareCap">#REF!</definedName>
    <definedName name="rnmHideShareportfolio">#REF!</definedName>
    <definedName name="rnmHideTax">#REF!</definedName>
    <definedName name="rnmIncomeType">#REF!</definedName>
    <definedName name="rnminput3rdpartyinterest">#REF!</definedName>
    <definedName name="rnminput3rdpartyinterestRows">#REF!</definedName>
    <definedName name="rnminputassociatesJVinvestment">#REF!</definedName>
    <definedName name="rnminputassociatesJVinvestmentRows">#REF!</definedName>
    <definedName name="rnminputBonds">#REF!</definedName>
    <definedName name="rnminputBondsRows">#REF!</definedName>
    <definedName name="rnmInputCapex">#REF!</definedName>
    <definedName name="rnmInputCapexRows">#REF!</definedName>
    <definedName name="rnmInputCostSales">#REF!</definedName>
    <definedName name="rnmInputDevex">#REF!</definedName>
    <definedName name="rnmInputDevexRows">#REF!</definedName>
    <definedName name="rnmInputDisposal">#REF!</definedName>
    <definedName name="rnminputDividend">#REF!</definedName>
    <definedName name="rnminputDividendRows">#REF!</definedName>
    <definedName name="rnmInputDrawdownCash">#REF!</definedName>
    <definedName name="rnmInputDrawdownCashRows">#REF!</definedName>
    <definedName name="rnmInputInterestIncome">#REF!</definedName>
    <definedName name="rnmInputInterestIncomeRows">#REF!</definedName>
    <definedName name="rnminputinvestment">#REF!</definedName>
    <definedName name="rnmInputInvestmentDisposal">#REF!</definedName>
    <definedName name="rnmInputInvestmentDisposalRows">#REF!</definedName>
    <definedName name="rnmInputInvestmentRows">#REF!</definedName>
    <definedName name="rnmInputOpex">#REF!</definedName>
    <definedName name="rnmInputOpexRows">#REF!</definedName>
    <definedName name="rnmInputOtherIncome">#REF!</definedName>
    <definedName name="rnmInputOtherIncomeRows">#REF!</definedName>
    <definedName name="rnmInputProvisions">#REF!</definedName>
    <definedName name="rnmInputProvisionsRows">#REF!</definedName>
    <definedName name="rnmInputPUDreclassInvestment">#REF!</definedName>
    <definedName name="rnmInputPUDreclassTrading">#REF!</definedName>
    <definedName name="rnmInputRecurringCoS">#REF!</definedName>
    <definedName name="rnmInputRecurringCoSRows">#REF!</definedName>
    <definedName name="rnmInputRental">#REF!</definedName>
    <definedName name="rnmInputRentalRows">#REF!</definedName>
    <definedName name="rnmInputRepaymentCash">#REF!</definedName>
    <definedName name="rnminputReserves">#REF!</definedName>
    <definedName name="rnminputReservesRows">#REF!</definedName>
    <definedName name="rnmInputResult">#REF!</definedName>
    <definedName name="rnmInputShareCap">#REF!</definedName>
    <definedName name="rnmInputShareCapRows">#REF!</definedName>
    <definedName name="rnminputShareportfolio">#REF!</definedName>
    <definedName name="rnminputShareportfolioRows">#REF!</definedName>
    <definedName name="rnmInputTax">#REF!</definedName>
    <definedName name="rnmInputTaxRows">#REF!</definedName>
    <definedName name="rnmInterestIncomeCredit">#REF!</definedName>
    <definedName name="rnmInterestIncomeDebit">#REF!</definedName>
    <definedName name="rnmInvestmentCredit">#REF!</definedName>
    <definedName name="rnmInvestmentDebit">#REF!</definedName>
    <definedName name="rnmInvestmentDispCredit">#REF!</definedName>
    <definedName name="rnmInvestmentDispDebit">#REF!</definedName>
    <definedName name="rnmLC">#REF!</definedName>
    <definedName name="rnmM">#REF!</definedName>
    <definedName name="rnmOpexCREDIT">#REF!</definedName>
    <definedName name="rnmOpexDEBIT">#REF!</definedName>
    <definedName name="rnmOtherIncomeCREDIT">#REF!</definedName>
    <definedName name="rnmOtherIncomeDEBIT">#REF!</definedName>
    <definedName name="rnmoutput3rdpartyinterest">#REF!</definedName>
    <definedName name="rnmoutput3rdpartyinterestRows">#REF!</definedName>
    <definedName name="rnmoutputassociatesJVinvestment">#REF!</definedName>
    <definedName name="rnmoutputassociatesJVinvestmentRows">#REF!</definedName>
    <definedName name="rnmoutputBonds">#REF!</definedName>
    <definedName name="rnmoutputBondsRows">#REF!</definedName>
    <definedName name="rnmOutputCapex">#REF!</definedName>
    <definedName name="rnmOutputCapexRows">#REF!</definedName>
    <definedName name="rnmOutputCostSales">#REF!</definedName>
    <definedName name="rnmOutputCostSalesRows">#REF!</definedName>
    <definedName name="rnmOutputDevex">#REF!</definedName>
    <definedName name="rnmOutputDevexRows">#REF!</definedName>
    <definedName name="rnmOutputDisposal">#REF!</definedName>
    <definedName name="rnmOutputDisposalRows">#REF!</definedName>
    <definedName name="rnmoutputDividend">#REF!</definedName>
    <definedName name="rnmoutputDividendRows">#REF!</definedName>
    <definedName name="rnmOutputDrawdownCash">#REF!</definedName>
    <definedName name="rnmOutputDrawdownCashRows">#REF!</definedName>
    <definedName name="rnmOutputInterestIncome">#REF!</definedName>
    <definedName name="rnmOutputInterestIncomeRows">#REF!</definedName>
    <definedName name="rnmOutputInvestment">#REF!</definedName>
    <definedName name="rnmOutputInvestmentDisposal">#REF!</definedName>
    <definedName name="rnmOutputInvestmentDisposalRows">#REF!</definedName>
    <definedName name="rnmOutputInvestmentRows">#REF!</definedName>
    <definedName name="rnmOutputOpex">#REF!</definedName>
    <definedName name="rnmOutputOpexRows">#REF!</definedName>
    <definedName name="rnmOutputOtherIncome">#REF!</definedName>
    <definedName name="rnmOutputOtherIncomeRows">#REF!</definedName>
    <definedName name="rnmOutputProvisions">#REF!</definedName>
    <definedName name="rnmOutputProvisionsRows">#REF!</definedName>
    <definedName name="rnmOutputPUDreclassInvestment">#REF!</definedName>
    <definedName name="rnmOutputPUDreclassInvestmentRows">#REF!</definedName>
    <definedName name="rnmOutputPUDreclassTrading">#REF!</definedName>
    <definedName name="rnmOutputRecurring">#REF!</definedName>
    <definedName name="rnmOutputRecurringCoS">#REF!</definedName>
    <definedName name="rnmOutputRecurringCoSRows">#REF!</definedName>
    <definedName name="rnmOutputRecurringRows">#REF!</definedName>
    <definedName name="rnmOutputRepaymentCash">#REF!</definedName>
    <definedName name="rnmOutputRepaymentCashRows">#REF!</definedName>
    <definedName name="rnmoutputReserves">#REF!</definedName>
    <definedName name="rnmoutputReservesRows">#REF!</definedName>
    <definedName name="rnmOutputShareCap">#REF!</definedName>
    <definedName name="rnmOutputShareCapRows">#REF!</definedName>
    <definedName name="rnmoutputShareportfolio">#REF!</definedName>
    <definedName name="rnmoutputShareportfolioRows">#REF!</definedName>
    <definedName name="rnmOutputTax">#REF!</definedName>
    <definedName name="rnmOutputTaxRows">#REF!</definedName>
    <definedName name="rnmPeriods">OFFSET(#REF!,1,0,COUNTA(#REF!)-1,1)</definedName>
    <definedName name="rnmProvisionCREDIT">#REF!</definedName>
    <definedName name="rnmProvisionDEBIT">#REF!</definedName>
    <definedName name="rnMRawData">#REF!</definedName>
    <definedName name="rnmRecurringIncomeCoSCredit">#REF!</definedName>
    <definedName name="rnmRecurringIncomeCoSDebit">#REF!</definedName>
    <definedName name="rnmRentalCREDIT">#REF!</definedName>
    <definedName name="rnmRentalDEBIT">#REF!</definedName>
    <definedName name="rnmReportingPoint">OFFSET(#REF!,1,0,COUNTA(#REF!)-1,1)</definedName>
    <definedName name="rnmreservesCredit">#REF!</definedName>
    <definedName name="rnmreservesDebit">#REF!</definedName>
    <definedName name="rnmScurveChart">OFFSET(#REF!,1,0,COUNTIF(#REF!,"&gt;0"),1)</definedName>
    <definedName name="rnmScurveChartData">OFFSET(#REF!,1,0,COUNTIF(#REF!,"&gt;0"),1)</definedName>
    <definedName name="rnmTaxCREDIT">#REF!</definedName>
    <definedName name="rnmTaxDEBIT">#REF!</definedName>
    <definedName name="rnmTradingCosCREDIT">#REF!</definedName>
    <definedName name="rnmXXXQAR_14">OFFSET(#REF!,1,0,COUNTA(#REF!)-1,1)</definedName>
    <definedName name="rnmXXXQAR_15">OFFSET(#REF!,1,0,COUNTA(#REF!)-1,1)</definedName>
    <definedName name="rnmXXXQAR_16">OFFSET(#REF!,1,0,COUNTA(#REF!)-1,1)</definedName>
    <definedName name="rnmXXXQAR_17">OFFSET(#REF!,1,0,COUNTA(#REF!)-1,1)</definedName>
    <definedName name="rnmXXXQAR_18">OFFSET(#REF!,1,0,COUNTA(#REF!)-1,1)</definedName>
    <definedName name="rnmXXXQAR_19">OFFSET(#REF!,1,0,COUNTA(#REF!)-1,1)</definedName>
    <definedName name="rnmXXXQAR_20">OFFSET(#REF!,1,0,COUNTA(#REF!)-1,1)</definedName>
    <definedName name="rnmXXXQAR_Apr16">OFFSET(#REF!,1,0,COUNTA(#REF!)-1,1)</definedName>
    <definedName name="rnmXXXQAR_Aug16">OFFSET(#REF!,1,0,COUNTA(#REF!)-1,1)</definedName>
    <definedName name="rnmXXXQAR_Dec16">OFFSET(#REF!,1,0,COUNTA(#REF!)-1,1)</definedName>
    <definedName name="rnmXXXQAR_Feb16">OFFSET(#REF!,1,0,COUNTA(#REF!)-1,1)</definedName>
    <definedName name="rnmXXXQAR_Jan16">OFFSET(#REF!,1,0,COUNTA(#REF!)-1,1)</definedName>
    <definedName name="rnmXXXQAR_Jul16">OFFSET(#REF!,1,0,COUNTA(#REF!)-1,1)</definedName>
    <definedName name="rnmXXXQAR_Jun16">OFFSET(#REF!,1,0,COUNTA(#REF!)-1,1)</definedName>
    <definedName name="rnmXXXQAR_Mar16">OFFSET(#REF!,1,0,COUNTA(#REF!)-1,1)</definedName>
    <definedName name="rnmXXXQAR_May16">OFFSET(#REF!,1,0,COUNTA(#REF!)-1,1)</definedName>
    <definedName name="rnmXXXQAR_Nov16">OFFSET(#REF!,1,0,COUNTA(#REF!)-1,1)</definedName>
    <definedName name="rnmXXXQAR_Oct16">OFFSET(#REF!,1,0,COUNTA(#REF!)-1,1)</definedName>
    <definedName name="rnmXXXQAR_Sep16">OFFSET(#REF!,1,0,COUNTA(#REF!)-1,1)</definedName>
    <definedName name="rnReg">#REF!</definedName>
    <definedName name="rnRegions">#REF!</definedName>
    <definedName name="ROACE">#REF!</definedName>
    <definedName name="ROI">#REF!</definedName>
    <definedName name="Rollforward">#REF!</definedName>
    <definedName name="Romania">#REF!</definedName>
    <definedName name="RomaniaExch">#REF!</definedName>
    <definedName name="RomaniaGDP">#REF!</definedName>
    <definedName name="Roof_Water_proofing">#REF!</definedName>
    <definedName name="Rosendahl">#REF!</definedName>
    <definedName name="RoW">#REF!</definedName>
    <definedName name="royalty">#REF!</definedName>
    <definedName name="rrr" hidden="1">{#N/A,#N/A,FALSE,"inctrnd99"}</definedName>
    <definedName name="rt">#N/A</definedName>
    <definedName name="rtaylkaokdslakslakslasaasasas">#REF!</definedName>
    <definedName name="Rtitle">#REF!</definedName>
    <definedName name="Run_All_Combinations">#N/A</definedName>
    <definedName name="Runoff">#REF!</definedName>
    <definedName name="Runoff\">#REF!</definedName>
    <definedName name="RUNOFF1">#REF!</definedName>
    <definedName name="RUNOFF2">#REF!</definedName>
    <definedName name="RUNOFF3">#REF!</definedName>
    <definedName name="Russia">#REF!</definedName>
    <definedName name="RussiaExch">#REF!</definedName>
    <definedName name="RussiaGDP">#REF!</definedName>
    <definedName name="RUT">#REF!</definedName>
    <definedName name="s">#REF!</definedName>
    <definedName name="S.01">#REF!</definedName>
    <definedName name="S.02">#REF!</definedName>
    <definedName name="S.03">#REF!</definedName>
    <definedName name="S.04">#REF!</definedName>
    <definedName name="S.05">#REF!</definedName>
    <definedName name="S.06">#REF!</definedName>
    <definedName name="S.10">#REF!</definedName>
    <definedName name="S.11">#REF!</definedName>
    <definedName name="S.12">#REF!</definedName>
    <definedName name="S.13">#REF!</definedName>
    <definedName name="S_AcctDes">#REF!</definedName>
    <definedName name="S_adjsalespr">#REF!</definedName>
    <definedName name="S_Adjust">#REF!</definedName>
    <definedName name="S_Adjust_Data">#REF!</definedName>
    <definedName name="S_Adjust_GT">#REF!</definedName>
    <definedName name="S_AJE_Tot">#REF!</definedName>
    <definedName name="S_AJE_Tot_Data">#REF!</definedName>
    <definedName name="S_AJE_Tot_GT">#REF!</definedName>
    <definedName name="S_city">#REF!</definedName>
    <definedName name="S_CompNum">#REF!</definedName>
    <definedName name="S_CY_Beg">#REF!</definedName>
    <definedName name="S_CY_Beg_Data">#REF!</definedName>
    <definedName name="S_CY_Beg_GT">#REF!</definedName>
    <definedName name="S_CY_End">#REF!</definedName>
    <definedName name="S_CY_End_Data">#REF!</definedName>
    <definedName name="S_CY_End_GT">#REF!</definedName>
    <definedName name="S_Diff_Amt">#REF!</definedName>
    <definedName name="S_Diff_Pct">#REF!</definedName>
    <definedName name="S_GrpNum">#REF!</definedName>
    <definedName name="S_Headings">#REF!</definedName>
    <definedName name="S_KeyValue">#REF!</definedName>
    <definedName name="S_name">#REF!</definedName>
    <definedName name="S_numrooms">#REF!</definedName>
    <definedName name="S_oar">#REF!</definedName>
    <definedName name="S_priceper">#REF!</definedName>
    <definedName name="S_PY_End">#REF!</definedName>
    <definedName name="S_PY_End_Data">#REF!</definedName>
    <definedName name="S_PY_End_GT">#REF!</definedName>
    <definedName name="S_RJE_Tot">#REF!</definedName>
    <definedName name="S_RJE_Tot_Data">#REF!</definedName>
    <definedName name="S_RJE_Tot_GT">#REF!</definedName>
    <definedName name="S_RowNum">#REF!</definedName>
    <definedName name="S_salemoyr">#REF!</definedName>
    <definedName name="S_saleoccup">#REF!</definedName>
    <definedName name="S_state">#REF!</definedName>
    <definedName name="S_t_xn">#REF!</definedName>
    <definedName name="S_yrbuilt">#REF!</definedName>
    <definedName name="sa" hidden="1">#REF!</definedName>
    <definedName name="sad">#REF!</definedName>
    <definedName name="SAIB3M2014">0.8</definedName>
    <definedName name="SAIB3M2015">0.8%</definedName>
    <definedName name="SAIB3M2016">1.7%</definedName>
    <definedName name="SAIB6M2014">1%</definedName>
    <definedName name="SAIB6M2015">1%</definedName>
    <definedName name="SAIB6M2016">1.8%</definedName>
    <definedName name="Sales">#REF!</definedName>
    <definedName name="Sales_Cash">#REF!</definedName>
    <definedName name="Sales_price_unit">#REF!</definedName>
    <definedName name="Sales_up">#REF!</definedName>
    <definedName name="Sales_volume_units">#REF!</definedName>
    <definedName name="salesgrowth">#REF!</definedName>
    <definedName name="SalesMI">#REF!</definedName>
    <definedName name="SalesPrice">#REF!</definedName>
    <definedName name="SaleYTot">#REF!</definedName>
    <definedName name="Sals_OT_Allows">#REF!</definedName>
    <definedName name="sami" hidden="1">{#N/A,#N/A,FALSE,"Bal.Sht"}</definedName>
    <definedName name="SAPBEXdnldView" hidden="1">"6UMF9IXZLMSNE6GHC21ADEGVM"</definedName>
    <definedName name="SAPBEXrevision" hidden="1">3</definedName>
    <definedName name="SAPBEXsysID" hidden="1">"BWP"</definedName>
    <definedName name="SAPBEXwbID" hidden="1">"DWZSC66EVJ985LF3FI7XSGWTY"</definedName>
    <definedName name="SAR">#REF!</definedName>
    <definedName name="sas">#REF!</definedName>
    <definedName name="sasa" hidden="1">#REF!</definedName>
    <definedName name="Saudi_Arabia">#REF!</definedName>
    <definedName name="Saudi_ArabiaExch">#REF!</definedName>
    <definedName name="Saudi_ArabiaGDP">#REF!</definedName>
    <definedName name="Save">#N/A</definedName>
    <definedName name="SC_SHT_Est_Signed_Contracts_Mall3">#REF!</definedName>
    <definedName name="SC_SHT_Est_Signed_Contracts_Mall4">#REF!</definedName>
    <definedName name="SC_SHT_Est_Signed_Contracts_Mall5">#REF!</definedName>
    <definedName name="SC_SHT_Est_Signed_Contracts_Mall6">#REF!</definedName>
    <definedName name="SC_SHT_Est_Signed_Contracts_Mall7">#REF!</definedName>
    <definedName name="SC_SHT_Est_Signed_Contracts_Mall8">#REF!</definedName>
    <definedName name="SC_SHT_Est_Signed_Contracts_Mall9">#REF!</definedName>
    <definedName name="SC_SHT_Rental_Growth_Rate_Mall1">#REF!</definedName>
    <definedName name="SC_SHT_Rental_Growth_Rate_Mall2">#REF!</definedName>
    <definedName name="SC_SHT_Rental_Growth_Rate_Mall3">#REF!</definedName>
    <definedName name="SC_SHT_Rental_Growth_Rate_Mall4">#REF!</definedName>
    <definedName name="SC_SHT_Rental_Growth_Rate_Mall5">#REF!</definedName>
    <definedName name="SC_SHT_Rental_Growth_Rate_Mall6">#REF!</definedName>
    <definedName name="SC_SHT_Rental_Growth_Rate_Mall7">#REF!</definedName>
    <definedName name="SC_SHT_Rental_Growth_Rate_Mall8">#REF!</definedName>
    <definedName name="SC_SHT_Rental_Growth_Rate_Mall9">#REF!</definedName>
    <definedName name="SC_SHT_Repayment_Old_Debt">#REF!</definedName>
    <definedName name="Scaffolding" hidden="1">{"'Break down'!$A$4"}</definedName>
    <definedName name="Scale">#REF!</definedName>
    <definedName name="ScaleLabels">#REF!</definedName>
    <definedName name="Scales">#REF!</definedName>
    <definedName name="ScaleType">#REF!</definedName>
    <definedName name="ScaleTypes">#REF!</definedName>
    <definedName name="SCap">#REF!</definedName>
    <definedName name="SCap_POL">#REF!</definedName>
    <definedName name="sccope">#REF!</definedName>
    <definedName name="Scen">#REF!</definedName>
    <definedName name="scenario">#REF!</definedName>
    <definedName name="Sched_Pay">#REF!</definedName>
    <definedName name="Scheduled_Extra_Payments">#REF!</definedName>
    <definedName name="Scheduled_Monthly_Payment">#REF!</definedName>
    <definedName name="schooltype">#REF!</definedName>
    <definedName name="scope">#REF!</definedName>
    <definedName name="SCurveListOffset">IF(IsLite,OFFSET(#REF!,0,0,3,1),#REF!)</definedName>
    <definedName name="sddddddddddddddd" hidden="1">#REF!</definedName>
    <definedName name="sdfadsfg">#N/A</definedName>
    <definedName name="sdfg" localSheetId="9">Word</definedName>
    <definedName name="sdfg">Word</definedName>
    <definedName name="sdfs" hidden="1">#REF!</definedName>
    <definedName name="SDmd_Tot">#REF!</definedName>
    <definedName name="sdsd">#REF!</definedName>
    <definedName name="sdsds">#REF!</definedName>
    <definedName name="section">#REF!</definedName>
    <definedName name="SectionaA_E">#REF!,#REF!,#REF!,#REF!</definedName>
    <definedName name="SectionsA_D">#REF!,#REF!,#REF!</definedName>
    <definedName name="SectionsA_K">#REF!,#REF!,#REF!,#REF!,#REF!,#REF!,#REF!,#REF!</definedName>
    <definedName name="seerr" hidden="1">#REF!</definedName>
    <definedName name="segment">#REF!</definedName>
    <definedName name="Segment_1">#REF!</definedName>
    <definedName name="Segment_2">#REF!</definedName>
    <definedName name="Segment_3">#REF!</definedName>
    <definedName name="Segment_4">#REF!</definedName>
    <definedName name="Segment_5">#REF!</definedName>
    <definedName name="Segment_6">#REF!</definedName>
    <definedName name="Segment_7">#REF!</definedName>
    <definedName name="Segment_8">#REF!</definedName>
    <definedName name="sek">#REF!</definedName>
    <definedName name="Select_Report">#N/A</definedName>
    <definedName name="SellMI">#REF!</definedName>
    <definedName name="semibig">#REF!</definedName>
    <definedName name="senabc">#REF!</definedName>
    <definedName name="sencount" hidden="1">1</definedName>
    <definedName name="send">#REF!</definedName>
    <definedName name="SENS">#REF!</definedName>
    <definedName name="Sensitive">#REF!</definedName>
    <definedName name="Sensitivity_CAPEX_central">#REF!</definedName>
    <definedName name="Sensitivity_CAPEX_high">#REF!</definedName>
    <definedName name="Sensitivity_CAPEX_low">#REF!</definedName>
    <definedName name="Sensitivity_EBITDA_central">#REF!</definedName>
    <definedName name="Sensitivity_EBITDA_high">#REF!</definedName>
    <definedName name="Sensitivity_EBITDA_low">#REF!</definedName>
    <definedName name="Sensitivity_revenue_central">#REF!</definedName>
    <definedName name="Sensitivity_revenue_high">#REF!</definedName>
    <definedName name="Sensitivity_revenue_low">#REF!</definedName>
    <definedName name="Sensitivity_sub_central">#REF!</definedName>
    <definedName name="Sensitivity_sub_high">#REF!</definedName>
    <definedName name="Sensitivity_sub_low">#REF!</definedName>
    <definedName name="SENtype">#REF!</definedName>
    <definedName name="Sep_08">#REF!</definedName>
    <definedName name="service">#REF!</definedName>
    <definedName name="Service_TakeUp">#REF!</definedName>
    <definedName name="sfr">#REF!</definedName>
    <definedName name="SFSAF">#REF!</definedName>
    <definedName name="SG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share">#REF!</definedName>
    <definedName name="SHARED_FORMULA_0">#N/A</definedName>
    <definedName name="SHARED_FORMULA_1">#N/A</definedName>
    <definedName name="SHARED_FORMULA_10">#N/A</definedName>
    <definedName name="SHARED_FORMULA_100">#N/A</definedName>
    <definedName name="SHARED_FORMULA_101">#N/A</definedName>
    <definedName name="SHARED_FORMULA_102">#N/A</definedName>
    <definedName name="SHARED_FORMULA_103">#N/A</definedName>
    <definedName name="SHARED_FORMULA_104">#N/A</definedName>
    <definedName name="SHARED_FORMULA_105">#N/A</definedName>
    <definedName name="SHARED_FORMULA_106">#N/A</definedName>
    <definedName name="SHARED_FORMULA_107">#N/A</definedName>
    <definedName name="SHARED_FORMULA_108">#N/A</definedName>
    <definedName name="SHARED_FORMULA_109">#N/A</definedName>
    <definedName name="SHARED_FORMULA_11">#N/A</definedName>
    <definedName name="SHARED_FORMULA_110">#N/A</definedName>
    <definedName name="SHARED_FORMULA_111">#N/A</definedName>
    <definedName name="SHARED_FORMULA_112">#N/A</definedName>
    <definedName name="SHARED_FORMULA_113">#N/A</definedName>
    <definedName name="SHARED_FORMULA_114">#N/A</definedName>
    <definedName name="SHARED_FORMULA_115">#N/A</definedName>
    <definedName name="SHARED_FORMULA_116">#N/A</definedName>
    <definedName name="SHARED_FORMULA_117">#N/A</definedName>
    <definedName name="SHARED_FORMULA_118">#N/A</definedName>
    <definedName name="SHARED_FORMULA_119">#N/A</definedName>
    <definedName name="SHARED_FORMULA_12">#N/A</definedName>
    <definedName name="SHARED_FORMULA_120">#N/A</definedName>
    <definedName name="SHARED_FORMULA_121">#N/A</definedName>
    <definedName name="SHARED_FORMULA_122">#N/A</definedName>
    <definedName name="SHARED_FORMULA_123">#N/A</definedName>
    <definedName name="SHARED_FORMULA_124">#N/A</definedName>
    <definedName name="SHARED_FORMULA_125">#N/A</definedName>
    <definedName name="SHARED_FORMULA_126">#N/A</definedName>
    <definedName name="SHARED_FORMULA_127">#N/A</definedName>
    <definedName name="SHARED_FORMULA_128">#N/A</definedName>
    <definedName name="SHARED_FORMULA_129">#N/A</definedName>
    <definedName name="SHARED_FORMULA_13">#N/A</definedName>
    <definedName name="SHARED_FORMULA_130">#N/A</definedName>
    <definedName name="SHARED_FORMULA_131">#N/A</definedName>
    <definedName name="SHARED_FORMULA_132">#N/A</definedName>
    <definedName name="SHARED_FORMULA_133">#N/A</definedName>
    <definedName name="SHARED_FORMULA_134">#N/A</definedName>
    <definedName name="SHARED_FORMULA_135">#N/A</definedName>
    <definedName name="SHARED_FORMULA_136">#N/A</definedName>
    <definedName name="SHARED_FORMULA_137">#N/A</definedName>
    <definedName name="SHARED_FORMULA_138">#N/A</definedName>
    <definedName name="SHARED_FORMULA_139">#N/A</definedName>
    <definedName name="SHARED_FORMULA_14">#N/A</definedName>
    <definedName name="SHARED_FORMULA_140">#N/A</definedName>
    <definedName name="SHARED_FORMULA_141">#N/A</definedName>
    <definedName name="SHARED_FORMULA_142">#N/A</definedName>
    <definedName name="SHARED_FORMULA_143">#N/A</definedName>
    <definedName name="SHARED_FORMULA_144">#N/A</definedName>
    <definedName name="SHARED_FORMULA_145">#N/A</definedName>
    <definedName name="SHARED_FORMULA_146">#N/A</definedName>
    <definedName name="SHARED_FORMULA_147">#N/A</definedName>
    <definedName name="SHARED_FORMULA_148">#N/A</definedName>
    <definedName name="SHARED_FORMULA_149">#N/A</definedName>
    <definedName name="SHARED_FORMULA_15">#N/A</definedName>
    <definedName name="SHARED_FORMULA_150">#N/A</definedName>
    <definedName name="SHARED_FORMULA_151">#N/A</definedName>
    <definedName name="SHARED_FORMULA_152">#N/A</definedName>
    <definedName name="SHARED_FORMULA_153">#N/A</definedName>
    <definedName name="SHARED_FORMULA_154">#N/A</definedName>
    <definedName name="SHARED_FORMULA_155">#N/A</definedName>
    <definedName name="SHARED_FORMULA_156">#N/A</definedName>
    <definedName name="SHARED_FORMULA_157">#N/A</definedName>
    <definedName name="SHARED_FORMULA_158">#N/A</definedName>
    <definedName name="SHARED_FORMULA_159">#N/A</definedName>
    <definedName name="SHARED_FORMULA_16">#N/A</definedName>
    <definedName name="SHARED_FORMULA_160">#N/A</definedName>
    <definedName name="SHARED_FORMULA_161">#N/A</definedName>
    <definedName name="SHARED_FORMULA_162">#N/A</definedName>
    <definedName name="SHARED_FORMULA_163">#N/A</definedName>
    <definedName name="SHARED_FORMULA_164">#N/A</definedName>
    <definedName name="SHARED_FORMULA_165">#N/A</definedName>
    <definedName name="SHARED_FORMULA_166">#N/A</definedName>
    <definedName name="SHARED_FORMULA_167">#N/A</definedName>
    <definedName name="SHARED_FORMULA_168">#N/A</definedName>
    <definedName name="SHARED_FORMULA_169">#N/A</definedName>
    <definedName name="SHARED_FORMULA_17">#N/A</definedName>
    <definedName name="SHARED_FORMULA_170">#N/A</definedName>
    <definedName name="SHARED_FORMULA_171">#N/A</definedName>
    <definedName name="SHARED_FORMULA_172">#N/A</definedName>
    <definedName name="SHARED_FORMULA_173">#N/A</definedName>
    <definedName name="SHARED_FORMULA_18">#N/A</definedName>
    <definedName name="SHARED_FORMULA_19">#N/A</definedName>
    <definedName name="SHARED_FORMULA_2">#N/A</definedName>
    <definedName name="SHARED_FORMULA_20">#N/A</definedName>
    <definedName name="SHARED_FORMULA_21">#N/A</definedName>
    <definedName name="SHARED_FORMULA_22">#N/A</definedName>
    <definedName name="SHARED_FORMULA_23">#N/A</definedName>
    <definedName name="SHARED_FORMULA_24">#N/A</definedName>
    <definedName name="SHARED_FORMULA_25">#N/A</definedName>
    <definedName name="SHARED_FORMULA_26">#N/A</definedName>
    <definedName name="SHARED_FORMULA_27">#N/A</definedName>
    <definedName name="SHARED_FORMULA_28">#N/A</definedName>
    <definedName name="SHARED_FORMULA_29">#N/A</definedName>
    <definedName name="SHARED_FORMULA_3">#N/A</definedName>
    <definedName name="SHARED_FORMULA_30">#N/A</definedName>
    <definedName name="SHARED_FORMULA_31">#N/A</definedName>
    <definedName name="SHARED_FORMULA_32">#N/A</definedName>
    <definedName name="SHARED_FORMULA_33">#N/A</definedName>
    <definedName name="SHARED_FORMULA_34">#N/A</definedName>
    <definedName name="SHARED_FORMULA_35">#N/A</definedName>
    <definedName name="SHARED_FORMULA_36">#N/A</definedName>
    <definedName name="SHARED_FORMULA_37">#N/A</definedName>
    <definedName name="SHARED_FORMULA_38">#N/A</definedName>
    <definedName name="SHARED_FORMULA_39">#N/A</definedName>
    <definedName name="SHARED_FORMULA_4">#N/A</definedName>
    <definedName name="SHARED_FORMULA_40">#N/A</definedName>
    <definedName name="SHARED_FORMULA_41">#N/A</definedName>
    <definedName name="SHARED_FORMULA_42">#N/A</definedName>
    <definedName name="SHARED_FORMULA_43">#N/A</definedName>
    <definedName name="SHARED_FORMULA_44">#N/A</definedName>
    <definedName name="SHARED_FORMULA_45">#N/A</definedName>
    <definedName name="SHARED_FORMULA_46">#N/A</definedName>
    <definedName name="SHARED_FORMULA_47">#N/A</definedName>
    <definedName name="SHARED_FORMULA_48">#N/A</definedName>
    <definedName name="SHARED_FORMULA_49">#N/A</definedName>
    <definedName name="SHARED_FORMULA_5">#N/A</definedName>
    <definedName name="SHARED_FORMULA_50">#N/A</definedName>
    <definedName name="SHARED_FORMULA_51">#N/A</definedName>
    <definedName name="SHARED_FORMULA_52">#N/A</definedName>
    <definedName name="SHARED_FORMULA_53">#N/A</definedName>
    <definedName name="SHARED_FORMULA_54">#N/A</definedName>
    <definedName name="SHARED_FORMULA_55">#N/A</definedName>
    <definedName name="SHARED_FORMULA_56">#N/A</definedName>
    <definedName name="SHARED_FORMULA_57">#N/A</definedName>
    <definedName name="SHARED_FORMULA_58">#N/A</definedName>
    <definedName name="SHARED_FORMULA_59">#N/A</definedName>
    <definedName name="SHARED_FORMULA_6">#N/A</definedName>
    <definedName name="SHARED_FORMULA_60">#N/A</definedName>
    <definedName name="SHARED_FORMULA_61">#N/A</definedName>
    <definedName name="SHARED_FORMULA_62">#N/A</definedName>
    <definedName name="SHARED_FORMULA_63">#N/A</definedName>
    <definedName name="SHARED_FORMULA_64">#N/A</definedName>
    <definedName name="SHARED_FORMULA_65">#N/A</definedName>
    <definedName name="SHARED_FORMULA_66">#N/A</definedName>
    <definedName name="SHARED_FORMULA_67">#N/A</definedName>
    <definedName name="SHARED_FORMULA_68">#N/A</definedName>
    <definedName name="SHARED_FORMULA_69">#N/A</definedName>
    <definedName name="SHARED_FORMULA_7">#N/A</definedName>
    <definedName name="SHARED_FORMULA_70">#N/A</definedName>
    <definedName name="SHARED_FORMULA_71">#N/A</definedName>
    <definedName name="SHARED_FORMULA_72">#N/A</definedName>
    <definedName name="SHARED_FORMULA_73">#N/A</definedName>
    <definedName name="SHARED_FORMULA_74">#N/A</definedName>
    <definedName name="SHARED_FORMULA_75">#N/A</definedName>
    <definedName name="SHARED_FORMULA_76">#N/A</definedName>
    <definedName name="SHARED_FORMULA_77">#N/A</definedName>
    <definedName name="SHARED_FORMULA_78">#N/A</definedName>
    <definedName name="SHARED_FORMULA_79">#N/A</definedName>
    <definedName name="SHARED_FORMULA_8">#N/A</definedName>
    <definedName name="SHARED_FORMULA_80">#N/A</definedName>
    <definedName name="SHARED_FORMULA_81">#N/A</definedName>
    <definedName name="SHARED_FORMULA_82">#N/A</definedName>
    <definedName name="SHARED_FORMULA_83">#N/A</definedName>
    <definedName name="SHARED_FORMULA_84">#N/A</definedName>
    <definedName name="SHARED_FORMULA_85">#N/A</definedName>
    <definedName name="SHARED_FORMULA_86">#N/A</definedName>
    <definedName name="SHARED_FORMULA_87">#N/A</definedName>
    <definedName name="SHARED_FORMULA_88">#N/A</definedName>
    <definedName name="SHARED_FORMULA_89">#N/A</definedName>
    <definedName name="SHARED_FORMULA_9">#N/A</definedName>
    <definedName name="SHARED_FORMULA_90">#N/A</definedName>
    <definedName name="SHARED_FORMULA_91">#N/A</definedName>
    <definedName name="SHARED_FORMULA_92">#N/A</definedName>
    <definedName name="SHARED_FORMULA_93">#N/A</definedName>
    <definedName name="SHARED_FORMULA_94">#N/A</definedName>
    <definedName name="SHARED_FORMULA_95">#N/A</definedName>
    <definedName name="SHARED_FORMULA_96">#N/A</definedName>
    <definedName name="SHARED_FORMULA_97">#N/A</definedName>
    <definedName name="SHARED_FORMULA_98">#N/A</definedName>
    <definedName name="SHARED_FORMULA_99">#N/A</definedName>
    <definedName name="shares">#REF!</definedName>
    <definedName name="shares_outstanding">#REF!</definedName>
    <definedName name="sheet" hidden="1">{#N/A,#N/A,FALSE,"Bal.Sht"}</definedName>
    <definedName name="sherif">#REF!</definedName>
    <definedName name="shh">#REF!</definedName>
    <definedName name="SHHHSHHSH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SHHSHS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Shit">#REF!</definedName>
    <definedName name="Shrink">#REF!</definedName>
    <definedName name="SHSHS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SHSHSH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SHSHSHSH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SIGOREMK">#REF!</definedName>
    <definedName name="SIGORISVCAL">#REF!</definedName>
    <definedName name="SIGORISVEMK">#REF!</definedName>
    <definedName name="SIGORNOR">#REF!</definedName>
    <definedName name="SIGTAV">#REF!</definedName>
    <definedName name="SIGTAV_USD">#REF!</definedName>
    <definedName name="SILPAP_0.12_ROLE">#REF!</definedName>
    <definedName name="Singapore">#REF!</definedName>
    <definedName name="SingaporeExch">#REF!</definedName>
    <definedName name="SingaporeGDP">#REF!</definedName>
    <definedName name="site">#REF!</definedName>
    <definedName name="siteinfob">#REF!</definedName>
    <definedName name="siteinfot">#REF!</definedName>
    <definedName name="sitelevels">#REF!</definedName>
    <definedName name="Size">#REF!</definedName>
    <definedName name="Slicer_Project">#N/A</definedName>
    <definedName name="Slicer_Project1">#N/A</definedName>
    <definedName name="Slicer_Type">#N/A</definedName>
    <definedName name="Slicer_Type1">#N/A</definedName>
    <definedName name="SLNX" hidden="1">{#N/A,#N/A,FALSE,"Finanzplan";#N/A,#N/A,FALSE,"Bilanz";#N/A,#N/A,FALSE,"GuV"}</definedName>
    <definedName name="Slovak_Republic">#REF!</definedName>
    <definedName name="Slovak_RepublicExch">#REF!</definedName>
    <definedName name="Slovak_RepublicGDP">#REF!</definedName>
    <definedName name="SmallNum">#REF!</definedName>
    <definedName name="SMmd_Tot">#REF!</definedName>
    <definedName name="SO">#REF!</definedName>
    <definedName name="soil">#REF!</definedName>
    <definedName name="soilnature">#REF!</definedName>
    <definedName name="solver_adj" hidden="1">#N/A</definedName>
    <definedName name="solver_lhs1" hidden="1">#N/A</definedName>
    <definedName name="solver_lhs2" hidden="1">#N/A</definedName>
    <definedName name="solver_lhs3" hidden="1">#N/A</definedName>
    <definedName name="solver_lhs4" hidden="1">#N/A</definedName>
    <definedName name="solver_lhs5" hidden="1">#N/A</definedName>
    <definedName name="solver_lhs6" hidden="1">#N/A</definedName>
    <definedName name="solver_lhs7" hidden="1">#N/A</definedName>
    <definedName name="solver_lhs8" hidden="1">#N/A</definedName>
    <definedName name="solver_lhs9" hidden="1">#N/A</definedName>
    <definedName name="solver_lin" hidden="1">0</definedName>
    <definedName name="solver_num" hidden="1">9</definedName>
    <definedName name="solver_opt" hidden="1">#N/A</definedName>
    <definedName name="solver_rel1" hidden="1">3</definedName>
    <definedName name="solver_rel2" hidden="1">3</definedName>
    <definedName name="solver_rel3" hidden="1">3</definedName>
    <definedName name="solver_rel4" hidden="1">3</definedName>
    <definedName name="solver_rel5" hidden="1">3</definedName>
    <definedName name="solver_rel6" hidden="1">3</definedName>
    <definedName name="solver_rel7" hidden="1">3</definedName>
    <definedName name="solver_rel8" hidden="1">3</definedName>
    <definedName name="solver_rel9" hidden="1">3</definedName>
    <definedName name="solver_rhs1" hidden="1">0</definedName>
    <definedName name="solver_rhs2" hidden="1">0</definedName>
    <definedName name="solver_rhs3" hidden="1">0</definedName>
    <definedName name="solver_rhs4" hidden="1">0</definedName>
    <definedName name="solver_rhs5" hidden="1">0</definedName>
    <definedName name="solver_rhs6" hidden="1">0</definedName>
    <definedName name="solver_rhs7" hidden="1">0</definedName>
    <definedName name="solver_rhs8" hidden="1">0</definedName>
    <definedName name="solver_rhs9" hidden="1">0</definedName>
    <definedName name="solver_typ" hidden="1">2</definedName>
    <definedName name="solver_val" hidden="1">0</definedName>
    <definedName name="Sonderauswertung">#REF!</definedName>
    <definedName name="Sonstiger_Materialaufwand">#REF!</definedName>
    <definedName name="Sonstiger_Verwaltungsaufwand">#REF!</definedName>
    <definedName name="SOPmaskgroup">#REF!</definedName>
    <definedName name="SOPmaskgroupS">#REF!</definedName>
    <definedName name="SOPmasksize">#REF!</definedName>
    <definedName name="SOPsortrange">#REF!</definedName>
    <definedName name="SOPtstart">#REF!</definedName>
    <definedName name="Sortierreihenfolge_1">#REF!</definedName>
    <definedName name="SOSYAR">#REF!</definedName>
    <definedName name="SOtherCap">#REF!</definedName>
    <definedName name="SOtherDmd">#REF!</definedName>
    <definedName name="SOtherPrd_POL">#REF!</definedName>
    <definedName name="SOtherPrd_Rcy">#REF!</definedName>
    <definedName name="SOtherPrd_Tot">#REF!</definedName>
    <definedName name="South_Africa">#REF!</definedName>
    <definedName name="South_AfricaExch">#REF!</definedName>
    <definedName name="South_AfricaGDP">#REF!</definedName>
    <definedName name="South_Korea">#REF!</definedName>
    <definedName name="south_KoreaExch">#REF!</definedName>
    <definedName name="South_KoreaGDP">#REF!</definedName>
    <definedName name="Spa_Day_Spa">#REF!</definedName>
    <definedName name="Spa_Hotel">#REF!</definedName>
    <definedName name="Spa_Leisure_Cent_Mbrship">#REF!</definedName>
    <definedName name="Spa_Residential">#REF!</definedName>
    <definedName name="Spa_Retail">#REF!</definedName>
    <definedName name="Spa_Revenue_Summary">#REF!</definedName>
    <definedName name="Spa_Room_Utilisation">#REF!</definedName>
    <definedName name="Spa_Spa_Membership">#REF!</definedName>
    <definedName name="Spa_User_Summary">#REF!</definedName>
    <definedName name="Spain">#REF!</definedName>
    <definedName name="SpainGDP">#REF!</definedName>
    <definedName name="SpecialPrice" hidden="1">#REF!</definedName>
    <definedName name="Spinner2">#REF!</definedName>
    <definedName name="SpinnerMaster">#REF!</definedName>
    <definedName name="SpinnerOptimal">#REF!</definedName>
    <definedName name="SpinnerOptimalPaste">#REF!</definedName>
    <definedName name="Splétačka__Cortinovis">#REF!</definedName>
    <definedName name="spottermix">#REF!</definedName>
    <definedName name="SPrd_POL">#REF!</definedName>
    <definedName name="SPrd_Rcy">#REF!</definedName>
    <definedName name="SPrd_Tot">#REF!</definedName>
    <definedName name="SRC">#REF!</definedName>
    <definedName name="srf">#REF!</definedName>
    <definedName name="SS">#REF!</definedName>
    <definedName name="SshowAll">#REF!,#REF!</definedName>
    <definedName name="St_1">#REF!</definedName>
    <definedName name="St_2">#REF!</definedName>
    <definedName name="St_3">#REF!</definedName>
    <definedName name="St_4">#REF!</definedName>
    <definedName name="St_5">#REF!</definedName>
    <definedName name="St_6">#REF!</definedName>
    <definedName name="St_7">#REF!</definedName>
    <definedName name="St_8">#REF!</definedName>
    <definedName name="Stab_NOI">#REF!</definedName>
    <definedName name="Stab_Year">#REF!</definedName>
    <definedName name="Stabilized_Occ">#REF!</definedName>
    <definedName name="Stáčečka_Frisch_S_Z">#REF!</definedName>
    <definedName name="staffing">#REF!</definedName>
    <definedName name="StageCF_StageList">#REF!</definedName>
    <definedName name="Stake">#REF!</definedName>
    <definedName name="Standard">#REF!</definedName>
    <definedName name="Start_date">#REF!</definedName>
    <definedName name="start1">#REF!</definedName>
    <definedName name="start2">#REF!</definedName>
    <definedName name="start3">#REF!</definedName>
    <definedName name="start4">#REF!</definedName>
    <definedName name="start41">#REF!</definedName>
    <definedName name="start5">#REF!</definedName>
    <definedName name="StartCell">#REF!</definedName>
    <definedName name="StartDate">#REF!</definedName>
    <definedName name="StartDate_1">#REF!</definedName>
    <definedName name="StartDate_2">#REF!</definedName>
    <definedName name="StartDate_3">#REF!</definedName>
    <definedName name="StartDate_4">#REF!</definedName>
    <definedName name="StartDate_5">#REF!</definedName>
    <definedName name="StartDate_6">#REF!</definedName>
    <definedName name="StartDate_7">#REF!</definedName>
    <definedName name="StartDate_8">#REF!</definedName>
    <definedName name="StartPosition">#REF!</definedName>
    <definedName name="StartYear">#REF!</definedName>
    <definedName name="stat1">#REF!</definedName>
    <definedName name="stat10">#REF!</definedName>
    <definedName name="stat10a">#REF!</definedName>
    <definedName name="stat11">#REF!</definedName>
    <definedName name="stat11a">#REF!</definedName>
    <definedName name="stat12">#REF!</definedName>
    <definedName name="stat12a">#REF!</definedName>
    <definedName name="stat13">#REF!</definedName>
    <definedName name="stat13a">#REF!</definedName>
    <definedName name="stat14">#REF!</definedName>
    <definedName name="stat14a">#REF!</definedName>
    <definedName name="stat15">#REF!</definedName>
    <definedName name="stat15a">#REF!</definedName>
    <definedName name="stat16">#REF!</definedName>
    <definedName name="stat16a">#REF!</definedName>
    <definedName name="stat17">#REF!</definedName>
    <definedName name="stat17a">#REF!</definedName>
    <definedName name="stat18">#REF!</definedName>
    <definedName name="stat18a">#REF!</definedName>
    <definedName name="stat19">#REF!</definedName>
    <definedName name="stat19a">#REF!</definedName>
    <definedName name="stat1a">#REF!</definedName>
    <definedName name="stat2">#REF!</definedName>
    <definedName name="stat20">#REF!</definedName>
    <definedName name="stat20a">#REF!</definedName>
    <definedName name="stat21">#REF!</definedName>
    <definedName name="stat21a">#REF!</definedName>
    <definedName name="stat22">#REF!</definedName>
    <definedName name="stat22a">#REF!</definedName>
    <definedName name="stat23">#REF!</definedName>
    <definedName name="stat23a">#REF!</definedName>
    <definedName name="stat24">#REF!</definedName>
    <definedName name="stat24a">#REF!</definedName>
    <definedName name="stat25">#REF!</definedName>
    <definedName name="stat25a">#REF!</definedName>
    <definedName name="stat26">#REF!</definedName>
    <definedName name="stat26a">#REF!</definedName>
    <definedName name="stat27">#REF!</definedName>
    <definedName name="stat27a">#REF!</definedName>
    <definedName name="stat28">#REF!</definedName>
    <definedName name="stat28a">#REF!</definedName>
    <definedName name="stat29">#REF!</definedName>
    <definedName name="stat29a">#REF!</definedName>
    <definedName name="stat2a">#REF!</definedName>
    <definedName name="stat3">#REF!</definedName>
    <definedName name="stat30">#REF!</definedName>
    <definedName name="stat30a">#REF!</definedName>
    <definedName name="stat31">#REF!</definedName>
    <definedName name="stat31a">#REF!</definedName>
    <definedName name="stat32">#REF!</definedName>
    <definedName name="stat32a">#REF!</definedName>
    <definedName name="stat33">#REF!</definedName>
    <definedName name="stat33a">#REF!</definedName>
    <definedName name="stat3a">#REF!</definedName>
    <definedName name="stat4">#REF!</definedName>
    <definedName name="stat48">#REF!</definedName>
    <definedName name="stat48a">#REF!</definedName>
    <definedName name="stat49">#REF!</definedName>
    <definedName name="stat49a">#REF!</definedName>
    <definedName name="stat4a">#REF!</definedName>
    <definedName name="stat5">#REF!</definedName>
    <definedName name="stat50">#REF!</definedName>
    <definedName name="stat50a">#REF!</definedName>
    <definedName name="stat51">#REF!</definedName>
    <definedName name="stat51a">#REF!</definedName>
    <definedName name="stat52">#REF!</definedName>
    <definedName name="stat52a">#REF!</definedName>
    <definedName name="stat53">#REF!</definedName>
    <definedName name="stat53a">#REF!</definedName>
    <definedName name="stat54">#REF!</definedName>
    <definedName name="stat54a">#REF!</definedName>
    <definedName name="stat55">#REF!</definedName>
    <definedName name="stat55a">#REF!</definedName>
    <definedName name="stat56">#REF!</definedName>
    <definedName name="stat56a">#REF!</definedName>
    <definedName name="stat57">#REF!</definedName>
    <definedName name="stat57a">#REF!</definedName>
    <definedName name="stat58">#REF!</definedName>
    <definedName name="stat58a">#REF!</definedName>
    <definedName name="stat59">#REF!</definedName>
    <definedName name="stat59a">#REF!</definedName>
    <definedName name="stat5a">#REF!</definedName>
    <definedName name="stat6">#REF!</definedName>
    <definedName name="stat60">#REF!</definedName>
    <definedName name="stat60a">#REF!</definedName>
    <definedName name="stat61">#REF!</definedName>
    <definedName name="stat61a">#REF!</definedName>
    <definedName name="stat62">#REF!</definedName>
    <definedName name="stat62a">#REF!</definedName>
    <definedName name="stat63">#REF!</definedName>
    <definedName name="stat63a">#REF!</definedName>
    <definedName name="stat64">#REF!</definedName>
    <definedName name="stat64a">#REF!</definedName>
    <definedName name="stat65">#REF!</definedName>
    <definedName name="stat65a">#REF!</definedName>
    <definedName name="stat66">#REF!</definedName>
    <definedName name="stat66a">#REF!</definedName>
    <definedName name="stat67">#REF!</definedName>
    <definedName name="stat67a">#REF!</definedName>
    <definedName name="stat68">#REF!</definedName>
    <definedName name="stat68a">#REF!</definedName>
    <definedName name="stat69">#REF!</definedName>
    <definedName name="stat69a">#REF!</definedName>
    <definedName name="stat6a">#REF!</definedName>
    <definedName name="stat7">#REF!</definedName>
    <definedName name="stat70">#REF!</definedName>
    <definedName name="stat70a">#REF!</definedName>
    <definedName name="stat71">#REF!</definedName>
    <definedName name="stat71a">#REF!</definedName>
    <definedName name="stat72">#REF!</definedName>
    <definedName name="stat72a">#REF!</definedName>
    <definedName name="stat73">#REF!</definedName>
    <definedName name="stat73a">#REF!</definedName>
    <definedName name="stat74">#REF!</definedName>
    <definedName name="stat74a">#REF!</definedName>
    <definedName name="stat75">#REF!</definedName>
    <definedName name="stat75a">#REF!</definedName>
    <definedName name="stat76">#REF!</definedName>
    <definedName name="stat76a">#REF!</definedName>
    <definedName name="stat77">#REF!</definedName>
    <definedName name="stat77a">#REF!</definedName>
    <definedName name="stat78">#REF!</definedName>
    <definedName name="stat78a">#REF!</definedName>
    <definedName name="stat79">#REF!</definedName>
    <definedName name="stat79a">#REF!</definedName>
    <definedName name="stat7a">#REF!</definedName>
    <definedName name="stat8">#REF!</definedName>
    <definedName name="stat80">#REF!</definedName>
    <definedName name="stat80a">#REF!</definedName>
    <definedName name="stat81">#REF!</definedName>
    <definedName name="stat81a">#REF!</definedName>
    <definedName name="stat8a">#REF!</definedName>
    <definedName name="stat9">#REF!</definedName>
    <definedName name="stat9a">#REF!</definedName>
    <definedName name="State">#REF!</definedName>
    <definedName name="Statistics">#REF!</definedName>
    <definedName name="statprime">#REF!</definedName>
    <definedName name="statprime2">#REF!</definedName>
    <definedName name="Status">#REF!</definedName>
    <definedName name="STdebt_amort">#REF!</definedName>
    <definedName name="STdebt_int">#REF!</definedName>
    <definedName name="steelbar">#REF!</definedName>
    <definedName name="STOP">IF([0]!Values_Entered,[1]!Header_Row+[0]!Number_of_Payments,[1]!Header_Row)</definedName>
    <definedName name="StoreTest">#REF!</definedName>
    <definedName name="str">#REF!</definedName>
    <definedName name="Strat_Overheads">#REF!</definedName>
    <definedName name="Strategic">#REF!</definedName>
    <definedName name="Stříkolis_Bu_63">#REF!</definedName>
    <definedName name="Structure">#REF!</definedName>
    <definedName name="Subregion">#REF!</definedName>
    <definedName name="sum">#REF!</definedName>
    <definedName name="Summary">#REF!</definedName>
    <definedName name="Summary_1">#REF!</definedName>
    <definedName name="Summary_2">#REF!</definedName>
    <definedName name="Summary_3">#REF!</definedName>
    <definedName name="Summary_4">#REF!</definedName>
    <definedName name="Summary_5">#REF!</definedName>
    <definedName name="Summary_6">#REF!</definedName>
    <definedName name="Summary_7">#REF!</definedName>
    <definedName name="Summary_8">#REF!</definedName>
    <definedName name="Summary0">#REF!</definedName>
    <definedName name="Summary1">#REF!</definedName>
    <definedName name="Summary2_1">#REF!</definedName>
    <definedName name="Summary2_2">#REF!</definedName>
    <definedName name="Summary2_3">#REF!</definedName>
    <definedName name="Summary2_4">#REF!</definedName>
    <definedName name="Summary2_5">#REF!</definedName>
    <definedName name="Summary2_6">#REF!</definedName>
    <definedName name="Summary2_7">#REF!</definedName>
    <definedName name="Summary2_8">#REF!</definedName>
    <definedName name="Summary3_1">#REF!</definedName>
    <definedName name="Summary3_2">#REF!</definedName>
    <definedName name="Summary3_3">#REF!</definedName>
    <definedName name="Summary3_4">#REF!</definedName>
    <definedName name="Summary3_5">#REF!</definedName>
    <definedName name="Summary3_6">#REF!</definedName>
    <definedName name="Summary3_7">#REF!</definedName>
    <definedName name="Summary3_8">#REF!</definedName>
    <definedName name="Summary4_1">#REF!</definedName>
    <definedName name="Summary4_2">#REF!</definedName>
    <definedName name="Summary4_3">#REF!</definedName>
    <definedName name="Summary4_4">#REF!</definedName>
    <definedName name="Summary4_5">#REF!</definedName>
    <definedName name="Summary4_6">#REF!</definedName>
    <definedName name="Summary4_7">#REF!</definedName>
    <definedName name="Summary4_8">#REF!</definedName>
    <definedName name="Summary5_1">#REF!</definedName>
    <definedName name="Summary5_2">#REF!</definedName>
    <definedName name="Summary5_3">#REF!</definedName>
    <definedName name="Summary5_4">#REF!</definedName>
    <definedName name="Summary5_5">#REF!</definedName>
    <definedName name="Summary5_6">#REF!</definedName>
    <definedName name="Summary5_7">#REF!</definedName>
    <definedName name="Summary5_8">#REF!</definedName>
    <definedName name="SummaryTable">#REF!</definedName>
    <definedName name="Summe_Voice">#REF!</definedName>
    <definedName name="SumYieldShow">#REF!,#REF!,#REF!</definedName>
    <definedName name="SupportPerExecutive">#REF!</definedName>
    <definedName name="SupportPerManager">#REF!</definedName>
    <definedName name="SupportPerSalesman">#REF!</definedName>
    <definedName name="SvgsByRetirement">#REF!</definedName>
    <definedName name="SvgsforLife">#REF!</definedName>
    <definedName name="SvgsPerDay">#REF!</definedName>
    <definedName name="SvgsPerMonth">#REF!</definedName>
    <definedName name="SvgsPerYear">#REF!</definedName>
    <definedName name="sw_acc_perc_loc">#REF!</definedName>
    <definedName name="Sweden">#REF!</definedName>
    <definedName name="SwedenExch">#REF!</definedName>
    <definedName name="SwedenGDP">#REF!</definedName>
    <definedName name="switch">#REF!</definedName>
    <definedName name="Switch_Combimux_Cost">#REF!</definedName>
    <definedName name="Switch_Combimux_minutes">#REF!</definedName>
    <definedName name="Switch_data_cost">#REF!</definedName>
    <definedName name="Switch_Data_CPE_cost">#REF!</definedName>
    <definedName name="Switch_data_CPE_Ports">#REF!</definedName>
    <definedName name="Switch_data_ports">#REF!</definedName>
    <definedName name="Switch_Maint">#REF!</definedName>
    <definedName name="Switch_NMC_Cost">#REF!</definedName>
    <definedName name="Switch_voice_no_channels">#REF!</definedName>
    <definedName name="Switch_Voice_p_Ch">#REF!</definedName>
    <definedName name="switch1">#REF!</definedName>
    <definedName name="Switzerland">#REF!</definedName>
    <definedName name="SwitzerlandExch">#REF!</definedName>
    <definedName name="SwitzerlandGDP">#REF!</definedName>
    <definedName name="Syn">#REF!</definedName>
    <definedName name="SynMax">#REF!</definedName>
    <definedName name="SynMed">#REF!</definedName>
    <definedName name="SynMin">#REF!</definedName>
    <definedName name="SynQ1">#REF!</definedName>
    <definedName name="SynQ3">#REF!</definedName>
    <definedName name="T">#REF!</definedName>
    <definedName name="T.01">#REF!</definedName>
    <definedName name="T.02">#REF!</definedName>
    <definedName name="T.03">#REF!</definedName>
    <definedName name="T.04">#REF!</definedName>
    <definedName name="Table">#REF!</definedName>
    <definedName name="Table_Demand_Growth">#REF!</definedName>
    <definedName name="Table_Exec_Summ">#REF!</definedName>
    <definedName name="Table_FB_BuildUp">#REF!</definedName>
    <definedName name="Table_Forecast_Segm_and_Occ">#REF!</definedName>
    <definedName name="Table_Leisure_Center">#REF!</definedName>
    <definedName name="Table_Meeting_BuildUp">#REF!</definedName>
    <definedName name="Table_Occ_and_Rate_Forecast">#REF!</definedName>
    <definedName name="Table_Retail_Sale">#REF!</definedName>
    <definedName name="Table_Spa_BuildUp">#REF!</definedName>
    <definedName name="Table01">#REF!</definedName>
    <definedName name="Table02">#REF!</definedName>
    <definedName name="Table03">#REF!</definedName>
    <definedName name="Table04">#REF!</definedName>
    <definedName name="Table05">#REF!</definedName>
    <definedName name="Table06">#REF!</definedName>
    <definedName name="Table07">#REF!</definedName>
    <definedName name="Table08">#REF!</definedName>
    <definedName name="Table09">#REF!</definedName>
    <definedName name="Table10">#REF!</definedName>
    <definedName name="Taiwan">#REF!</definedName>
    <definedName name="TaiwanExch">#REF!</definedName>
    <definedName name="TaiwanGDP">#REF!</definedName>
    <definedName name="TAL__1_einbeziehen__0_außer_Acht_lassen">#REF!</definedName>
    <definedName name="Tanzania">#REF!</definedName>
    <definedName name="TanzaniaExch">#REF!</definedName>
    <definedName name="TanzaniaGDP">#REF!</definedName>
    <definedName name="tapinput">#REF!</definedName>
    <definedName name="TarCurr">#REF!</definedName>
    <definedName name="targ">#REF!</definedName>
    <definedName name="Target">#REF!</definedName>
    <definedName name="TargetEbus">#REF!</definedName>
    <definedName name="TargetGIS">#REF!</definedName>
    <definedName name="TargetHWSI">#REF!</definedName>
    <definedName name="TargetMAMAS">#REF!</definedName>
    <definedName name="TargetSecurity">#REF!</definedName>
    <definedName name="TargetTeam">#REF!</definedName>
    <definedName name="TargetTGMT">#REF!</definedName>
    <definedName name="tariff">#REF!</definedName>
    <definedName name="TariffUt">#REF!</definedName>
    <definedName name="TarrifCurrency">#REF!</definedName>
    <definedName name="TarrifRealNom">#REF!</definedName>
    <definedName name="tax">#REF!</definedName>
    <definedName name="Tax_rate">#REF!</definedName>
    <definedName name="Taxable">#REF!</definedName>
    <definedName name="Taxation">#REF!</definedName>
    <definedName name="TaxDeprec">#REF!</definedName>
    <definedName name="TB_Oracle">#REF!</definedName>
    <definedName name="TBALSHA">#REF!</definedName>
    <definedName name="TBALSHE">#REF!</definedName>
    <definedName name="TBALSHEYR">#REF!</definedName>
    <definedName name="TBALSHYR">#REF!</definedName>
    <definedName name="tbl_ProdInfo" hidden="1">#REF!</definedName>
    <definedName name="TCASHFLO">#REF!</definedName>
    <definedName name="TCASHYR">#REF!</definedName>
    <definedName name="TCOV">#REF!</definedName>
    <definedName name="teachingareas">#REF!</definedName>
    <definedName name="Telephone">#REF!</definedName>
    <definedName name="temp" hidden="1">{"'Break down'!$A$4"}</definedName>
    <definedName name="TemplatePrintArea">#REF!</definedName>
    <definedName name="tenderss">#REF!</definedName>
    <definedName name="Terminberechnung">IF(#REF!="","",IF(TEXT(#REF!+(#REF!-#REF!),"ttt")="So",#REF!+(#REF!-#REF!)+1,IF(TEXT(#REF!+(#REF!-#REF!),"ttt")="Sa",#REF!+(#REF!-#REF!)+2,#REF!+(#REF!-#REF!))))</definedName>
    <definedName name="terrace_area">#REF!</definedName>
    <definedName name="test">#REF!</definedName>
    <definedName name="TEST0">#REF!</definedName>
    <definedName name="TESTHKEY">#REF!</definedName>
    <definedName name="TESTKEYS">#REF!</definedName>
    <definedName name="TESTVKEY">#REF!</definedName>
    <definedName name="texformbr">#REF!</definedName>
    <definedName name="texformbr1">#REF!</definedName>
    <definedName name="TextRefCopy1">#REF!</definedName>
    <definedName name="TextRefCopy10">#REF!</definedName>
    <definedName name="TextRefCopy11">#REF!</definedName>
    <definedName name="TextRefCopy13">#REF!</definedName>
    <definedName name="TextRefCopy14">#REF!</definedName>
    <definedName name="TextRefCopy15">#REF!</definedName>
    <definedName name="TextRefCopy16">#REF!</definedName>
    <definedName name="TextRefCopy17">#REF!</definedName>
    <definedName name="TextRefCopy19">#REF!</definedName>
    <definedName name="TextRefCopy2">#REF!</definedName>
    <definedName name="TextRefCopy20">#REF!</definedName>
    <definedName name="TextRefCopy21">#REF!</definedName>
    <definedName name="TextRefCopy22">#REF!</definedName>
    <definedName name="TextRefCopy23">#REF!</definedName>
    <definedName name="TextRefCopy24">#REF!</definedName>
    <definedName name="TextRefCopy26">#REF!</definedName>
    <definedName name="TextRefCopy28">#REF!</definedName>
    <definedName name="TextRefCopy29">#REF!</definedName>
    <definedName name="TextRefCopy30">#REF!</definedName>
    <definedName name="TextRefCopy31">#REF!</definedName>
    <definedName name="TextRefCopy32">#REF!</definedName>
    <definedName name="TextRefCopy33">#REF!</definedName>
    <definedName name="TextRefCopy34">#REF!</definedName>
    <definedName name="TextRefCopy35">#REF!</definedName>
    <definedName name="TextRefCopy36">#REF!</definedName>
    <definedName name="TextRefCopy37">#REF!</definedName>
    <definedName name="TextRefCopy38">#REF!</definedName>
    <definedName name="TextRefCopy39">#REF!</definedName>
    <definedName name="TextRefCopy40">#REF!</definedName>
    <definedName name="TextRefCopy41">#REF!</definedName>
    <definedName name="TextRefCopy42">#REF!</definedName>
    <definedName name="TextRefCopy43">#REF!</definedName>
    <definedName name="TextRefCopy44">#REF!</definedName>
    <definedName name="TextRefCopy45">#REF!</definedName>
    <definedName name="TextRefCopy46">#REF!</definedName>
    <definedName name="TextRefCopy47">#REF!</definedName>
    <definedName name="TextRefCopy48">#REF!</definedName>
    <definedName name="TextRefCopy49">#REF!</definedName>
    <definedName name="TextRefCopy52">#REF!</definedName>
    <definedName name="TextRefCopy57">#REF!</definedName>
    <definedName name="TextRefCopyRangeCount" hidden="1">1</definedName>
    <definedName name="textToday">#REF!</definedName>
    <definedName name="Thailand">#REF!</definedName>
    <definedName name="ThailandExch">#REF!</definedName>
    <definedName name="ThailandGDP">#REF!</definedName>
    <definedName name="thesisctrl">#REF!</definedName>
    <definedName name="TheYear">#REF!</definedName>
    <definedName name="ti" hidden="1">{#N/A,#N/A,FALSE,"inctrnd99"}</definedName>
    <definedName name="TIA">#REF!</definedName>
    <definedName name="TimeSeries">#N/A</definedName>
    <definedName name="TimeWarn">#REF!</definedName>
    <definedName name="timing">#REF!</definedName>
    <definedName name="TINCST">#REF!</definedName>
    <definedName name="TINCSTYR">#REF!</definedName>
    <definedName name="Tinvst">#REF!</definedName>
    <definedName name="tmp" hidden="1">{"'Break down'!$A$4"}</definedName>
    <definedName name="tofixed">#REF!</definedName>
    <definedName name="tomobile">#REF!</definedName>
    <definedName name="Toolbar">#N/A</definedName>
    <definedName name="Top">#REF!</definedName>
    <definedName name="TopNote">#REF!</definedName>
    <definedName name="Total_Cost">#REF!</definedName>
    <definedName name="Total_Data_Customers">#REF!</definedName>
    <definedName name="Total_fixed">#REF!</definedName>
    <definedName name="Total_Interconnect_Expense">#REF!</definedName>
    <definedName name="Total_Interest">#REF!</definedName>
    <definedName name="Total_Large_Company_Voice_Customers">#REF!</definedName>
    <definedName name="Total_Medium_Company_Voice_Customers">#REF!</definedName>
    <definedName name="Total_Pay">#REF!</definedName>
    <definedName name="Total_Residential_Voice_Customers">#REF!</definedName>
    <definedName name="total_rooms">#REF!</definedName>
    <definedName name="Total_Sales">#REF!</definedName>
    <definedName name="Total_Seg1_MBW">#REF!</definedName>
    <definedName name="Total_Seg2_MBW">#REF!</definedName>
    <definedName name="Total_Seg3_MBW">#REF!</definedName>
    <definedName name="Total_Seg4_MBW">#REF!</definedName>
    <definedName name="Total_Seg5_MBW">#REF!</definedName>
    <definedName name="Total_Seg6_MBW">#REF!</definedName>
    <definedName name="Total_Seg7_MBW">#REF!</definedName>
    <definedName name="Total_Seg8_MBW">#REF!</definedName>
    <definedName name="Total_Small_Company_Voice_Customers">#REF!</definedName>
    <definedName name="Total_variable">#REF!</definedName>
    <definedName name="Total_Voice_Mkt">#REF!</definedName>
    <definedName name="TotalCeiling">#REF!</definedName>
    <definedName name="TotalForecasts">#REF!</definedName>
    <definedName name="TotalInvestmentValue">#REF!</definedName>
    <definedName name="TotalNoNodes">#REF!</definedName>
    <definedName name="tpab">#REF!</definedName>
    <definedName name="tpat">#REF!</definedName>
    <definedName name="Trac">#REF!</definedName>
    <definedName name="TrafficForecastExportArea">#REF!</definedName>
    <definedName name="TrafType">#REF!</definedName>
    <definedName name="TransAss">#REF!</definedName>
    <definedName name="Transcase">#REF!</definedName>
    <definedName name="TRATIO">#REF!</definedName>
    <definedName name="TRATIOYR">#REF!</definedName>
    <definedName name="TRBRange">OFFSET(#REF!,1,0,COUNTA(#REF!),6)</definedName>
    <definedName name="Trinidad">#REF!</definedName>
    <definedName name="TrinidadExch">#REF!</definedName>
    <definedName name="TrinidadGDP">#REF!</definedName>
    <definedName name="trjyfrjyf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TrYear">#REF!</definedName>
    <definedName name="tuedtue">#N/A</definedName>
    <definedName name="Turkey">#REF!</definedName>
    <definedName name="TurkeyExch">#REF!</definedName>
    <definedName name="TurkeyGDP">#REF!</definedName>
    <definedName name="Turkmenistan">#REF!</definedName>
    <definedName name="TurkmenistanExch">#REF!</definedName>
    <definedName name="TurkmenistanGDP">#REF!</definedName>
    <definedName name="TW">#REF!</definedName>
    <definedName name="TW_Data">#REF!</definedName>
    <definedName name="Type">#REF!</definedName>
    <definedName name="typeofsen">#REF!</definedName>
    <definedName name="types">#REF!</definedName>
    <definedName name="U">#REF!</definedName>
    <definedName name="UAE">#REF!</definedName>
    <definedName name="UAEExch">#REF!</definedName>
    <definedName name="UAEGDP">#REF!</definedName>
    <definedName name="UK">#REF!</definedName>
    <definedName name="UKExch">#REF!</definedName>
    <definedName name="UKGDP">#REF!</definedName>
    <definedName name="UKI">#REF!</definedName>
    <definedName name="Ukraine">#REF!</definedName>
    <definedName name="UkraineExch">#REF!</definedName>
    <definedName name="UkraineGDP">#REF!</definedName>
    <definedName name="Unfreeze">#N/A</definedName>
    <definedName name="unit">#REF!</definedName>
    <definedName name="Unit_contrib_margin">#REF!</definedName>
    <definedName name="unite">#REF!</definedName>
    <definedName name="Units">#REF!</definedName>
    <definedName name="UnitsLabel">#REF!</definedName>
    <definedName name="universe">#REF!</definedName>
    <definedName name="univerzál__Al_lis__ved.">#REF!</definedName>
    <definedName name="Update_This">#REF!</definedName>
    <definedName name="updated">#REF!</definedName>
    <definedName name="us">#REF!</definedName>
    <definedName name="USA">#REF!</definedName>
    <definedName name="USAGDP">#REF!</definedName>
    <definedName name="UsageStart">#REF!</definedName>
    <definedName name="UseHist">#REF!</definedName>
    <definedName name="UseInputDiff">#REF!</definedName>
    <definedName name="UseYard">#REF!</definedName>
    <definedName name="USLE">#REF!</definedName>
    <definedName name="Utilz">#REF!</definedName>
    <definedName name="uytuytuyt">#REF!</definedName>
    <definedName name="V">#REF!</definedName>
    <definedName name="Vacation" hidden="1">{#N/A,#N/A,FALSE,"Summary04";#N/A,#N/A,FALSE,"CCP Group";#N/A,#N/A,FALSE,"Jubail Group Rev2";#N/A,#N/A,FALSE,"CML Group"}</definedName>
    <definedName name="Valesco">#REF!</definedName>
    <definedName name="Valeur_globale_après_réévaluations">#REF!</definedName>
    <definedName name="VALID_FORMATS">#REF!</definedName>
    <definedName name="Valorisation_des_Fonds_Propres_avant_recapitalisation">#REF!</definedName>
    <definedName name="Valuation_date">#REF!</definedName>
    <definedName name="Value_Added_Service_as_a___of_Service_Rev.">#REF!</definedName>
    <definedName name="Value_Added_Services">#REF!</definedName>
    <definedName name="value_date">#REF!</definedName>
    <definedName name="ValueAtRetirement">#REF!</definedName>
    <definedName name="Values_Entered">IF(Loan_Amount*Interest_Rate*Loan_Years*Loan_Start&gt;0,1,0)</definedName>
    <definedName name="VarbyMnth">#REF!</definedName>
    <definedName name="VARDESCR">#REF!</definedName>
    <definedName name="Variable_cost_unit">#REF!</definedName>
    <definedName name="Variable_costs_unit">#REF!</definedName>
    <definedName name="Variable_Unit_Cost">#REF!</definedName>
    <definedName name="VariableConvCosts">#REF!</definedName>
    <definedName name="Variance">#REF!</definedName>
    <definedName name="VarianceCycle">#REF!</definedName>
    <definedName name="VAS_Revenue_Per_Minute">#REF!</definedName>
    <definedName name="VCC_at_BoC_Margin">#REF!</definedName>
    <definedName name="VCC_at_Frct_Margin">#REF!</definedName>
    <definedName name="VCC_at_Margin_at_SA">#REF!</definedName>
    <definedName name="VenezeulaExch">#REF!</definedName>
    <definedName name="Venezuela">#REF!</definedName>
    <definedName name="VenezuelaGDP">#REF!</definedName>
    <definedName name="Ventilation">#REF!</definedName>
    <definedName name="VERDIL1">#REF!</definedName>
    <definedName name="VERDIL1_USD">#REF!</definedName>
    <definedName name="VERDIL2">#REF!</definedName>
    <definedName name="VERDIL2_USD">#REF!</definedName>
    <definedName name="VERDIL3">#REF!</definedName>
    <definedName name="VERDIL3_USD">#REF!</definedName>
    <definedName name="VERDIL4">#REF!</definedName>
    <definedName name="VERDIL4_USD">#REF!</definedName>
    <definedName name="VERDIL5">#REF!</definedName>
    <definedName name="VERDIL5_USD">#REF!</definedName>
    <definedName name="VERDIL6">#REF!</definedName>
    <definedName name="VERDIL6_USD">#REF!</definedName>
    <definedName name="VEROR1">#REF!</definedName>
    <definedName name="VEROR1_USD">#REF!</definedName>
    <definedName name="VEROR2">#REF!</definedName>
    <definedName name="VEROR2_USD">#REF!</definedName>
    <definedName name="VEROR3">#REF!</definedName>
    <definedName name="VEROR3_USD">#REF!</definedName>
    <definedName name="VEROR4">#REF!</definedName>
    <definedName name="VEROR4_USD">#REF!</definedName>
    <definedName name="VEROR5">#REF!</definedName>
    <definedName name="VEROR5_USD">#REF!</definedName>
    <definedName name="VEROR6">#REF!</definedName>
    <definedName name="VEROR6_USD">#REF!</definedName>
    <definedName name="Version">#REF!</definedName>
    <definedName name="vH">#REF!</definedName>
    <definedName name="vI">#REF!</definedName>
    <definedName name="Vietnam">#REF!</definedName>
    <definedName name="VietnamExch">#REF!</definedName>
    <definedName name="VietnamGDP">#REF!</definedName>
    <definedName name="visrow_auth">#REF!</definedName>
    <definedName name="visrow_construct">#REF!</definedName>
    <definedName name="visrow_fina">#REF!</definedName>
    <definedName name="visrow_land">#REF!</definedName>
    <definedName name="visrow_landp">#REF!</definedName>
    <definedName name="visrow_leas">#REF!</definedName>
    <definedName name="visrow_misc">#REF!</definedName>
    <definedName name="visrow_misc2">#REF!</definedName>
    <definedName name="visrow_misc3">#REF!</definedName>
    <definedName name="visrow_OInc">#REF!</definedName>
    <definedName name="visrow_pro">#REF!</definedName>
    <definedName name="visrow_rent">#REF!</definedName>
    <definedName name="visrow_sales">#REF!</definedName>
    <definedName name="visrow_sell">#REF!</definedName>
    <definedName name="vJ">#REF!</definedName>
    <definedName name="VLOOKUP">#REF!</definedName>
    <definedName name="Voice">#REF!</definedName>
    <definedName name="Voice_Monthly_Rental_Fee">#REF!</definedName>
    <definedName name="Voice_New_Con_Fee">#REF!</definedName>
    <definedName name="volume">#REF!</definedName>
    <definedName name="vrm.co" hidden="1">{#N/A,#N/A,TRUE,"DCF Summary";#N/A,#N/A,TRUE,"Casema";#N/A,#N/A,TRUE,"UK";#N/A,#N/A,TRUE,"RCF";#N/A,#N/A,TRUE,"Intercable CZ";#N/A,#N/A,TRUE,"Interkabel P";#N/A,#N/A,TRUE,"LBO-Total";#N/A,#N/A,TRUE,"LBO-Casema"}</definedName>
    <definedName name="VV">#REF!</definedName>
    <definedName name="VVXsv">#REF!</definedName>
    <definedName name="VXZVZdvZ">#REF!</definedName>
    <definedName name="W">#REF!</definedName>
    <definedName name="W.10">#REF!</definedName>
    <definedName name="W.20">#REF!</definedName>
    <definedName name="W.30">#REF!</definedName>
    <definedName name="W.40">#REF!</definedName>
    <definedName name="W.50">#REF!</definedName>
    <definedName name="W.60">#REF!</definedName>
    <definedName name="W.61">#REF!</definedName>
    <definedName name="W.70">#REF!</definedName>
    <definedName name="W.71">#REF!</definedName>
    <definedName name="W.72">#REF!</definedName>
    <definedName name="WACC">#REF!</definedName>
    <definedName name="WAGE__COST">#REF!</definedName>
    <definedName name="water">#REF!</definedName>
    <definedName name="waterlevel">#REF!</definedName>
    <definedName name="watertable">#REF!</definedName>
    <definedName name="wc04apr">#REF!-#REF!</definedName>
    <definedName name="wc04aug">#REF!-#REF!</definedName>
    <definedName name="wc04dec">#REF!-#REF!</definedName>
    <definedName name="wc04feb">#REF!-#REF!</definedName>
    <definedName name="wc04jan">#REF!-#REF!</definedName>
    <definedName name="wc04jul">#REF!-#REF!</definedName>
    <definedName name="wc04jun">#REF!-#REF!</definedName>
    <definedName name="wc04mar">#REF!-#REF!</definedName>
    <definedName name="wc04may">#REF!-#REF!</definedName>
    <definedName name="wc04nov">#REF!-#REF!</definedName>
    <definedName name="wc04oct">#REF!-#REF!</definedName>
    <definedName name="wc04sep">#REF!-#REF!</definedName>
    <definedName name="wc05apr">#REF!-#REF!</definedName>
    <definedName name="wc05aug">#REF!-#REF!</definedName>
    <definedName name="wc05dec">#REF!-#REF!</definedName>
    <definedName name="wc05feb">#REF!-#REF!</definedName>
    <definedName name="wc05jan">#REF!-#REF!</definedName>
    <definedName name="wc05jul">#REF!-#REF!</definedName>
    <definedName name="wc05jun">#REF!-#REF!</definedName>
    <definedName name="wc05mar">#REF!-#REF!</definedName>
    <definedName name="wc05may">#REF!-#REF!</definedName>
    <definedName name="wc05nov">#REF!-#REF!</definedName>
    <definedName name="wc05oct">#REF!-#REF!</definedName>
    <definedName name="wc05sep">#REF!-#REF!</definedName>
    <definedName name="wcplan05">#REF!-#REF!</definedName>
    <definedName name="wcplan05apr">#REF!-#REF!</definedName>
    <definedName name="wcplan05aug">#REF!-#REF!</definedName>
    <definedName name="wcplan05dec">#REF!-#REF!</definedName>
    <definedName name="wcplan05feb">#REF!-#REF!</definedName>
    <definedName name="wcplan05jan">#REF!-#REF!</definedName>
    <definedName name="wcplan05jul">#REF!-#REF!</definedName>
    <definedName name="wcplan05jun">#REF!-#REF!</definedName>
    <definedName name="wcplan05mar">#REF!-#REF!</definedName>
    <definedName name="wcplan05may">#REF!-#REF!</definedName>
    <definedName name="wcplan05nov">#REF!-#REF!</definedName>
    <definedName name="wcplan05oct">#REF!-#REF!</definedName>
    <definedName name="wcplan05sep">#REF!-#REF!</definedName>
    <definedName name="Web">#REF!</definedName>
    <definedName name="WeekStart">DATE(FYYear,1, -4) - WEEKDAY(DATE(FYYear, 1, 2)) +(WEEKNUM(DateSelected)) * 7</definedName>
    <definedName name="wen">#N/A</definedName>
    <definedName name="werveqrvcerfqver" hidden="1">#REF!</definedName>
    <definedName name="west_ctr_num">#REF!</definedName>
    <definedName name="wevcfewvc" hidden="1">#REF!</definedName>
    <definedName name="WinCal0">#REF!</definedName>
    <definedName name="WinCalendar_Calendar_1">#REF!</definedName>
    <definedName name="WinCalendar_Calendar_4">#REF!</definedName>
    <definedName name="WIP_Total_Open_Bal">#REF!</definedName>
    <definedName name="Wool_Prod">#REF!</definedName>
    <definedName name="workdegree">#REF!</definedName>
    <definedName name="WORKINGSALL">#REF!</definedName>
    <definedName name="world">#REF!+#REF!+#REF!</definedName>
    <definedName name="wr" hidden="1">{#N/A,#N/A,FALSE,"Summary";#N/A,#N/A,FALSE,"CF";#N/A,#N/A,FALSE,"P&amp;L";#N/A,#N/A,FALSE,"BS";#N/A,#N/A,FALSE,"Returns";#N/A,#N/A,FALSE,"Assumptions";#N/A,#N/A,FALSE,"Analysis"}</definedName>
    <definedName name="wr.1" hidden="1">{#N/A,#N/A,FALSE,"Summary";#N/A,#N/A,FALSE,"CF";#N/A,#N/A,FALSE,"P&amp;L";#N/A,#N/A,FALSE,"BS";#N/A,#N/A,FALSE,"Returns";#N/A,#N/A,FALSE,"Assumptions";#N/A,#N/A,FALSE,"Analysis"}</definedName>
    <definedName name="wr.2" hidden="1">{"vi1",#N/A,FALSE,"Financial Statements";"vi2",#N/A,FALSE,"Financial Statements";#N/A,#N/A,FALSE,"DCF"}</definedName>
    <definedName name="wr.999" hidden="1">{#N/A,#N/A,FALSE,"Summary";#N/A,#N/A,FALSE,"CF";#N/A,#N/A,FALSE,"P&amp;L";"summary",#N/A,FALSE,"Returns";#N/A,#N/A,FALSE,"BS";"summary",#N/A,FALSE,"Analysis";#N/A,#N/A,FALSE,"Assumptions"}</definedName>
    <definedName name="wr.dcf.o" hidden="1">{#N/A,#N/A,FALSE,"DCF Summary";#N/A,#N/A,FALSE,"Casema";#N/A,#N/A,FALSE,"Casema NoTel";#N/A,#N/A,FALSE,"UK";#N/A,#N/A,FALSE,"RCF";#N/A,#N/A,FALSE,"Intercable CZ";#N/A,#N/A,FALSE,"Interkabel P"}</definedName>
    <definedName name="wrn" hidden="1">{#N/A,#N/A,FALSE,"DCF Summary";#N/A,#N/A,FALSE,"Casema";#N/A,#N/A,FALSE,"Casema NoTel";#N/A,#N/A,FALSE,"UK";#N/A,#N/A,FALSE,"RCF";#N/A,#N/A,FALSE,"Intercable CZ";#N/A,#N/A,FALSE,"Interkabel P"}</definedName>
    <definedName name="wrn.a" hidden="1">{#N/A,#N/A,FALSE,"Finanzplan";#N/A,#N/A,FALSE,"Bilanz";#N/A,#N/A,FALSE,"GuV"}</definedName>
    <definedName name="wrn.Acc._.Balance." hidden="1">{#N/A,#N/A,FALSE,"Bal.Sht"}</definedName>
    <definedName name="wrn.Aging._.and._.Trend._.Analysis." hidden="1">{#N/A,#N/A,FALSE,"Aging Summary";#N/A,#N/A,FALSE,"Ratio Analysis";#N/A,#N/A,FALSE,"Test 120 Day Accts";#N/A,#N/A,FALSE,"Tickmarks"}</definedName>
    <definedName name="wrn.ALL." hidden="1">{#N/A,#N/A,FALSE,"Pro-forma claim";#N/A,#N/A,FALSE,"Summary sheet";#N/A,#N/A,FALSE,"SITE INSTRUCTIONS";#N/A,#N/A,FALSE,"DAY WORKS CIVILS";#N/A,#N/A,FALSE,"DAY WORKS STEEL"}</definedName>
    <definedName name="wrn.Assumptions." hidden="1">{#N/A,#N/A,TRUE,"I.ASS";#N/A,#N/A,TRUE,"O.PNL";#N/A,#N/A,TRUE,"O.BS";#N/A,#N/A,TRUE,"O.CF";#N/A,#N/A,TRUE,"O.RE"}</definedName>
    <definedName name="wrn.balance._.sheert2." hidden="1">{#N/A,#N/A,FALSE,"Bal.Sht"}</definedName>
    <definedName name="wrn.Balance._.Sheet." hidden="1">{#N/A,#N/A,FALSE,"Bal.Sht"}</definedName>
    <definedName name="wrn.Budget._.2004._.AprilDec." hidden="1">{#N/A,#N/A,FALSE,"Summary04";#N/A,#N/A,FALSE,"CCP Group";#N/A,#N/A,FALSE,"Jubail Group Rev2";#N/A,#N/A,FALSE,"CML Group"}</definedName>
    <definedName name="wrn.Chandana." hidden="1">{#N/A,#N/A,FALSE,"VCR"}</definedName>
    <definedName name="wrn.co1" hidden="1">{#N/A,#N/A,TRUE,"DCF Summary";#N/A,#N/A,TRUE,"Casema";#N/A,#N/A,TRUE,"UK";#N/A,#N/A,TRUE,"RCF";#N/A,#N/A,TRUE,"Intercable CZ";#N/A,#N/A,TRUE,"Interkabel P";#N/A,#N/A,TRUE,"LBO-Total";#N/A,#N/A,TRUE,"LBO-Casema"}</definedName>
    <definedName name="wrn.com" hidden="1">{#N/A,#N/A,TRUE,"DCF Summary";#N/A,#N/A,TRUE,"Casema";#N/A,#N/A,TRUE,"UK";#N/A,#N/A,TRUE,"RCF";#N/A,#N/A,TRUE,"Intercable CZ";#N/A,#N/A,TRUE,"Interkabel P";#N/A,#N/A,TRUE,"LBO-Total";#N/A,#N/A,TRUE,"LBO-Casema"}</definedName>
    <definedName name="wrn.Complete." hidden="1">{#N/A,#N/A,TRUE,"DCF Summary";#N/A,#N/A,TRUE,"Casema";#N/A,#N/A,TRUE,"UK";#N/A,#N/A,TRUE,"RCF";#N/A,#N/A,TRUE,"Intercable CZ";#N/A,#N/A,TRUE,"Interkabel P";#N/A,#N/A,TRUE,"LBO-Total";#N/A,#N/A,TRUE,"LBO-Casema"}</definedName>
    <definedName name="wrn.CompleteTor" hidden="1">{#N/A,#N/A,TRUE,"DCF Summary";#N/A,#N/A,TRUE,"Casema";#N/A,#N/A,TRUE,"UK";#N/A,#N/A,TRUE,"RCF";#N/A,#N/A,TRUE,"Intercable CZ";#N/A,#N/A,TRUE,"Interkabel P";#N/A,#N/A,TRUE,"LBO-Total";#N/A,#N/A,TRUE,"LBO-Casema"}</definedName>
    <definedName name="wrn.DCF._.Only." hidden="1">{#N/A,#N/A,FALSE,"DCF Summary";#N/A,#N/A,FALSE,"Casema";#N/A,#N/A,FALSE,"Casema NoTel";#N/A,#N/A,FALSE,"UK";#N/A,#N/A,FALSE,"RCF";#N/A,#N/A,FALSE,"Intercable CZ";#N/A,#N/A,FALSE,"Interkabel P"}</definedName>
    <definedName name="wrn.dcf1" hidden="1">{#N/A,#N/A,FALSE,"DCF Summary";#N/A,#N/A,FALSE,"Casema";#N/A,#N/A,FALSE,"Casema NoTel";#N/A,#N/A,FALSE,"UK";#N/A,#N/A,FALSE,"RCF";#N/A,#N/A,FALSE,"Intercable CZ";#N/A,#N/A,FALSE,"Interkabel P"}</definedName>
    <definedName name="wrn.dcfort" hidden="1">{#N/A,#N/A,FALSE,"DCF Summary";#N/A,#N/A,FALSE,"Casema";#N/A,#N/A,FALSE,"Casema NoTel";#N/A,#N/A,FALSE,"UK";#N/A,#N/A,FALSE,"RCF";#N/A,#N/A,FALSE,"Intercable CZ";#N/A,#N/A,FALSE,"Interkabel P"}</definedName>
    <definedName name="wrn.DCFTor" hidden="1">{#N/A,#N/A,FALSE,"DCF Summary";#N/A,#N/A,FALSE,"Casema";#N/A,#N/A,FALSE,"Casema NoTel";#N/A,#N/A,FALSE,"UK";#N/A,#N/A,FALSE,"RCF";#N/A,#N/A,FALSE,"Intercable CZ";#N/A,#N/A,FALSE,"Interkabel P"}</definedName>
    <definedName name="wrn.Full." hidden="1">{#N/A,#N/A,FALSE,"Summary";#N/A,#N/A,FALSE,"CF";#N/A,#N/A,FALSE,"P&amp;L";#N/A,#N/A,FALSE,"BS";#N/A,#N/A,FALSE,"Returns";#N/A,#N/A,FALSE,"Assumptions";#N/A,#N/A,FALSE,"Analysis"}</definedName>
    <definedName name="wrn.INCOME._.STATEMENT." hidden="1">{#N/A,#N/A,FALSE,"inctrnd99"}</definedName>
    <definedName name="wrn.Iran._.Corn." hidden="1">{#N/A,#N/A,TRUE,"Assumptions";#N/A,#N/A,TRUE,"Corn Stock Valu.";#N/A,#N/A,TRUE,"Corn Stock";#N/A,#N/A,TRUE," Corn-Profit Calc Mnthly";#N/A,#N/A,TRUE,"Corn Ratios Mnthly";#N/A,#N/A,TRUE,"Corn Cash Risk";#N/A,#N/A,TRUE,"Assumptions";#N/A,#N/A,TRUE,"Corn Profit Calc Yrly";#N/A,#N/A,TRUE,"Corn Ratios Yrly"}</definedName>
    <definedName name="wrn.Monatsabschluß." hidden="1">{#N/A,#N/A,FALSE,"Finanzplan";#N/A,#N/A,FALSE,"Bilanz";#N/A,#N/A,FALSE,"GuV"}</definedName>
    <definedName name="wrn.prbuy" hidden="1">{#N/A,"DR",FALSE,"increm pf";#N/A,"MAMSI",FALSE,"increm pf";#N/A,"MAXI",FALSE,"increm pf";#N/A,"PCAM",FALSE,"increm pf";#N/A,"PHSV",FALSE,"increm pf";#N/A,"SIE",FALSE,"increm pf"}</definedName>
    <definedName name="wrn.Print." hidden="1">{"vi1",#N/A,FALSE,"Financial Statements";"vi2",#N/A,FALSE,"Financial Statements";#N/A,#N/A,FALSE,"DCF"}</definedName>
    <definedName name="wrn.Print_Buyer." hidden="1">{#N/A,"DR",FALSE,"increm pf";#N/A,"MAMSI",FALSE,"increm pf";#N/A,"MAXI",FALSE,"increm pf";#N/A,"PCAM",FALSE,"increm pf";#N/A,"PHSV",FALSE,"increm pf";#N/A,"SIE",FALSE,"increm pf"}</definedName>
    <definedName name="wrn.Print_Target.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wrn.Printing." hidden="1">{"analysis",#N/A,TRUE,"ANALYSIS";"cartaway",#N/A,TRUE,"Excavation Equipment";"excavation",#N/A,TRUE,"Excavation Equipment";"compaction",#N/A,TRUE,"Backfilling Equipment";"riprap transportation",#N/A,TRUE,"RIPRAP PRODUCTION";"summary",#N/A,TRUE,"SUMMARY";"price of imported material",#N/A,TRUE,"Price of Imported Mat'l";"boq summary",#N/A,TRUE,"B.O.Q. SUMMARY"}</definedName>
    <definedName name="wrn.Printing._.the._.transactions._.sheets." hidden="1">{#N/A,#N/A,FALSE,"Eastern";#N/A,#N/A,FALSE,"Western"}</definedName>
    <definedName name="wrn.prtn" hidden="1">{"vi1",#N/A,FALSE,"Financial Statements";"vi2",#N/A,FALSE,"Financial Statements";#N/A,#N/A,FALSE,"DCF"}</definedName>
    <definedName name="wrn.REP501.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2.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1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3.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s" hidden="1">{#N/A,#N/A,FALSE,"Summary";#N/A,#N/A,FALSE,"CF";#N/A,#N/A,FALSE,"P&amp;L";"summary",#N/A,FALSE,"Returns";#N/A,#N/A,FALSE,"BS";"summary",#N/A,FALSE,"Analysis";#N/A,#N/A,FALSE,"Assumptions"}</definedName>
    <definedName name="wrn.SB_PRES." hidden="1">{#N/A,#N/A,TRUE,"Sheet16"}</definedName>
    <definedName name="wrn.sbr" hidden="1">{#N/A,#N/A,TRUE,"Sheet16"}</definedName>
    <definedName name="wrn.Sensitivity." hidden="1">{#N/A,#N/A,FALSE,"Sensitivity"}</definedName>
    <definedName name="wrn.summary." hidden="1">{#N/A,#N/A,FALSE,"Summary";#N/A,#N/A,FALSE,"CF";#N/A,#N/A,FALSE,"P&amp;L";"summary",#N/A,FALSE,"Returns";#N/A,#N/A,FALSE,"BS";"summary",#N/A,FALSE,"Analysis";#N/A,#N/A,FALSE,"Assumptions"}</definedName>
    <definedName name="wrn.Sun._.Flower._.Iran." hidden="1">{#N/A,#N/A,TRUE,"Assumptions";#N/A,#N/A,TRUE,"Sun Flower Stock ";#N/A,#N/A,TRUE,"Sun Flower Stock Valu.";#N/A,#N/A,TRUE,"Sun Flower-Profit Calc Mnthly";#N/A,#N/A,TRUE,"Sun Flower Ratios Mnthly";#N/A,#N/A,TRUE,"Sun Flower Cash Risk";#N/A,#N/A,TRUE,"Sun Flower Profit Calc Yrly";#N/A,#N/A,TRUE,"Sun FlowerRatios Yrly"}</definedName>
    <definedName name="wrnf.l.." hidden="1">{#N/A,#N/A,FALSE,"Summary";#N/A,#N/A,FALSE,"CF";#N/A,#N/A,FALSE,"P&amp;L";#N/A,#N/A,FALSE,"BS";#N/A,#N/A,FALSE,"Returns";#N/A,#N/A,FALSE,"Assumptions";#N/A,#N/A,FALSE,"Analysis"}</definedName>
    <definedName name="wrvtvett" hidden="1">{#N/A,#N/A,FALSE,"Summary04";#N/A,#N/A,FALSE,"CCP Group";#N/A,#N/A,FALSE,"Jubail Group Rev2";#N/A,#N/A,FALSE,"CML Group"}</definedName>
    <definedName name="wup">#REF!</definedName>
    <definedName name="wupyr">#REF!</definedName>
    <definedName name="wvftvwed" hidden="1">{#N/A,#N/A,FALSE,"Summary04";#N/A,#N/A,FALSE,"CCP Group";#N/A,#N/A,FALSE,"Jubail Group Rev2";#N/A,#N/A,FALSE,"CML Group"}</definedName>
    <definedName name="www" hidden="1">{#N/A,#N/A,FALSE,"inctrnd99"}</definedName>
    <definedName name="X">#REF!</definedName>
    <definedName name="xls." hidden="1">{"'Break down'!$A$4"}</definedName>
    <definedName name="XMargin">#REF!</definedName>
    <definedName name="xrate">#REF!</definedName>
    <definedName name="xRng_0259fd338f6246cc958e51c06b07a417">#REF!</definedName>
    <definedName name="xRng_05a5fc714fde4f59989a614344300e60">#REF!</definedName>
    <definedName name="xRng_08e5981cddc94e6092ff357246cdcc94">#REF!</definedName>
    <definedName name="xRng_09adf7159a1a40ff9e184b634950be48">#REF!</definedName>
    <definedName name="xRng_0b9331d17e134743b16dc69e6e642c7f">#REF!</definedName>
    <definedName name="xRng_110b4bc54d5745529c2ea00224d4e811">#REF!</definedName>
    <definedName name="xRng_18861af820f74708bbb13aef9b0fd30a">#REF!</definedName>
    <definedName name="xRng_19cdef5562af45f6b39960d2da3e7ae7">#REF!</definedName>
    <definedName name="xRng_1c0db655f82f4f0ea037deb00cfe40c7">#REF!</definedName>
    <definedName name="xRng_2174dba296604091a26234ed83ff6673">#REF!</definedName>
    <definedName name="xRng_25757b51dc584ec199589057b8cb60cc">#REF!</definedName>
    <definedName name="xRng_264e29f7e8cf4901950b11244ab6f70f">#REF!</definedName>
    <definedName name="xRng_2cc6acb9329a49ceb002aab8dbb7621d">#REF!</definedName>
    <definedName name="xRng_2e76eff010134745a01dca4bab11a815">#REF!</definedName>
    <definedName name="xRng_2ed74cf9d7614f5b8cc3c56698d0573e">#REF!</definedName>
    <definedName name="xRng_2fb8dbd179ba433f833c24e1ee664d7e">#REF!</definedName>
    <definedName name="xRng_3949bc88f0f9447ebc0af9a376fbb1b5">#REF!</definedName>
    <definedName name="xRng_3fb6d06d92884f6e84dbd1addabb75af">#REF!</definedName>
    <definedName name="xRng_422452f405154ff3b9605b4bfb94eb88">#REF!</definedName>
    <definedName name="xRng_4af659c6c4cf4fc5addece0ea894c1fc">#REF!</definedName>
    <definedName name="xRng_4ec28396b0794611b4edcb26b0032f68">#REF!</definedName>
    <definedName name="xRng_507c88931b3b4d3fa45048643e1f3d5f">#REF!</definedName>
    <definedName name="xRng_5276b9fbe4264c8eb1df31c2d9c69216">#REF!</definedName>
    <definedName name="xRng_550c04cac8a646d586435e4eda426b62">#REF!</definedName>
    <definedName name="xRng_57fbd6d2982340d3afbbe58879140135">#REF!</definedName>
    <definedName name="xRng_5c5b6314a0044995ad402826a95ccbb4">#REF!</definedName>
    <definedName name="xRng_5c887b9a6b2140769268641a40e05aa9">#REF!</definedName>
    <definedName name="xRng_5ef0da5c4a1f43ac89a547ff546f74e1">#REF!</definedName>
    <definedName name="xRng_5efa4ef15a134869968ab6860add037d">#REF!</definedName>
    <definedName name="xRng_60523dba40db4bdb9af8c575dc22b400">#REF!</definedName>
    <definedName name="xRng_679f8415626e4e3bbd248387fbfc47e3">#REF!</definedName>
    <definedName name="xRng_69e0f138d9df401db7b359f26baa3c9f">#REF!</definedName>
    <definedName name="xRng_6d1417d5838d468f8a2240ac78d1619c">#REF!</definedName>
    <definedName name="xRng_7d99b3f6947244b1950a1f6ede36a3cd">#REF!</definedName>
    <definedName name="xRng_7e913afa0b2043678eaf7c63344db016">#REF!</definedName>
    <definedName name="xRng_821fc4b8270a40a080325e10585b9156">#REF!</definedName>
    <definedName name="xRng_8257b0f166ed444f9c86ee2cd5803a2d">#REF!</definedName>
    <definedName name="xRng_835a02d0c51f4cd4b58c351ecaeeb57b">#REF!</definedName>
    <definedName name="xRng_8ab5bedf9b334eafb466f9d54a6f6323">#REF!</definedName>
    <definedName name="xRng_8afa7606eb0a496ca64f63e42c0dc073">#REF!</definedName>
    <definedName name="xRng_8d4d3cf61730459da7fce4a8d31585d8">#REF!</definedName>
    <definedName name="xRng_8d8d69044b4a4c64822eaa08cc847bcf">#REF!</definedName>
    <definedName name="xRng_90fe86c2a60a4b4b9918ce4ecde82132">#REF!</definedName>
    <definedName name="xRng_969d23b4fe374d539140e2b1615c58e7">#REF!</definedName>
    <definedName name="xRng_97dd672957b14214af360bf13b50d1bd">#REF!</definedName>
    <definedName name="xRng_9b6aafdb37ee4991bfc50be786b3f830">#REF!</definedName>
    <definedName name="xRng_9efb06ad93f64a958dc0d9a5cd7896a1">#REF!</definedName>
    <definedName name="xRng_9f4c0283387c46beb31f2f6e6c7a481e">#REF!</definedName>
    <definedName name="xRng_a47e01dc8daa4f8798718730c1cfce3c">#REF!</definedName>
    <definedName name="xRng_a678233405194c238a4e7acf78046cfc">#REF!</definedName>
    <definedName name="xRng_a6acabfe5edf462598d39c94b0157b0e">#REF!</definedName>
    <definedName name="xRng_acc97643ff8a41969f61ca52a39a9d63">#REF!</definedName>
    <definedName name="xRng_b53298f656234eb4b0ea1cace52185a7">#REF!</definedName>
    <definedName name="xRng_b7ed43bf11fb4e5f8031bb2353bc8f17">#REF!</definedName>
    <definedName name="xRng_c1042c275c2b4f1096438b39474ab153">#REF!</definedName>
    <definedName name="xRng_cf1bae5330ee4d40b8d5939e7bce3fbb">#REF!</definedName>
    <definedName name="xRng_d55cdb6951b149c388bf2844034118d3">#REF!</definedName>
    <definedName name="xRng_d8392439f9b34c368ff0de09fc3abb20">#REF!</definedName>
    <definedName name="xRng_dad7c8fd226548da8936e1dbe070236f">#REF!</definedName>
    <definedName name="xRng_e7ff72b2169b4116bdace5dff38c8a1f">#REF!</definedName>
    <definedName name="xRng_ea07485bb9e94535ad0c153686ef5b63">#REF!</definedName>
    <definedName name="xRng_f3b4b249de5a49d5b776c9c2d9b4a92c">#REF!</definedName>
    <definedName name="xRng_f55611b0806f45b693652ea5e39103c1">#REF!</definedName>
    <definedName name="xRng_fdbc01e103b548999e980dd3cd811832">#REF!</definedName>
    <definedName name="XX">#REF!</definedName>
    <definedName name="XXX">#REF!</definedName>
    <definedName name="XXXX">#REF!</definedName>
    <definedName name="xz">#REF!</definedName>
    <definedName name="y">#REF!</definedName>
    <definedName name="Year">#REF!</definedName>
    <definedName name="Year_Blt.">#REF!</definedName>
    <definedName name="Year2">#REF!</definedName>
    <definedName name="yearend">#REF!</definedName>
    <definedName name="yearLE">#REF!</definedName>
    <definedName name="Yearly_Pymt">#REF!</definedName>
    <definedName name="YearMonthAlgorithm_1">#REF!</definedName>
    <definedName name="YearMonthAlgorithm_2">#REF!</definedName>
    <definedName name="YearMonthAlgorithm_3">#REF!</definedName>
    <definedName name="YearMonthAlgorithm_4">#REF!</definedName>
    <definedName name="YearMonthAlgorithm_5">#REF!</definedName>
    <definedName name="YearMonthAlgorithm_6">#REF!</definedName>
    <definedName name="YearMonthAlgorithm_7">#REF!</definedName>
    <definedName name="YearMonthAlgorithm_8">#REF!</definedName>
    <definedName name="Years">#REF!</definedName>
    <definedName name="YearStart">2016</definedName>
    <definedName name="YEMEK">#REF!</definedName>
    <definedName name="Yes">#REF!</definedName>
    <definedName name="YieldShow">#REF!</definedName>
    <definedName name="yo" hidden="1">{#N/A,#N/A,FALSE,"Sensitivity"}</definedName>
    <definedName name="YOL">#REF!</definedName>
    <definedName name="yr_built">#REF!</definedName>
    <definedName name="yr_ren">#REF!</definedName>
    <definedName name="Yr1Margin">#REF!</definedName>
    <definedName name="yrs_rem">#REF!</definedName>
    <definedName name="Yseries" localSheetId="9">OFFSET(Xseries,0,1)</definedName>
    <definedName name="Yseries">OFFSET(Xseries,0,1)</definedName>
    <definedName name="ytd_local_IS">#REF!</definedName>
    <definedName name="ytd_us_IS">#REF!</definedName>
    <definedName name="YTDBud">#REF!</definedName>
    <definedName name="YTDCur">#REF!</definedName>
    <definedName name="YTDNI2005">#REF!</definedName>
    <definedName name="YTDni2006">#REF!</definedName>
    <definedName name="YTDniI2005">#REF!</definedName>
    <definedName name="YTDPrior">#REF!</definedName>
    <definedName name="yy">#N/A</definedName>
    <definedName name="yyy" hidden="1">{#N/A,#N/A,FALSE,"Bal.Sht"}</definedName>
    <definedName name="z">#REF!</definedName>
    <definedName name="zaghlol">#REF!</definedName>
    <definedName name="Zambia">#REF!</definedName>
    <definedName name="ZambiaExch">#REF!</definedName>
    <definedName name="ZambiaGDP">#REF!</definedName>
    <definedName name="zdiscount">#REF!</definedName>
    <definedName name="ZETABON__174">#REF!</definedName>
    <definedName name="ZETABON__180">#REF!</definedName>
    <definedName name="ZETABON_š._106">#REF!</definedName>
    <definedName name="Zimbabwe">#REF!</definedName>
    <definedName name="ZimbabweExch">#REF!</definedName>
    <definedName name="ZimbabweGDP">#REF!</definedName>
    <definedName name="zip">#REF!</definedName>
    <definedName name="zone2">#REF!</definedName>
    <definedName name="zvb.">#REF!</definedName>
    <definedName name="ZXC">#REF!</definedName>
    <definedName name="zyear">#REF!</definedName>
    <definedName name="ZZ">#REF!</definedName>
    <definedName name="ZZChart1_Date">OFFSET(#REF!,0,0,1,#REF!)</definedName>
    <definedName name="ZZChart1_DEquity">OFFSET(#REF!,0,0,1,#REF!)</definedName>
    <definedName name="ZZChart1_L1">OFFSET(#REF!,0,0,1,#REF!)</definedName>
    <definedName name="ZZChart1_L2">OFFSET(#REF!,0,0,1,#REF!)</definedName>
    <definedName name="ZZChart1_L3">OFFSET(#REF!,0,0,1,#REF!)</definedName>
    <definedName name="ZZChart1_L4">OFFSET(#REF!,0,0,1,#REF!)</definedName>
    <definedName name="ZZChart1_LOEquity">OFFSET(#REF!,0,0,1,#REF!)</definedName>
    <definedName name="ZZChart2_CNCF">OFFSET(#REF!,0,0,1,#REF!)</definedName>
    <definedName name="ZZChart2_NCF">OFFSET(#REF!,0,0,1,#REF!)</definedName>
    <definedName name="ZZChart2_OD">OFFSET(#REF!,0,0,1,#REF!)</definedName>
    <definedName name="ZZChart3_CNCF">OFFSET(#REF!,0,0,#REF!,1)</definedName>
    <definedName name="ZZChart3_Date">OFFSET(#REF!,0,0,#REF!,1)</definedName>
    <definedName name="ZZChart3_NCF">OFFSET(#REF!,0,0,#REF!,1)</definedName>
    <definedName name="ZZChart3a_1">OFFSET(#REF!,0,0,#REF!,1)</definedName>
    <definedName name="ZZChart3a_2">OFFSET(#REF!,0,0,#REF!,1)</definedName>
    <definedName name="ZZChart3a_3">OFFSET(#REF!,0,0,#REF!,1)</definedName>
    <definedName name="ZZChart3a_4">OFFSET(#REF!,0,0,#REF!,1)</definedName>
    <definedName name="ZZChart3a_5">OFFSET(#REF!,0,0,#REF!,1)</definedName>
    <definedName name="ZZChart3a_6">OFFSET(#REF!,0,0,#REF!,1)</definedName>
    <definedName name="ZZChart3a_7">OFFSET(#REF!,0,0,#REF!,1)</definedName>
    <definedName name="ZZChart3a_8">OFFSET(#REF!,0,0,#REF!,1)</definedName>
    <definedName name="ZZChart4_DECF">OFFSET(#REF!,0,0,1,#REF!)</definedName>
    <definedName name="ZZChart4_LOCF">OFFSET(#REF!,0,0,1,#REF!)</definedName>
    <definedName name="ZZZZZZZZZZZZZZ" hidden="1">#REF!</definedName>
    <definedName name="ءء">#REF!</definedName>
    <definedName name="ا7">#REF!</definedName>
    <definedName name="ابيض.سفاجا2سم">#REF!</definedName>
    <definedName name="إجمالى.سعر.الخامات">#REF!</definedName>
    <definedName name="إجمالى.سعر.خامات">#REF!</definedName>
    <definedName name="اجمالى.مصنعيات">#REF!</definedName>
    <definedName name="اجمالى.معدات">#REF!</definedName>
    <definedName name="إجمالى.مقاولى.باطن">#REF!</definedName>
    <definedName name="احمر.غردقة2سم">#REF!</definedName>
    <definedName name="اختبارات.تربة">#REF!</definedName>
    <definedName name="اختباركثافة">#REF!</definedName>
    <definedName name="اخضر.تينوس2سم">#REF!</definedName>
    <definedName name="أخضر.هندى2سم">#REF!</definedName>
    <definedName name="أديبوند">#REF!</definedName>
    <definedName name="أرضيات.مرتفعة">#REF!</definedName>
    <definedName name="إستانلس.ستيل">#REF!</definedName>
    <definedName name="اسقف.شرائح">#REF!</definedName>
    <definedName name="أسقف.مضادة.للبكتريا">#REF!</definedName>
    <definedName name="أسمنت.أبيض">#REF!</definedName>
    <definedName name="أسمنت.عادى">#REF!</definedName>
    <definedName name="اسمنت.عادي">#REF!</definedName>
    <definedName name="اضافات.بياض">#REF!</definedName>
    <definedName name="إضافات.منع.تسرب.مياه">#REF!</definedName>
    <definedName name="إنترلوك">#REF!</definedName>
    <definedName name="انسو.فليم4مم">#REF!</definedName>
    <definedName name="إيجازول.سيكا">#REF!</definedName>
    <definedName name="ب19">#REF!</definedName>
    <definedName name="باك.فلر">#REF!</definedName>
    <definedName name="باكر.رود20مم">#REF!</definedName>
    <definedName name="بامب">#REF!</definedName>
    <definedName name="بب">#REF!</definedName>
    <definedName name="بردورة.عجالي">#REF!</definedName>
    <definedName name="بردورة.متوسطة.حمراء">#REF!</definedName>
    <definedName name="بردورة50\30\8">#REF!</definedName>
    <definedName name="برلاتو2سم">#REF!</definedName>
    <definedName name="بسكويت">#REF!</definedName>
    <definedName name="بكر.رود">#REF!</definedName>
    <definedName name="بلاط.أسطح">#REF!</definedName>
    <definedName name="بلاط.موزايكو20\20">#REF!</definedName>
    <definedName name="بور40\40">#REF!</definedName>
    <definedName name="بورتورو2سم">#REF!</definedName>
    <definedName name="بورسلين.لامع">#REF!</definedName>
    <definedName name="بورسلين.مط">#REF!</definedName>
    <definedName name="بورسلين.واجهات">#REF!</definedName>
    <definedName name="بولسترين.ازرق">#REF!</definedName>
    <definedName name="بولى.ايثيلين300">#REF!</definedName>
    <definedName name="بولىايثيلين250">#REF!</definedName>
    <definedName name="بولىإيثيلين300">#REF!</definedName>
    <definedName name="بيتومين.بارد">#REF!</definedName>
    <definedName name="بيتومين.ساخن">#REF!</definedName>
    <definedName name="بيرلايت">#REF!</definedName>
    <definedName name="تشوين.مبانى.م2">#REF!</definedName>
    <definedName name="تشوين.مبانى.م3">#REF!</definedName>
    <definedName name="تورش.سيل4مم">#REF!</definedName>
    <definedName name="تورشسيل4مم">#REF!</definedName>
    <definedName name="ث2842">#REF!</definedName>
    <definedName name="ثث">#REF!</definedName>
    <definedName name="ج.أحمر.أسوان2سم">#REF!</definedName>
    <definedName name="ج.أحمر.أسوان4سم">#REF!</definedName>
    <definedName name="جاك.همر">#REF!</definedName>
    <definedName name="جبس">#REF!</definedName>
    <definedName name="جج">#REF!</definedName>
    <definedName name="جر.اسود.اسوان2سم">#REF!</definedName>
    <definedName name="جرانيت.ابيض.سفاجا2سم">#REF!</definedName>
    <definedName name="جرانيت.ابيض.سفاجا4سم">#REF!</definedName>
    <definedName name="جلالة2سم">#REF!</definedName>
    <definedName name="جلالة4سم">#REF!</definedName>
    <definedName name="ح.خ.م.أ">#REF!</definedName>
    <definedName name="ح.خ.م.أ15">#REF!</definedName>
    <definedName name="ح.خ.م.أسقف">#REF!</definedName>
    <definedName name="ح.خ.م.أعمدة">#REF!</definedName>
    <definedName name="ح.خ.م.ح">#REF!</definedName>
    <definedName name="ح.خ.م.سلالم">#REF!</definedName>
    <definedName name="حجر.هاشمى">#REF!</definedName>
    <definedName name="حديد.تسليح">#REF!</definedName>
    <definedName name="خ.بازلتية.300">#REF!</definedName>
    <definedName name="خ.ع.150.مقاوم">#REF!</definedName>
    <definedName name="خ.ع.180">#REF!</definedName>
    <definedName name="خ.ع.250.مقاوم">#REF!</definedName>
    <definedName name="خ.ع180">#REF!</definedName>
    <definedName name="خ.ع180كجم\سم2">#REF!</definedName>
    <definedName name="خ.ع250">#REF!</definedName>
    <definedName name="خ.ع300كجم\سم2">#REF!</definedName>
    <definedName name="خ.عادية.300">#REF!</definedName>
    <definedName name="خ.م.مقاوم">#REF!</definedName>
    <definedName name="خ.م150">#REF!</definedName>
    <definedName name="خ.م275">#REF!</definedName>
    <definedName name="خ.م300">#REF!</definedName>
    <definedName name="خ.م350">#REF!</definedName>
    <definedName name="خرسانة.180">#REF!</definedName>
    <definedName name="خرسانة.300">#REF!</definedName>
    <definedName name="خرسانة.بازلتية300">#REF!</definedName>
    <definedName name="خشب.موسكى">#REF!</definedName>
    <definedName name="دد">#REF!</definedName>
    <definedName name="دكاكة">#REF!</definedName>
    <definedName name="دهان.إيبوكسى">#REF!</definedName>
    <definedName name="رمل.بياض">#REF!</definedName>
    <definedName name="رمل.خرسانة">#REF!</definedName>
    <definedName name="رمل.ردم">#REF!</definedName>
    <definedName name="زلط.ردم">#REF!</definedName>
    <definedName name="زلط.مخصوص">#REF!</definedName>
    <definedName name="زوايا.نهاية.بياض">#REF!</definedName>
    <definedName name="سث">#REF!</definedName>
    <definedName name="سربجنتى2سم">#REF!</definedName>
    <definedName name="سس">#REF!</definedName>
    <definedName name="سسس" hidden="1">#REF!</definedName>
    <definedName name="سعر">#REF!</definedName>
    <definedName name="سعر2">#REF!</definedName>
    <definedName name="سقالات">#REF!</definedName>
    <definedName name="سلك.رباط">#REF!</definedName>
    <definedName name="سلك.شبك">#REF!</definedName>
    <definedName name="سلك10سم">#REF!</definedName>
    <definedName name="سلك20سم">#REF!</definedName>
    <definedName name="سن2">#REF!</definedName>
    <definedName name="سنة">#REF!</definedName>
    <definedName name="سنة2">#REF!</definedName>
    <definedName name="سيراميك.جايل">#REF!</definedName>
    <definedName name="سيراميك.كليوباترا20\30">#REF!</definedName>
    <definedName name="سيراميك.واجهات">#REF!</definedName>
    <definedName name="سيراميك\20\20">#REF!</definedName>
    <definedName name="سيراميك20\20">#REF!</definedName>
    <definedName name="سيراميك30\30">#REF!</definedName>
    <definedName name="سيراميك40">#REF!</definedName>
    <definedName name="سيراميك40\40">#REF!</definedName>
    <definedName name="سيس" hidden="1">#REF!</definedName>
    <definedName name="سيكا.برايمر3">#REF!</definedName>
    <definedName name="سيكا.فلكس1ايه">#REF!</definedName>
    <definedName name="سيكا.فلور261">#REF!</definedName>
    <definedName name="سيكابرايمر94">#REF!</definedName>
    <definedName name="سيكاجارد">#REF!</definedName>
    <definedName name="سيكاديور">#REF!</definedName>
    <definedName name="سيكافلور261">#REF!</definedName>
    <definedName name="سيكافلور94">#REF!</definedName>
    <definedName name="ش40">#REF!</definedName>
    <definedName name="شطف40\40">#REF!</definedName>
    <definedName name="شلاييب">#REF!</definedName>
    <definedName name="ص.خ.ع.10">#REF!</definedName>
    <definedName name="ص.خ.ع.15">#REF!</definedName>
    <definedName name="ص.خ.ع.أ.ش">#REF!</definedName>
    <definedName name="ص.خ.م.أ">#REF!</definedName>
    <definedName name="ص.خ.م.أسقف">#REF!</definedName>
    <definedName name="ص.خ.م.أعمدة">#REF!</definedName>
    <definedName name="ص.خ.م.ح">#REF!</definedName>
    <definedName name="ص.خ.م.سلالم">#REF!</definedName>
    <definedName name="صفحة_23">#REF!</definedName>
    <definedName name="صلايب">#REF!</definedName>
    <definedName name="صوف.صخرى">#REF!</definedName>
    <definedName name="ضبب" hidden="1">#REF!</definedName>
    <definedName name="ضض">#REF!</definedName>
    <definedName name="طبقةعازلة4مم">#REF!</definedName>
    <definedName name="طط">#REF!</definedName>
    <definedName name="طفلى.مثقب25\12\6">#REF!</definedName>
    <definedName name="طفلى.مصمت25\12\6">#REF!</definedName>
    <definedName name="طوب.أسمنتى.مصمت">#REF!</definedName>
    <definedName name="طوب.زجاجى">#REF!</definedName>
    <definedName name="طوب.زجاجى.ابيض">#REF!</definedName>
    <definedName name="طوب.زجاجي10">#REF!</definedName>
    <definedName name="طوب.مفرغ20\25\40">#REF!</definedName>
    <definedName name="طوب.مفرغ20\40\12">#REF!</definedName>
    <definedName name="ظظ">#REF!</definedName>
    <definedName name="ظل">#REF!</definedName>
    <definedName name="ظهر.حية.ستانلس">#REF!</definedName>
    <definedName name="ظهر.حية.ستانلستيل">#REF!</definedName>
    <definedName name="ع.خ.خ.م.أعمدة">#REF!</definedName>
    <definedName name="ع.خ.خ.م.سلالم">#REF!</definedName>
    <definedName name="ع.خشبية">#REF!</definedName>
    <definedName name="ع2">#REF!</definedName>
    <definedName name="عدة.أعمدة">#REF!</definedName>
    <definedName name="عدة.خشبية">#REF!</definedName>
    <definedName name="عمالة">#REF!</definedName>
    <definedName name="ف2">#REF!</definedName>
    <definedName name="فف">#REF!</definedName>
    <definedName name="فلتو.حسنة">#REF!</definedName>
    <definedName name="فلتو.حسنة.قائمة">#REF!</definedName>
    <definedName name="فوم">#REF!</definedName>
    <definedName name="فوم.ابيض">#REF!</definedName>
    <definedName name="فينيل.أنتىستاتيك">#REF!</definedName>
    <definedName name="فينيل.مستورد2مم">#REF!</definedName>
    <definedName name="قطع.بلاستيك">#REF!</definedName>
    <definedName name="كانة20\4">#REF!</definedName>
    <definedName name="كسر.طوب">#REF!</definedName>
    <definedName name="كلبسات">#REF!</definedName>
    <definedName name="كور">#REF!</definedName>
    <definedName name="كونتر.22مم">#REF!</definedName>
    <definedName name="كونتر22مم">#REF!</definedName>
    <definedName name="كونتر3مم">#REF!</definedName>
    <definedName name="ل44">#REF!</definedName>
    <definedName name="لف">#REF!</definedName>
    <definedName name="لودر">#REF!</definedName>
    <definedName name="م.بياض.تخشين">#REF!</definedName>
    <definedName name="م.ت.فوم">#REF!</definedName>
    <definedName name="م.ع.1.1">#REF!</definedName>
    <definedName name="م.ع.2.3">#REF!</definedName>
    <definedName name="م.ع.و.ب.س">#REF!</definedName>
    <definedName name="م.ل.أ.2">#REF!</definedName>
    <definedName name="م.مبانى.حرارى.واجهات">#REF!</definedName>
    <definedName name="م.مبانى.م2">#REF!</definedName>
    <definedName name="م.مبانى.م3">#REF!</definedName>
    <definedName name="مادة.سقية">#REF!</definedName>
    <definedName name="مادة.منع.النفاذية">#REF!</definedName>
    <definedName name="ماكينة.غلق">#REF!</definedName>
    <definedName name="مبض">#REF!</definedName>
    <definedName name="مسامير.بورمة">#REF!</definedName>
    <definedName name="مسمار.بورمة">#REF!</definedName>
    <definedName name="مصربريك.40\20\25">#REF!</definedName>
    <definedName name="مصلد">#REF!</definedName>
    <definedName name="مقصات">#REF!</definedName>
    <definedName name="مم">#REF!</definedName>
    <definedName name="منع.نفاذية.المياة">#REF!</definedName>
    <definedName name="مولات">#REF!</definedName>
    <definedName name="مونة.ذاتية">#REF!</definedName>
    <definedName name="مونة.ذاتية.التسوية">#REF!</definedName>
    <definedName name="مياة.معالجة">#REF!</definedName>
    <definedName name="مياه">#REF!</definedName>
    <definedName name="ن.خ.ع.أ.ش">#REF!</definedName>
    <definedName name="ن.خ.م.أ">#REF!</definedName>
    <definedName name="ن.خ.م.أسقف">#REF!</definedName>
    <definedName name="ن.خ.م.أعمدة">#REF!</definedName>
    <definedName name="ن.خ.م.ح">#REF!</definedName>
    <definedName name="ن.خ.م.سلالم">#REF!</definedName>
    <definedName name="هراس">#REF!</definedName>
    <definedName name="هزاز.خ">#REF!</definedName>
    <definedName name="هزاز.خرسانة">#REF!</definedName>
    <definedName name="هواية.ألومنيوم">#REF!</definedName>
    <definedName name="وزرة.فينيل.مستورد">#REF!</definedName>
    <definedName name="ؤؤ">#REF!</definedName>
    <definedName name="ووتر.ستوب">#REF!</definedName>
    <definedName name="ؤيبيبيبي">#REF!</definedName>
    <definedName name="ىىنىىى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M313" i="13" l="1"/>
  <c r="M314" i="13"/>
  <c r="M315" i="13"/>
  <c r="M316" i="13"/>
  <c r="M317" i="13"/>
  <c r="M318" i="13"/>
  <c r="M319" i="13"/>
  <c r="M320" i="13"/>
  <c r="M321" i="13"/>
  <c r="M322" i="13"/>
  <c r="M323" i="13"/>
  <c r="M324" i="13"/>
  <c r="M325" i="13"/>
  <c r="M326" i="13"/>
  <c r="M327" i="13"/>
  <c r="M328" i="13"/>
  <c r="M329" i="13"/>
  <c r="M330" i="13"/>
  <c r="M331" i="13"/>
  <c r="M332" i="13"/>
  <c r="M333" i="13"/>
  <c r="M334" i="13"/>
  <c r="M335" i="13"/>
  <c r="M336" i="13"/>
  <c r="M337" i="13"/>
  <c r="M338" i="13"/>
  <c r="M339" i="13"/>
  <c r="M340" i="13"/>
  <c r="M341" i="13"/>
  <c r="M342" i="13"/>
  <c r="M343" i="13"/>
  <c r="M344" i="13"/>
  <c r="M345" i="13"/>
  <c r="M346" i="13"/>
  <c r="M347" i="13"/>
  <c r="M348" i="13"/>
  <c r="M349" i="13"/>
  <c r="M350" i="13"/>
  <c r="M351" i="13"/>
  <c r="M352" i="13"/>
  <c r="M353" i="13"/>
  <c r="M354" i="13"/>
  <c r="M355" i="13"/>
  <c r="M356" i="13"/>
  <c r="M357" i="13"/>
  <c r="M358" i="13"/>
  <c r="M359" i="13"/>
  <c r="M360" i="13"/>
  <c r="M361" i="13"/>
  <c r="M362" i="13"/>
  <c r="M363" i="13"/>
  <c r="M364" i="13"/>
  <c r="M365" i="13"/>
  <c r="M366" i="13"/>
  <c r="M367" i="13"/>
  <c r="M368" i="13"/>
  <c r="M369" i="13"/>
  <c r="M370" i="13"/>
  <c r="M371" i="13"/>
  <c r="M372" i="13"/>
  <c r="M373" i="13"/>
  <c r="M374" i="13"/>
  <c r="M375" i="13"/>
  <c r="M376" i="13"/>
  <c r="M377" i="13"/>
  <c r="M378" i="13"/>
  <c r="M379" i="13"/>
  <c r="M380" i="13"/>
  <c r="M381" i="13"/>
  <c r="M382" i="13"/>
  <c r="M383" i="13"/>
  <c r="M384" i="13"/>
  <c r="M385" i="13"/>
  <c r="M386" i="13"/>
  <c r="M387" i="13"/>
  <c r="M388" i="13"/>
  <c r="M389" i="13"/>
  <c r="M390" i="13"/>
  <c r="M391" i="13"/>
  <c r="M392" i="13"/>
  <c r="M393" i="13"/>
  <c r="M394" i="13"/>
  <c r="M395" i="13"/>
  <c r="M396" i="13"/>
  <c r="M397" i="13"/>
  <c r="M398" i="13"/>
  <c r="M399" i="13"/>
  <c r="M400" i="13"/>
  <c r="M401" i="13"/>
  <c r="M402" i="13"/>
  <c r="M403" i="13"/>
  <c r="M404" i="13"/>
  <c r="M405" i="13"/>
  <c r="M406" i="13"/>
  <c r="M407" i="13"/>
  <c r="M408" i="13"/>
  <c r="M409" i="13"/>
  <c r="M410" i="13"/>
  <c r="M411" i="13"/>
  <c r="M412" i="13"/>
  <c r="M413" i="13"/>
  <c r="M414" i="13"/>
  <c r="M415" i="13"/>
  <c r="M416" i="13"/>
  <c r="M417" i="13"/>
  <c r="M418" i="13"/>
  <c r="M419" i="13"/>
  <c r="M420" i="13"/>
  <c r="M421" i="13"/>
  <c r="M422" i="13"/>
  <c r="M423" i="13"/>
  <c r="M424" i="13"/>
  <c r="M425" i="13"/>
  <c r="M426" i="13"/>
  <c r="M427" i="13"/>
  <c r="M428" i="13"/>
  <c r="M429" i="13"/>
  <c r="M430" i="13"/>
  <c r="M431" i="13"/>
  <c r="M432" i="13"/>
  <c r="M433" i="13"/>
  <c r="M434" i="13"/>
  <c r="M435" i="13"/>
  <c r="M436" i="13"/>
  <c r="M437" i="13"/>
  <c r="M438" i="13"/>
  <c r="M439" i="13"/>
  <c r="M440" i="13"/>
  <c r="M441" i="13"/>
  <c r="M442" i="13"/>
  <c r="M443" i="13"/>
  <c r="M444" i="13"/>
  <c r="M445" i="13"/>
  <c r="M446" i="13"/>
  <c r="M447" i="13"/>
  <c r="M448" i="13"/>
  <c r="M449" i="13"/>
  <c r="M450" i="13"/>
  <c r="M451" i="13"/>
  <c r="M452" i="13"/>
  <c r="M453" i="13"/>
  <c r="M454" i="13"/>
  <c r="M455" i="13"/>
  <c r="M456" i="13"/>
  <c r="M457" i="13"/>
  <c r="M458" i="13"/>
  <c r="M459" i="13"/>
  <c r="M460" i="13"/>
  <c r="M461" i="13"/>
  <c r="M462" i="13"/>
  <c r="M463" i="13"/>
  <c r="M464" i="13"/>
  <c r="M465" i="13"/>
  <c r="M466" i="13"/>
  <c r="M467" i="13"/>
  <c r="M468" i="13"/>
  <c r="M469" i="13"/>
  <c r="M470" i="13"/>
  <c r="M471" i="13"/>
  <c r="M472" i="13"/>
  <c r="M473" i="13"/>
  <c r="M474" i="13"/>
  <c r="M475" i="13"/>
  <c r="M476" i="13"/>
  <c r="M477" i="13"/>
  <c r="M478" i="13"/>
  <c r="M479" i="13"/>
  <c r="M480" i="13"/>
  <c r="M481" i="13"/>
  <c r="M482" i="13"/>
  <c r="M483" i="13"/>
  <c r="M484" i="13"/>
  <c r="M485" i="13"/>
  <c r="M486" i="13"/>
  <c r="M487" i="13"/>
  <c r="M488" i="13"/>
  <c r="M489" i="13"/>
  <c r="M490" i="13"/>
  <c r="M491" i="13"/>
  <c r="M492" i="13"/>
  <c r="M493" i="13"/>
  <c r="M494" i="13"/>
  <c r="M495" i="13"/>
  <c r="M496" i="13"/>
  <c r="M497" i="13"/>
  <c r="M498" i="13"/>
  <c r="M499" i="13"/>
  <c r="M500" i="13"/>
  <c r="M501" i="13"/>
  <c r="M502" i="13"/>
  <c r="M503" i="13"/>
  <c r="M504" i="13"/>
  <c r="M505" i="13"/>
  <c r="M506" i="13"/>
  <c r="M507" i="13"/>
  <c r="M508" i="13"/>
  <c r="M509" i="13"/>
  <c r="M510" i="13"/>
  <c r="M511" i="13"/>
  <c r="M512" i="13"/>
  <c r="M513" i="13"/>
  <c r="M514" i="13"/>
  <c r="M515" i="13"/>
  <c r="M516" i="13"/>
  <c r="M517" i="13"/>
  <c r="M518" i="13"/>
  <c r="M519" i="13"/>
  <c r="M520" i="13"/>
  <c r="M521" i="13"/>
  <c r="M522" i="13"/>
  <c r="M523" i="13"/>
  <c r="M524" i="13"/>
  <c r="M525" i="13"/>
  <c r="M526" i="13"/>
  <c r="M527" i="13"/>
  <c r="M528" i="13"/>
  <c r="M529" i="13"/>
  <c r="M530" i="13"/>
  <c r="M531" i="13"/>
  <c r="M532" i="13"/>
  <c r="M533" i="13"/>
  <c r="M534" i="13"/>
  <c r="M535" i="13"/>
  <c r="M536" i="13"/>
  <c r="M537" i="13"/>
  <c r="M538" i="13"/>
  <c r="M539" i="13"/>
  <c r="M540" i="13"/>
  <c r="M541" i="13"/>
  <c r="M542" i="13"/>
  <c r="M543" i="13"/>
  <c r="M544" i="13"/>
  <c r="M545" i="13"/>
  <c r="M546" i="13"/>
  <c r="M547" i="13"/>
  <c r="M548" i="13"/>
  <c r="M549" i="13"/>
  <c r="M550" i="13"/>
  <c r="M551" i="13"/>
  <c r="M552" i="13"/>
  <c r="M553" i="13"/>
  <c r="M554" i="13"/>
  <c r="M555" i="13"/>
  <c r="M556" i="13"/>
  <c r="M557" i="13"/>
  <c r="M558" i="13"/>
  <c r="M559" i="13"/>
  <c r="M560" i="13"/>
  <c r="M561" i="13"/>
  <c r="M562" i="13"/>
  <c r="M563" i="13"/>
  <c r="M564" i="13"/>
  <c r="M565" i="13"/>
  <c r="M566" i="13"/>
  <c r="M567" i="13"/>
  <c r="M568" i="13"/>
  <c r="M569" i="13"/>
  <c r="M570" i="13"/>
  <c r="M571" i="13"/>
  <c r="M572" i="13"/>
  <c r="M573" i="13"/>
  <c r="M574" i="13"/>
  <c r="M575" i="13"/>
  <c r="M576" i="13"/>
  <c r="M577" i="13"/>
  <c r="M578" i="13"/>
  <c r="M579" i="13"/>
  <c r="M580" i="13"/>
  <c r="M581" i="13"/>
  <c r="M582" i="13"/>
  <c r="M583" i="13"/>
  <c r="M584" i="13"/>
  <c r="M585" i="13"/>
  <c r="M586" i="13"/>
  <c r="M587" i="13"/>
  <c r="M588" i="13"/>
  <c r="M589" i="13"/>
  <c r="M590" i="13"/>
  <c r="M591" i="13"/>
  <c r="M592" i="13"/>
  <c r="M593" i="13"/>
  <c r="M594" i="13"/>
  <c r="M595" i="13"/>
  <c r="M596" i="13"/>
  <c r="M597" i="13"/>
  <c r="M598" i="13"/>
  <c r="M599" i="13"/>
  <c r="M600" i="13"/>
  <c r="M601" i="13"/>
  <c r="M602" i="13"/>
  <c r="M603" i="13"/>
  <c r="M604" i="13"/>
  <c r="M605" i="13"/>
  <c r="M606" i="13"/>
  <c r="M607" i="13"/>
  <c r="M608" i="13"/>
  <c r="M609" i="13"/>
  <c r="M610" i="13"/>
  <c r="M611" i="13"/>
  <c r="M612" i="13"/>
  <c r="M613" i="13"/>
  <c r="M614" i="13"/>
  <c r="M615" i="13"/>
  <c r="M616" i="13"/>
  <c r="M617" i="13"/>
  <c r="M618" i="13"/>
  <c r="M619" i="13"/>
  <c r="M620" i="13"/>
  <c r="M621" i="13"/>
  <c r="M622" i="13"/>
  <c r="M623" i="13"/>
  <c r="M624" i="13"/>
  <c r="M625" i="13"/>
  <c r="M626" i="13"/>
  <c r="M627" i="13"/>
  <c r="M628" i="13"/>
  <c r="M629" i="13"/>
  <c r="M630" i="13"/>
  <c r="M631" i="13"/>
  <c r="M632" i="13"/>
  <c r="M633" i="13"/>
  <c r="M634" i="13"/>
  <c r="M635" i="13"/>
  <c r="M636" i="13"/>
  <c r="M637" i="13"/>
  <c r="M638" i="13"/>
  <c r="M639" i="13"/>
  <c r="M640" i="13"/>
  <c r="M641" i="13"/>
  <c r="M642" i="13"/>
  <c r="M643" i="13"/>
  <c r="M644" i="13"/>
  <c r="M645" i="13"/>
  <c r="M646" i="13"/>
  <c r="M647" i="13"/>
  <c r="M648" i="13"/>
  <c r="M649" i="13"/>
  <c r="M650" i="13"/>
  <c r="M651" i="13"/>
  <c r="M652" i="13"/>
  <c r="M653" i="13"/>
  <c r="M654" i="13"/>
  <c r="M655" i="13"/>
  <c r="M656" i="13"/>
  <c r="M657" i="13"/>
  <c r="M658" i="13"/>
  <c r="M659" i="13"/>
  <c r="M660" i="13"/>
  <c r="M661" i="13"/>
  <c r="M662" i="13"/>
  <c r="M663" i="13"/>
  <c r="M664" i="13"/>
  <c r="M665" i="13"/>
  <c r="M666" i="13"/>
  <c r="M667" i="13"/>
  <c r="M668" i="13"/>
  <c r="M669" i="13"/>
  <c r="M670" i="13"/>
  <c r="M671" i="13"/>
  <c r="M672" i="13"/>
  <c r="M673" i="13"/>
  <c r="M674" i="13"/>
  <c r="M675" i="13"/>
  <c r="M676" i="13"/>
  <c r="M677" i="13"/>
  <c r="M678" i="13"/>
  <c r="M679" i="13"/>
  <c r="M680" i="13"/>
  <c r="M681" i="13"/>
  <c r="M682" i="13"/>
  <c r="M683" i="13"/>
  <c r="M684" i="13"/>
  <c r="M685" i="13"/>
  <c r="M686" i="13"/>
  <c r="M687" i="13"/>
  <c r="M688" i="13"/>
  <c r="M689" i="13"/>
  <c r="M690" i="13"/>
  <c r="M691" i="13"/>
  <c r="M692" i="13"/>
  <c r="M693" i="13"/>
  <c r="M694" i="13"/>
  <c r="M695" i="13"/>
  <c r="M696" i="13"/>
  <c r="M697" i="13"/>
  <c r="M698" i="13"/>
  <c r="M699" i="13"/>
  <c r="M700" i="13"/>
  <c r="M701" i="13"/>
  <c r="M702" i="13"/>
  <c r="M703" i="13"/>
  <c r="M704" i="13"/>
  <c r="M705" i="13"/>
  <c r="M706" i="13"/>
  <c r="M707" i="13"/>
  <c r="M708" i="13"/>
  <c r="M709" i="13"/>
  <c r="M710" i="13"/>
  <c r="M711" i="13"/>
  <c r="M712" i="13"/>
  <c r="M713" i="13"/>
  <c r="M714" i="13"/>
  <c r="M715" i="13"/>
  <c r="M716" i="13"/>
  <c r="M717" i="13"/>
  <c r="M718" i="13"/>
  <c r="M719" i="13"/>
  <c r="M720" i="13"/>
  <c r="M721" i="13"/>
  <c r="M722" i="13"/>
  <c r="M723" i="13"/>
  <c r="M724" i="13"/>
  <c r="M725" i="13"/>
  <c r="M726" i="13"/>
  <c r="M727" i="13"/>
  <c r="M728" i="13"/>
  <c r="M729" i="13"/>
  <c r="M730" i="13"/>
  <c r="M731" i="13"/>
  <c r="M732" i="13"/>
  <c r="M733" i="13"/>
  <c r="M734" i="13"/>
  <c r="M735" i="13"/>
  <c r="M736" i="13"/>
  <c r="M737" i="13"/>
  <c r="M738" i="13"/>
  <c r="M739" i="13"/>
  <c r="M740" i="13"/>
  <c r="M741" i="13"/>
  <c r="M742" i="13"/>
  <c r="M743" i="13"/>
  <c r="M744" i="13"/>
  <c r="M745" i="13"/>
  <c r="M746" i="13"/>
  <c r="M747" i="13"/>
  <c r="M748" i="13"/>
  <c r="M749" i="13"/>
  <c r="M750" i="13"/>
  <c r="M751" i="13"/>
  <c r="M752" i="13"/>
  <c r="M753" i="13"/>
  <c r="M754" i="13"/>
  <c r="M755" i="13"/>
  <c r="M756" i="13"/>
  <c r="M757" i="13"/>
  <c r="M758" i="13"/>
  <c r="M759" i="13"/>
  <c r="M760" i="13"/>
  <c r="M761" i="13"/>
  <c r="M762" i="13"/>
  <c r="M763" i="13"/>
  <c r="M764" i="13"/>
  <c r="M765" i="13"/>
  <c r="M766" i="13"/>
  <c r="M767" i="13"/>
  <c r="M768" i="13"/>
  <c r="M769" i="13"/>
  <c r="M770" i="13"/>
  <c r="M771" i="13"/>
  <c r="M772" i="13"/>
  <c r="M773" i="13"/>
  <c r="M774" i="13"/>
  <c r="M775" i="13"/>
  <c r="M776" i="13"/>
  <c r="M777" i="13"/>
  <c r="M778" i="13"/>
  <c r="M779" i="13"/>
  <c r="M780" i="13"/>
  <c r="M781" i="13"/>
  <c r="M782" i="13"/>
  <c r="M783" i="13"/>
  <c r="M784" i="13"/>
  <c r="M785" i="13"/>
  <c r="M786" i="13"/>
  <c r="M787" i="13"/>
  <c r="M788" i="13"/>
  <c r="M789" i="13"/>
  <c r="M790" i="13"/>
  <c r="M791" i="13"/>
  <c r="M792" i="13"/>
  <c r="M793" i="13"/>
  <c r="M794" i="13"/>
  <c r="M795" i="13"/>
  <c r="M796" i="13"/>
  <c r="M797" i="13"/>
  <c r="M798" i="13"/>
  <c r="M799" i="13"/>
  <c r="M800" i="13"/>
  <c r="M801" i="13"/>
  <c r="M802" i="13"/>
  <c r="M803" i="13"/>
  <c r="M804" i="13"/>
  <c r="M805" i="13"/>
  <c r="M806" i="13"/>
  <c r="M807" i="13"/>
  <c r="M808" i="13"/>
  <c r="M809" i="13"/>
  <c r="M810" i="13"/>
  <c r="M811" i="13"/>
  <c r="M812" i="13"/>
  <c r="M813" i="13"/>
  <c r="M814" i="13"/>
  <c r="M815" i="13"/>
  <c r="M816" i="13"/>
  <c r="M817" i="13"/>
  <c r="M818" i="13"/>
  <c r="M819" i="13"/>
  <c r="M820" i="13"/>
  <c r="M821" i="13"/>
  <c r="M822" i="13"/>
  <c r="M823" i="13"/>
  <c r="M824" i="13"/>
  <c r="M825" i="13"/>
  <c r="M826" i="13"/>
  <c r="M827" i="13"/>
  <c r="M828" i="13"/>
  <c r="M829" i="13"/>
  <c r="M830" i="13"/>
  <c r="M831" i="13"/>
  <c r="M832" i="13"/>
  <c r="M833" i="13"/>
  <c r="M834" i="13"/>
  <c r="M835" i="13"/>
  <c r="M836" i="13"/>
  <c r="M837" i="13"/>
  <c r="M838" i="13"/>
  <c r="M839" i="13"/>
  <c r="M840" i="13"/>
  <c r="M841" i="13"/>
  <c r="M842" i="13"/>
  <c r="M843" i="13"/>
  <c r="M844" i="13"/>
  <c r="M845" i="13"/>
  <c r="M846" i="13"/>
  <c r="M847" i="13"/>
  <c r="M848" i="13"/>
  <c r="M849" i="13"/>
  <c r="M850" i="13"/>
  <c r="M851" i="13"/>
  <c r="M852" i="13"/>
  <c r="M853" i="13"/>
  <c r="M854" i="13"/>
  <c r="M855" i="13"/>
  <c r="M856" i="13"/>
  <c r="M857" i="13"/>
  <c r="M858" i="13"/>
  <c r="M859" i="13"/>
  <c r="M860" i="13"/>
  <c r="M861" i="13"/>
  <c r="M862" i="13"/>
  <c r="M863" i="13"/>
  <c r="M864" i="13"/>
  <c r="M865" i="13"/>
  <c r="M866" i="13"/>
  <c r="M867" i="13"/>
  <c r="M868" i="13"/>
  <c r="M869" i="13"/>
  <c r="M870" i="13"/>
  <c r="M871" i="13"/>
  <c r="M872" i="13"/>
  <c r="M873" i="13"/>
  <c r="M874" i="13"/>
  <c r="M875" i="13"/>
  <c r="M876" i="13"/>
  <c r="M877" i="13"/>
  <c r="M878" i="13"/>
  <c r="M879" i="13"/>
  <c r="M880" i="13"/>
  <c r="M881" i="13"/>
  <c r="M882" i="13"/>
  <c r="M883" i="13"/>
  <c r="M884" i="13"/>
  <c r="M885" i="13"/>
  <c r="M886" i="13"/>
  <c r="M887" i="13"/>
  <c r="M888" i="13"/>
  <c r="M889" i="13"/>
  <c r="M890" i="13"/>
  <c r="M891" i="13"/>
  <c r="M892" i="13"/>
  <c r="M893" i="13"/>
  <c r="M894" i="13"/>
  <c r="M895" i="13"/>
  <c r="M896" i="13"/>
  <c r="M897" i="13"/>
  <c r="M898" i="13"/>
  <c r="M899" i="13"/>
  <c r="M900" i="13"/>
  <c r="M901" i="13"/>
  <c r="M902" i="13"/>
  <c r="M903" i="13"/>
  <c r="M904" i="13"/>
  <c r="M905" i="13"/>
  <c r="M906" i="13"/>
  <c r="M907" i="13"/>
  <c r="M908" i="13"/>
  <c r="M909" i="13"/>
  <c r="M910" i="13"/>
  <c r="M911" i="13"/>
  <c r="M912" i="13"/>
  <c r="M913" i="13"/>
  <c r="M914" i="13"/>
  <c r="M915" i="13"/>
  <c r="M916" i="13"/>
  <c r="M917" i="13"/>
  <c r="M918" i="13"/>
  <c r="M919" i="13"/>
  <c r="M920" i="13"/>
  <c r="M921" i="13"/>
  <c r="M922" i="13"/>
  <c r="M923" i="13"/>
  <c r="M924" i="13"/>
  <c r="M925" i="13"/>
  <c r="M926" i="13"/>
  <c r="M927" i="13"/>
  <c r="M928" i="13"/>
  <c r="M929" i="13"/>
  <c r="M930" i="13"/>
  <c r="M931" i="13"/>
  <c r="M932" i="13"/>
  <c r="M933" i="13"/>
  <c r="M934" i="13"/>
  <c r="M935" i="13"/>
  <c r="M936" i="13"/>
  <c r="M937" i="13"/>
  <c r="M938" i="13"/>
  <c r="M939" i="13"/>
  <c r="M940" i="13"/>
  <c r="M941" i="13"/>
  <c r="M942" i="13"/>
  <c r="M943" i="13"/>
  <c r="M944" i="13"/>
  <c r="M945" i="13"/>
  <c r="M946" i="13"/>
  <c r="M947" i="13"/>
  <c r="M948" i="13"/>
  <c r="M949" i="13"/>
  <c r="M950" i="13"/>
  <c r="M951" i="13"/>
  <c r="M952" i="13"/>
  <c r="M953" i="13"/>
  <c r="M954" i="13"/>
  <c r="M955" i="13"/>
  <c r="M956" i="13"/>
  <c r="M957" i="13"/>
  <c r="M958" i="13"/>
  <c r="M959" i="13"/>
  <c r="M960" i="13"/>
  <c r="M961" i="13"/>
  <c r="M962" i="13"/>
  <c r="M963" i="13"/>
  <c r="M964" i="13"/>
  <c r="M965" i="13"/>
  <c r="M966" i="13"/>
  <c r="M967" i="13"/>
  <c r="M968" i="13"/>
  <c r="M969" i="13"/>
  <c r="M970" i="13"/>
  <c r="M971" i="13"/>
  <c r="M972" i="13"/>
  <c r="M973" i="13"/>
  <c r="M974" i="13"/>
  <c r="M975" i="13"/>
  <c r="M976" i="13"/>
  <c r="M977" i="13"/>
  <c r="M978" i="13"/>
  <c r="M979" i="13"/>
  <c r="M980" i="13"/>
  <c r="M981" i="13"/>
  <c r="M982" i="13"/>
  <c r="M983" i="13"/>
  <c r="M984" i="13"/>
  <c r="M985" i="13"/>
  <c r="M986" i="13"/>
  <c r="M987" i="13"/>
  <c r="M988" i="13"/>
  <c r="M989" i="13"/>
  <c r="M990" i="13"/>
  <c r="M991" i="13"/>
  <c r="M992" i="13"/>
  <c r="M993" i="13"/>
  <c r="M994" i="13"/>
  <c r="M995" i="13"/>
  <c r="M996" i="13"/>
  <c r="M997" i="13"/>
  <c r="M998" i="13"/>
  <c r="M999" i="13"/>
  <c r="M1000" i="13"/>
  <c r="M1001" i="13"/>
  <c r="M1002" i="13"/>
  <c r="M1003" i="13"/>
  <c r="M1004" i="13"/>
  <c r="M1005" i="13"/>
  <c r="M1006" i="13"/>
  <c r="M1007" i="13"/>
  <c r="M1008" i="13"/>
  <c r="M1009" i="13"/>
  <c r="M1010" i="13"/>
  <c r="M1011" i="13"/>
  <c r="M1012" i="13"/>
  <c r="M1013" i="13"/>
  <c r="M1014" i="13"/>
  <c r="M1015" i="13"/>
  <c r="M1016" i="13"/>
  <c r="M1017" i="13"/>
  <c r="M1018" i="13"/>
  <c r="M1019" i="13"/>
  <c r="M1020" i="13"/>
  <c r="M1021" i="13"/>
  <c r="M1022" i="13"/>
  <c r="M1023" i="13"/>
  <c r="M1024" i="13"/>
  <c r="M1025" i="13"/>
  <c r="M1026" i="13"/>
  <c r="M1027" i="13"/>
  <c r="M1028" i="13"/>
  <c r="M1029" i="13"/>
  <c r="M1030" i="13"/>
  <c r="M1031" i="13"/>
  <c r="M1032" i="13"/>
  <c r="M1033" i="13"/>
  <c r="M1034" i="13"/>
  <c r="M1035" i="13"/>
  <c r="M1036" i="13"/>
  <c r="M1037" i="13"/>
  <c r="M1038" i="13"/>
  <c r="M1039" i="13"/>
  <c r="M1040" i="13"/>
  <c r="M1041" i="13"/>
  <c r="M1042" i="13"/>
  <c r="M1043" i="13"/>
  <c r="M1044" i="13"/>
  <c r="M1045" i="13"/>
  <c r="M1046" i="13"/>
  <c r="M1047" i="13"/>
  <c r="M1048" i="13"/>
  <c r="M1049" i="13"/>
  <c r="M1050" i="13"/>
  <c r="M1051" i="13"/>
  <c r="M1052" i="13"/>
  <c r="M1053" i="13"/>
  <c r="M1054" i="13"/>
  <c r="M1055" i="13"/>
  <c r="M1056" i="13"/>
  <c r="M1057" i="13"/>
  <c r="M1058" i="13"/>
  <c r="M1059" i="13"/>
  <c r="M1060" i="13"/>
  <c r="M1061" i="13"/>
  <c r="M1062" i="13"/>
  <c r="M1063" i="13"/>
  <c r="M1064" i="13"/>
  <c r="M1065" i="13"/>
  <c r="M1066" i="13"/>
  <c r="M1067" i="13"/>
  <c r="M1068" i="13"/>
  <c r="M1069" i="13"/>
  <c r="M1070" i="13"/>
  <c r="M1071" i="13"/>
  <c r="M1072" i="13"/>
  <c r="M1073" i="13"/>
  <c r="M1074" i="13"/>
  <c r="M1075" i="13"/>
  <c r="M1076" i="13"/>
  <c r="M1077" i="13"/>
  <c r="M1078" i="13"/>
  <c r="M1079" i="13"/>
  <c r="M1080" i="13"/>
  <c r="M1081" i="13"/>
  <c r="M1082" i="13"/>
  <c r="M1083" i="13"/>
  <c r="M1084" i="13"/>
  <c r="M1085" i="13"/>
  <c r="M1086" i="13"/>
  <c r="M1087" i="13"/>
  <c r="M1088" i="13"/>
  <c r="M1089" i="13"/>
  <c r="M1090" i="13"/>
  <c r="M1091" i="13"/>
  <c r="M1092" i="13"/>
  <c r="M1093" i="13"/>
  <c r="M1094" i="13"/>
  <c r="M1095" i="13"/>
  <c r="M1096" i="13"/>
  <c r="M1097" i="13"/>
  <c r="M1098" i="13"/>
  <c r="M1099" i="13"/>
  <c r="M1100" i="13"/>
  <c r="M1101" i="13"/>
  <c r="M1102" i="13"/>
  <c r="M1103" i="13"/>
  <c r="M1104" i="13"/>
  <c r="M1105" i="13"/>
  <c r="M1106" i="13"/>
  <c r="M1107" i="13"/>
  <c r="M1108" i="13"/>
  <c r="M1109" i="13"/>
  <c r="J322" i="13"/>
  <c r="J323" i="13"/>
  <c r="J324" i="13"/>
  <c r="J325" i="13"/>
  <c r="J326" i="13"/>
  <c r="J327" i="13"/>
  <c r="J328" i="13"/>
  <c r="J329" i="13"/>
  <c r="J330" i="13"/>
  <c r="J331" i="13"/>
  <c r="J332" i="13"/>
  <c r="J333" i="13"/>
  <c r="J334" i="13"/>
  <c r="J335" i="13"/>
  <c r="J336" i="13"/>
  <c r="J337" i="13"/>
  <c r="J338" i="13"/>
  <c r="J339" i="13"/>
  <c r="J340" i="13"/>
  <c r="J341" i="13"/>
  <c r="J342" i="13"/>
  <c r="J343" i="13"/>
  <c r="J344" i="13"/>
  <c r="J345" i="13"/>
  <c r="J346" i="13"/>
  <c r="J347" i="13"/>
  <c r="J348" i="13"/>
  <c r="J349" i="13"/>
  <c r="J350" i="13"/>
  <c r="J351" i="13"/>
  <c r="J352" i="13"/>
  <c r="J353" i="13"/>
  <c r="J354" i="13"/>
  <c r="J355" i="13"/>
  <c r="J356" i="13"/>
  <c r="J357" i="13"/>
  <c r="J358" i="13"/>
  <c r="J359" i="13"/>
  <c r="J360" i="13"/>
  <c r="J361" i="13"/>
  <c r="J362" i="13"/>
  <c r="J363" i="13"/>
  <c r="J364" i="13"/>
  <c r="J365" i="13"/>
  <c r="J366" i="13"/>
  <c r="J367" i="13"/>
  <c r="J368" i="13"/>
  <c r="J369" i="13"/>
  <c r="J370" i="13"/>
  <c r="J371" i="13"/>
  <c r="J372" i="13"/>
  <c r="J373" i="13"/>
  <c r="J374" i="13"/>
  <c r="J375" i="13"/>
  <c r="J376" i="13"/>
  <c r="J377" i="13"/>
  <c r="J378" i="13"/>
  <c r="J379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410" i="13"/>
  <c r="J411" i="13"/>
  <c r="J412" i="13"/>
  <c r="J413" i="13"/>
  <c r="J414" i="13"/>
  <c r="J415" i="13"/>
  <c r="J416" i="13"/>
  <c r="J417" i="13"/>
  <c r="J418" i="13"/>
  <c r="J419" i="13"/>
  <c r="J420" i="13"/>
  <c r="J421" i="13"/>
  <c r="J422" i="13"/>
  <c r="J423" i="13"/>
  <c r="J424" i="13"/>
  <c r="J425" i="13"/>
  <c r="J426" i="13"/>
  <c r="J427" i="13"/>
  <c r="J428" i="13"/>
  <c r="J429" i="13"/>
  <c r="J430" i="13"/>
  <c r="J431" i="13"/>
  <c r="J432" i="13"/>
  <c r="J433" i="13"/>
  <c r="J434" i="13"/>
  <c r="J435" i="13"/>
  <c r="J436" i="13"/>
  <c r="J437" i="13"/>
  <c r="J438" i="13"/>
  <c r="J439" i="13"/>
  <c r="J440" i="13"/>
  <c r="J441" i="13"/>
  <c r="J442" i="13"/>
  <c r="J443" i="13"/>
  <c r="J444" i="13"/>
  <c r="J445" i="13"/>
  <c r="J446" i="13"/>
  <c r="J447" i="13"/>
  <c r="J448" i="13"/>
  <c r="J449" i="13"/>
  <c r="J450" i="13"/>
  <c r="J451" i="13"/>
  <c r="J452" i="13"/>
  <c r="J453" i="13"/>
  <c r="J454" i="13"/>
  <c r="J455" i="13"/>
  <c r="J456" i="13"/>
  <c r="J457" i="13"/>
  <c r="J458" i="13"/>
  <c r="J459" i="13"/>
  <c r="J460" i="13"/>
  <c r="J461" i="13"/>
  <c r="J462" i="13"/>
  <c r="J463" i="13"/>
  <c r="J464" i="13"/>
  <c r="J465" i="13"/>
  <c r="J466" i="13"/>
  <c r="J467" i="13"/>
  <c r="J468" i="13"/>
  <c r="J469" i="13"/>
  <c r="J470" i="13"/>
  <c r="J471" i="13"/>
  <c r="J472" i="13"/>
  <c r="J473" i="13"/>
  <c r="J474" i="13"/>
  <c r="J475" i="13"/>
  <c r="J476" i="13"/>
  <c r="J477" i="13"/>
  <c r="J478" i="13"/>
  <c r="J479" i="13"/>
  <c r="J480" i="13"/>
  <c r="J481" i="13"/>
  <c r="J482" i="13"/>
  <c r="J483" i="13"/>
  <c r="J484" i="13"/>
  <c r="J485" i="13"/>
  <c r="J486" i="13"/>
  <c r="J487" i="13"/>
  <c r="J488" i="13"/>
  <c r="J489" i="13"/>
  <c r="J490" i="13"/>
  <c r="J491" i="13"/>
  <c r="J492" i="13"/>
  <c r="J493" i="13"/>
  <c r="J494" i="13"/>
  <c r="J495" i="13"/>
  <c r="J496" i="13"/>
  <c r="J497" i="13"/>
  <c r="J498" i="13"/>
  <c r="J499" i="13"/>
  <c r="J500" i="13"/>
  <c r="J501" i="13"/>
  <c r="J502" i="13"/>
  <c r="J503" i="13"/>
  <c r="J504" i="13"/>
  <c r="J505" i="13"/>
  <c r="J506" i="13"/>
  <c r="J507" i="13"/>
  <c r="J508" i="13"/>
  <c r="J509" i="13"/>
  <c r="J510" i="13"/>
  <c r="J511" i="13"/>
  <c r="J512" i="13"/>
  <c r="J513" i="13"/>
  <c r="J514" i="13"/>
  <c r="J515" i="13"/>
  <c r="J516" i="13"/>
  <c r="J517" i="13"/>
  <c r="J518" i="13"/>
  <c r="J519" i="13"/>
  <c r="J520" i="13"/>
  <c r="J521" i="13"/>
  <c r="J522" i="13"/>
  <c r="J523" i="13"/>
  <c r="J524" i="13"/>
  <c r="J525" i="13"/>
  <c r="J526" i="13"/>
  <c r="J527" i="13"/>
  <c r="J528" i="13"/>
  <c r="J529" i="13"/>
  <c r="J530" i="13"/>
  <c r="J531" i="13"/>
  <c r="J532" i="13"/>
  <c r="J533" i="13"/>
  <c r="J534" i="13"/>
  <c r="J535" i="13"/>
  <c r="J536" i="13"/>
  <c r="J537" i="13"/>
  <c r="J538" i="13"/>
  <c r="J539" i="13"/>
  <c r="J540" i="13"/>
  <c r="J541" i="13"/>
  <c r="J542" i="13"/>
  <c r="J543" i="13"/>
  <c r="J544" i="13"/>
  <c r="J545" i="13"/>
  <c r="J546" i="13"/>
  <c r="J547" i="13"/>
  <c r="J548" i="13"/>
  <c r="J549" i="13"/>
  <c r="J550" i="13"/>
  <c r="J551" i="13"/>
  <c r="J552" i="13"/>
  <c r="J553" i="13"/>
  <c r="J554" i="13"/>
  <c r="J555" i="13"/>
  <c r="J556" i="13"/>
  <c r="J557" i="13"/>
  <c r="J558" i="13"/>
  <c r="J559" i="13"/>
  <c r="J560" i="13"/>
  <c r="J561" i="13"/>
  <c r="J562" i="13"/>
  <c r="J563" i="13"/>
  <c r="J564" i="13"/>
  <c r="J565" i="13"/>
  <c r="J566" i="13"/>
  <c r="J567" i="13"/>
  <c r="J568" i="13"/>
  <c r="J569" i="13"/>
  <c r="J570" i="13"/>
  <c r="J571" i="13"/>
  <c r="J572" i="13"/>
  <c r="J573" i="13"/>
  <c r="J574" i="13"/>
  <c r="J575" i="13"/>
  <c r="J576" i="13"/>
  <c r="J577" i="13"/>
  <c r="J578" i="13"/>
  <c r="J579" i="13"/>
  <c r="J580" i="13"/>
  <c r="J581" i="13"/>
  <c r="J582" i="13"/>
  <c r="J583" i="13"/>
  <c r="J584" i="13"/>
  <c r="J585" i="13"/>
  <c r="J586" i="13"/>
  <c r="J587" i="13"/>
  <c r="J588" i="13"/>
  <c r="J589" i="13"/>
  <c r="J590" i="13"/>
  <c r="J591" i="13"/>
  <c r="J592" i="13"/>
  <c r="J593" i="13"/>
  <c r="J594" i="13"/>
  <c r="J595" i="13"/>
  <c r="J596" i="13"/>
  <c r="J597" i="13"/>
  <c r="J598" i="13"/>
  <c r="J599" i="13"/>
  <c r="J600" i="13"/>
  <c r="J601" i="13"/>
  <c r="J602" i="13"/>
  <c r="J603" i="13"/>
  <c r="J604" i="13"/>
  <c r="J605" i="13"/>
  <c r="J606" i="13"/>
  <c r="J607" i="13"/>
  <c r="J608" i="13"/>
  <c r="J609" i="13"/>
  <c r="J610" i="13"/>
  <c r="J611" i="13"/>
  <c r="J612" i="13"/>
  <c r="J613" i="13"/>
  <c r="J614" i="13"/>
  <c r="J615" i="13"/>
  <c r="J616" i="13"/>
  <c r="J617" i="13"/>
  <c r="J618" i="13"/>
  <c r="J619" i="13"/>
  <c r="J620" i="13"/>
  <c r="J621" i="13"/>
  <c r="J622" i="13"/>
  <c r="J623" i="13"/>
  <c r="J624" i="13"/>
  <c r="J625" i="13"/>
  <c r="J626" i="13"/>
  <c r="J627" i="13"/>
  <c r="J628" i="13"/>
  <c r="J629" i="13"/>
  <c r="J630" i="13"/>
  <c r="J631" i="13"/>
  <c r="J632" i="13"/>
  <c r="J633" i="13"/>
  <c r="J634" i="13"/>
  <c r="J635" i="13"/>
  <c r="J636" i="13"/>
  <c r="J637" i="13"/>
  <c r="J638" i="13"/>
  <c r="J639" i="13"/>
  <c r="J640" i="13"/>
  <c r="J641" i="13"/>
  <c r="J642" i="13"/>
  <c r="J643" i="13"/>
  <c r="J644" i="13"/>
  <c r="J645" i="13"/>
  <c r="J646" i="13"/>
  <c r="J647" i="13"/>
  <c r="J648" i="13"/>
  <c r="J649" i="13"/>
  <c r="J650" i="13"/>
  <c r="J651" i="13"/>
  <c r="J652" i="13"/>
  <c r="J653" i="13"/>
  <c r="J654" i="13"/>
  <c r="J655" i="13"/>
  <c r="J656" i="13"/>
  <c r="J657" i="13"/>
  <c r="J658" i="13"/>
  <c r="J659" i="13"/>
  <c r="J660" i="13"/>
  <c r="J661" i="13"/>
  <c r="J662" i="13"/>
  <c r="J663" i="13"/>
  <c r="J664" i="13"/>
  <c r="J665" i="13"/>
  <c r="J666" i="13"/>
  <c r="J667" i="13"/>
  <c r="J668" i="13"/>
  <c r="J669" i="13"/>
  <c r="J670" i="13"/>
  <c r="J671" i="13"/>
  <c r="J672" i="13"/>
  <c r="J673" i="13"/>
  <c r="J674" i="13"/>
  <c r="J675" i="13"/>
  <c r="J676" i="13"/>
  <c r="J677" i="13"/>
  <c r="J678" i="13"/>
  <c r="J679" i="13"/>
  <c r="J680" i="13"/>
  <c r="J681" i="13"/>
  <c r="J682" i="13"/>
  <c r="J683" i="13"/>
  <c r="J684" i="13"/>
  <c r="J685" i="13"/>
  <c r="J686" i="13"/>
  <c r="J687" i="13"/>
  <c r="J688" i="13"/>
  <c r="J689" i="13"/>
  <c r="J690" i="13"/>
  <c r="J691" i="13"/>
  <c r="J692" i="13"/>
  <c r="J693" i="13"/>
  <c r="J694" i="13"/>
  <c r="J695" i="13"/>
  <c r="J696" i="13"/>
  <c r="J697" i="13"/>
  <c r="J698" i="13"/>
  <c r="J699" i="13"/>
  <c r="J700" i="13"/>
  <c r="J701" i="13"/>
  <c r="J702" i="13"/>
  <c r="J703" i="13"/>
  <c r="J704" i="13"/>
  <c r="J705" i="13"/>
  <c r="J706" i="13"/>
  <c r="J707" i="13"/>
  <c r="J708" i="13"/>
  <c r="J709" i="13"/>
  <c r="J710" i="13"/>
  <c r="J711" i="13"/>
  <c r="J712" i="13"/>
  <c r="J713" i="13"/>
  <c r="J714" i="13"/>
  <c r="J715" i="13"/>
  <c r="J716" i="13"/>
  <c r="J717" i="13"/>
  <c r="J718" i="13"/>
  <c r="J719" i="13"/>
  <c r="J720" i="13"/>
  <c r="J721" i="13"/>
  <c r="J722" i="13"/>
  <c r="J723" i="13"/>
  <c r="J724" i="13"/>
  <c r="J725" i="13"/>
  <c r="J726" i="13"/>
  <c r="J727" i="13"/>
  <c r="J728" i="13"/>
  <c r="J729" i="13"/>
  <c r="J730" i="13"/>
  <c r="J731" i="13"/>
  <c r="J732" i="13"/>
  <c r="J733" i="13"/>
  <c r="J734" i="13"/>
  <c r="J735" i="13"/>
  <c r="J736" i="13"/>
  <c r="J737" i="13"/>
  <c r="J738" i="13"/>
  <c r="J739" i="13"/>
  <c r="J740" i="13"/>
  <c r="J741" i="13"/>
  <c r="J742" i="13"/>
  <c r="J743" i="13"/>
  <c r="J744" i="13"/>
  <c r="J745" i="13"/>
  <c r="J746" i="13"/>
  <c r="J747" i="13"/>
  <c r="J748" i="13"/>
  <c r="J749" i="13"/>
  <c r="J750" i="13"/>
  <c r="J751" i="13"/>
  <c r="J752" i="13"/>
  <c r="J753" i="13"/>
  <c r="J754" i="13"/>
  <c r="J755" i="13"/>
  <c r="J756" i="13"/>
  <c r="J757" i="13"/>
  <c r="J758" i="13"/>
  <c r="J759" i="13"/>
  <c r="J760" i="13"/>
  <c r="J761" i="13"/>
  <c r="J762" i="13"/>
  <c r="J763" i="13"/>
  <c r="J764" i="13"/>
  <c r="J765" i="13"/>
  <c r="J766" i="13"/>
  <c r="J767" i="13"/>
  <c r="J768" i="13"/>
  <c r="J769" i="13"/>
  <c r="J770" i="13"/>
  <c r="J771" i="13"/>
  <c r="J772" i="13"/>
  <c r="J773" i="13"/>
  <c r="J774" i="13"/>
  <c r="J775" i="13"/>
  <c r="J776" i="13"/>
  <c r="J777" i="13"/>
  <c r="J778" i="13"/>
  <c r="J779" i="13"/>
  <c r="J780" i="13"/>
  <c r="J781" i="13"/>
  <c r="J782" i="13"/>
  <c r="J783" i="13"/>
  <c r="J784" i="13"/>
  <c r="J785" i="13"/>
  <c r="J786" i="13"/>
  <c r="J787" i="13"/>
  <c r="J788" i="13"/>
  <c r="J789" i="13"/>
  <c r="J790" i="13"/>
  <c r="J791" i="13"/>
  <c r="J792" i="13"/>
  <c r="J793" i="13"/>
  <c r="J794" i="13"/>
  <c r="J795" i="13"/>
  <c r="J796" i="13"/>
  <c r="J797" i="13"/>
  <c r="J798" i="13"/>
  <c r="J799" i="13"/>
  <c r="J800" i="13"/>
  <c r="J801" i="13"/>
  <c r="J802" i="13"/>
  <c r="J803" i="13"/>
  <c r="J804" i="13"/>
  <c r="J805" i="13"/>
  <c r="J806" i="13"/>
  <c r="J807" i="13"/>
  <c r="J808" i="13"/>
  <c r="J809" i="13"/>
  <c r="J810" i="13"/>
  <c r="J811" i="13"/>
  <c r="J812" i="13"/>
  <c r="J813" i="13"/>
  <c r="J814" i="13"/>
  <c r="J815" i="13"/>
  <c r="J816" i="13"/>
  <c r="J817" i="13"/>
  <c r="J818" i="13"/>
  <c r="J819" i="13"/>
  <c r="J820" i="13"/>
  <c r="J821" i="13"/>
  <c r="J822" i="13"/>
  <c r="J823" i="13"/>
  <c r="J824" i="13"/>
  <c r="J825" i="13"/>
  <c r="J826" i="13"/>
  <c r="J827" i="13"/>
  <c r="J828" i="13"/>
  <c r="J829" i="13"/>
  <c r="J830" i="13"/>
  <c r="J831" i="13"/>
  <c r="J832" i="13"/>
  <c r="J833" i="13"/>
  <c r="J834" i="13"/>
  <c r="J835" i="13"/>
  <c r="J836" i="13"/>
  <c r="J837" i="13"/>
  <c r="J838" i="13"/>
  <c r="J839" i="13"/>
  <c r="J840" i="13"/>
  <c r="J841" i="13"/>
  <c r="J842" i="13"/>
  <c r="J843" i="13"/>
  <c r="J844" i="13"/>
  <c r="J845" i="13"/>
  <c r="J846" i="13"/>
  <c r="J847" i="13"/>
  <c r="J848" i="13"/>
  <c r="J849" i="13"/>
  <c r="J850" i="13"/>
  <c r="J851" i="13"/>
  <c r="J852" i="13"/>
  <c r="J853" i="13"/>
  <c r="J854" i="13"/>
  <c r="J855" i="13"/>
  <c r="J856" i="13"/>
  <c r="J857" i="13"/>
  <c r="J858" i="13"/>
  <c r="J859" i="13"/>
  <c r="J860" i="13"/>
  <c r="J861" i="13"/>
  <c r="J862" i="13"/>
  <c r="J863" i="13"/>
  <c r="J864" i="13"/>
  <c r="J865" i="13"/>
  <c r="J866" i="13"/>
  <c r="J867" i="13"/>
  <c r="J868" i="13"/>
  <c r="J869" i="13"/>
  <c r="J870" i="13"/>
  <c r="J871" i="13"/>
  <c r="J872" i="13"/>
  <c r="J873" i="13"/>
  <c r="J874" i="13"/>
  <c r="J875" i="13"/>
  <c r="J876" i="13"/>
  <c r="J877" i="13"/>
  <c r="J878" i="13"/>
  <c r="J879" i="13"/>
  <c r="J880" i="13"/>
  <c r="J881" i="13"/>
  <c r="J882" i="13"/>
  <c r="J883" i="13"/>
  <c r="J884" i="13"/>
  <c r="J885" i="13"/>
  <c r="J886" i="13"/>
  <c r="J887" i="13"/>
  <c r="J888" i="13"/>
  <c r="J889" i="13"/>
  <c r="J890" i="13"/>
  <c r="J891" i="13"/>
  <c r="J892" i="13"/>
  <c r="J893" i="13"/>
  <c r="J894" i="13"/>
  <c r="J895" i="13"/>
  <c r="J896" i="13"/>
  <c r="J897" i="13"/>
  <c r="J898" i="13"/>
  <c r="J899" i="13"/>
  <c r="J900" i="13"/>
  <c r="J901" i="13"/>
  <c r="J902" i="13"/>
  <c r="J903" i="13"/>
  <c r="J904" i="13"/>
  <c r="J905" i="13"/>
  <c r="J906" i="13"/>
  <c r="J907" i="13"/>
  <c r="J908" i="13"/>
  <c r="J909" i="13"/>
  <c r="J910" i="13"/>
  <c r="J911" i="13"/>
  <c r="J912" i="13"/>
  <c r="J913" i="13"/>
  <c r="J914" i="13"/>
  <c r="J915" i="13"/>
  <c r="J916" i="13"/>
  <c r="J917" i="13"/>
  <c r="J918" i="13"/>
  <c r="J919" i="13"/>
  <c r="J920" i="13"/>
  <c r="J921" i="13"/>
  <c r="J922" i="13"/>
  <c r="J923" i="13"/>
  <c r="J924" i="13"/>
  <c r="J925" i="13"/>
  <c r="J926" i="13"/>
  <c r="J927" i="13"/>
  <c r="J928" i="13"/>
  <c r="J929" i="13"/>
  <c r="J930" i="13"/>
  <c r="J931" i="13"/>
  <c r="J932" i="13"/>
  <c r="J933" i="13"/>
  <c r="J934" i="13"/>
  <c r="J935" i="13"/>
  <c r="J936" i="13"/>
  <c r="J937" i="13"/>
  <c r="J938" i="13"/>
  <c r="J939" i="13"/>
  <c r="J940" i="13"/>
  <c r="J941" i="13"/>
  <c r="J942" i="13"/>
  <c r="J943" i="13"/>
  <c r="J944" i="13"/>
  <c r="J945" i="13"/>
  <c r="J946" i="13"/>
  <c r="J947" i="13"/>
  <c r="J948" i="13"/>
  <c r="J949" i="13"/>
  <c r="J950" i="13"/>
  <c r="J951" i="13"/>
  <c r="J952" i="13"/>
  <c r="J953" i="13"/>
  <c r="J954" i="13"/>
  <c r="J955" i="13"/>
  <c r="J956" i="13"/>
  <c r="J957" i="13"/>
  <c r="J958" i="13"/>
  <c r="J959" i="13"/>
  <c r="J960" i="13"/>
  <c r="J961" i="13"/>
  <c r="J962" i="13"/>
  <c r="J963" i="13"/>
  <c r="J964" i="13"/>
  <c r="J965" i="13"/>
  <c r="J966" i="13"/>
  <c r="J967" i="13"/>
  <c r="J968" i="13"/>
  <c r="J969" i="13"/>
  <c r="J970" i="13"/>
  <c r="J971" i="13"/>
  <c r="J972" i="13"/>
  <c r="J973" i="13"/>
  <c r="J974" i="13"/>
  <c r="J975" i="13"/>
  <c r="J976" i="13"/>
  <c r="J977" i="13"/>
  <c r="J978" i="13"/>
  <c r="J979" i="13"/>
  <c r="J980" i="13"/>
  <c r="J981" i="13"/>
  <c r="J982" i="13"/>
  <c r="J983" i="13"/>
  <c r="J984" i="13"/>
  <c r="J985" i="13"/>
  <c r="J986" i="13"/>
  <c r="J987" i="13"/>
  <c r="J988" i="13"/>
  <c r="J989" i="13"/>
  <c r="J990" i="13"/>
  <c r="J991" i="13"/>
  <c r="J992" i="13"/>
  <c r="J993" i="13"/>
  <c r="J994" i="13"/>
  <c r="J995" i="13"/>
  <c r="J996" i="13"/>
  <c r="J997" i="13"/>
  <c r="J998" i="13"/>
  <c r="J999" i="13"/>
  <c r="J1000" i="13"/>
  <c r="J1001" i="13"/>
  <c r="J1002" i="13"/>
  <c r="J1003" i="13"/>
  <c r="J1004" i="13"/>
  <c r="J1005" i="13"/>
  <c r="J1006" i="13"/>
  <c r="J1007" i="13"/>
  <c r="J1008" i="13"/>
  <c r="J1009" i="13"/>
  <c r="J1010" i="13"/>
  <c r="J1011" i="13"/>
  <c r="J1012" i="13"/>
  <c r="J1013" i="13"/>
  <c r="J1014" i="13"/>
  <c r="J1015" i="13"/>
  <c r="J1016" i="13"/>
  <c r="J1017" i="13"/>
  <c r="J1018" i="13"/>
  <c r="J1019" i="13"/>
  <c r="J1020" i="13"/>
  <c r="J1021" i="13"/>
  <c r="J1022" i="13"/>
  <c r="J1023" i="13"/>
  <c r="J1024" i="13"/>
  <c r="J1025" i="13"/>
  <c r="J1026" i="13"/>
  <c r="J1027" i="13"/>
  <c r="J1028" i="13"/>
  <c r="J1029" i="13"/>
  <c r="J1030" i="13"/>
  <c r="J1031" i="13"/>
  <c r="J1032" i="13"/>
  <c r="J1033" i="13"/>
  <c r="J1034" i="13"/>
  <c r="J1035" i="13"/>
  <c r="J1036" i="13"/>
  <c r="J1037" i="13"/>
  <c r="J1038" i="13"/>
  <c r="J1039" i="13"/>
  <c r="J1040" i="13"/>
  <c r="J1041" i="13"/>
  <c r="J1042" i="13"/>
  <c r="J1043" i="13"/>
  <c r="J1044" i="13"/>
  <c r="J1045" i="13"/>
  <c r="J1046" i="13"/>
  <c r="J1047" i="13"/>
  <c r="J1048" i="13"/>
  <c r="J1049" i="13"/>
  <c r="J1050" i="13"/>
  <c r="J1051" i="13"/>
  <c r="J1052" i="13"/>
  <c r="J1053" i="13"/>
  <c r="J1054" i="13"/>
  <c r="J1055" i="13"/>
  <c r="J1056" i="13"/>
  <c r="J1057" i="13"/>
  <c r="J1058" i="13"/>
  <c r="J1059" i="13"/>
  <c r="J1060" i="13"/>
  <c r="J1061" i="13"/>
  <c r="J1062" i="13"/>
  <c r="J1063" i="13"/>
  <c r="J1064" i="13"/>
  <c r="J1065" i="13"/>
  <c r="J1066" i="13"/>
  <c r="J1067" i="13"/>
  <c r="J1068" i="13"/>
  <c r="J1069" i="13"/>
  <c r="J1070" i="13"/>
  <c r="J1071" i="13"/>
  <c r="J1072" i="13"/>
  <c r="J1073" i="13"/>
  <c r="J1074" i="13"/>
  <c r="J1075" i="13"/>
  <c r="J1076" i="13"/>
  <c r="J1077" i="13"/>
  <c r="J1078" i="13"/>
  <c r="J1079" i="13"/>
  <c r="J1080" i="13"/>
  <c r="J1081" i="13"/>
  <c r="J1082" i="13"/>
  <c r="J1083" i="13"/>
  <c r="J1084" i="13"/>
  <c r="J1085" i="13"/>
  <c r="J1086" i="13"/>
  <c r="J1087" i="13"/>
  <c r="J1088" i="13"/>
  <c r="J1089" i="13"/>
  <c r="J1090" i="13"/>
  <c r="J1091" i="13"/>
  <c r="J1092" i="13"/>
  <c r="J1093" i="13"/>
  <c r="J1094" i="13"/>
  <c r="J1095" i="13"/>
  <c r="J1096" i="13"/>
  <c r="J1097" i="13"/>
  <c r="J1098" i="13"/>
  <c r="J1099" i="13"/>
  <c r="J1100" i="13"/>
  <c r="J1101" i="13"/>
  <c r="J1102" i="13"/>
  <c r="J1103" i="13"/>
  <c r="J1104" i="13"/>
  <c r="J1105" i="13"/>
  <c r="J1106" i="13"/>
  <c r="J1107" i="13"/>
  <c r="J1108" i="13"/>
  <c r="J1109" i="13"/>
  <c r="J313" i="13"/>
  <c r="J314" i="13"/>
  <c r="J315" i="13"/>
  <c r="J316" i="13"/>
  <c r="J317" i="13"/>
  <c r="J318" i="13"/>
  <c r="J319" i="13"/>
  <c r="J320" i="13"/>
  <c r="J321" i="13"/>
  <c r="L1109" i="13"/>
  <c r="L1108" i="13"/>
  <c r="L1107" i="13"/>
  <c r="L1106" i="13"/>
  <c r="L1105" i="13"/>
  <c r="L1104" i="13"/>
  <c r="L1103" i="13"/>
  <c r="L1102" i="13"/>
  <c r="L1101" i="13"/>
  <c r="L1100" i="13"/>
  <c r="L1099" i="13"/>
  <c r="L1098" i="13"/>
  <c r="L1097" i="13"/>
  <c r="L1096" i="13"/>
  <c r="L1095" i="13"/>
  <c r="L1094" i="13"/>
  <c r="L1093" i="13"/>
  <c r="L1092" i="13"/>
  <c r="L1091" i="13"/>
  <c r="L1090" i="13"/>
  <c r="L1089" i="13"/>
  <c r="L1088" i="13"/>
  <c r="L1087" i="13"/>
  <c r="L1086" i="13"/>
  <c r="L1085" i="13"/>
  <c r="L1084" i="13"/>
  <c r="L1083" i="13"/>
  <c r="L1082" i="13"/>
  <c r="L1081" i="13"/>
  <c r="L1080" i="13"/>
  <c r="L1079" i="13"/>
  <c r="L1078" i="13"/>
  <c r="L1077" i="13"/>
  <c r="L1076" i="13"/>
  <c r="L1075" i="13"/>
  <c r="L1074" i="13"/>
  <c r="L1073" i="13"/>
  <c r="L1072" i="13"/>
  <c r="L1071" i="13"/>
  <c r="L1070" i="13"/>
  <c r="L1069" i="13"/>
  <c r="L1068" i="13"/>
  <c r="L1067" i="13"/>
  <c r="L1066" i="13"/>
  <c r="L1065" i="13"/>
  <c r="L1064" i="13"/>
  <c r="L1063" i="13"/>
  <c r="L1062" i="13"/>
  <c r="L1061" i="13"/>
  <c r="L1060" i="13"/>
  <c r="L1059" i="13"/>
  <c r="L1058" i="13"/>
  <c r="L1057" i="13"/>
  <c r="L1056" i="13"/>
  <c r="L1055" i="13"/>
  <c r="L1054" i="13"/>
  <c r="L1053" i="13"/>
  <c r="L1052" i="13"/>
  <c r="L1051" i="13"/>
  <c r="L1050" i="13"/>
  <c r="L1049" i="13"/>
  <c r="L1048" i="13"/>
  <c r="L1047" i="13"/>
  <c r="L1046" i="13"/>
  <c r="L1045" i="13"/>
  <c r="L1044" i="13"/>
  <c r="L1043" i="13"/>
  <c r="L1042" i="13"/>
  <c r="L1041" i="13"/>
  <c r="L1040" i="13"/>
  <c r="L1039" i="13"/>
  <c r="L1038" i="13"/>
  <c r="L1037" i="13"/>
  <c r="L1036" i="13"/>
  <c r="L1035" i="13"/>
  <c r="L1034" i="13"/>
  <c r="L1033" i="13"/>
  <c r="L1032" i="13"/>
  <c r="L1031" i="13"/>
  <c r="L1030" i="13"/>
  <c r="L1029" i="13"/>
  <c r="L1028" i="13"/>
  <c r="L1027" i="13"/>
  <c r="L1026" i="13"/>
  <c r="L1025" i="13"/>
  <c r="L1024" i="13"/>
  <c r="L1023" i="13"/>
  <c r="L1022" i="13"/>
  <c r="L1021" i="13"/>
  <c r="L1020" i="13"/>
  <c r="L1019" i="13"/>
  <c r="L1018" i="13"/>
  <c r="L1017" i="13"/>
  <c r="L1016" i="13"/>
  <c r="L1015" i="13"/>
  <c r="L1014" i="13"/>
  <c r="L1013" i="13"/>
  <c r="L1012" i="13"/>
  <c r="L1011" i="13"/>
  <c r="L1010" i="13"/>
  <c r="L1009" i="13"/>
  <c r="L1008" i="13"/>
  <c r="L1007" i="13"/>
  <c r="L1006" i="13"/>
  <c r="L1005" i="13"/>
  <c r="L1004" i="13"/>
  <c r="L1003" i="13"/>
  <c r="L1002" i="13"/>
  <c r="L1001" i="13"/>
  <c r="L1000" i="13"/>
  <c r="L999" i="13"/>
  <c r="L998" i="13"/>
  <c r="L997" i="13"/>
  <c r="L996" i="13"/>
  <c r="L995" i="13"/>
  <c r="L994" i="13"/>
  <c r="L993" i="13"/>
  <c r="L992" i="13"/>
  <c r="L991" i="13"/>
  <c r="L990" i="13"/>
  <c r="L989" i="13"/>
  <c r="L988" i="13"/>
  <c r="L987" i="13"/>
  <c r="L986" i="13"/>
  <c r="L985" i="13"/>
  <c r="L984" i="13"/>
  <c r="L983" i="13"/>
  <c r="L982" i="13"/>
  <c r="L981" i="13"/>
  <c r="L980" i="13"/>
  <c r="L979" i="13"/>
  <c r="L978" i="13"/>
  <c r="L977" i="13"/>
  <c r="L976" i="13"/>
  <c r="L975" i="13"/>
  <c r="L974" i="13"/>
  <c r="L973" i="13"/>
  <c r="L972" i="13"/>
  <c r="L971" i="13"/>
  <c r="L970" i="13"/>
  <c r="L969" i="13"/>
  <c r="L968" i="13"/>
  <c r="L967" i="13"/>
  <c r="L966" i="13"/>
  <c r="L965" i="13"/>
  <c r="L964" i="13"/>
  <c r="L963" i="13"/>
  <c r="L962" i="13"/>
  <c r="L961" i="13"/>
  <c r="L960" i="13"/>
  <c r="L959" i="13"/>
  <c r="L958" i="13"/>
  <c r="L957" i="13"/>
  <c r="L956" i="13"/>
  <c r="L955" i="13"/>
  <c r="L954" i="13"/>
  <c r="L953" i="13"/>
  <c r="L952" i="13"/>
  <c r="L951" i="13"/>
  <c r="L950" i="13"/>
  <c r="L949" i="13"/>
  <c r="L948" i="13"/>
  <c r="L947" i="13"/>
  <c r="L946" i="13"/>
  <c r="L945" i="13"/>
  <c r="L944" i="13"/>
  <c r="L943" i="13"/>
  <c r="L942" i="13"/>
  <c r="L941" i="13"/>
  <c r="L940" i="13"/>
  <c r="L939" i="13"/>
  <c r="L938" i="13"/>
  <c r="L937" i="13"/>
  <c r="L936" i="13"/>
  <c r="L935" i="13"/>
  <c r="L934" i="13"/>
  <c r="L933" i="13"/>
  <c r="L932" i="13"/>
  <c r="L931" i="13"/>
  <c r="L930" i="13"/>
  <c r="L929" i="13"/>
  <c r="L928" i="13"/>
  <c r="L927" i="13"/>
  <c r="L926" i="13"/>
  <c r="L925" i="13"/>
  <c r="L924" i="13"/>
  <c r="L923" i="13"/>
  <c r="L922" i="13"/>
  <c r="L921" i="13"/>
  <c r="L920" i="13"/>
  <c r="L919" i="13"/>
  <c r="L918" i="13"/>
  <c r="L917" i="13"/>
  <c r="L916" i="13"/>
  <c r="L915" i="13"/>
  <c r="L914" i="13"/>
  <c r="L913" i="13"/>
  <c r="L912" i="13"/>
  <c r="L911" i="13"/>
  <c r="L910" i="13"/>
  <c r="L909" i="13"/>
  <c r="L908" i="13"/>
  <c r="L907" i="13"/>
  <c r="L906" i="13"/>
  <c r="L905" i="13"/>
  <c r="L904" i="13"/>
  <c r="L903" i="13"/>
  <c r="L902" i="13"/>
  <c r="L901" i="13"/>
  <c r="L900" i="13"/>
  <c r="L899" i="13"/>
  <c r="L898" i="13"/>
  <c r="L897" i="13"/>
  <c r="L896" i="13"/>
  <c r="L895" i="13"/>
  <c r="L894" i="13"/>
  <c r="L893" i="13"/>
  <c r="L892" i="13"/>
  <c r="L891" i="13"/>
  <c r="L890" i="13"/>
  <c r="L889" i="13"/>
  <c r="L888" i="13"/>
  <c r="L887" i="13"/>
  <c r="L886" i="13"/>
  <c r="L885" i="13"/>
  <c r="L884" i="13"/>
  <c r="L883" i="13"/>
  <c r="L882" i="13"/>
  <c r="L881" i="13"/>
  <c r="L880" i="13"/>
  <c r="L879" i="13"/>
  <c r="L878" i="13"/>
  <c r="L877" i="13"/>
  <c r="L876" i="13"/>
  <c r="L875" i="13"/>
  <c r="L874" i="13"/>
  <c r="L873" i="13"/>
  <c r="L872" i="13"/>
  <c r="L871" i="13"/>
  <c r="L870" i="13"/>
  <c r="L869" i="13"/>
  <c r="L868" i="13"/>
  <c r="L867" i="13"/>
  <c r="L866" i="13"/>
  <c r="L865" i="13"/>
  <c r="L864" i="13"/>
  <c r="L863" i="13"/>
  <c r="L862" i="13"/>
  <c r="L861" i="13"/>
  <c r="L860" i="13"/>
  <c r="L859" i="13"/>
  <c r="L858" i="13"/>
  <c r="L857" i="13"/>
  <c r="L856" i="13"/>
  <c r="L855" i="13"/>
  <c r="L854" i="13"/>
  <c r="L853" i="13"/>
  <c r="L852" i="13"/>
  <c r="L851" i="13"/>
  <c r="L850" i="13"/>
  <c r="L849" i="13"/>
  <c r="L848" i="13"/>
  <c r="L847" i="13"/>
  <c r="L846" i="13"/>
  <c r="L845" i="13"/>
  <c r="L844" i="13"/>
  <c r="L843" i="13"/>
  <c r="L842" i="13"/>
  <c r="L841" i="13"/>
  <c r="L840" i="13"/>
  <c r="L839" i="13"/>
  <c r="L838" i="13"/>
  <c r="L837" i="13"/>
  <c r="L836" i="13"/>
  <c r="L835" i="13"/>
  <c r="L834" i="13"/>
  <c r="L833" i="13"/>
  <c r="L832" i="13"/>
  <c r="L831" i="13"/>
  <c r="L830" i="13"/>
  <c r="L829" i="13"/>
  <c r="L828" i="13"/>
  <c r="L827" i="13"/>
  <c r="L826" i="13"/>
  <c r="L825" i="13"/>
  <c r="L824" i="13"/>
  <c r="L823" i="13"/>
  <c r="L822" i="13"/>
  <c r="L821" i="13"/>
  <c r="L820" i="13"/>
  <c r="L819" i="13"/>
  <c r="L818" i="13"/>
  <c r="L817" i="13"/>
  <c r="L816" i="13"/>
  <c r="L815" i="13"/>
  <c r="L814" i="13"/>
  <c r="L813" i="13"/>
  <c r="L812" i="13"/>
  <c r="L811" i="13"/>
  <c r="L810" i="13"/>
  <c r="L809" i="13"/>
  <c r="L808" i="13"/>
  <c r="L807" i="13"/>
  <c r="L806" i="13"/>
  <c r="L805" i="13"/>
  <c r="L804" i="13"/>
  <c r="L803" i="13"/>
  <c r="L802" i="13"/>
  <c r="L801" i="13"/>
  <c r="L800" i="13"/>
  <c r="L799" i="13"/>
  <c r="L798" i="13"/>
  <c r="L797" i="13"/>
  <c r="L796" i="13"/>
  <c r="L795" i="13"/>
  <c r="L794" i="13"/>
  <c r="L793" i="13"/>
  <c r="L792" i="13"/>
  <c r="L791" i="13"/>
  <c r="L790" i="13"/>
  <c r="L789" i="13"/>
  <c r="L788" i="13"/>
  <c r="L787" i="13"/>
  <c r="L786" i="13"/>
  <c r="L785" i="13"/>
  <c r="L784" i="13"/>
  <c r="L783" i="13"/>
  <c r="L782" i="13"/>
  <c r="L781" i="13"/>
  <c r="L780" i="13"/>
  <c r="L779" i="13"/>
  <c r="L778" i="13"/>
  <c r="L777" i="13"/>
  <c r="L776" i="13"/>
  <c r="L775" i="13"/>
  <c r="L774" i="13"/>
  <c r="L773" i="13"/>
  <c r="L772" i="13"/>
  <c r="L771" i="13"/>
  <c r="L770" i="13"/>
  <c r="L769" i="13"/>
  <c r="L768" i="13"/>
  <c r="L767" i="13"/>
  <c r="L766" i="13"/>
  <c r="L765" i="13"/>
  <c r="L764" i="13"/>
  <c r="L763" i="13"/>
  <c r="L762" i="13"/>
  <c r="L761" i="13"/>
  <c r="L760" i="13"/>
  <c r="L759" i="13"/>
  <c r="L758" i="13"/>
  <c r="L757" i="13"/>
  <c r="L756" i="13"/>
  <c r="L755" i="13"/>
  <c r="L754" i="13"/>
  <c r="L753" i="13"/>
  <c r="L752" i="13"/>
  <c r="L751" i="13"/>
  <c r="L750" i="13"/>
  <c r="L749" i="13"/>
  <c r="L748" i="13"/>
  <c r="L747" i="13"/>
  <c r="L746" i="13"/>
  <c r="L745" i="13"/>
  <c r="L744" i="13"/>
  <c r="L743" i="13"/>
  <c r="L742" i="13"/>
  <c r="L741" i="13"/>
  <c r="L740" i="13"/>
  <c r="L739" i="13"/>
  <c r="L738" i="13"/>
  <c r="L737" i="13"/>
  <c r="L736" i="13"/>
  <c r="L735" i="13"/>
  <c r="L734" i="13"/>
  <c r="L733" i="13"/>
  <c r="L732" i="13"/>
  <c r="L731" i="13"/>
  <c r="L730" i="13"/>
  <c r="L729" i="13"/>
  <c r="L728" i="13"/>
  <c r="L727" i="13"/>
  <c r="L726" i="13"/>
  <c r="L725" i="13"/>
  <c r="L724" i="13"/>
  <c r="L723" i="13"/>
  <c r="L722" i="13"/>
  <c r="L721" i="13"/>
  <c r="L720" i="13"/>
  <c r="L719" i="13"/>
  <c r="L718" i="13"/>
  <c r="L717" i="13"/>
  <c r="L716" i="13"/>
  <c r="L715" i="13"/>
  <c r="L714" i="13"/>
  <c r="L713" i="13"/>
  <c r="L712" i="13"/>
  <c r="L711" i="13"/>
  <c r="L710" i="13"/>
  <c r="L709" i="13"/>
  <c r="L708" i="13"/>
  <c r="L707" i="13"/>
  <c r="L706" i="13"/>
  <c r="L705" i="13"/>
  <c r="L704" i="13"/>
  <c r="L703" i="13"/>
  <c r="L702" i="13"/>
  <c r="L701" i="13"/>
  <c r="L700" i="13"/>
  <c r="L699" i="13"/>
  <c r="L698" i="13"/>
  <c r="L697" i="13"/>
  <c r="L696" i="13"/>
  <c r="L695" i="13"/>
  <c r="L694" i="13"/>
  <c r="L693" i="13"/>
  <c r="L692" i="13"/>
  <c r="L691" i="13"/>
  <c r="L690" i="13"/>
  <c r="L689" i="13"/>
  <c r="L688" i="13"/>
  <c r="L687" i="13"/>
  <c r="L686" i="13"/>
  <c r="L685" i="13"/>
  <c r="L684" i="13"/>
  <c r="L683" i="13"/>
  <c r="L682" i="13"/>
  <c r="L681" i="13"/>
  <c r="L680" i="13"/>
  <c r="L679" i="13"/>
  <c r="L678" i="13"/>
  <c r="L677" i="13"/>
  <c r="L676" i="13"/>
  <c r="L675" i="13"/>
  <c r="L674" i="13"/>
  <c r="L673" i="13"/>
  <c r="L672" i="13"/>
  <c r="L671" i="13"/>
  <c r="L670" i="13"/>
  <c r="L669" i="13"/>
  <c r="L668" i="13"/>
  <c r="L667" i="13"/>
  <c r="L666" i="13"/>
  <c r="L665" i="13"/>
  <c r="L664" i="13"/>
  <c r="L663" i="13"/>
  <c r="L662" i="13"/>
  <c r="L661" i="13"/>
  <c r="L660" i="13"/>
  <c r="L659" i="13"/>
  <c r="L658" i="13"/>
  <c r="L657" i="13"/>
  <c r="L656" i="13"/>
  <c r="L655" i="13"/>
  <c r="L654" i="13"/>
  <c r="L653" i="13"/>
  <c r="L652" i="13"/>
  <c r="L651" i="13"/>
  <c r="L650" i="13"/>
  <c r="L649" i="13"/>
  <c r="L648" i="13"/>
  <c r="L647" i="13"/>
  <c r="L646" i="13"/>
  <c r="L645" i="13"/>
  <c r="L644" i="13"/>
  <c r="L643" i="13"/>
  <c r="L642" i="13"/>
  <c r="L641" i="13"/>
  <c r="L640" i="13"/>
  <c r="L639" i="13"/>
  <c r="L638" i="13"/>
  <c r="L637" i="13"/>
  <c r="L636" i="13"/>
  <c r="L635" i="13"/>
  <c r="L634" i="13"/>
  <c r="L633" i="13"/>
  <c r="L632" i="13"/>
  <c r="L631" i="13"/>
  <c r="L630" i="13"/>
  <c r="L629" i="13"/>
  <c r="L628" i="13"/>
  <c r="L627" i="13"/>
  <c r="L626" i="13"/>
  <c r="L625" i="13"/>
  <c r="L624" i="13"/>
  <c r="L623" i="13"/>
  <c r="L622" i="13"/>
  <c r="L621" i="13"/>
  <c r="L620" i="13"/>
  <c r="L619" i="13"/>
  <c r="L618" i="13"/>
  <c r="L617" i="13"/>
  <c r="L616" i="13"/>
  <c r="L615" i="13"/>
  <c r="L614" i="13"/>
  <c r="L613" i="13"/>
  <c r="L612" i="13"/>
  <c r="L611" i="13"/>
  <c r="L610" i="13"/>
  <c r="L609" i="13"/>
  <c r="L608" i="13"/>
  <c r="L607" i="13"/>
  <c r="L606" i="13"/>
  <c r="L605" i="13"/>
  <c r="L604" i="13"/>
  <c r="L603" i="13"/>
  <c r="L602" i="13"/>
  <c r="L601" i="13"/>
  <c r="L600" i="13"/>
  <c r="L599" i="13"/>
  <c r="L598" i="13"/>
  <c r="L597" i="13"/>
  <c r="L596" i="13"/>
  <c r="L595" i="13"/>
  <c r="L594" i="13"/>
  <c r="L593" i="13"/>
  <c r="L592" i="13"/>
  <c r="L591" i="13"/>
  <c r="L590" i="13"/>
  <c r="L589" i="13"/>
  <c r="L588" i="13"/>
  <c r="L587" i="13"/>
  <c r="L586" i="13"/>
  <c r="L585" i="13"/>
  <c r="L584" i="13"/>
  <c r="L583" i="13"/>
  <c r="L582" i="13"/>
  <c r="L581" i="13"/>
  <c r="L580" i="13"/>
  <c r="L579" i="13"/>
  <c r="L578" i="13"/>
  <c r="L577" i="13"/>
  <c r="L576" i="13"/>
  <c r="L575" i="13"/>
  <c r="L574" i="13"/>
  <c r="L573" i="13"/>
  <c r="L572" i="13"/>
  <c r="L571" i="13"/>
  <c r="L570" i="13"/>
  <c r="L569" i="13"/>
  <c r="L568" i="13"/>
  <c r="L567" i="13"/>
  <c r="L566" i="13"/>
  <c r="L565" i="13"/>
  <c r="L564" i="13"/>
  <c r="L563" i="13"/>
  <c r="L562" i="13"/>
  <c r="L561" i="13"/>
  <c r="L560" i="13"/>
  <c r="L559" i="13"/>
  <c r="L558" i="13"/>
  <c r="L557" i="13"/>
  <c r="L556" i="13"/>
  <c r="L555" i="13"/>
  <c r="L554" i="13"/>
  <c r="L553" i="13"/>
  <c r="L552" i="13"/>
  <c r="L551" i="13"/>
  <c r="L550" i="13"/>
  <c r="L549" i="13"/>
  <c r="L548" i="13"/>
  <c r="L547" i="13"/>
  <c r="L546" i="13"/>
  <c r="L545" i="13"/>
  <c r="L544" i="13"/>
  <c r="L543" i="13"/>
  <c r="L542" i="13"/>
  <c r="L541" i="13"/>
  <c r="L540" i="13"/>
  <c r="L539" i="13"/>
  <c r="L538" i="13"/>
  <c r="L537" i="13"/>
  <c r="L536" i="13"/>
  <c r="L535" i="13"/>
  <c r="L534" i="13"/>
  <c r="L533" i="13"/>
  <c r="L532" i="13"/>
  <c r="L531" i="13"/>
  <c r="L530" i="13"/>
  <c r="L529" i="13"/>
  <c r="L528" i="13"/>
  <c r="L527" i="13"/>
  <c r="L526" i="13"/>
  <c r="L525" i="13"/>
  <c r="L524" i="13"/>
  <c r="L523" i="13"/>
  <c r="L522" i="13"/>
  <c r="L521" i="13"/>
  <c r="L520" i="13"/>
  <c r="L519" i="13"/>
  <c r="L518" i="13"/>
  <c r="L517" i="13"/>
  <c r="L516" i="13"/>
  <c r="L515" i="13"/>
  <c r="L514" i="13"/>
  <c r="L513" i="13"/>
  <c r="L512" i="13"/>
  <c r="L511" i="13"/>
  <c r="L510" i="13"/>
  <c r="L509" i="13"/>
  <c r="L508" i="13"/>
  <c r="L507" i="13"/>
  <c r="L506" i="13"/>
  <c r="L505" i="13"/>
  <c r="L504" i="13"/>
  <c r="L503" i="13"/>
  <c r="L502" i="13"/>
  <c r="L501" i="13"/>
  <c r="L500" i="13"/>
  <c r="L499" i="13"/>
  <c r="L498" i="13"/>
  <c r="L497" i="13"/>
  <c r="L496" i="13"/>
  <c r="L495" i="13"/>
  <c r="L494" i="13"/>
  <c r="L493" i="13"/>
  <c r="L492" i="13"/>
  <c r="L491" i="13"/>
  <c r="L490" i="13"/>
  <c r="L489" i="13"/>
  <c r="L488" i="13"/>
  <c r="L487" i="13"/>
  <c r="L486" i="13"/>
  <c r="L485" i="13"/>
  <c r="L484" i="13"/>
  <c r="L483" i="13"/>
  <c r="L482" i="13"/>
  <c r="L481" i="13"/>
  <c r="L480" i="13"/>
  <c r="L479" i="13"/>
  <c r="L478" i="13"/>
  <c r="L477" i="13"/>
  <c r="L476" i="13"/>
  <c r="L475" i="13"/>
  <c r="L474" i="13"/>
  <c r="L473" i="13"/>
  <c r="L472" i="13"/>
  <c r="L471" i="13"/>
  <c r="L470" i="13"/>
  <c r="L469" i="13"/>
  <c r="L468" i="13"/>
  <c r="L467" i="13"/>
  <c r="L466" i="13"/>
  <c r="L465" i="13"/>
  <c r="L464" i="13"/>
  <c r="L463" i="13"/>
  <c r="L462" i="13"/>
  <c r="L461" i="13"/>
  <c r="L460" i="13"/>
  <c r="L459" i="13"/>
  <c r="L458" i="13"/>
  <c r="L457" i="13"/>
  <c r="L456" i="13"/>
  <c r="L455" i="13"/>
  <c r="L454" i="13"/>
  <c r="L453" i="13"/>
  <c r="L452" i="13"/>
  <c r="L451" i="13"/>
  <c r="L450" i="13"/>
  <c r="L449" i="13"/>
  <c r="L448" i="13"/>
  <c r="L447" i="13"/>
  <c r="L446" i="13"/>
  <c r="L445" i="13"/>
  <c r="L444" i="13"/>
  <c r="L443" i="13"/>
  <c r="L442" i="13"/>
  <c r="L441" i="13"/>
  <c r="L440" i="13"/>
  <c r="L439" i="13"/>
  <c r="L438" i="13"/>
  <c r="L437" i="13"/>
  <c r="L436" i="13"/>
  <c r="L435" i="13"/>
  <c r="L434" i="13"/>
  <c r="L433" i="13"/>
  <c r="L432" i="13"/>
  <c r="L431" i="13"/>
  <c r="L430" i="13"/>
  <c r="L429" i="13"/>
  <c r="L428" i="13"/>
  <c r="L427" i="13"/>
  <c r="L426" i="13"/>
  <c r="L425" i="13"/>
  <c r="L424" i="13"/>
  <c r="L423" i="13"/>
  <c r="L422" i="13"/>
  <c r="L421" i="13"/>
  <c r="L420" i="13"/>
  <c r="L419" i="13"/>
  <c r="L418" i="13"/>
  <c r="L417" i="13"/>
  <c r="L416" i="13"/>
  <c r="L415" i="13"/>
  <c r="L414" i="13"/>
  <c r="L413" i="13"/>
  <c r="L412" i="13"/>
  <c r="L411" i="13"/>
  <c r="L410" i="13"/>
  <c r="L409" i="13"/>
  <c r="L408" i="13"/>
  <c r="L407" i="13"/>
  <c r="L406" i="13"/>
  <c r="L405" i="13"/>
  <c r="L404" i="13"/>
  <c r="L403" i="13"/>
  <c r="L402" i="13"/>
  <c r="L401" i="13"/>
  <c r="L400" i="13"/>
  <c r="L399" i="13"/>
  <c r="L398" i="13"/>
  <c r="L397" i="13"/>
  <c r="L396" i="13"/>
  <c r="L395" i="13"/>
  <c r="L394" i="13"/>
  <c r="L393" i="13"/>
  <c r="L392" i="13"/>
  <c r="L391" i="13"/>
  <c r="L390" i="13"/>
  <c r="L389" i="13"/>
  <c r="L388" i="13"/>
  <c r="L387" i="13"/>
  <c r="L386" i="13"/>
  <c r="L385" i="13"/>
  <c r="L384" i="13"/>
  <c r="L383" i="13"/>
  <c r="L382" i="13"/>
  <c r="L381" i="13"/>
  <c r="L380" i="13"/>
  <c r="L379" i="13"/>
  <c r="L378" i="13"/>
  <c r="L377" i="13"/>
  <c r="L376" i="13"/>
  <c r="L375" i="13"/>
  <c r="L374" i="13"/>
  <c r="L373" i="13"/>
  <c r="L372" i="13"/>
  <c r="L371" i="13"/>
  <c r="L370" i="13"/>
  <c r="L369" i="13"/>
  <c r="L368" i="13"/>
  <c r="L367" i="13"/>
  <c r="L366" i="13"/>
  <c r="L365" i="13"/>
  <c r="L364" i="13"/>
  <c r="L363" i="13"/>
  <c r="L362" i="13"/>
  <c r="L361" i="13"/>
  <c r="L360" i="13"/>
  <c r="L359" i="13"/>
  <c r="L358" i="13"/>
  <c r="L357" i="13"/>
  <c r="L356" i="13"/>
  <c r="L355" i="13"/>
  <c r="L354" i="13"/>
  <c r="L353" i="13"/>
  <c r="L352" i="13"/>
  <c r="L351" i="13"/>
  <c r="L350" i="13"/>
  <c r="L349" i="13"/>
  <c r="L348" i="13"/>
  <c r="L347" i="13"/>
  <c r="L346" i="13"/>
  <c r="L345" i="13"/>
  <c r="L344" i="13"/>
  <c r="L343" i="13"/>
  <c r="L342" i="13"/>
  <c r="L341" i="13"/>
  <c r="L340" i="13"/>
  <c r="L339" i="13"/>
  <c r="L338" i="13"/>
  <c r="L337" i="13"/>
  <c r="L336" i="13"/>
  <c r="L335" i="13"/>
  <c r="L334" i="13"/>
  <c r="L333" i="13"/>
  <c r="L332" i="13"/>
  <c r="L331" i="13"/>
  <c r="L330" i="13"/>
  <c r="L329" i="13"/>
  <c r="L328" i="13"/>
  <c r="L327" i="13"/>
  <c r="L326" i="13"/>
  <c r="L325" i="13"/>
  <c r="L324" i="13"/>
  <c r="L323" i="13"/>
  <c r="L322" i="13"/>
  <c r="L321" i="13"/>
  <c r="L320" i="13"/>
  <c r="L319" i="13"/>
  <c r="L318" i="13"/>
  <c r="L317" i="13"/>
  <c r="L316" i="13"/>
  <c r="L315" i="13"/>
  <c r="L314" i="13"/>
  <c r="L313" i="13"/>
  <c r="L312" i="13"/>
  <c r="L311" i="13"/>
  <c r="L310" i="13"/>
  <c r="L309" i="13"/>
  <c r="L308" i="13"/>
  <c r="L307" i="13"/>
  <c r="L306" i="13"/>
  <c r="L305" i="13"/>
  <c r="L304" i="13"/>
  <c r="L303" i="13"/>
  <c r="L302" i="13"/>
  <c r="L301" i="13"/>
  <c r="L300" i="13"/>
  <c r="L299" i="13"/>
  <c r="L298" i="13"/>
  <c r="L297" i="13"/>
  <c r="L296" i="13"/>
  <c r="L295" i="13"/>
  <c r="L294" i="13"/>
  <c r="L293" i="13"/>
  <c r="L292" i="13"/>
  <c r="L291" i="13"/>
  <c r="L290" i="13"/>
  <c r="L289" i="13"/>
  <c r="L288" i="13"/>
  <c r="L287" i="13"/>
  <c r="L286" i="13"/>
  <c r="L285" i="13"/>
  <c r="L284" i="13"/>
  <c r="L283" i="13"/>
  <c r="L282" i="13"/>
  <c r="L281" i="13"/>
  <c r="L280" i="13"/>
  <c r="L279" i="13"/>
  <c r="L278" i="13"/>
  <c r="L277" i="13"/>
  <c r="L276" i="13"/>
  <c r="L275" i="13"/>
  <c r="L274" i="13"/>
  <c r="L273" i="13"/>
  <c r="L272" i="13"/>
  <c r="L271" i="13"/>
  <c r="L270" i="13"/>
  <c r="L269" i="13"/>
  <c r="L268" i="13"/>
  <c r="L267" i="13"/>
  <c r="L266" i="13"/>
  <c r="L265" i="13"/>
  <c r="L264" i="13"/>
  <c r="L263" i="13"/>
  <c r="L262" i="13"/>
  <c r="L261" i="13"/>
  <c r="L260" i="13"/>
  <c r="L259" i="13"/>
  <c r="L258" i="13"/>
  <c r="L257" i="13"/>
  <c r="L256" i="13"/>
  <c r="L255" i="13"/>
  <c r="L254" i="13"/>
  <c r="L253" i="13"/>
  <c r="L252" i="13"/>
  <c r="L251" i="13"/>
  <c r="L250" i="13"/>
  <c r="L249" i="13"/>
  <c r="L248" i="13"/>
  <c r="L247" i="13"/>
  <c r="L246" i="13"/>
  <c r="L245" i="13"/>
  <c r="L244" i="13"/>
  <c r="L243" i="13"/>
  <c r="L242" i="13"/>
  <c r="L241" i="13"/>
  <c r="L240" i="13"/>
  <c r="L239" i="13"/>
  <c r="L238" i="13"/>
  <c r="L237" i="13"/>
  <c r="L236" i="13"/>
  <c r="L235" i="13"/>
  <c r="L234" i="13"/>
  <c r="L233" i="13"/>
  <c r="L232" i="13"/>
  <c r="L231" i="13"/>
  <c r="L230" i="13"/>
  <c r="L229" i="13"/>
  <c r="L228" i="13"/>
  <c r="L227" i="13"/>
  <c r="L226" i="13"/>
  <c r="L225" i="13"/>
  <c r="L224" i="13"/>
  <c r="L223" i="13"/>
  <c r="L222" i="13"/>
  <c r="L221" i="13"/>
  <c r="L220" i="13"/>
  <c r="L219" i="13"/>
  <c r="L218" i="13"/>
  <c r="L217" i="13"/>
  <c r="L216" i="13"/>
  <c r="L215" i="13"/>
  <c r="L214" i="13"/>
  <c r="L213" i="13"/>
  <c r="L212" i="13"/>
  <c r="L211" i="13"/>
  <c r="L210" i="13"/>
  <c r="L209" i="13"/>
  <c r="L208" i="13"/>
  <c r="L207" i="13"/>
  <c r="L206" i="13"/>
  <c r="L205" i="13"/>
  <c r="L204" i="13"/>
  <c r="L203" i="13"/>
  <c r="L202" i="13"/>
  <c r="L201" i="13"/>
  <c r="L200" i="13"/>
  <c r="L199" i="13"/>
  <c r="L198" i="13"/>
  <c r="L197" i="13"/>
  <c r="L196" i="13"/>
  <c r="L195" i="13"/>
  <c r="L194" i="13"/>
  <c r="L193" i="13"/>
  <c r="L192" i="13"/>
  <c r="L191" i="13"/>
  <c r="L190" i="13"/>
  <c r="L189" i="13"/>
  <c r="L188" i="13"/>
  <c r="L187" i="13"/>
  <c r="L186" i="13"/>
  <c r="L185" i="13"/>
  <c r="L184" i="13"/>
  <c r="L183" i="13"/>
  <c r="L182" i="13"/>
  <c r="L181" i="13"/>
  <c r="L180" i="13"/>
  <c r="L179" i="13"/>
  <c r="L178" i="13"/>
  <c r="L177" i="13"/>
  <c r="L176" i="13"/>
  <c r="L175" i="13"/>
  <c r="L174" i="13"/>
  <c r="L173" i="13"/>
  <c r="L172" i="13"/>
  <c r="L171" i="13"/>
  <c r="L170" i="13"/>
  <c r="L169" i="13"/>
  <c r="L168" i="13"/>
  <c r="L167" i="13"/>
  <c r="L166" i="13"/>
  <c r="L165" i="13"/>
  <c r="L164" i="13"/>
  <c r="L163" i="13"/>
  <c r="L162" i="13"/>
  <c r="L161" i="13"/>
  <c r="L160" i="13"/>
  <c r="L159" i="13"/>
  <c r="L158" i="13"/>
  <c r="L157" i="13"/>
  <c r="L156" i="13"/>
  <c r="L155" i="13"/>
  <c r="L154" i="13"/>
  <c r="L153" i="13"/>
  <c r="L152" i="13"/>
  <c r="L151" i="13"/>
  <c r="L150" i="13"/>
  <c r="L149" i="13"/>
  <c r="L148" i="13"/>
  <c r="L147" i="13"/>
  <c r="L146" i="13"/>
  <c r="L145" i="13"/>
  <c r="L144" i="13"/>
  <c r="L143" i="13"/>
  <c r="L142" i="13"/>
  <c r="L141" i="13"/>
  <c r="L140" i="13"/>
  <c r="L139" i="13"/>
  <c r="L138" i="13"/>
  <c r="L137" i="13"/>
  <c r="L136" i="13"/>
  <c r="L135" i="13"/>
  <c r="L134" i="13"/>
  <c r="L133" i="13"/>
  <c r="L132" i="13"/>
  <c r="L131" i="13"/>
  <c r="L130" i="13"/>
  <c r="L129" i="13"/>
  <c r="L128" i="13"/>
  <c r="L127" i="13"/>
  <c r="L126" i="13"/>
  <c r="L125" i="13"/>
  <c r="L124" i="13"/>
  <c r="L123" i="13"/>
  <c r="L122" i="13"/>
  <c r="L121" i="13"/>
  <c r="L120" i="13"/>
  <c r="L119" i="13"/>
  <c r="L118" i="13"/>
  <c r="L117" i="13"/>
  <c r="L116" i="13"/>
  <c r="L115" i="13"/>
  <c r="L114" i="13"/>
  <c r="L113" i="13"/>
  <c r="L112" i="13"/>
  <c r="L111" i="13"/>
  <c r="L110" i="13"/>
  <c r="L109" i="13"/>
  <c r="L108" i="13"/>
  <c r="L107" i="13"/>
  <c r="L106" i="13"/>
  <c r="L105" i="13"/>
  <c r="L104" i="13"/>
  <c r="L103" i="13"/>
  <c r="L102" i="13"/>
  <c r="L101" i="13"/>
  <c r="L100" i="13"/>
  <c r="L99" i="13"/>
  <c r="L98" i="13"/>
  <c r="L97" i="13"/>
  <c r="L96" i="13"/>
  <c r="L95" i="13"/>
  <c r="L94" i="13"/>
  <c r="L93" i="13"/>
  <c r="L92" i="13"/>
  <c r="L91" i="13"/>
  <c r="L90" i="13"/>
  <c r="L89" i="13"/>
  <c r="L88" i="13"/>
  <c r="L87" i="13"/>
  <c r="L86" i="13"/>
  <c r="L85" i="13"/>
  <c r="L84" i="13"/>
  <c r="L83" i="13"/>
  <c r="L82" i="13"/>
  <c r="L81" i="13"/>
  <c r="L80" i="13"/>
  <c r="L79" i="13"/>
  <c r="L78" i="13"/>
  <c r="L77" i="13"/>
  <c r="L76" i="13"/>
  <c r="L75" i="13"/>
  <c r="L74" i="13"/>
  <c r="L73" i="13"/>
  <c r="L72" i="13"/>
  <c r="L71" i="13"/>
  <c r="L70" i="13"/>
  <c r="L69" i="13"/>
  <c r="L68" i="13"/>
  <c r="L67" i="13"/>
  <c r="L66" i="13"/>
  <c r="L65" i="13"/>
  <c r="L64" i="13"/>
  <c r="L63" i="13"/>
  <c r="L62" i="13"/>
  <c r="L61" i="13"/>
  <c r="L60" i="13"/>
  <c r="L59" i="13"/>
  <c r="L58" i="13"/>
  <c r="L57" i="13"/>
  <c r="L56" i="13"/>
  <c r="L55" i="13"/>
  <c r="L54" i="13"/>
  <c r="L53" i="13"/>
  <c r="L52" i="13"/>
  <c r="L51" i="13"/>
  <c r="L50" i="13"/>
  <c r="L49" i="13"/>
  <c r="L48" i="13"/>
  <c r="L47" i="13"/>
  <c r="L46" i="13"/>
  <c r="L45" i="13"/>
  <c r="L44" i="13"/>
  <c r="L43" i="13"/>
  <c r="L42" i="13"/>
  <c r="L41" i="13"/>
  <c r="L40" i="13"/>
  <c r="L39" i="13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L8" i="13"/>
  <c r="L7" i="13"/>
  <c r="L6" i="13"/>
  <c r="L5" i="13"/>
  <c r="L4" i="13"/>
  <c r="L1113" i="10"/>
  <c r="L1112" i="10"/>
  <c r="L1111" i="10"/>
  <c r="L1110" i="10"/>
  <c r="L1109" i="10"/>
  <c r="L1108" i="10"/>
  <c r="L1107" i="10"/>
  <c r="L1106" i="10"/>
  <c r="L1105" i="10"/>
  <c r="L1104" i="10"/>
  <c r="L1103" i="10"/>
  <c r="L1102" i="10"/>
  <c r="L1101" i="10"/>
  <c r="L1100" i="10"/>
  <c r="L1099" i="10"/>
  <c r="L1098" i="10"/>
  <c r="L1097" i="10"/>
  <c r="L1096" i="10"/>
  <c r="L1095" i="10"/>
  <c r="L1094" i="10"/>
  <c r="L1093" i="10"/>
  <c r="L1092" i="10"/>
  <c r="L1091" i="10"/>
  <c r="L1090" i="10"/>
  <c r="L1089" i="10"/>
  <c r="L1088" i="10"/>
  <c r="L1087" i="10"/>
  <c r="L1086" i="10"/>
  <c r="L1085" i="10"/>
  <c r="L1084" i="10"/>
  <c r="L1083" i="10"/>
  <c r="L1082" i="10"/>
  <c r="L1081" i="10"/>
  <c r="L1080" i="10"/>
  <c r="L1079" i="10"/>
  <c r="L1078" i="10"/>
  <c r="L1077" i="10"/>
  <c r="L1076" i="10"/>
  <c r="L1075" i="10"/>
  <c r="L1074" i="10"/>
  <c r="L1073" i="10"/>
  <c r="L1072" i="10"/>
  <c r="L1071" i="10"/>
  <c r="L1070" i="10"/>
  <c r="L1069" i="10"/>
  <c r="L1068" i="10"/>
  <c r="L1067" i="10"/>
  <c r="L1066" i="10"/>
  <c r="L1065" i="10"/>
  <c r="L1064" i="10"/>
  <c r="L1063" i="10"/>
  <c r="L1062" i="10"/>
  <c r="L1061" i="10"/>
  <c r="L1060" i="10"/>
  <c r="L1059" i="10"/>
  <c r="L1058" i="10"/>
  <c r="L1057" i="10"/>
  <c r="L1056" i="10"/>
  <c r="L1055" i="10"/>
  <c r="L1054" i="10"/>
  <c r="L1053" i="10"/>
  <c r="L1052" i="10"/>
  <c r="L1051" i="10"/>
  <c r="L1050" i="10"/>
  <c r="L1049" i="10"/>
  <c r="L1048" i="10"/>
  <c r="L1047" i="10"/>
  <c r="L1046" i="10"/>
  <c r="L1045" i="10"/>
  <c r="L1044" i="10"/>
  <c r="L1043" i="10"/>
  <c r="L1042" i="10"/>
  <c r="L1041" i="10"/>
  <c r="L1040" i="10"/>
  <c r="L1039" i="10"/>
  <c r="L1038" i="10"/>
  <c r="L1037" i="10"/>
  <c r="L1036" i="10"/>
  <c r="L1035" i="10"/>
  <c r="L1034" i="10"/>
  <c r="L1033" i="10"/>
  <c r="L1032" i="10"/>
  <c r="L1031" i="10"/>
  <c r="L1030" i="10"/>
  <c r="L1029" i="10"/>
  <c r="L1028" i="10"/>
  <c r="L1027" i="10"/>
  <c r="L1026" i="10"/>
  <c r="L1025" i="10"/>
  <c r="L1024" i="10"/>
  <c r="L1023" i="10"/>
  <c r="L1022" i="10"/>
  <c r="L1021" i="10"/>
  <c r="L1020" i="10"/>
  <c r="L1019" i="10"/>
  <c r="L1018" i="10"/>
  <c r="L1017" i="10"/>
  <c r="L1016" i="10"/>
  <c r="L1015" i="10"/>
  <c r="L1014" i="10"/>
  <c r="L1013" i="10"/>
  <c r="L1012" i="10"/>
  <c r="L1011" i="10"/>
  <c r="L1010" i="10"/>
  <c r="L1009" i="10"/>
  <c r="L1008" i="10"/>
  <c r="L1007" i="10"/>
  <c r="L1006" i="10"/>
  <c r="L1005" i="10"/>
  <c r="L1004" i="10"/>
  <c r="L1003" i="10"/>
  <c r="L1002" i="10"/>
  <c r="L1001" i="10"/>
  <c r="L1000" i="10"/>
  <c r="L999" i="10"/>
  <c r="L998" i="10"/>
  <c r="L997" i="10"/>
  <c r="L996" i="10"/>
  <c r="L995" i="10"/>
  <c r="L994" i="10"/>
  <c r="L993" i="10"/>
  <c r="L992" i="10"/>
  <c r="L991" i="10"/>
  <c r="L990" i="10"/>
  <c r="L989" i="10"/>
  <c r="L988" i="10"/>
  <c r="L987" i="10"/>
  <c r="L986" i="10"/>
  <c r="L985" i="10"/>
  <c r="L984" i="10"/>
  <c r="L983" i="10"/>
  <c r="L982" i="10"/>
  <c r="L981" i="10"/>
  <c r="L980" i="10"/>
  <c r="L979" i="10"/>
  <c r="L978" i="10"/>
  <c r="L977" i="10"/>
  <c r="L976" i="10"/>
  <c r="L975" i="10"/>
  <c r="L974" i="10"/>
  <c r="L973" i="10"/>
  <c r="L972" i="10"/>
  <c r="L971" i="10"/>
  <c r="L970" i="10"/>
  <c r="L969" i="10"/>
  <c r="L968" i="10"/>
  <c r="L967" i="10"/>
  <c r="L966" i="10"/>
  <c r="L965" i="10"/>
  <c r="L964" i="10"/>
  <c r="L963" i="10"/>
  <c r="L962" i="10"/>
  <c r="L961" i="10"/>
  <c r="L960" i="10"/>
  <c r="L959" i="10"/>
  <c r="L958" i="10"/>
  <c r="L957" i="10"/>
  <c r="L956" i="10"/>
  <c r="L955" i="10"/>
  <c r="L954" i="10"/>
  <c r="L953" i="10"/>
  <c r="L952" i="10"/>
  <c r="L951" i="10"/>
  <c r="L950" i="10"/>
  <c r="L949" i="10"/>
  <c r="L948" i="10"/>
  <c r="L947" i="10"/>
  <c r="L946" i="10"/>
  <c r="L945" i="10"/>
  <c r="L944" i="10"/>
  <c r="L943" i="10"/>
  <c r="L942" i="10"/>
  <c r="L941" i="10"/>
  <c r="L940" i="10"/>
  <c r="L939" i="10"/>
  <c r="L938" i="10"/>
  <c r="L937" i="10"/>
  <c r="L936" i="10"/>
  <c r="L935" i="10"/>
  <c r="L934" i="10"/>
  <c r="L933" i="10"/>
  <c r="L932" i="10"/>
  <c r="L931" i="10"/>
  <c r="L930" i="10"/>
  <c r="L929" i="10"/>
  <c r="L928" i="10"/>
  <c r="L927" i="10"/>
  <c r="L926" i="10"/>
  <c r="L925" i="10"/>
  <c r="L924" i="10"/>
  <c r="L923" i="10"/>
  <c r="L922" i="10"/>
  <c r="L921" i="10"/>
  <c r="L920" i="10"/>
  <c r="L919" i="10"/>
  <c r="L918" i="10"/>
  <c r="L917" i="10"/>
  <c r="L916" i="10"/>
  <c r="L915" i="10"/>
  <c r="L914" i="10"/>
  <c r="L913" i="10"/>
  <c r="L912" i="10"/>
  <c r="L911" i="10"/>
  <c r="L910" i="10"/>
  <c r="L909" i="10"/>
  <c r="L908" i="10"/>
  <c r="L907" i="10"/>
  <c r="L906" i="10"/>
  <c r="L905" i="10"/>
  <c r="L904" i="10"/>
  <c r="L903" i="10"/>
  <c r="L902" i="10"/>
  <c r="L901" i="10"/>
  <c r="L900" i="10"/>
  <c r="L899" i="10"/>
  <c r="L898" i="10"/>
  <c r="L897" i="10"/>
  <c r="L896" i="10"/>
  <c r="L895" i="10"/>
  <c r="L894" i="10"/>
  <c r="L893" i="10"/>
  <c r="L892" i="10"/>
  <c r="L891" i="10"/>
  <c r="L890" i="10"/>
  <c r="L889" i="10"/>
  <c r="L888" i="10"/>
  <c r="L887" i="10"/>
  <c r="L886" i="10"/>
  <c r="L885" i="10"/>
  <c r="L884" i="10"/>
  <c r="L883" i="10"/>
  <c r="L882" i="10"/>
  <c r="L881" i="10"/>
  <c r="L880" i="10"/>
  <c r="L879" i="10"/>
  <c r="L878" i="10"/>
  <c r="L877" i="10"/>
  <c r="L876" i="10"/>
  <c r="L875" i="10"/>
  <c r="L874" i="10"/>
  <c r="L873" i="10"/>
  <c r="L872" i="10"/>
  <c r="L871" i="10"/>
  <c r="L870" i="10"/>
  <c r="L869" i="10"/>
  <c r="L868" i="10"/>
  <c r="L867" i="10"/>
  <c r="L866" i="10"/>
  <c r="L865" i="10"/>
  <c r="L864" i="10"/>
  <c r="L863" i="10"/>
  <c r="L862" i="10"/>
  <c r="L861" i="10"/>
  <c r="L860" i="10"/>
  <c r="L859" i="10"/>
  <c r="L858" i="10"/>
  <c r="L857" i="10"/>
  <c r="L856" i="10"/>
  <c r="L855" i="10"/>
  <c r="L854" i="10"/>
  <c r="L853" i="10"/>
  <c r="L852" i="10"/>
  <c r="L851" i="10"/>
  <c r="L850" i="10"/>
  <c r="L849" i="10"/>
  <c r="L848" i="10"/>
  <c r="L847" i="10"/>
  <c r="L846" i="10"/>
  <c r="L845" i="10"/>
  <c r="L844" i="10"/>
  <c r="L843" i="10"/>
  <c r="L842" i="10"/>
  <c r="L841" i="10"/>
  <c r="L840" i="10"/>
  <c r="L839" i="10"/>
  <c r="L838" i="10"/>
  <c r="L837" i="10"/>
  <c r="L836" i="10"/>
  <c r="L835" i="10"/>
  <c r="L834" i="10"/>
  <c r="L833" i="10"/>
  <c r="L832" i="10"/>
  <c r="L831" i="10"/>
  <c r="L830" i="10"/>
  <c r="L829" i="10"/>
  <c r="L828" i="10"/>
  <c r="L827" i="10"/>
  <c r="L826" i="10"/>
  <c r="L825" i="10"/>
  <c r="L824" i="10"/>
  <c r="L823" i="10"/>
  <c r="L822" i="10"/>
  <c r="L821" i="10"/>
  <c r="L820" i="10"/>
  <c r="L819" i="10"/>
  <c r="L818" i="10"/>
  <c r="L817" i="10"/>
  <c r="L816" i="10"/>
  <c r="L815" i="10"/>
  <c r="L814" i="10"/>
  <c r="L813" i="10"/>
  <c r="L812" i="10"/>
  <c r="L811" i="10"/>
  <c r="L810" i="10"/>
  <c r="L809" i="10"/>
  <c r="L808" i="10"/>
  <c r="L807" i="10"/>
  <c r="L806" i="10"/>
  <c r="L805" i="10"/>
  <c r="L804" i="10"/>
  <c r="L803" i="10"/>
  <c r="L802" i="10"/>
  <c r="L801" i="10"/>
  <c r="L800" i="10"/>
  <c r="L799" i="10"/>
  <c r="L798" i="10"/>
  <c r="L797" i="10"/>
  <c r="L796" i="10"/>
  <c r="L795" i="10"/>
  <c r="L794" i="10"/>
  <c r="L793" i="10"/>
  <c r="L792" i="10"/>
  <c r="L791" i="10"/>
  <c r="L790" i="10"/>
  <c r="L789" i="10"/>
  <c r="L788" i="10"/>
  <c r="L787" i="10"/>
  <c r="L786" i="10"/>
  <c r="L785" i="10"/>
  <c r="L784" i="10"/>
  <c r="L783" i="10"/>
  <c r="L782" i="10"/>
  <c r="L781" i="10"/>
  <c r="L780" i="10"/>
  <c r="L779" i="10"/>
  <c r="L778" i="10"/>
  <c r="L777" i="10"/>
  <c r="L776" i="10"/>
  <c r="L775" i="10"/>
  <c r="L774" i="10"/>
  <c r="L773" i="10"/>
  <c r="L772" i="10"/>
  <c r="L771" i="10"/>
  <c r="L770" i="10"/>
  <c r="L769" i="10"/>
  <c r="L768" i="10"/>
  <c r="L767" i="10"/>
  <c r="L766" i="10"/>
  <c r="L765" i="10"/>
  <c r="L764" i="10"/>
  <c r="L763" i="10"/>
  <c r="L762" i="10"/>
  <c r="L761" i="10"/>
  <c r="L760" i="10"/>
  <c r="L759" i="10"/>
  <c r="L758" i="10"/>
  <c r="L757" i="10"/>
  <c r="L756" i="10"/>
  <c r="L755" i="10"/>
  <c r="L754" i="10"/>
  <c r="L753" i="10"/>
  <c r="L752" i="10"/>
  <c r="L751" i="10"/>
  <c r="L750" i="10"/>
  <c r="L749" i="10"/>
  <c r="L748" i="10"/>
  <c r="L747" i="10"/>
  <c r="L746" i="10"/>
  <c r="L745" i="10"/>
  <c r="L744" i="10"/>
  <c r="L743" i="10"/>
  <c r="L742" i="10"/>
  <c r="L741" i="10"/>
  <c r="L740" i="10"/>
  <c r="L739" i="10"/>
  <c r="L738" i="10"/>
  <c r="L737" i="10"/>
  <c r="L736" i="10"/>
  <c r="L735" i="10"/>
  <c r="L734" i="10"/>
  <c r="L733" i="10"/>
  <c r="L732" i="10"/>
  <c r="L731" i="10"/>
  <c r="L730" i="10"/>
  <c r="L729" i="10"/>
  <c r="L728" i="10"/>
  <c r="L727" i="10"/>
  <c r="L726" i="10"/>
  <c r="L725" i="10"/>
  <c r="L724" i="10"/>
  <c r="L723" i="10"/>
  <c r="L722" i="10"/>
  <c r="L721" i="10"/>
  <c r="L720" i="10"/>
  <c r="L719" i="10"/>
  <c r="L718" i="10"/>
  <c r="L717" i="10"/>
  <c r="L716" i="10"/>
  <c r="L715" i="10"/>
  <c r="L714" i="10"/>
  <c r="L713" i="10"/>
  <c r="L712" i="10"/>
  <c r="L711" i="10"/>
  <c r="L710" i="10"/>
  <c r="L709" i="10"/>
  <c r="L708" i="10"/>
  <c r="L707" i="10"/>
  <c r="L706" i="10"/>
  <c r="L705" i="10"/>
  <c r="L704" i="10"/>
  <c r="L703" i="10"/>
  <c r="L702" i="10"/>
  <c r="L701" i="10"/>
  <c r="L700" i="10"/>
  <c r="L699" i="10"/>
  <c r="L698" i="10"/>
  <c r="L697" i="10"/>
  <c r="L696" i="10"/>
  <c r="L695" i="10"/>
  <c r="L694" i="10"/>
  <c r="L693" i="10"/>
  <c r="L692" i="10"/>
  <c r="L691" i="10"/>
  <c r="L690" i="10"/>
  <c r="L689" i="10"/>
  <c r="L688" i="10"/>
  <c r="L687" i="10"/>
  <c r="L686" i="10"/>
  <c r="L685" i="10"/>
  <c r="L684" i="10"/>
  <c r="L683" i="10"/>
  <c r="L682" i="10"/>
  <c r="L681" i="10"/>
  <c r="L680" i="10"/>
  <c r="L679" i="10"/>
  <c r="L678" i="10"/>
  <c r="L677" i="10"/>
  <c r="L676" i="10"/>
  <c r="L675" i="10"/>
  <c r="L674" i="10"/>
  <c r="L673" i="10"/>
  <c r="L672" i="10"/>
  <c r="L671" i="10"/>
  <c r="L670" i="10"/>
  <c r="L669" i="10"/>
  <c r="L668" i="10"/>
  <c r="L667" i="10"/>
  <c r="L666" i="10"/>
  <c r="L665" i="10"/>
  <c r="L664" i="10"/>
  <c r="L663" i="10"/>
  <c r="L662" i="10"/>
  <c r="L661" i="10"/>
  <c r="L660" i="10"/>
  <c r="L659" i="10"/>
  <c r="L658" i="10"/>
  <c r="L657" i="10"/>
  <c r="L656" i="10"/>
  <c r="L655" i="10"/>
  <c r="L654" i="10"/>
  <c r="L653" i="10"/>
  <c r="L652" i="10"/>
  <c r="L651" i="10"/>
  <c r="L650" i="10"/>
  <c r="L649" i="10"/>
  <c r="L648" i="10"/>
  <c r="L647" i="10"/>
  <c r="L646" i="10"/>
  <c r="L645" i="10"/>
  <c r="L644" i="10"/>
  <c r="L643" i="10"/>
  <c r="L642" i="10"/>
  <c r="L641" i="10"/>
  <c r="L640" i="10"/>
  <c r="L639" i="10"/>
  <c r="L638" i="10"/>
  <c r="L637" i="10"/>
  <c r="L636" i="10"/>
  <c r="L635" i="10"/>
  <c r="L634" i="10"/>
  <c r="L633" i="10"/>
  <c r="L632" i="10"/>
  <c r="L631" i="10"/>
  <c r="L630" i="10"/>
  <c r="L629" i="10"/>
  <c r="L628" i="10"/>
  <c r="L627" i="10"/>
  <c r="L626" i="10"/>
  <c r="L625" i="10"/>
  <c r="L624" i="10"/>
  <c r="L623" i="10"/>
  <c r="L622" i="10"/>
  <c r="L621" i="10"/>
  <c r="L620" i="10"/>
  <c r="L619" i="10"/>
  <c r="L618" i="10"/>
  <c r="L617" i="10"/>
  <c r="L616" i="10"/>
  <c r="L615" i="10"/>
  <c r="L614" i="10"/>
  <c r="L613" i="10"/>
  <c r="L612" i="10"/>
  <c r="L611" i="10"/>
  <c r="L610" i="10"/>
  <c r="L609" i="10"/>
  <c r="L608" i="10"/>
  <c r="L607" i="10"/>
  <c r="L606" i="10"/>
  <c r="L605" i="10"/>
  <c r="L604" i="10"/>
  <c r="L603" i="10"/>
  <c r="L602" i="10"/>
  <c r="L601" i="10"/>
  <c r="L600" i="10"/>
  <c r="L599" i="10"/>
  <c r="L598" i="10"/>
  <c r="L597" i="10"/>
  <c r="L596" i="10"/>
  <c r="L595" i="10"/>
  <c r="L594" i="10"/>
  <c r="L593" i="10"/>
  <c r="L592" i="10"/>
  <c r="L591" i="10"/>
  <c r="L590" i="10"/>
  <c r="L589" i="10"/>
  <c r="L588" i="10"/>
  <c r="L587" i="10"/>
  <c r="L586" i="10"/>
  <c r="L585" i="10"/>
  <c r="L584" i="10"/>
  <c r="L583" i="10"/>
  <c r="L582" i="10"/>
  <c r="L581" i="10"/>
  <c r="L580" i="10"/>
  <c r="L579" i="10"/>
  <c r="L578" i="10"/>
  <c r="L577" i="10"/>
  <c r="L576" i="10"/>
  <c r="L575" i="10"/>
  <c r="L574" i="10"/>
  <c r="L573" i="10"/>
  <c r="L572" i="10"/>
  <c r="L571" i="10"/>
  <c r="L570" i="10"/>
  <c r="L569" i="10"/>
  <c r="L568" i="10"/>
  <c r="L567" i="10"/>
  <c r="L566" i="10"/>
  <c r="L565" i="10"/>
  <c r="L564" i="10"/>
  <c r="L563" i="10"/>
  <c r="L562" i="10"/>
  <c r="L561" i="10"/>
  <c r="L560" i="10"/>
  <c r="L559" i="10"/>
  <c r="L558" i="10"/>
  <c r="L557" i="10"/>
  <c r="L556" i="10"/>
  <c r="L555" i="10"/>
  <c r="L554" i="10"/>
  <c r="L553" i="10"/>
  <c r="L552" i="10"/>
  <c r="L551" i="10"/>
  <c r="L550" i="10"/>
  <c r="L549" i="10"/>
  <c r="L548" i="10"/>
  <c r="L547" i="10"/>
  <c r="L546" i="10"/>
  <c r="L545" i="10"/>
  <c r="L544" i="10"/>
  <c r="L543" i="10"/>
  <c r="L542" i="10"/>
  <c r="L541" i="10"/>
  <c r="L540" i="10"/>
  <c r="L539" i="10"/>
  <c r="L538" i="10"/>
  <c r="L537" i="10"/>
  <c r="L536" i="10"/>
  <c r="L535" i="10"/>
  <c r="L534" i="10"/>
  <c r="L533" i="10"/>
  <c r="L532" i="10"/>
  <c r="L531" i="10"/>
  <c r="L530" i="10"/>
  <c r="L529" i="10"/>
  <c r="L528" i="10"/>
  <c r="L527" i="10"/>
  <c r="L526" i="10"/>
  <c r="L525" i="10"/>
  <c r="L524" i="10"/>
  <c r="L523" i="10"/>
  <c r="L522" i="10"/>
  <c r="L521" i="10"/>
  <c r="L520" i="10"/>
  <c r="L519" i="10"/>
  <c r="L518" i="10"/>
  <c r="L517" i="10"/>
  <c r="L516" i="10"/>
  <c r="L515" i="10"/>
  <c r="L514" i="10"/>
  <c r="L513" i="10"/>
  <c r="L512" i="10"/>
  <c r="L511" i="10"/>
  <c r="L510" i="10"/>
  <c r="L509" i="10"/>
  <c r="L508" i="10"/>
  <c r="L507" i="10"/>
  <c r="L506" i="10"/>
  <c r="L505" i="10"/>
  <c r="L504" i="10"/>
  <c r="L503" i="10"/>
  <c r="L502" i="10"/>
  <c r="L501" i="10"/>
  <c r="L500" i="10"/>
  <c r="L499" i="10"/>
  <c r="L498" i="10"/>
  <c r="L497" i="10"/>
  <c r="L496" i="10"/>
  <c r="L495" i="10"/>
  <c r="L494" i="10"/>
  <c r="L493" i="10"/>
  <c r="L492" i="10"/>
  <c r="L491" i="10"/>
  <c r="L490" i="10"/>
  <c r="L489" i="10"/>
  <c r="L488" i="10"/>
  <c r="L487" i="10"/>
  <c r="L486" i="10"/>
  <c r="L485" i="10"/>
  <c r="L484" i="10"/>
  <c r="L483" i="10"/>
  <c r="L482" i="10"/>
  <c r="L481" i="10"/>
  <c r="L480" i="10"/>
  <c r="L479" i="10"/>
  <c r="L478" i="10"/>
  <c r="L477" i="10"/>
  <c r="L476" i="10"/>
  <c r="L475" i="10"/>
  <c r="L474" i="10"/>
  <c r="L473" i="10"/>
  <c r="L472" i="10"/>
  <c r="L471" i="10"/>
  <c r="L470" i="10"/>
  <c r="L469" i="10"/>
  <c r="L468" i="10"/>
  <c r="L467" i="10"/>
  <c r="L466" i="10"/>
  <c r="L465" i="10"/>
  <c r="L464" i="10"/>
  <c r="L463" i="10"/>
  <c r="L462" i="10"/>
  <c r="L461" i="10"/>
  <c r="L460" i="10"/>
  <c r="L459" i="10"/>
  <c r="L458" i="10"/>
  <c r="L457" i="10"/>
  <c r="L456" i="10"/>
  <c r="L455" i="10"/>
  <c r="L454" i="10"/>
  <c r="L453" i="10"/>
  <c r="L452" i="10"/>
  <c r="L451" i="10"/>
  <c r="L450" i="10"/>
  <c r="L449" i="10"/>
  <c r="L448" i="10"/>
  <c r="L447" i="10"/>
  <c r="L446" i="10"/>
  <c r="L445" i="10"/>
  <c r="L444" i="10"/>
  <c r="L443" i="10"/>
  <c r="L442" i="10"/>
  <c r="L441" i="10"/>
  <c r="L440" i="10"/>
  <c r="L439" i="10"/>
  <c r="L438" i="10"/>
  <c r="L437" i="10"/>
  <c r="L436" i="10"/>
  <c r="L435" i="10"/>
  <c r="L434" i="10"/>
  <c r="L433" i="10"/>
  <c r="L432" i="10"/>
  <c r="L431" i="10"/>
  <c r="L430" i="10"/>
  <c r="L429" i="10"/>
  <c r="L428" i="10"/>
  <c r="L427" i="10"/>
  <c r="L426" i="10"/>
  <c r="L425" i="10"/>
  <c r="L424" i="10"/>
  <c r="L423" i="10"/>
  <c r="L422" i="10"/>
  <c r="L421" i="10"/>
  <c r="L420" i="10"/>
  <c r="L419" i="10"/>
  <c r="L418" i="10"/>
  <c r="L417" i="10"/>
  <c r="L416" i="10"/>
  <c r="L415" i="10"/>
  <c r="L414" i="10"/>
  <c r="L413" i="10"/>
  <c r="L412" i="10"/>
  <c r="L411" i="10"/>
  <c r="L410" i="10"/>
  <c r="L409" i="10"/>
  <c r="L408" i="10"/>
  <c r="L407" i="10"/>
  <c r="L406" i="10"/>
  <c r="L405" i="10"/>
  <c r="L404" i="10"/>
  <c r="L403" i="10"/>
  <c r="L402" i="10"/>
  <c r="L401" i="10"/>
  <c r="L400" i="10"/>
  <c r="L399" i="10"/>
  <c r="L398" i="10"/>
  <c r="L397" i="10"/>
  <c r="L396" i="10"/>
  <c r="L395" i="10"/>
  <c r="L394" i="10"/>
  <c r="L393" i="10"/>
  <c r="L392" i="10"/>
  <c r="L391" i="10"/>
  <c r="L390" i="10"/>
  <c r="L389" i="10"/>
  <c r="L388" i="10"/>
  <c r="L387" i="10"/>
  <c r="L386" i="10"/>
  <c r="L385" i="10"/>
  <c r="L384" i="10"/>
  <c r="L383" i="10"/>
  <c r="L382" i="10"/>
  <c r="L381" i="10"/>
  <c r="L380" i="10"/>
  <c r="L379" i="10"/>
  <c r="L378" i="10"/>
  <c r="L377" i="10"/>
  <c r="L376" i="10"/>
  <c r="L375" i="10"/>
  <c r="L374" i="10"/>
  <c r="L373" i="10"/>
  <c r="L372" i="10"/>
  <c r="L371" i="10"/>
  <c r="L370" i="10"/>
  <c r="L369" i="10"/>
  <c r="L368" i="10"/>
  <c r="L367" i="10"/>
  <c r="L366" i="10"/>
  <c r="L365" i="10"/>
  <c r="L364" i="10"/>
  <c r="L363" i="10"/>
  <c r="L362" i="10"/>
  <c r="L361" i="10"/>
  <c r="L360" i="10"/>
  <c r="L359" i="10"/>
  <c r="L358" i="10"/>
  <c r="L357" i="10"/>
  <c r="L356" i="10"/>
  <c r="L355" i="10"/>
  <c r="L354" i="10"/>
  <c r="L353" i="10"/>
  <c r="L352" i="10"/>
  <c r="L351" i="10"/>
  <c r="L350" i="10"/>
  <c r="L349" i="10"/>
  <c r="L348" i="10"/>
  <c r="L347" i="10"/>
  <c r="L346" i="10"/>
  <c r="L345" i="10"/>
  <c r="L344" i="10"/>
  <c r="L343" i="10"/>
  <c r="L342" i="10"/>
  <c r="L341" i="10"/>
  <c r="L340" i="10"/>
  <c r="L339" i="10"/>
  <c r="L338" i="10"/>
  <c r="L337" i="10"/>
  <c r="L336" i="10"/>
  <c r="L335" i="10"/>
  <c r="L334" i="10"/>
  <c r="L333" i="10"/>
  <c r="L332" i="10"/>
  <c r="L331" i="10"/>
  <c r="L330" i="10"/>
  <c r="L329" i="10"/>
  <c r="L328" i="10"/>
  <c r="L327" i="10"/>
  <c r="L326" i="10"/>
  <c r="L325" i="10"/>
  <c r="L324" i="10"/>
  <c r="L323" i="10"/>
  <c r="L322" i="10"/>
  <c r="L321" i="10"/>
  <c r="L320" i="10"/>
  <c r="L319" i="10"/>
  <c r="L318" i="10"/>
  <c r="L317" i="10"/>
  <c r="L316" i="10"/>
  <c r="L315" i="10"/>
  <c r="L314" i="10"/>
  <c r="L313" i="10"/>
  <c r="L312" i="10"/>
  <c r="L311" i="10"/>
  <c r="L310" i="10"/>
  <c r="L309" i="10"/>
  <c r="L308" i="10"/>
  <c r="L307" i="10"/>
  <c r="L306" i="10"/>
  <c r="L305" i="10"/>
  <c r="L304" i="10"/>
  <c r="L303" i="10"/>
  <c r="L302" i="10"/>
  <c r="L301" i="10"/>
  <c r="L300" i="10"/>
  <c r="L299" i="10"/>
  <c r="L298" i="10"/>
  <c r="L297" i="10"/>
  <c r="L296" i="10"/>
  <c r="L295" i="10"/>
  <c r="L294" i="10"/>
  <c r="L293" i="10"/>
  <c r="L292" i="10"/>
  <c r="L291" i="10"/>
  <c r="L290" i="10"/>
  <c r="L289" i="10"/>
  <c r="L288" i="10"/>
  <c r="L287" i="10"/>
  <c r="L286" i="10"/>
  <c r="L285" i="10"/>
  <c r="L284" i="10"/>
  <c r="L283" i="10"/>
  <c r="L282" i="10"/>
  <c r="L281" i="10"/>
  <c r="L280" i="10"/>
  <c r="L279" i="10"/>
  <c r="L278" i="10"/>
  <c r="L277" i="10"/>
  <c r="L276" i="10"/>
  <c r="L275" i="10"/>
  <c r="L274" i="10"/>
  <c r="L273" i="10"/>
  <c r="L272" i="10"/>
  <c r="L271" i="10"/>
  <c r="L270" i="10"/>
  <c r="L269" i="10"/>
  <c r="L268" i="10"/>
  <c r="L267" i="10"/>
  <c r="L266" i="10"/>
  <c r="L265" i="10"/>
  <c r="L264" i="10"/>
  <c r="L263" i="10"/>
  <c r="L262" i="10"/>
  <c r="L261" i="10"/>
  <c r="L260" i="10"/>
  <c r="L259" i="10"/>
  <c r="L258" i="10"/>
  <c r="L257" i="10"/>
  <c r="L256" i="10"/>
  <c r="L255" i="10"/>
  <c r="L254" i="10"/>
  <c r="L253" i="10"/>
  <c r="L252" i="10"/>
  <c r="L251" i="10"/>
  <c r="L250" i="10"/>
  <c r="L249" i="10"/>
  <c r="L248" i="10"/>
  <c r="L247" i="10"/>
  <c r="L246" i="10"/>
  <c r="L245" i="10"/>
  <c r="L244" i="10"/>
  <c r="L243" i="10"/>
  <c r="L242" i="10"/>
  <c r="L241" i="10"/>
  <c r="L240" i="10"/>
  <c r="L239" i="10"/>
  <c r="L238" i="10"/>
  <c r="L237" i="10"/>
  <c r="L236" i="10"/>
  <c r="L235" i="10"/>
  <c r="L234" i="10"/>
  <c r="L233" i="10"/>
  <c r="L232" i="10"/>
  <c r="L231" i="10"/>
  <c r="L230" i="10"/>
  <c r="L229" i="10"/>
  <c r="L228" i="10"/>
  <c r="L227" i="10"/>
  <c r="L226" i="10"/>
  <c r="L225" i="10"/>
  <c r="L224" i="10"/>
  <c r="L223" i="10"/>
  <c r="L222" i="10"/>
  <c r="L221" i="10"/>
  <c r="L220" i="10"/>
  <c r="L219" i="10"/>
  <c r="L218" i="10"/>
  <c r="L217" i="10"/>
  <c r="L216" i="10"/>
  <c r="L215" i="10"/>
  <c r="L214" i="10"/>
  <c r="L213" i="10"/>
  <c r="L212" i="10"/>
  <c r="L211" i="10"/>
  <c r="L210" i="10"/>
  <c r="L209" i="10"/>
  <c r="L208" i="10"/>
  <c r="L207" i="10"/>
  <c r="L206" i="10"/>
  <c r="L205" i="10"/>
  <c r="L204" i="10"/>
  <c r="L203" i="10"/>
  <c r="L202" i="10"/>
  <c r="L201" i="10"/>
  <c r="L200" i="10"/>
  <c r="L199" i="10"/>
  <c r="L198" i="10"/>
  <c r="L197" i="10"/>
  <c r="L196" i="10"/>
  <c r="L195" i="10"/>
  <c r="L194" i="10"/>
  <c r="L193" i="10"/>
  <c r="L192" i="10"/>
  <c r="L191" i="10"/>
  <c r="L190" i="10"/>
  <c r="L189" i="10"/>
  <c r="L188" i="10"/>
  <c r="L187" i="10"/>
  <c r="L186" i="10"/>
  <c r="L185" i="10"/>
  <c r="L184" i="10"/>
  <c r="L183" i="10"/>
  <c r="L182" i="10"/>
  <c r="L181" i="10"/>
  <c r="L180" i="10"/>
  <c r="L179" i="10"/>
  <c r="L178" i="10"/>
  <c r="L177" i="10"/>
  <c r="L176" i="10"/>
  <c r="L175" i="10"/>
  <c r="L174" i="10"/>
  <c r="L173" i="10"/>
  <c r="L172" i="10"/>
  <c r="L171" i="10"/>
  <c r="L170" i="10"/>
  <c r="L169" i="10"/>
  <c r="L168" i="10"/>
  <c r="L167" i="10"/>
  <c r="L166" i="10"/>
  <c r="L165" i="10"/>
  <c r="L164" i="10"/>
  <c r="L163" i="10"/>
  <c r="L162" i="10"/>
  <c r="L161" i="10"/>
  <c r="L160" i="10"/>
  <c r="L159" i="10"/>
  <c r="L158" i="10"/>
  <c r="L157" i="10"/>
  <c r="L156" i="10"/>
  <c r="L155" i="10"/>
  <c r="L154" i="10"/>
  <c r="L153" i="10"/>
  <c r="L152" i="10"/>
  <c r="L151" i="10"/>
  <c r="L150" i="10"/>
  <c r="L149" i="10"/>
  <c r="L148" i="10"/>
  <c r="L147" i="10"/>
  <c r="L146" i="10"/>
  <c r="L145" i="10"/>
  <c r="L144" i="10"/>
  <c r="L143" i="10"/>
  <c r="L142" i="10"/>
  <c r="L141" i="10"/>
  <c r="L140" i="10"/>
  <c r="L139" i="10"/>
  <c r="L138" i="10"/>
  <c r="L137" i="10"/>
  <c r="L136" i="10"/>
  <c r="L135" i="10"/>
  <c r="L134" i="10"/>
  <c r="L133" i="10"/>
  <c r="L132" i="10"/>
  <c r="L131" i="10"/>
  <c r="L130" i="10"/>
  <c r="L129" i="10"/>
  <c r="L128" i="10"/>
  <c r="L127" i="10"/>
  <c r="L126" i="10"/>
  <c r="L125" i="10"/>
  <c r="L124" i="10"/>
  <c r="L123" i="10"/>
  <c r="L122" i="10"/>
  <c r="L121" i="10"/>
  <c r="L120" i="10"/>
  <c r="L119" i="10"/>
  <c r="L118" i="10"/>
  <c r="L117" i="10"/>
  <c r="L116" i="10"/>
  <c r="L115" i="10"/>
  <c r="L114" i="10"/>
  <c r="L113" i="10"/>
  <c r="L112" i="10"/>
  <c r="L111" i="10"/>
  <c r="L110" i="10"/>
  <c r="L109" i="10"/>
  <c r="L108" i="10"/>
  <c r="L107" i="10"/>
  <c r="L106" i="10"/>
  <c r="L105" i="10"/>
  <c r="L104" i="10"/>
  <c r="L103" i="10"/>
  <c r="L102" i="10"/>
  <c r="L101" i="10"/>
  <c r="L100" i="10"/>
  <c r="L99" i="10"/>
  <c r="L98" i="10"/>
  <c r="L97" i="10"/>
  <c r="L96" i="10"/>
  <c r="L95" i="10"/>
  <c r="L94" i="10"/>
  <c r="L93" i="10"/>
  <c r="L92" i="10"/>
  <c r="L91" i="10"/>
  <c r="L90" i="10"/>
  <c r="L89" i="10"/>
  <c r="L88" i="10"/>
  <c r="L87" i="10"/>
  <c r="L86" i="10"/>
  <c r="L85" i="10"/>
  <c r="L84" i="10"/>
  <c r="L83" i="10"/>
  <c r="L82" i="10"/>
  <c r="L81" i="10"/>
  <c r="L80" i="10"/>
  <c r="L79" i="10"/>
  <c r="L78" i="10"/>
  <c r="L77" i="10"/>
  <c r="L76" i="10"/>
  <c r="L75" i="10"/>
  <c r="L74" i="10"/>
  <c r="L73" i="10"/>
  <c r="L72" i="10"/>
  <c r="L71" i="10"/>
  <c r="L70" i="10"/>
  <c r="L69" i="10"/>
  <c r="L68" i="10"/>
  <c r="L67" i="10"/>
  <c r="L66" i="10"/>
  <c r="L65" i="10"/>
  <c r="L64" i="10"/>
  <c r="L63" i="10"/>
  <c r="L62" i="10"/>
  <c r="L61" i="10"/>
  <c r="L60" i="10"/>
  <c r="L59" i="10"/>
  <c r="L58" i="10"/>
  <c r="L57" i="10"/>
  <c r="L56" i="10"/>
  <c r="L55" i="10"/>
  <c r="L54" i="10"/>
  <c r="L53" i="10"/>
  <c r="L52" i="10"/>
  <c r="L51" i="10"/>
  <c r="L50" i="10"/>
  <c r="L49" i="10"/>
  <c r="L48" i="10"/>
  <c r="L47" i="10"/>
  <c r="L46" i="10"/>
  <c r="L45" i="10"/>
  <c r="L44" i="10"/>
  <c r="L43" i="10"/>
  <c r="L42" i="10"/>
  <c r="L41" i="10"/>
  <c r="L40" i="10"/>
  <c r="L39" i="10"/>
  <c r="L38" i="10"/>
  <c r="L37" i="10"/>
  <c r="L36" i="10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13" i="10"/>
  <c r="L12" i="10"/>
  <c r="L11" i="10"/>
  <c r="L10" i="10"/>
  <c r="L9" i="10"/>
  <c r="L8" i="10"/>
  <c r="L1109" i="9"/>
  <c r="L1108" i="9"/>
  <c r="L1107" i="9"/>
  <c r="L1106" i="9"/>
  <c r="L1105" i="9"/>
  <c r="L1104" i="9"/>
  <c r="L1103" i="9"/>
  <c r="L1102" i="9"/>
  <c r="L1101" i="9"/>
  <c r="L1100" i="9"/>
  <c r="L1099" i="9"/>
  <c r="L1098" i="9"/>
  <c r="L1097" i="9"/>
  <c r="L1096" i="9"/>
  <c r="L1095" i="9"/>
  <c r="L1094" i="9"/>
  <c r="L1093" i="9"/>
  <c r="L1092" i="9"/>
  <c r="L1091" i="9"/>
  <c r="L1090" i="9"/>
  <c r="L1089" i="9"/>
  <c r="L1088" i="9"/>
  <c r="L1087" i="9"/>
  <c r="L1086" i="9"/>
  <c r="L1085" i="9"/>
  <c r="L1084" i="9"/>
  <c r="L1083" i="9"/>
  <c r="L1082" i="9"/>
  <c r="L1081" i="9"/>
  <c r="L1080" i="9"/>
  <c r="L1079" i="9"/>
  <c r="L1078" i="9"/>
  <c r="L1077" i="9"/>
  <c r="L1076" i="9"/>
  <c r="L1075" i="9"/>
  <c r="L1074" i="9"/>
  <c r="L1073" i="9"/>
  <c r="L1072" i="9"/>
  <c r="L1071" i="9"/>
  <c r="L1070" i="9"/>
  <c r="L1069" i="9"/>
  <c r="L1068" i="9"/>
  <c r="L1067" i="9"/>
  <c r="L1066" i="9"/>
  <c r="L1065" i="9"/>
  <c r="L1064" i="9"/>
  <c r="L1063" i="9"/>
  <c r="L1062" i="9"/>
  <c r="L1061" i="9"/>
  <c r="L1060" i="9"/>
  <c r="L1059" i="9"/>
  <c r="L1058" i="9"/>
  <c r="L1057" i="9"/>
  <c r="L1056" i="9"/>
  <c r="L1055" i="9"/>
  <c r="L1054" i="9"/>
  <c r="L1053" i="9"/>
  <c r="L1052" i="9"/>
  <c r="L1051" i="9"/>
  <c r="L1050" i="9"/>
  <c r="L1049" i="9"/>
  <c r="L1048" i="9"/>
  <c r="L1047" i="9"/>
  <c r="L1046" i="9"/>
  <c r="L1045" i="9"/>
  <c r="L1044" i="9"/>
  <c r="L1043" i="9"/>
  <c r="L1042" i="9"/>
  <c r="L1041" i="9"/>
  <c r="L1040" i="9"/>
  <c r="L1039" i="9"/>
  <c r="L1038" i="9"/>
  <c r="L1037" i="9"/>
  <c r="L1036" i="9"/>
  <c r="L1035" i="9"/>
  <c r="L1034" i="9"/>
  <c r="L1033" i="9"/>
  <c r="L1032" i="9"/>
  <c r="L1031" i="9"/>
  <c r="L1030" i="9"/>
  <c r="L1029" i="9"/>
  <c r="L1028" i="9"/>
  <c r="L1027" i="9"/>
  <c r="L1026" i="9"/>
  <c r="L1025" i="9"/>
  <c r="L1024" i="9"/>
  <c r="L1023" i="9"/>
  <c r="L1022" i="9"/>
  <c r="L1021" i="9"/>
  <c r="L1020" i="9"/>
  <c r="L1019" i="9"/>
  <c r="L1018" i="9"/>
  <c r="L1017" i="9"/>
  <c r="L1016" i="9"/>
  <c r="L1015" i="9"/>
  <c r="L1014" i="9"/>
  <c r="L1013" i="9"/>
  <c r="L1012" i="9"/>
  <c r="L1011" i="9"/>
  <c r="L1010" i="9"/>
  <c r="L1009" i="9"/>
  <c r="L1008" i="9"/>
  <c r="L1007" i="9"/>
  <c r="L1006" i="9"/>
  <c r="L1005" i="9"/>
  <c r="L1004" i="9"/>
  <c r="L1003" i="9"/>
  <c r="L1002" i="9"/>
  <c r="L1001" i="9"/>
  <c r="L1000" i="9"/>
  <c r="L999" i="9"/>
  <c r="L998" i="9"/>
  <c r="L997" i="9"/>
  <c r="L996" i="9"/>
  <c r="L995" i="9"/>
  <c r="L994" i="9"/>
  <c r="L993" i="9"/>
  <c r="L992" i="9"/>
  <c r="L991" i="9"/>
  <c r="L990" i="9"/>
  <c r="L989" i="9"/>
  <c r="L988" i="9"/>
  <c r="L987" i="9"/>
  <c r="L986" i="9"/>
  <c r="L985" i="9"/>
  <c r="L984" i="9"/>
  <c r="L983" i="9"/>
  <c r="L982" i="9"/>
  <c r="L981" i="9"/>
  <c r="L980" i="9"/>
  <c r="L979" i="9"/>
  <c r="L978" i="9"/>
  <c r="L977" i="9"/>
  <c r="L976" i="9"/>
  <c r="L975" i="9"/>
  <c r="L974" i="9"/>
  <c r="L973" i="9"/>
  <c r="L972" i="9"/>
  <c r="L971" i="9"/>
  <c r="L970" i="9"/>
  <c r="L969" i="9"/>
  <c r="L968" i="9"/>
  <c r="L967" i="9"/>
  <c r="L966" i="9"/>
  <c r="L965" i="9"/>
  <c r="L964" i="9"/>
  <c r="L963" i="9"/>
  <c r="L962" i="9"/>
  <c r="L961" i="9"/>
  <c r="L960" i="9"/>
  <c r="L959" i="9"/>
  <c r="L958" i="9"/>
  <c r="L957" i="9"/>
  <c r="L956" i="9"/>
  <c r="L955" i="9"/>
  <c r="L954" i="9"/>
  <c r="L953" i="9"/>
  <c r="L952" i="9"/>
  <c r="L951" i="9"/>
  <c r="L950" i="9"/>
  <c r="L949" i="9"/>
  <c r="L948" i="9"/>
  <c r="L947" i="9"/>
  <c r="L946" i="9"/>
  <c r="L945" i="9"/>
  <c r="L944" i="9"/>
  <c r="L943" i="9"/>
  <c r="L942" i="9"/>
  <c r="L941" i="9"/>
  <c r="L940" i="9"/>
  <c r="L939" i="9"/>
  <c r="L938" i="9"/>
  <c r="L937" i="9"/>
  <c r="L936" i="9"/>
  <c r="L935" i="9"/>
  <c r="L934" i="9"/>
  <c r="L933" i="9"/>
  <c r="L932" i="9"/>
  <c r="L931" i="9"/>
  <c r="L930" i="9"/>
  <c r="L929" i="9"/>
  <c r="L928" i="9"/>
  <c r="L927" i="9"/>
  <c r="L926" i="9"/>
  <c r="L925" i="9"/>
  <c r="L924" i="9"/>
  <c r="L923" i="9"/>
  <c r="L922" i="9"/>
  <c r="L921" i="9"/>
  <c r="L920" i="9"/>
  <c r="L919" i="9"/>
  <c r="L918" i="9"/>
  <c r="L917" i="9"/>
  <c r="L916" i="9"/>
  <c r="L915" i="9"/>
  <c r="L914" i="9"/>
  <c r="L913" i="9"/>
  <c r="L912" i="9"/>
  <c r="L911" i="9"/>
  <c r="L910" i="9"/>
  <c r="L909" i="9"/>
  <c r="L908" i="9"/>
  <c r="L907" i="9"/>
  <c r="L906" i="9"/>
  <c r="L905" i="9"/>
  <c r="L904" i="9"/>
  <c r="L903" i="9"/>
  <c r="L902" i="9"/>
  <c r="L901" i="9"/>
  <c r="L900" i="9"/>
  <c r="L899" i="9"/>
  <c r="L898" i="9"/>
  <c r="L897" i="9"/>
  <c r="L896" i="9"/>
  <c r="L895" i="9"/>
  <c r="L894" i="9"/>
  <c r="L893" i="9"/>
  <c r="L892" i="9"/>
  <c r="L891" i="9"/>
  <c r="L890" i="9"/>
  <c r="L889" i="9"/>
  <c r="L888" i="9"/>
  <c r="L887" i="9"/>
  <c r="L886" i="9"/>
  <c r="L885" i="9"/>
  <c r="L884" i="9"/>
  <c r="L883" i="9"/>
  <c r="L882" i="9"/>
  <c r="L881" i="9"/>
  <c r="L880" i="9"/>
  <c r="L879" i="9"/>
  <c r="L878" i="9"/>
  <c r="L877" i="9"/>
  <c r="L876" i="9"/>
  <c r="L875" i="9"/>
  <c r="L874" i="9"/>
  <c r="L873" i="9"/>
  <c r="L872" i="9"/>
  <c r="L871" i="9"/>
  <c r="L870" i="9"/>
  <c r="L869" i="9"/>
  <c r="L868" i="9"/>
  <c r="L867" i="9"/>
  <c r="L866" i="9"/>
  <c r="L865" i="9"/>
  <c r="L864" i="9"/>
  <c r="L863" i="9"/>
  <c r="L862" i="9"/>
  <c r="L861" i="9"/>
  <c r="L860" i="9"/>
  <c r="L859" i="9"/>
  <c r="L858" i="9"/>
  <c r="L857" i="9"/>
  <c r="L856" i="9"/>
  <c r="L855" i="9"/>
  <c r="L854" i="9"/>
  <c r="L853" i="9"/>
  <c r="L852" i="9"/>
  <c r="L851" i="9"/>
  <c r="L850" i="9"/>
  <c r="L849" i="9"/>
  <c r="L848" i="9"/>
  <c r="L847" i="9"/>
  <c r="L846" i="9"/>
  <c r="L845" i="9"/>
  <c r="L844" i="9"/>
  <c r="L843" i="9"/>
  <c r="L842" i="9"/>
  <c r="L841" i="9"/>
  <c r="L840" i="9"/>
  <c r="L839" i="9"/>
  <c r="L838" i="9"/>
  <c r="L837" i="9"/>
  <c r="L836" i="9"/>
  <c r="L835" i="9"/>
  <c r="L834" i="9"/>
  <c r="L833" i="9"/>
  <c r="L832" i="9"/>
  <c r="L831" i="9"/>
  <c r="L830" i="9"/>
  <c r="L829" i="9"/>
  <c r="L828" i="9"/>
  <c r="L827" i="9"/>
  <c r="L826" i="9"/>
  <c r="L825" i="9"/>
  <c r="L824" i="9"/>
  <c r="L823" i="9"/>
  <c r="L822" i="9"/>
  <c r="L821" i="9"/>
  <c r="L820" i="9"/>
  <c r="L819" i="9"/>
  <c r="L818" i="9"/>
  <c r="L817" i="9"/>
  <c r="L816" i="9"/>
  <c r="L815" i="9"/>
  <c r="L814" i="9"/>
  <c r="L813" i="9"/>
  <c r="L812" i="9"/>
  <c r="L811" i="9"/>
  <c r="L810" i="9"/>
  <c r="L809" i="9"/>
  <c r="L808" i="9"/>
  <c r="L807" i="9"/>
  <c r="L806" i="9"/>
  <c r="L805" i="9"/>
  <c r="L804" i="9"/>
  <c r="L803" i="9"/>
  <c r="L802" i="9"/>
  <c r="L801" i="9"/>
  <c r="L800" i="9"/>
  <c r="L799" i="9"/>
  <c r="L798" i="9"/>
  <c r="L797" i="9"/>
  <c r="L796" i="9"/>
  <c r="L795" i="9"/>
  <c r="L794" i="9"/>
  <c r="L793" i="9"/>
  <c r="L792" i="9"/>
  <c r="L791" i="9"/>
  <c r="L790" i="9"/>
  <c r="L789" i="9"/>
  <c r="L788" i="9"/>
  <c r="L787" i="9"/>
  <c r="L786" i="9"/>
  <c r="L785" i="9"/>
  <c r="L784" i="9"/>
  <c r="L783" i="9"/>
  <c r="L782" i="9"/>
  <c r="L781" i="9"/>
  <c r="L780" i="9"/>
  <c r="L779" i="9"/>
  <c r="L778" i="9"/>
  <c r="L777" i="9"/>
  <c r="L776" i="9"/>
  <c r="L775" i="9"/>
  <c r="L774" i="9"/>
  <c r="L773" i="9"/>
  <c r="L772" i="9"/>
  <c r="L771" i="9"/>
  <c r="L770" i="9"/>
  <c r="L769" i="9"/>
  <c r="L768" i="9"/>
  <c r="L767" i="9"/>
  <c r="L766" i="9"/>
  <c r="L765" i="9"/>
  <c r="L764" i="9"/>
  <c r="L763" i="9"/>
  <c r="L762" i="9"/>
  <c r="L761" i="9"/>
  <c r="L760" i="9"/>
  <c r="L759" i="9"/>
  <c r="L758" i="9"/>
  <c r="L757" i="9"/>
  <c r="L756" i="9"/>
  <c r="L755" i="9"/>
  <c r="L754" i="9"/>
  <c r="L753" i="9"/>
  <c r="L752" i="9"/>
  <c r="L751" i="9"/>
  <c r="L750" i="9"/>
  <c r="L749" i="9"/>
  <c r="L748" i="9"/>
  <c r="L747" i="9"/>
  <c r="L746" i="9"/>
  <c r="L745" i="9"/>
  <c r="L744" i="9"/>
  <c r="L743" i="9"/>
  <c r="L742" i="9"/>
  <c r="L741" i="9"/>
  <c r="L740" i="9"/>
  <c r="L739" i="9"/>
  <c r="L738" i="9"/>
  <c r="L737" i="9"/>
  <c r="L736" i="9"/>
  <c r="L735" i="9"/>
  <c r="L734" i="9"/>
  <c r="L733" i="9"/>
  <c r="L732" i="9"/>
  <c r="L731" i="9"/>
  <c r="L730" i="9"/>
  <c r="L729" i="9"/>
  <c r="L728" i="9"/>
  <c r="L727" i="9"/>
  <c r="L726" i="9"/>
  <c r="L725" i="9"/>
  <c r="L724" i="9"/>
  <c r="L723" i="9"/>
  <c r="L722" i="9"/>
  <c r="L721" i="9"/>
  <c r="L720" i="9"/>
  <c r="L719" i="9"/>
  <c r="L718" i="9"/>
  <c r="L717" i="9"/>
  <c r="L716" i="9"/>
  <c r="L715" i="9"/>
  <c r="L714" i="9"/>
  <c r="L713" i="9"/>
  <c r="L712" i="9"/>
  <c r="L711" i="9"/>
  <c r="L710" i="9"/>
  <c r="L709" i="9"/>
  <c r="L708" i="9"/>
  <c r="L707" i="9"/>
  <c r="L706" i="9"/>
  <c r="L705" i="9"/>
  <c r="L704" i="9"/>
  <c r="L703" i="9"/>
  <c r="L702" i="9"/>
  <c r="L701" i="9"/>
  <c r="L700" i="9"/>
  <c r="L699" i="9"/>
  <c r="L698" i="9"/>
  <c r="L697" i="9"/>
  <c r="L696" i="9"/>
  <c r="L695" i="9"/>
  <c r="L694" i="9"/>
  <c r="L693" i="9"/>
  <c r="L692" i="9"/>
  <c r="L691" i="9"/>
  <c r="L690" i="9"/>
  <c r="L689" i="9"/>
  <c r="L688" i="9"/>
  <c r="L687" i="9"/>
  <c r="L686" i="9"/>
  <c r="L685" i="9"/>
  <c r="L684" i="9"/>
  <c r="L683" i="9"/>
  <c r="L682" i="9"/>
  <c r="L681" i="9"/>
  <c r="L680" i="9"/>
  <c r="L679" i="9"/>
  <c r="L678" i="9"/>
  <c r="L677" i="9"/>
  <c r="L676" i="9"/>
  <c r="L675" i="9"/>
  <c r="L674" i="9"/>
  <c r="L673" i="9"/>
  <c r="L672" i="9"/>
  <c r="L671" i="9"/>
  <c r="L670" i="9"/>
  <c r="L669" i="9"/>
  <c r="L668" i="9"/>
  <c r="L667" i="9"/>
  <c r="L666" i="9"/>
  <c r="L665" i="9"/>
  <c r="L664" i="9"/>
  <c r="L663" i="9"/>
  <c r="L662" i="9"/>
  <c r="L661" i="9"/>
  <c r="L660" i="9"/>
  <c r="L659" i="9"/>
  <c r="L658" i="9"/>
  <c r="L657" i="9"/>
  <c r="L656" i="9"/>
  <c r="L655" i="9"/>
  <c r="L654" i="9"/>
  <c r="L653" i="9"/>
  <c r="L652" i="9"/>
  <c r="L651" i="9"/>
  <c r="L650" i="9"/>
  <c r="L649" i="9"/>
  <c r="L648" i="9"/>
  <c r="L647" i="9"/>
  <c r="L646" i="9"/>
  <c r="L645" i="9"/>
  <c r="L644" i="9"/>
  <c r="L643" i="9"/>
  <c r="L642" i="9"/>
  <c r="L641" i="9"/>
  <c r="L640" i="9"/>
  <c r="L639" i="9"/>
  <c r="L638" i="9"/>
  <c r="L637" i="9"/>
  <c r="L636" i="9"/>
  <c r="L635" i="9"/>
  <c r="L634" i="9"/>
  <c r="L633" i="9"/>
  <c r="L632" i="9"/>
  <c r="L631" i="9"/>
  <c r="L630" i="9"/>
  <c r="L629" i="9"/>
  <c r="L628" i="9"/>
  <c r="L627" i="9"/>
  <c r="L626" i="9"/>
  <c r="L625" i="9"/>
  <c r="L624" i="9"/>
  <c r="L623" i="9"/>
  <c r="L622" i="9"/>
  <c r="L621" i="9"/>
  <c r="L620" i="9"/>
  <c r="L619" i="9"/>
  <c r="L618" i="9"/>
  <c r="L617" i="9"/>
  <c r="L616" i="9"/>
  <c r="L615" i="9"/>
  <c r="L614" i="9"/>
  <c r="L613" i="9"/>
  <c r="L612" i="9"/>
  <c r="L611" i="9"/>
  <c r="L610" i="9"/>
  <c r="L609" i="9"/>
  <c r="L608" i="9"/>
  <c r="L607" i="9"/>
  <c r="L606" i="9"/>
  <c r="L605" i="9"/>
  <c r="L604" i="9"/>
  <c r="L603" i="9"/>
  <c r="L602" i="9"/>
  <c r="L601" i="9"/>
  <c r="L600" i="9"/>
  <c r="L599" i="9"/>
  <c r="L598" i="9"/>
  <c r="L597" i="9"/>
  <c r="L596" i="9"/>
  <c r="L595" i="9"/>
  <c r="L594" i="9"/>
  <c r="L593" i="9"/>
  <c r="L592" i="9"/>
  <c r="L591" i="9"/>
  <c r="L590" i="9"/>
  <c r="L589" i="9"/>
  <c r="L588" i="9"/>
  <c r="L587" i="9"/>
  <c r="L586" i="9"/>
  <c r="L585" i="9"/>
  <c r="L584" i="9"/>
  <c r="L583" i="9"/>
  <c r="L582" i="9"/>
  <c r="L581" i="9"/>
  <c r="L580" i="9"/>
  <c r="L579" i="9"/>
  <c r="L578" i="9"/>
  <c r="L577" i="9"/>
  <c r="L576" i="9"/>
  <c r="L575" i="9"/>
  <c r="L574" i="9"/>
  <c r="L573" i="9"/>
  <c r="L572" i="9"/>
  <c r="L571" i="9"/>
  <c r="L570" i="9"/>
  <c r="L569" i="9"/>
  <c r="L568" i="9"/>
  <c r="L567" i="9"/>
  <c r="L566" i="9"/>
  <c r="L565" i="9"/>
  <c r="L564" i="9"/>
  <c r="L563" i="9"/>
  <c r="L562" i="9"/>
  <c r="L561" i="9"/>
  <c r="L560" i="9"/>
  <c r="L559" i="9"/>
  <c r="L558" i="9"/>
  <c r="L557" i="9"/>
  <c r="L556" i="9"/>
  <c r="L555" i="9"/>
  <c r="L554" i="9"/>
  <c r="L553" i="9"/>
  <c r="L552" i="9"/>
  <c r="L551" i="9"/>
  <c r="L550" i="9"/>
  <c r="L549" i="9"/>
  <c r="L548" i="9"/>
  <c r="L547" i="9"/>
  <c r="L546" i="9"/>
  <c r="L545" i="9"/>
  <c r="L544" i="9"/>
  <c r="L543" i="9"/>
  <c r="L542" i="9"/>
  <c r="L541" i="9"/>
  <c r="L540" i="9"/>
  <c r="L539" i="9"/>
  <c r="L538" i="9"/>
  <c r="L537" i="9"/>
  <c r="L536" i="9"/>
  <c r="L535" i="9"/>
  <c r="L534" i="9"/>
  <c r="L533" i="9"/>
  <c r="L532" i="9"/>
  <c r="L531" i="9"/>
  <c r="L530" i="9"/>
  <c r="L529" i="9"/>
  <c r="L528" i="9"/>
  <c r="L527" i="9"/>
  <c r="L526" i="9"/>
  <c r="L525" i="9"/>
  <c r="L524" i="9"/>
  <c r="L523" i="9"/>
  <c r="L522" i="9"/>
  <c r="L521" i="9"/>
  <c r="L520" i="9"/>
  <c r="L519" i="9"/>
  <c r="L518" i="9"/>
  <c r="L517" i="9"/>
  <c r="L516" i="9"/>
  <c r="L515" i="9"/>
  <c r="L514" i="9"/>
  <c r="L513" i="9"/>
  <c r="L512" i="9"/>
  <c r="L511" i="9"/>
  <c r="L510" i="9"/>
  <c r="L509" i="9"/>
  <c r="L508" i="9"/>
  <c r="L507" i="9"/>
  <c r="L506" i="9"/>
  <c r="L505" i="9"/>
  <c r="L504" i="9"/>
  <c r="L503" i="9"/>
  <c r="L502" i="9"/>
  <c r="L501" i="9"/>
  <c r="L500" i="9"/>
  <c r="L499" i="9"/>
  <c r="L498" i="9"/>
  <c r="L497" i="9"/>
  <c r="L496" i="9"/>
  <c r="L495" i="9"/>
  <c r="L494" i="9"/>
  <c r="L493" i="9"/>
  <c r="L492" i="9"/>
  <c r="L491" i="9"/>
  <c r="L490" i="9"/>
  <c r="L489" i="9"/>
  <c r="L488" i="9"/>
  <c r="L487" i="9"/>
  <c r="L486" i="9"/>
  <c r="L485" i="9"/>
  <c r="L484" i="9"/>
  <c r="L483" i="9"/>
  <c r="L482" i="9"/>
  <c r="L481" i="9"/>
  <c r="L480" i="9"/>
  <c r="L479" i="9"/>
  <c r="L478" i="9"/>
  <c r="L477" i="9"/>
  <c r="L476" i="9"/>
  <c r="L475" i="9"/>
  <c r="L474" i="9"/>
  <c r="L473" i="9"/>
  <c r="L472" i="9"/>
  <c r="L471" i="9"/>
  <c r="L470" i="9"/>
  <c r="L469" i="9"/>
  <c r="L468" i="9"/>
  <c r="L467" i="9"/>
  <c r="L466" i="9"/>
  <c r="L465" i="9"/>
  <c r="L464" i="9"/>
  <c r="L463" i="9"/>
  <c r="L462" i="9"/>
  <c r="L461" i="9"/>
  <c r="L460" i="9"/>
  <c r="L459" i="9"/>
  <c r="L458" i="9"/>
  <c r="L457" i="9"/>
  <c r="L456" i="9"/>
  <c r="L455" i="9"/>
  <c r="L454" i="9"/>
  <c r="L453" i="9"/>
  <c r="L452" i="9"/>
  <c r="L451" i="9"/>
  <c r="L450" i="9"/>
  <c r="L449" i="9"/>
  <c r="L448" i="9"/>
  <c r="L447" i="9"/>
  <c r="L446" i="9"/>
  <c r="L445" i="9"/>
  <c r="L444" i="9"/>
  <c r="L443" i="9"/>
  <c r="L442" i="9"/>
  <c r="L441" i="9"/>
  <c r="L440" i="9"/>
  <c r="L439" i="9"/>
  <c r="L438" i="9"/>
  <c r="L437" i="9"/>
  <c r="L436" i="9"/>
  <c r="L435" i="9"/>
  <c r="L434" i="9"/>
  <c r="L433" i="9"/>
  <c r="L432" i="9"/>
  <c r="L431" i="9"/>
  <c r="L430" i="9"/>
  <c r="L429" i="9"/>
  <c r="L428" i="9"/>
  <c r="L427" i="9"/>
  <c r="L426" i="9"/>
  <c r="L425" i="9"/>
  <c r="L424" i="9"/>
  <c r="L423" i="9"/>
  <c r="L422" i="9"/>
  <c r="L421" i="9"/>
  <c r="L420" i="9"/>
  <c r="L419" i="9"/>
  <c r="L418" i="9"/>
  <c r="L417" i="9"/>
  <c r="L416" i="9"/>
  <c r="L415" i="9"/>
  <c r="L414" i="9"/>
  <c r="L413" i="9"/>
  <c r="L412" i="9"/>
  <c r="L411" i="9"/>
  <c r="L410" i="9"/>
  <c r="L409" i="9"/>
  <c r="L408" i="9"/>
  <c r="L407" i="9"/>
  <c r="L406" i="9"/>
  <c r="L405" i="9"/>
  <c r="L404" i="9"/>
  <c r="L403" i="9"/>
  <c r="L402" i="9"/>
  <c r="L401" i="9"/>
  <c r="L400" i="9"/>
  <c r="L399" i="9"/>
  <c r="L398" i="9"/>
  <c r="L397" i="9"/>
  <c r="L396" i="9"/>
  <c r="L395" i="9"/>
  <c r="L394" i="9"/>
  <c r="L393" i="9"/>
  <c r="L392" i="9"/>
  <c r="L391" i="9"/>
  <c r="L390" i="9"/>
  <c r="L389" i="9"/>
  <c r="L388" i="9"/>
  <c r="L387" i="9"/>
  <c r="L386" i="9"/>
  <c r="L385" i="9"/>
  <c r="L384" i="9"/>
  <c r="L383" i="9"/>
  <c r="L382" i="9"/>
  <c r="L381" i="9"/>
  <c r="L380" i="9"/>
  <c r="L379" i="9"/>
  <c r="L378" i="9"/>
  <c r="L377" i="9"/>
  <c r="L376" i="9"/>
  <c r="L375" i="9"/>
  <c r="L374" i="9"/>
  <c r="L373" i="9"/>
  <c r="L372" i="9"/>
  <c r="L371" i="9"/>
  <c r="L370" i="9"/>
  <c r="L369" i="9"/>
  <c r="L368" i="9"/>
  <c r="L367" i="9"/>
  <c r="L366" i="9"/>
  <c r="L365" i="9"/>
  <c r="L364" i="9"/>
  <c r="L363" i="9"/>
  <c r="L362" i="9"/>
  <c r="L361" i="9"/>
  <c r="L360" i="9"/>
  <c r="L359" i="9"/>
  <c r="L358" i="9"/>
  <c r="L357" i="9"/>
  <c r="L356" i="9"/>
  <c r="L355" i="9"/>
  <c r="L354" i="9"/>
  <c r="L353" i="9"/>
  <c r="L352" i="9"/>
  <c r="L351" i="9"/>
  <c r="L350" i="9"/>
  <c r="L349" i="9"/>
  <c r="L348" i="9"/>
  <c r="L347" i="9"/>
  <c r="L346" i="9"/>
  <c r="L345" i="9"/>
  <c r="L344" i="9"/>
  <c r="L343" i="9"/>
  <c r="L342" i="9"/>
  <c r="L341" i="9"/>
  <c r="L340" i="9"/>
  <c r="L339" i="9"/>
  <c r="L338" i="9"/>
  <c r="L337" i="9"/>
  <c r="L336" i="9"/>
  <c r="L335" i="9"/>
  <c r="L334" i="9"/>
  <c r="L333" i="9"/>
  <c r="L332" i="9"/>
  <c r="L331" i="9"/>
  <c r="L330" i="9"/>
  <c r="L329" i="9"/>
  <c r="L328" i="9"/>
  <c r="L327" i="9"/>
  <c r="L326" i="9"/>
  <c r="L325" i="9"/>
  <c r="L324" i="9"/>
  <c r="L323" i="9"/>
  <c r="L322" i="9"/>
  <c r="L321" i="9"/>
  <c r="L320" i="9"/>
  <c r="L319" i="9"/>
  <c r="L318" i="9"/>
  <c r="L317" i="9"/>
  <c r="L316" i="9"/>
  <c r="L315" i="9"/>
  <c r="L314" i="9"/>
  <c r="L313" i="9"/>
  <c r="L312" i="9"/>
  <c r="L311" i="9"/>
  <c r="L310" i="9"/>
  <c r="L309" i="9"/>
  <c r="L308" i="9"/>
  <c r="L307" i="9"/>
  <c r="L306" i="9"/>
  <c r="L305" i="9"/>
  <c r="L304" i="9"/>
  <c r="L303" i="9"/>
  <c r="L302" i="9"/>
  <c r="L301" i="9"/>
  <c r="L300" i="9"/>
  <c r="L299" i="9"/>
  <c r="L298" i="9"/>
  <c r="L297" i="9"/>
  <c r="L296" i="9"/>
  <c r="L295" i="9"/>
  <c r="L294" i="9"/>
  <c r="L293" i="9"/>
  <c r="L292" i="9"/>
  <c r="L291" i="9"/>
  <c r="L290" i="9"/>
  <c r="L289" i="9"/>
  <c r="L288" i="9"/>
  <c r="L287" i="9"/>
  <c r="L286" i="9"/>
  <c r="L285" i="9"/>
  <c r="L284" i="9"/>
  <c r="L283" i="9"/>
  <c r="L282" i="9"/>
  <c r="L281" i="9"/>
  <c r="L280" i="9"/>
  <c r="L279" i="9"/>
  <c r="L278" i="9"/>
  <c r="L277" i="9"/>
  <c r="L276" i="9"/>
  <c r="L275" i="9"/>
  <c r="L274" i="9"/>
  <c r="L273" i="9"/>
  <c r="L272" i="9"/>
  <c r="L271" i="9"/>
  <c r="L270" i="9"/>
  <c r="L269" i="9"/>
  <c r="L268" i="9"/>
  <c r="L267" i="9"/>
  <c r="L266" i="9"/>
  <c r="L265" i="9"/>
  <c r="L264" i="9"/>
  <c r="L263" i="9"/>
  <c r="L262" i="9"/>
  <c r="L261" i="9"/>
  <c r="L260" i="9"/>
  <c r="L259" i="9"/>
  <c r="L258" i="9"/>
  <c r="L257" i="9"/>
  <c r="L256" i="9"/>
  <c r="L255" i="9"/>
  <c r="L254" i="9"/>
  <c r="L253" i="9"/>
  <c r="L252" i="9"/>
  <c r="L251" i="9"/>
  <c r="L250" i="9"/>
  <c r="L249" i="9"/>
  <c r="L248" i="9"/>
  <c r="L247" i="9"/>
  <c r="L246" i="9"/>
  <c r="L245" i="9"/>
  <c r="L244" i="9"/>
  <c r="L243" i="9"/>
  <c r="L242" i="9"/>
  <c r="L241" i="9"/>
  <c r="L240" i="9"/>
  <c r="L239" i="9"/>
  <c r="L238" i="9"/>
  <c r="L237" i="9"/>
  <c r="L236" i="9"/>
  <c r="L235" i="9"/>
  <c r="L234" i="9"/>
  <c r="L233" i="9"/>
  <c r="L232" i="9"/>
  <c r="L231" i="9"/>
  <c r="L230" i="9"/>
  <c r="L229" i="9"/>
  <c r="L228" i="9"/>
  <c r="L227" i="9"/>
  <c r="L226" i="9"/>
  <c r="L225" i="9"/>
  <c r="L224" i="9"/>
  <c r="L223" i="9"/>
  <c r="L222" i="9"/>
  <c r="L221" i="9"/>
  <c r="L220" i="9"/>
  <c r="L219" i="9"/>
  <c r="L218" i="9"/>
  <c r="L217" i="9"/>
  <c r="L216" i="9"/>
  <c r="L215" i="9"/>
  <c r="L214" i="9"/>
  <c r="L213" i="9"/>
  <c r="L212" i="9"/>
  <c r="L211" i="9"/>
  <c r="L210" i="9"/>
  <c r="L209" i="9"/>
  <c r="L208" i="9"/>
  <c r="L207" i="9"/>
  <c r="L206" i="9"/>
  <c r="L205" i="9"/>
  <c r="L204" i="9"/>
  <c r="L203" i="9"/>
  <c r="L202" i="9"/>
  <c r="L201" i="9"/>
  <c r="L200" i="9"/>
  <c r="L199" i="9"/>
  <c r="L198" i="9"/>
  <c r="L197" i="9"/>
  <c r="L196" i="9"/>
  <c r="L195" i="9"/>
  <c r="L194" i="9"/>
  <c r="L193" i="9"/>
  <c r="L192" i="9"/>
  <c r="L191" i="9"/>
  <c r="L190" i="9"/>
  <c r="L189" i="9"/>
  <c r="L188" i="9"/>
  <c r="L187" i="9"/>
  <c r="L186" i="9"/>
  <c r="L185" i="9"/>
  <c r="L184" i="9"/>
  <c r="L183" i="9"/>
  <c r="L182" i="9"/>
  <c r="L181" i="9"/>
  <c r="L180" i="9"/>
  <c r="L179" i="9"/>
  <c r="L178" i="9"/>
  <c r="L177" i="9"/>
  <c r="L176" i="9"/>
  <c r="L175" i="9"/>
  <c r="L174" i="9"/>
  <c r="L173" i="9"/>
  <c r="L172" i="9"/>
  <c r="L171" i="9"/>
  <c r="L170" i="9"/>
  <c r="L169" i="9"/>
  <c r="L168" i="9"/>
  <c r="L167" i="9"/>
  <c r="L166" i="9"/>
  <c r="L165" i="9"/>
  <c r="L164" i="9"/>
  <c r="L163" i="9"/>
  <c r="L162" i="9"/>
  <c r="L161" i="9"/>
  <c r="L160" i="9"/>
  <c r="L159" i="9"/>
  <c r="L158" i="9"/>
  <c r="L157" i="9"/>
  <c r="L156" i="9"/>
  <c r="L155" i="9"/>
  <c r="L154" i="9"/>
  <c r="L153" i="9"/>
  <c r="L152" i="9"/>
  <c r="L151" i="9"/>
  <c r="L150" i="9"/>
  <c r="L149" i="9"/>
  <c r="L148" i="9"/>
  <c r="L147" i="9"/>
  <c r="L146" i="9"/>
  <c r="L145" i="9"/>
  <c r="L144" i="9"/>
  <c r="L143" i="9"/>
  <c r="L142" i="9"/>
  <c r="L141" i="9"/>
  <c r="L140" i="9"/>
  <c r="L139" i="9"/>
  <c r="L138" i="9"/>
  <c r="L137" i="9"/>
  <c r="L136" i="9"/>
  <c r="L135" i="9"/>
  <c r="L134" i="9"/>
  <c r="L133" i="9"/>
  <c r="L132" i="9"/>
  <c r="L131" i="9"/>
  <c r="L130" i="9"/>
  <c r="L129" i="9"/>
  <c r="L128" i="9"/>
  <c r="L127" i="9"/>
  <c r="L126" i="9"/>
  <c r="L125" i="9"/>
  <c r="L124" i="9"/>
  <c r="L123" i="9"/>
  <c r="L122" i="9"/>
  <c r="L121" i="9"/>
  <c r="L120" i="9"/>
  <c r="L119" i="9"/>
  <c r="L118" i="9"/>
  <c r="L117" i="9"/>
  <c r="L116" i="9"/>
  <c r="L115" i="9"/>
  <c r="L114" i="9"/>
  <c r="L113" i="9"/>
  <c r="L112" i="9"/>
  <c r="L111" i="9"/>
  <c r="L110" i="9"/>
  <c r="L109" i="9"/>
  <c r="L108" i="9"/>
  <c r="L107" i="9"/>
  <c r="L106" i="9"/>
  <c r="L105" i="9"/>
  <c r="L104" i="9"/>
  <c r="L103" i="9"/>
  <c r="L102" i="9"/>
  <c r="L101" i="9"/>
  <c r="L100" i="9"/>
  <c r="L99" i="9"/>
  <c r="L98" i="9"/>
  <c r="L97" i="9"/>
  <c r="L96" i="9"/>
  <c r="L95" i="9"/>
  <c r="L94" i="9"/>
  <c r="L93" i="9"/>
  <c r="L92" i="9"/>
  <c r="L91" i="9"/>
  <c r="L90" i="9"/>
  <c r="L89" i="9"/>
  <c r="L88" i="9"/>
  <c r="L87" i="9"/>
  <c r="L86" i="9"/>
  <c r="L85" i="9"/>
  <c r="L84" i="9"/>
  <c r="L83" i="9"/>
  <c r="L82" i="9"/>
  <c r="L81" i="9"/>
  <c r="L80" i="9"/>
  <c r="L79" i="9"/>
  <c r="L78" i="9"/>
  <c r="L77" i="9"/>
  <c r="L76" i="9"/>
  <c r="L75" i="9"/>
  <c r="L74" i="9"/>
  <c r="L73" i="9"/>
  <c r="L72" i="9"/>
  <c r="L71" i="9"/>
  <c r="L70" i="9"/>
  <c r="L69" i="9"/>
  <c r="L68" i="9"/>
  <c r="L67" i="9"/>
  <c r="L66" i="9"/>
  <c r="L65" i="9"/>
  <c r="L64" i="9"/>
  <c r="L63" i="9"/>
  <c r="L62" i="9"/>
  <c r="L61" i="9"/>
  <c r="L60" i="9"/>
  <c r="L59" i="9"/>
  <c r="L58" i="9"/>
  <c r="L57" i="9"/>
  <c r="L56" i="9"/>
  <c r="L55" i="9"/>
  <c r="L54" i="9"/>
  <c r="L53" i="9"/>
  <c r="L52" i="9"/>
  <c r="L51" i="9"/>
  <c r="L50" i="9"/>
  <c r="L49" i="9"/>
  <c r="L48" i="9"/>
  <c r="L47" i="9"/>
  <c r="L46" i="9"/>
  <c r="L45" i="9"/>
  <c r="L44" i="9"/>
  <c r="L43" i="9"/>
  <c r="L42" i="9"/>
  <c r="L41" i="9"/>
  <c r="L40" i="9"/>
  <c r="L39" i="9"/>
  <c r="L38" i="9"/>
  <c r="L37" i="9"/>
  <c r="L36" i="9"/>
  <c r="L35" i="9"/>
  <c r="L34" i="9"/>
  <c r="L33" i="9"/>
  <c r="L32" i="9"/>
  <c r="L31" i="9"/>
  <c r="L30" i="9"/>
  <c r="L29" i="9"/>
  <c r="L28" i="9"/>
  <c r="L27" i="9"/>
  <c r="L26" i="9"/>
  <c r="L25" i="9"/>
  <c r="L24" i="9"/>
  <c r="L23" i="9"/>
  <c r="L22" i="9"/>
  <c r="L21" i="9"/>
  <c r="L20" i="9"/>
  <c r="L19" i="9"/>
  <c r="L18" i="9"/>
  <c r="L17" i="9"/>
  <c r="L16" i="9"/>
  <c r="L15" i="9"/>
  <c r="L14" i="9"/>
  <c r="L13" i="9"/>
  <c r="L12" i="9"/>
  <c r="L11" i="9"/>
  <c r="L10" i="9"/>
  <c r="L9" i="9"/>
  <c r="L8" i="9"/>
  <c r="L7" i="9"/>
  <c r="L6" i="9"/>
  <c r="L5" i="9"/>
  <c r="L4" i="9"/>
  <c r="L1109" i="8"/>
  <c r="L1108" i="8"/>
  <c r="L1107" i="8"/>
  <c r="L1106" i="8"/>
  <c r="L1105" i="8"/>
  <c r="L1104" i="8"/>
  <c r="L1103" i="8"/>
  <c r="L1102" i="8"/>
  <c r="L1101" i="8"/>
  <c r="L1100" i="8"/>
  <c r="L1099" i="8"/>
  <c r="L1098" i="8"/>
  <c r="L1097" i="8"/>
  <c r="L1096" i="8"/>
  <c r="L1095" i="8"/>
  <c r="L1094" i="8"/>
  <c r="L1093" i="8"/>
  <c r="L1092" i="8"/>
  <c r="L1091" i="8"/>
  <c r="L1090" i="8"/>
  <c r="L1089" i="8"/>
  <c r="L1088" i="8"/>
  <c r="L1087" i="8"/>
  <c r="L1086" i="8"/>
  <c r="L1085" i="8"/>
  <c r="L1084" i="8"/>
  <c r="L1083" i="8"/>
  <c r="L1082" i="8"/>
  <c r="L1081" i="8"/>
  <c r="L1080" i="8"/>
  <c r="L1079" i="8"/>
  <c r="L1078" i="8"/>
  <c r="L1077" i="8"/>
  <c r="L1076" i="8"/>
  <c r="L1075" i="8"/>
  <c r="L1074" i="8"/>
  <c r="L1073" i="8"/>
  <c r="L1072" i="8"/>
  <c r="L1071" i="8"/>
  <c r="L1070" i="8"/>
  <c r="L1069" i="8"/>
  <c r="L1068" i="8"/>
  <c r="L1067" i="8"/>
  <c r="L1066" i="8"/>
  <c r="L1065" i="8"/>
  <c r="L1064" i="8"/>
  <c r="L1063" i="8"/>
  <c r="L1062" i="8"/>
  <c r="L1061" i="8"/>
  <c r="L1060" i="8"/>
  <c r="L1059" i="8"/>
  <c r="L1058" i="8"/>
  <c r="L1057" i="8"/>
  <c r="L1056" i="8"/>
  <c r="L1055" i="8"/>
  <c r="L1054" i="8"/>
  <c r="L1053" i="8"/>
  <c r="L1052" i="8"/>
  <c r="L1051" i="8"/>
  <c r="L1050" i="8"/>
  <c r="L1049" i="8"/>
  <c r="L1048" i="8"/>
  <c r="L1047" i="8"/>
  <c r="L1046" i="8"/>
  <c r="L1045" i="8"/>
  <c r="L1044" i="8"/>
  <c r="L1043" i="8"/>
  <c r="L1042" i="8"/>
  <c r="L1041" i="8"/>
  <c r="L1040" i="8"/>
  <c r="L1039" i="8"/>
  <c r="L1038" i="8"/>
  <c r="L1037" i="8"/>
  <c r="L1036" i="8"/>
  <c r="L1035" i="8"/>
  <c r="L1034" i="8"/>
  <c r="L1033" i="8"/>
  <c r="L1032" i="8"/>
  <c r="L1031" i="8"/>
  <c r="L1030" i="8"/>
  <c r="L1029" i="8"/>
  <c r="L1028" i="8"/>
  <c r="L1027" i="8"/>
  <c r="L1026" i="8"/>
  <c r="L1025" i="8"/>
  <c r="L1024" i="8"/>
  <c r="L1023" i="8"/>
  <c r="L1022" i="8"/>
  <c r="L1021" i="8"/>
  <c r="L1020" i="8"/>
  <c r="L1019" i="8"/>
  <c r="L1018" i="8"/>
  <c r="L1017" i="8"/>
  <c r="L1016" i="8"/>
  <c r="L1015" i="8"/>
  <c r="L1014" i="8"/>
  <c r="L1013" i="8"/>
  <c r="L1012" i="8"/>
  <c r="L1011" i="8"/>
  <c r="L1010" i="8"/>
  <c r="L1009" i="8"/>
  <c r="L1008" i="8"/>
  <c r="L1007" i="8"/>
  <c r="L1006" i="8"/>
  <c r="L1005" i="8"/>
  <c r="L1004" i="8"/>
  <c r="L1003" i="8"/>
  <c r="L1002" i="8"/>
  <c r="L1001" i="8"/>
  <c r="L1000" i="8"/>
  <c r="L999" i="8"/>
  <c r="L998" i="8"/>
  <c r="L997" i="8"/>
  <c r="L996" i="8"/>
  <c r="L995" i="8"/>
  <c r="L994" i="8"/>
  <c r="L993" i="8"/>
  <c r="L992" i="8"/>
  <c r="L991" i="8"/>
  <c r="L990" i="8"/>
  <c r="L989" i="8"/>
  <c r="L988" i="8"/>
  <c r="L987" i="8"/>
  <c r="L986" i="8"/>
  <c r="L985" i="8"/>
  <c r="L984" i="8"/>
  <c r="L983" i="8"/>
  <c r="L982" i="8"/>
  <c r="L981" i="8"/>
  <c r="L980" i="8"/>
  <c r="L979" i="8"/>
  <c r="L978" i="8"/>
  <c r="L977" i="8"/>
  <c r="L976" i="8"/>
  <c r="L975" i="8"/>
  <c r="L974" i="8"/>
  <c r="L973" i="8"/>
  <c r="L972" i="8"/>
  <c r="L971" i="8"/>
  <c r="L970" i="8"/>
  <c r="L969" i="8"/>
  <c r="L968" i="8"/>
  <c r="L967" i="8"/>
  <c r="L966" i="8"/>
  <c r="L965" i="8"/>
  <c r="L964" i="8"/>
  <c r="L963" i="8"/>
  <c r="L962" i="8"/>
  <c r="L961" i="8"/>
  <c r="L960" i="8"/>
  <c r="L959" i="8"/>
  <c r="L958" i="8"/>
  <c r="L957" i="8"/>
  <c r="L956" i="8"/>
  <c r="L955" i="8"/>
  <c r="L954" i="8"/>
  <c r="L953" i="8"/>
  <c r="L952" i="8"/>
  <c r="L951" i="8"/>
  <c r="L950" i="8"/>
  <c r="L949" i="8"/>
  <c r="L948" i="8"/>
  <c r="L947" i="8"/>
  <c r="L946" i="8"/>
  <c r="L945" i="8"/>
  <c r="L944" i="8"/>
  <c r="L943" i="8"/>
  <c r="L942" i="8"/>
  <c r="L941" i="8"/>
  <c r="L940" i="8"/>
  <c r="L939" i="8"/>
  <c r="L938" i="8"/>
  <c r="L937" i="8"/>
  <c r="L936" i="8"/>
  <c r="L935" i="8"/>
  <c r="L934" i="8"/>
  <c r="L933" i="8"/>
  <c r="L932" i="8"/>
  <c r="L931" i="8"/>
  <c r="L930" i="8"/>
  <c r="L929" i="8"/>
  <c r="L928" i="8"/>
  <c r="L927" i="8"/>
  <c r="L926" i="8"/>
  <c r="L925" i="8"/>
  <c r="L924" i="8"/>
  <c r="L923" i="8"/>
  <c r="L922" i="8"/>
  <c r="L921" i="8"/>
  <c r="L920" i="8"/>
  <c r="L919" i="8"/>
  <c r="L918" i="8"/>
  <c r="L917" i="8"/>
  <c r="L916" i="8"/>
  <c r="L915" i="8"/>
  <c r="L914" i="8"/>
  <c r="L913" i="8"/>
  <c r="L912" i="8"/>
  <c r="L911" i="8"/>
  <c r="L910" i="8"/>
  <c r="L909" i="8"/>
  <c r="L908" i="8"/>
  <c r="L907" i="8"/>
  <c r="L906" i="8"/>
  <c r="L905" i="8"/>
  <c r="L904" i="8"/>
  <c r="L903" i="8"/>
  <c r="L902" i="8"/>
  <c r="L901" i="8"/>
  <c r="L900" i="8"/>
  <c r="L899" i="8"/>
  <c r="L898" i="8"/>
  <c r="L897" i="8"/>
  <c r="L896" i="8"/>
  <c r="L895" i="8"/>
  <c r="L894" i="8"/>
  <c r="L893" i="8"/>
  <c r="L892" i="8"/>
  <c r="L891" i="8"/>
  <c r="L890" i="8"/>
  <c r="L889" i="8"/>
  <c r="L888" i="8"/>
  <c r="L887" i="8"/>
  <c r="L886" i="8"/>
  <c r="L885" i="8"/>
  <c r="L884" i="8"/>
  <c r="L883" i="8"/>
  <c r="L882" i="8"/>
  <c r="L881" i="8"/>
  <c r="L880" i="8"/>
  <c r="L879" i="8"/>
  <c r="L878" i="8"/>
  <c r="L877" i="8"/>
  <c r="L876" i="8"/>
  <c r="L875" i="8"/>
  <c r="L874" i="8"/>
  <c r="L873" i="8"/>
  <c r="L872" i="8"/>
  <c r="L871" i="8"/>
  <c r="L870" i="8"/>
  <c r="L869" i="8"/>
  <c r="L868" i="8"/>
  <c r="L867" i="8"/>
  <c r="L866" i="8"/>
  <c r="L865" i="8"/>
  <c r="L864" i="8"/>
  <c r="L863" i="8"/>
  <c r="L862" i="8"/>
  <c r="L861" i="8"/>
  <c r="L860" i="8"/>
  <c r="L859" i="8"/>
  <c r="L858" i="8"/>
  <c r="L857" i="8"/>
  <c r="L856" i="8"/>
  <c r="L855" i="8"/>
  <c r="L854" i="8"/>
  <c r="L853" i="8"/>
  <c r="L852" i="8"/>
  <c r="L851" i="8"/>
  <c r="L850" i="8"/>
  <c r="L849" i="8"/>
  <c r="L848" i="8"/>
  <c r="L847" i="8"/>
  <c r="L846" i="8"/>
  <c r="L845" i="8"/>
  <c r="L844" i="8"/>
  <c r="L843" i="8"/>
  <c r="L842" i="8"/>
  <c r="L841" i="8"/>
  <c r="L840" i="8"/>
  <c r="L839" i="8"/>
  <c r="L838" i="8"/>
  <c r="L837" i="8"/>
  <c r="L836" i="8"/>
  <c r="L835" i="8"/>
  <c r="L834" i="8"/>
  <c r="L833" i="8"/>
  <c r="L832" i="8"/>
  <c r="L831" i="8"/>
  <c r="L830" i="8"/>
  <c r="L829" i="8"/>
  <c r="L828" i="8"/>
  <c r="L827" i="8"/>
  <c r="L826" i="8"/>
  <c r="L825" i="8"/>
  <c r="L824" i="8"/>
  <c r="L823" i="8"/>
  <c r="L822" i="8"/>
  <c r="L821" i="8"/>
  <c r="L820" i="8"/>
  <c r="L819" i="8"/>
  <c r="L818" i="8"/>
  <c r="L817" i="8"/>
  <c r="L816" i="8"/>
  <c r="L815" i="8"/>
  <c r="L814" i="8"/>
  <c r="L813" i="8"/>
  <c r="L812" i="8"/>
  <c r="L811" i="8"/>
  <c r="L810" i="8"/>
  <c r="L809" i="8"/>
  <c r="L808" i="8"/>
  <c r="L807" i="8"/>
  <c r="L806" i="8"/>
  <c r="L805" i="8"/>
  <c r="L804" i="8"/>
  <c r="L803" i="8"/>
  <c r="L802" i="8"/>
  <c r="L801" i="8"/>
  <c r="L800" i="8"/>
  <c r="L799" i="8"/>
  <c r="L798" i="8"/>
  <c r="L797" i="8"/>
  <c r="L796" i="8"/>
  <c r="L795" i="8"/>
  <c r="L794" i="8"/>
  <c r="L793" i="8"/>
  <c r="L792" i="8"/>
  <c r="L791" i="8"/>
  <c r="L790" i="8"/>
  <c r="L789" i="8"/>
  <c r="L788" i="8"/>
  <c r="L787" i="8"/>
  <c r="L786" i="8"/>
  <c r="L785" i="8"/>
  <c r="L784" i="8"/>
  <c r="L783" i="8"/>
  <c r="L782" i="8"/>
  <c r="L781" i="8"/>
  <c r="L780" i="8"/>
  <c r="L779" i="8"/>
  <c r="L778" i="8"/>
  <c r="L777" i="8"/>
  <c r="L776" i="8"/>
  <c r="L775" i="8"/>
  <c r="L774" i="8"/>
  <c r="L773" i="8"/>
  <c r="L772" i="8"/>
  <c r="L771" i="8"/>
  <c r="L770" i="8"/>
  <c r="L769" i="8"/>
  <c r="L768" i="8"/>
  <c r="L767" i="8"/>
  <c r="L766" i="8"/>
  <c r="L765" i="8"/>
  <c r="L764" i="8"/>
  <c r="L763" i="8"/>
  <c r="L762" i="8"/>
  <c r="L761" i="8"/>
  <c r="L760" i="8"/>
  <c r="L759" i="8"/>
  <c r="L758" i="8"/>
  <c r="L757" i="8"/>
  <c r="L756" i="8"/>
  <c r="L755" i="8"/>
  <c r="L754" i="8"/>
  <c r="L753" i="8"/>
  <c r="L752" i="8"/>
  <c r="L751" i="8"/>
  <c r="L750" i="8"/>
  <c r="L749" i="8"/>
  <c r="L748" i="8"/>
  <c r="L747" i="8"/>
  <c r="L746" i="8"/>
  <c r="L745" i="8"/>
  <c r="L744" i="8"/>
  <c r="L743" i="8"/>
  <c r="L742" i="8"/>
  <c r="L741" i="8"/>
  <c r="L740" i="8"/>
  <c r="L739" i="8"/>
  <c r="L738" i="8"/>
  <c r="L737" i="8"/>
  <c r="L736" i="8"/>
  <c r="L735" i="8"/>
  <c r="L734" i="8"/>
  <c r="L733" i="8"/>
  <c r="L732" i="8"/>
  <c r="L731" i="8"/>
  <c r="L730" i="8"/>
  <c r="L729" i="8"/>
  <c r="L728" i="8"/>
  <c r="L727" i="8"/>
  <c r="L726" i="8"/>
  <c r="L725" i="8"/>
  <c r="L724" i="8"/>
  <c r="L723" i="8"/>
  <c r="L722" i="8"/>
  <c r="L721" i="8"/>
  <c r="L720" i="8"/>
  <c r="L719" i="8"/>
  <c r="L718" i="8"/>
  <c r="L717" i="8"/>
  <c r="L716" i="8"/>
  <c r="L715" i="8"/>
  <c r="L714" i="8"/>
  <c r="L713" i="8"/>
  <c r="L712" i="8"/>
  <c r="L711" i="8"/>
  <c r="L710" i="8"/>
  <c r="L709" i="8"/>
  <c r="L708" i="8"/>
  <c r="L707" i="8"/>
  <c r="L706" i="8"/>
  <c r="L705" i="8"/>
  <c r="L704" i="8"/>
  <c r="L703" i="8"/>
  <c r="L702" i="8"/>
  <c r="L701" i="8"/>
  <c r="L700" i="8"/>
  <c r="L699" i="8"/>
  <c r="L698" i="8"/>
  <c r="L697" i="8"/>
  <c r="L696" i="8"/>
  <c r="L695" i="8"/>
  <c r="L694" i="8"/>
  <c r="L693" i="8"/>
  <c r="L692" i="8"/>
  <c r="L691" i="8"/>
  <c r="L690" i="8"/>
  <c r="L689" i="8"/>
  <c r="L688" i="8"/>
  <c r="L687" i="8"/>
  <c r="L686" i="8"/>
  <c r="L685" i="8"/>
  <c r="L684" i="8"/>
  <c r="L683" i="8"/>
  <c r="L682" i="8"/>
  <c r="L681" i="8"/>
  <c r="L680" i="8"/>
  <c r="L679" i="8"/>
  <c r="L678" i="8"/>
  <c r="L677" i="8"/>
  <c r="L676" i="8"/>
  <c r="L675" i="8"/>
  <c r="L674" i="8"/>
  <c r="L673" i="8"/>
  <c r="L672" i="8"/>
  <c r="L671" i="8"/>
  <c r="L670" i="8"/>
  <c r="L669" i="8"/>
  <c r="L668" i="8"/>
  <c r="L667" i="8"/>
  <c r="L666" i="8"/>
  <c r="L665" i="8"/>
  <c r="L664" i="8"/>
  <c r="L663" i="8"/>
  <c r="L662" i="8"/>
  <c r="L661" i="8"/>
  <c r="L660" i="8"/>
  <c r="L659" i="8"/>
  <c r="L658" i="8"/>
  <c r="L657" i="8"/>
  <c r="L656" i="8"/>
  <c r="L655" i="8"/>
  <c r="L654" i="8"/>
  <c r="L653" i="8"/>
  <c r="L652" i="8"/>
  <c r="L651" i="8"/>
  <c r="L650" i="8"/>
  <c r="L649" i="8"/>
  <c r="L648" i="8"/>
  <c r="L647" i="8"/>
  <c r="L646" i="8"/>
  <c r="L645" i="8"/>
  <c r="L644" i="8"/>
  <c r="L643" i="8"/>
  <c r="L642" i="8"/>
  <c r="L641" i="8"/>
  <c r="L640" i="8"/>
  <c r="L639" i="8"/>
  <c r="L638" i="8"/>
  <c r="L637" i="8"/>
  <c r="L636" i="8"/>
  <c r="L635" i="8"/>
  <c r="L634" i="8"/>
  <c r="L633" i="8"/>
  <c r="L632" i="8"/>
  <c r="L631" i="8"/>
  <c r="L630" i="8"/>
  <c r="L629" i="8"/>
  <c r="L628" i="8"/>
  <c r="L627" i="8"/>
  <c r="L626" i="8"/>
  <c r="L625" i="8"/>
  <c r="L624" i="8"/>
  <c r="L623" i="8"/>
  <c r="L622" i="8"/>
  <c r="L621" i="8"/>
  <c r="L620" i="8"/>
  <c r="L619" i="8"/>
  <c r="L618" i="8"/>
  <c r="L617" i="8"/>
  <c r="L616" i="8"/>
  <c r="L615" i="8"/>
  <c r="L614" i="8"/>
  <c r="L613" i="8"/>
  <c r="L612" i="8"/>
  <c r="L611" i="8"/>
  <c r="L610" i="8"/>
  <c r="L609" i="8"/>
  <c r="L608" i="8"/>
  <c r="L607" i="8"/>
  <c r="L606" i="8"/>
  <c r="L605" i="8"/>
  <c r="L604" i="8"/>
  <c r="L603" i="8"/>
  <c r="L602" i="8"/>
  <c r="L601" i="8"/>
  <c r="L600" i="8"/>
  <c r="L599" i="8"/>
  <c r="L598" i="8"/>
  <c r="L597" i="8"/>
  <c r="L596" i="8"/>
  <c r="L595" i="8"/>
  <c r="L594" i="8"/>
  <c r="L593" i="8"/>
  <c r="L592" i="8"/>
  <c r="L591" i="8"/>
  <c r="L590" i="8"/>
  <c r="L589" i="8"/>
  <c r="L588" i="8"/>
  <c r="L587" i="8"/>
  <c r="L586" i="8"/>
  <c r="L585" i="8"/>
  <c r="L584" i="8"/>
  <c r="L583" i="8"/>
  <c r="L582" i="8"/>
  <c r="L581" i="8"/>
  <c r="L580" i="8"/>
  <c r="L579" i="8"/>
  <c r="L578" i="8"/>
  <c r="L577" i="8"/>
  <c r="L576" i="8"/>
  <c r="L575" i="8"/>
  <c r="L574" i="8"/>
  <c r="L573" i="8"/>
  <c r="L572" i="8"/>
  <c r="L571" i="8"/>
  <c r="L570" i="8"/>
  <c r="L569" i="8"/>
  <c r="L568" i="8"/>
  <c r="L567" i="8"/>
  <c r="L566" i="8"/>
  <c r="L565" i="8"/>
  <c r="L564" i="8"/>
  <c r="L563" i="8"/>
  <c r="L562" i="8"/>
  <c r="L561" i="8"/>
  <c r="L560" i="8"/>
  <c r="L559" i="8"/>
  <c r="L558" i="8"/>
  <c r="L557" i="8"/>
  <c r="L556" i="8"/>
  <c r="L555" i="8"/>
  <c r="L554" i="8"/>
  <c r="L553" i="8"/>
  <c r="L552" i="8"/>
  <c r="L551" i="8"/>
  <c r="L550" i="8"/>
  <c r="L549" i="8"/>
  <c r="L548" i="8"/>
  <c r="L547" i="8"/>
  <c r="L546" i="8"/>
  <c r="L545" i="8"/>
  <c r="L544" i="8"/>
  <c r="L543" i="8"/>
  <c r="L542" i="8"/>
  <c r="L541" i="8"/>
  <c r="L540" i="8"/>
  <c r="L539" i="8"/>
  <c r="L538" i="8"/>
  <c r="L537" i="8"/>
  <c r="L536" i="8"/>
  <c r="L535" i="8"/>
  <c r="L534" i="8"/>
  <c r="L533" i="8"/>
  <c r="L532" i="8"/>
  <c r="L531" i="8"/>
  <c r="L530" i="8"/>
  <c r="L529" i="8"/>
  <c r="L528" i="8"/>
  <c r="L527" i="8"/>
  <c r="L526" i="8"/>
  <c r="L525" i="8"/>
  <c r="L524" i="8"/>
  <c r="L523" i="8"/>
  <c r="L522" i="8"/>
  <c r="L521" i="8"/>
  <c r="L520" i="8"/>
  <c r="L519" i="8"/>
  <c r="L518" i="8"/>
  <c r="L517" i="8"/>
  <c r="L516" i="8"/>
  <c r="L515" i="8"/>
  <c r="L514" i="8"/>
  <c r="L513" i="8"/>
  <c r="L512" i="8"/>
  <c r="L511" i="8"/>
  <c r="L510" i="8"/>
  <c r="L509" i="8"/>
  <c r="L508" i="8"/>
  <c r="L507" i="8"/>
  <c r="L506" i="8"/>
  <c r="L505" i="8"/>
  <c r="L504" i="8"/>
  <c r="L503" i="8"/>
  <c r="L502" i="8"/>
  <c r="L501" i="8"/>
  <c r="L500" i="8"/>
  <c r="L499" i="8"/>
  <c r="L498" i="8"/>
  <c r="L497" i="8"/>
  <c r="L496" i="8"/>
  <c r="L495" i="8"/>
  <c r="L494" i="8"/>
  <c r="L493" i="8"/>
  <c r="L492" i="8"/>
  <c r="L491" i="8"/>
  <c r="L490" i="8"/>
  <c r="L489" i="8"/>
  <c r="L488" i="8"/>
  <c r="L487" i="8"/>
  <c r="L486" i="8"/>
  <c r="L485" i="8"/>
  <c r="L484" i="8"/>
  <c r="L483" i="8"/>
  <c r="L482" i="8"/>
  <c r="L481" i="8"/>
  <c r="L480" i="8"/>
  <c r="L479" i="8"/>
  <c r="L478" i="8"/>
  <c r="L477" i="8"/>
  <c r="L476" i="8"/>
  <c r="L475" i="8"/>
  <c r="L474" i="8"/>
  <c r="L473" i="8"/>
  <c r="L472" i="8"/>
  <c r="L471" i="8"/>
  <c r="L470" i="8"/>
  <c r="L469" i="8"/>
  <c r="L468" i="8"/>
  <c r="L467" i="8"/>
  <c r="L466" i="8"/>
  <c r="L465" i="8"/>
  <c r="L464" i="8"/>
  <c r="L463" i="8"/>
  <c r="L462" i="8"/>
  <c r="L461" i="8"/>
  <c r="L460" i="8"/>
  <c r="L459" i="8"/>
  <c r="L458" i="8"/>
  <c r="L457" i="8"/>
  <c r="L456" i="8"/>
  <c r="L455" i="8"/>
  <c r="L454" i="8"/>
  <c r="L453" i="8"/>
  <c r="L452" i="8"/>
  <c r="L451" i="8"/>
  <c r="L450" i="8"/>
  <c r="L449" i="8"/>
  <c r="L448" i="8"/>
  <c r="L447" i="8"/>
  <c r="L446" i="8"/>
  <c r="L445" i="8"/>
  <c r="L444" i="8"/>
  <c r="L443" i="8"/>
  <c r="L442" i="8"/>
  <c r="L441" i="8"/>
  <c r="L440" i="8"/>
  <c r="L439" i="8"/>
  <c r="L438" i="8"/>
  <c r="L437" i="8"/>
  <c r="L436" i="8"/>
  <c r="L435" i="8"/>
  <c r="L434" i="8"/>
  <c r="L433" i="8"/>
  <c r="L432" i="8"/>
  <c r="L431" i="8"/>
  <c r="L430" i="8"/>
  <c r="L429" i="8"/>
  <c r="L428" i="8"/>
  <c r="L427" i="8"/>
  <c r="L426" i="8"/>
  <c r="L425" i="8"/>
  <c r="L424" i="8"/>
  <c r="L423" i="8"/>
  <c r="L422" i="8"/>
  <c r="L421" i="8"/>
  <c r="L420" i="8"/>
  <c r="L419" i="8"/>
  <c r="L418" i="8"/>
  <c r="L417" i="8"/>
  <c r="L416" i="8"/>
  <c r="L415" i="8"/>
  <c r="L414" i="8"/>
  <c r="L413" i="8"/>
  <c r="L412" i="8"/>
  <c r="L411" i="8"/>
  <c r="L410" i="8"/>
  <c r="L409" i="8"/>
  <c r="L408" i="8"/>
  <c r="L407" i="8"/>
  <c r="L406" i="8"/>
  <c r="L405" i="8"/>
  <c r="L404" i="8"/>
  <c r="L403" i="8"/>
  <c r="L402" i="8"/>
  <c r="L401" i="8"/>
  <c r="L400" i="8"/>
  <c r="L399" i="8"/>
  <c r="L398" i="8"/>
  <c r="L397" i="8"/>
  <c r="L396" i="8"/>
  <c r="L395" i="8"/>
  <c r="L394" i="8"/>
  <c r="L393" i="8"/>
  <c r="L392" i="8"/>
  <c r="L391" i="8"/>
  <c r="L390" i="8"/>
  <c r="L389" i="8"/>
  <c r="L388" i="8"/>
  <c r="L387" i="8"/>
  <c r="L386" i="8"/>
  <c r="L385" i="8"/>
  <c r="L384" i="8"/>
  <c r="L383" i="8"/>
  <c r="L382" i="8"/>
  <c r="L381" i="8"/>
  <c r="L380" i="8"/>
  <c r="L379" i="8"/>
  <c r="L378" i="8"/>
  <c r="L377" i="8"/>
  <c r="L376" i="8"/>
  <c r="L375" i="8"/>
  <c r="L374" i="8"/>
  <c r="L373" i="8"/>
  <c r="L372" i="8"/>
  <c r="L371" i="8"/>
  <c r="L370" i="8"/>
  <c r="L369" i="8"/>
  <c r="L368" i="8"/>
  <c r="L367" i="8"/>
  <c r="L366" i="8"/>
  <c r="L365" i="8"/>
  <c r="L364" i="8"/>
  <c r="L363" i="8"/>
  <c r="L362" i="8"/>
  <c r="L361" i="8"/>
  <c r="L360" i="8"/>
  <c r="L359" i="8"/>
  <c r="L358" i="8"/>
  <c r="L357" i="8"/>
  <c r="L356" i="8"/>
  <c r="L355" i="8"/>
  <c r="L354" i="8"/>
  <c r="L353" i="8"/>
  <c r="L352" i="8"/>
  <c r="L351" i="8"/>
  <c r="L350" i="8"/>
  <c r="L349" i="8"/>
  <c r="L348" i="8"/>
  <c r="L347" i="8"/>
  <c r="L346" i="8"/>
  <c r="L345" i="8"/>
  <c r="L344" i="8"/>
  <c r="L343" i="8"/>
  <c r="L342" i="8"/>
  <c r="L341" i="8"/>
  <c r="L340" i="8"/>
  <c r="L339" i="8"/>
  <c r="L338" i="8"/>
  <c r="L337" i="8"/>
  <c r="L336" i="8"/>
  <c r="L335" i="8"/>
  <c r="L334" i="8"/>
  <c r="L333" i="8"/>
  <c r="L332" i="8"/>
  <c r="L331" i="8"/>
  <c r="L330" i="8"/>
  <c r="L329" i="8"/>
  <c r="L328" i="8"/>
  <c r="L327" i="8"/>
  <c r="L326" i="8"/>
  <c r="L325" i="8"/>
  <c r="L324" i="8"/>
  <c r="L323" i="8"/>
  <c r="L322" i="8"/>
  <c r="L321" i="8"/>
  <c r="L320" i="8"/>
  <c r="L319" i="8"/>
  <c r="L318" i="8"/>
  <c r="L317" i="8"/>
  <c r="L316" i="8"/>
  <c r="L315" i="8"/>
  <c r="L314" i="8"/>
  <c r="L313" i="8"/>
  <c r="L312" i="8"/>
  <c r="L311" i="8"/>
  <c r="L310" i="8"/>
  <c r="L309" i="8"/>
  <c r="L308" i="8"/>
  <c r="L307" i="8"/>
  <c r="L306" i="8"/>
  <c r="L305" i="8"/>
  <c r="L304" i="8"/>
  <c r="L303" i="8"/>
  <c r="L302" i="8"/>
  <c r="L301" i="8"/>
  <c r="L300" i="8"/>
  <c r="L299" i="8"/>
  <c r="L298" i="8"/>
  <c r="L297" i="8"/>
  <c r="L296" i="8"/>
  <c r="L295" i="8"/>
  <c r="L294" i="8"/>
  <c r="L293" i="8"/>
  <c r="L292" i="8"/>
  <c r="L291" i="8"/>
  <c r="L290" i="8"/>
  <c r="L289" i="8"/>
  <c r="L288" i="8"/>
  <c r="L287" i="8"/>
  <c r="L286" i="8"/>
  <c r="L285" i="8"/>
  <c r="L284" i="8"/>
  <c r="L283" i="8"/>
  <c r="L282" i="8"/>
  <c r="L281" i="8"/>
  <c r="L280" i="8"/>
  <c r="L279" i="8"/>
  <c r="L278" i="8"/>
  <c r="L277" i="8"/>
  <c r="L276" i="8"/>
  <c r="L275" i="8"/>
  <c r="L274" i="8"/>
  <c r="L273" i="8"/>
  <c r="L272" i="8"/>
  <c r="L271" i="8"/>
  <c r="L270" i="8"/>
  <c r="L269" i="8"/>
  <c r="L268" i="8"/>
  <c r="L267" i="8"/>
  <c r="L266" i="8"/>
  <c r="L265" i="8"/>
  <c r="L264" i="8"/>
  <c r="L263" i="8"/>
  <c r="L262" i="8"/>
  <c r="L261" i="8"/>
  <c r="L260" i="8"/>
  <c r="L259" i="8"/>
  <c r="L258" i="8"/>
  <c r="L257" i="8"/>
  <c r="L256" i="8"/>
  <c r="L255" i="8"/>
  <c r="L254" i="8"/>
  <c r="L253" i="8"/>
  <c r="L252" i="8"/>
  <c r="L251" i="8"/>
  <c r="L250" i="8"/>
  <c r="L249" i="8"/>
  <c r="L248" i="8"/>
  <c r="L247" i="8"/>
  <c r="L246" i="8"/>
  <c r="L245" i="8"/>
  <c r="L244" i="8"/>
  <c r="L243" i="8"/>
  <c r="L242" i="8"/>
  <c r="L241" i="8"/>
  <c r="L240" i="8"/>
  <c r="L239" i="8"/>
  <c r="L238" i="8"/>
  <c r="L237" i="8"/>
  <c r="L236" i="8"/>
  <c r="L235" i="8"/>
  <c r="L234" i="8"/>
  <c r="L233" i="8"/>
  <c r="L232" i="8"/>
  <c r="L231" i="8"/>
  <c r="L230" i="8"/>
  <c r="L229" i="8"/>
  <c r="L228" i="8"/>
  <c r="L227" i="8"/>
  <c r="L226" i="8"/>
  <c r="L225" i="8"/>
  <c r="L224" i="8"/>
  <c r="L223" i="8"/>
  <c r="L222" i="8"/>
  <c r="L221" i="8"/>
  <c r="L220" i="8"/>
  <c r="L219" i="8"/>
  <c r="L218" i="8"/>
  <c r="L217" i="8"/>
  <c r="L216" i="8"/>
  <c r="L215" i="8"/>
  <c r="L214" i="8"/>
  <c r="L213" i="8"/>
  <c r="L212" i="8"/>
  <c r="L211" i="8"/>
  <c r="L210" i="8"/>
  <c r="L209" i="8"/>
  <c r="L208" i="8"/>
  <c r="L207" i="8"/>
  <c r="L206" i="8"/>
  <c r="L205" i="8"/>
  <c r="L204" i="8"/>
  <c r="L203" i="8"/>
  <c r="L202" i="8"/>
  <c r="L201" i="8"/>
  <c r="L200" i="8"/>
  <c r="L199" i="8"/>
  <c r="L198" i="8"/>
  <c r="L197" i="8"/>
  <c r="L196" i="8"/>
  <c r="L195" i="8"/>
  <c r="L194" i="8"/>
  <c r="L193" i="8"/>
  <c r="L192" i="8"/>
  <c r="L191" i="8"/>
  <c r="L190" i="8"/>
  <c r="L189" i="8"/>
  <c r="L188" i="8"/>
  <c r="L187" i="8"/>
  <c r="L186" i="8"/>
  <c r="L185" i="8"/>
  <c r="L184" i="8"/>
  <c r="L183" i="8"/>
  <c r="L182" i="8"/>
  <c r="L181" i="8"/>
  <c r="L180" i="8"/>
  <c r="L179" i="8"/>
  <c r="L178" i="8"/>
  <c r="L177" i="8"/>
  <c r="L176" i="8"/>
  <c r="L175" i="8"/>
  <c r="L174" i="8"/>
  <c r="L173" i="8"/>
  <c r="L172" i="8"/>
  <c r="L171" i="8"/>
  <c r="L170" i="8"/>
  <c r="L169" i="8"/>
  <c r="L168" i="8"/>
  <c r="L167" i="8"/>
  <c r="L166" i="8"/>
  <c r="L165" i="8"/>
  <c r="L164" i="8"/>
  <c r="L163" i="8"/>
  <c r="L162" i="8"/>
  <c r="L161" i="8"/>
  <c r="L160" i="8"/>
  <c r="L159" i="8"/>
  <c r="L158" i="8"/>
  <c r="L157" i="8"/>
  <c r="L156" i="8"/>
  <c r="L155" i="8"/>
  <c r="L154" i="8"/>
  <c r="L153" i="8"/>
  <c r="L152" i="8"/>
  <c r="L151" i="8"/>
  <c r="L150" i="8"/>
  <c r="L149" i="8"/>
  <c r="L148" i="8"/>
  <c r="L147" i="8"/>
  <c r="L146" i="8"/>
  <c r="L145" i="8"/>
  <c r="L144" i="8"/>
  <c r="L143" i="8"/>
  <c r="L142" i="8"/>
  <c r="L141" i="8"/>
  <c r="L140" i="8"/>
  <c r="L139" i="8"/>
  <c r="L138" i="8"/>
  <c r="L137" i="8"/>
  <c r="L136" i="8"/>
  <c r="L135" i="8"/>
  <c r="L134" i="8"/>
  <c r="L133" i="8"/>
  <c r="L132" i="8"/>
  <c r="L131" i="8"/>
  <c r="L130" i="8"/>
  <c r="L129" i="8"/>
  <c r="L128" i="8"/>
  <c r="L127" i="8"/>
  <c r="L126" i="8"/>
  <c r="L125" i="8"/>
  <c r="L124" i="8"/>
  <c r="L123" i="8"/>
  <c r="L122" i="8"/>
  <c r="L121" i="8"/>
  <c r="L120" i="8"/>
  <c r="L119" i="8"/>
  <c r="L118" i="8"/>
  <c r="L117" i="8"/>
  <c r="L116" i="8"/>
  <c r="L115" i="8"/>
  <c r="L114" i="8"/>
  <c r="L113" i="8"/>
  <c r="L112" i="8"/>
  <c r="L111" i="8"/>
  <c r="L110" i="8"/>
  <c r="L109" i="8"/>
  <c r="L108" i="8"/>
  <c r="L107" i="8"/>
  <c r="L106" i="8"/>
  <c r="L105" i="8"/>
  <c r="L104" i="8"/>
  <c r="L103" i="8"/>
  <c r="L102" i="8"/>
  <c r="L101" i="8"/>
  <c r="L100" i="8"/>
  <c r="L99" i="8"/>
  <c r="L98" i="8"/>
  <c r="L97" i="8"/>
  <c r="L96" i="8"/>
  <c r="L95" i="8"/>
  <c r="L94" i="8"/>
  <c r="L93" i="8"/>
  <c r="L92" i="8"/>
  <c r="L91" i="8"/>
  <c r="L90" i="8"/>
  <c r="L89" i="8"/>
  <c r="L88" i="8"/>
  <c r="L87" i="8"/>
  <c r="L86" i="8"/>
  <c r="L85" i="8"/>
  <c r="L84" i="8"/>
  <c r="L83" i="8"/>
  <c r="L82" i="8"/>
  <c r="L81" i="8"/>
  <c r="L80" i="8"/>
  <c r="L79" i="8"/>
  <c r="L78" i="8"/>
  <c r="L77" i="8"/>
  <c r="L76" i="8"/>
  <c r="L75" i="8"/>
  <c r="L74" i="8"/>
  <c r="L73" i="8"/>
  <c r="L72" i="8"/>
  <c r="L71" i="8"/>
  <c r="L70" i="8"/>
  <c r="L69" i="8"/>
  <c r="L68" i="8"/>
  <c r="L67" i="8"/>
  <c r="L66" i="8"/>
  <c r="L65" i="8"/>
  <c r="L64" i="8"/>
  <c r="L63" i="8"/>
  <c r="L62" i="8"/>
  <c r="L61" i="8"/>
  <c r="L60" i="8"/>
  <c r="L59" i="8"/>
  <c r="L58" i="8"/>
  <c r="L57" i="8"/>
  <c r="L56" i="8"/>
  <c r="L55" i="8"/>
  <c r="L54" i="8"/>
  <c r="L53" i="8"/>
  <c r="L52" i="8"/>
  <c r="L51" i="8"/>
  <c r="L50" i="8"/>
  <c r="L49" i="8"/>
  <c r="L48" i="8"/>
  <c r="L47" i="8"/>
  <c r="L46" i="8"/>
  <c r="L45" i="8"/>
  <c r="L44" i="8"/>
  <c r="L43" i="8"/>
  <c r="L42" i="8"/>
  <c r="L41" i="8"/>
  <c r="L40" i="8"/>
  <c r="L39" i="8"/>
  <c r="L38" i="8"/>
  <c r="L37" i="8"/>
  <c r="L36" i="8"/>
  <c r="L35" i="8"/>
  <c r="L34" i="8"/>
  <c r="L33" i="8"/>
  <c r="L32" i="8"/>
  <c r="L31" i="8"/>
  <c r="L30" i="8"/>
  <c r="L29" i="8"/>
  <c r="L28" i="8"/>
  <c r="L27" i="8"/>
  <c r="L26" i="8"/>
  <c r="L25" i="8"/>
  <c r="L24" i="8"/>
  <c r="L23" i="8"/>
  <c r="L22" i="8"/>
  <c r="L21" i="8"/>
  <c r="L20" i="8"/>
  <c r="L19" i="8"/>
  <c r="L18" i="8"/>
  <c r="L17" i="8"/>
  <c r="L16" i="8"/>
  <c r="L15" i="8"/>
  <c r="L14" i="8"/>
  <c r="L13" i="8"/>
  <c r="L12" i="8"/>
  <c r="L11" i="8"/>
  <c r="L10" i="8"/>
  <c r="L9" i="8"/>
  <c r="L8" i="8"/>
  <c r="L7" i="8"/>
  <c r="L6" i="8"/>
  <c r="L5" i="8"/>
  <c r="L4" i="8"/>
  <c r="L1109" i="7"/>
  <c r="L1108" i="7"/>
  <c r="L1107" i="7"/>
  <c r="L1106" i="7"/>
  <c r="L1105" i="7"/>
  <c r="L1104" i="7"/>
  <c r="L1103" i="7"/>
  <c r="L1102" i="7"/>
  <c r="L1101" i="7"/>
  <c r="L1100" i="7"/>
  <c r="L1099" i="7"/>
  <c r="L1098" i="7"/>
  <c r="L1097" i="7"/>
  <c r="L1096" i="7"/>
  <c r="L1095" i="7"/>
  <c r="L1094" i="7"/>
  <c r="L1093" i="7"/>
  <c r="L1092" i="7"/>
  <c r="L1091" i="7"/>
  <c r="L1090" i="7"/>
  <c r="L1089" i="7"/>
  <c r="L1088" i="7"/>
  <c r="L1087" i="7"/>
  <c r="L1086" i="7"/>
  <c r="L1085" i="7"/>
  <c r="L1084" i="7"/>
  <c r="L1083" i="7"/>
  <c r="L1082" i="7"/>
  <c r="L1081" i="7"/>
  <c r="L1080" i="7"/>
  <c r="L1079" i="7"/>
  <c r="L1078" i="7"/>
  <c r="L1077" i="7"/>
  <c r="L1076" i="7"/>
  <c r="L1075" i="7"/>
  <c r="L1074" i="7"/>
  <c r="L1073" i="7"/>
  <c r="L1072" i="7"/>
  <c r="L1071" i="7"/>
  <c r="L1070" i="7"/>
  <c r="L1069" i="7"/>
  <c r="L1068" i="7"/>
  <c r="L1067" i="7"/>
  <c r="L1066" i="7"/>
  <c r="L1065" i="7"/>
  <c r="L1064" i="7"/>
  <c r="L1063" i="7"/>
  <c r="L1062" i="7"/>
  <c r="L1061" i="7"/>
  <c r="L1060" i="7"/>
  <c r="L1059" i="7"/>
  <c r="L1058" i="7"/>
  <c r="L1057" i="7"/>
  <c r="L1056" i="7"/>
  <c r="L1055" i="7"/>
  <c r="L1054" i="7"/>
  <c r="L1053" i="7"/>
  <c r="L1052" i="7"/>
  <c r="L1051" i="7"/>
  <c r="L1050" i="7"/>
  <c r="L1049" i="7"/>
  <c r="L1048" i="7"/>
  <c r="L1047" i="7"/>
  <c r="L1046" i="7"/>
  <c r="L1045" i="7"/>
  <c r="L1044" i="7"/>
  <c r="L1043" i="7"/>
  <c r="L1042" i="7"/>
  <c r="L1041" i="7"/>
  <c r="L1040" i="7"/>
  <c r="L1039" i="7"/>
  <c r="L1038" i="7"/>
  <c r="L1037" i="7"/>
  <c r="L1036" i="7"/>
  <c r="L1035" i="7"/>
  <c r="L1034" i="7"/>
  <c r="L1033" i="7"/>
  <c r="L1032" i="7"/>
  <c r="L1031" i="7"/>
  <c r="L1030" i="7"/>
  <c r="L1029" i="7"/>
  <c r="L1028" i="7"/>
  <c r="L1027" i="7"/>
  <c r="L1026" i="7"/>
  <c r="L1025" i="7"/>
  <c r="L1024" i="7"/>
  <c r="L1023" i="7"/>
  <c r="L1022" i="7"/>
  <c r="L1021" i="7"/>
  <c r="L1020" i="7"/>
  <c r="L1019" i="7"/>
  <c r="L1018" i="7"/>
  <c r="L1017" i="7"/>
  <c r="L1016" i="7"/>
  <c r="L1015" i="7"/>
  <c r="L1014" i="7"/>
  <c r="L1013" i="7"/>
  <c r="L1012" i="7"/>
  <c r="L1011" i="7"/>
  <c r="L1010" i="7"/>
  <c r="L1009" i="7"/>
  <c r="L1008" i="7"/>
  <c r="L1007" i="7"/>
  <c r="L1006" i="7"/>
  <c r="L1005" i="7"/>
  <c r="L1004" i="7"/>
  <c r="L1003" i="7"/>
  <c r="L1002" i="7"/>
  <c r="L1001" i="7"/>
  <c r="L1000" i="7"/>
  <c r="L999" i="7"/>
  <c r="L998" i="7"/>
  <c r="L997" i="7"/>
  <c r="L996" i="7"/>
  <c r="L995" i="7"/>
  <c r="L994" i="7"/>
  <c r="L993" i="7"/>
  <c r="L992" i="7"/>
  <c r="L991" i="7"/>
  <c r="L990" i="7"/>
  <c r="L989" i="7"/>
  <c r="L988" i="7"/>
  <c r="L987" i="7"/>
  <c r="L986" i="7"/>
  <c r="L985" i="7"/>
  <c r="L984" i="7"/>
  <c r="L983" i="7"/>
  <c r="L982" i="7"/>
  <c r="L981" i="7"/>
  <c r="L980" i="7"/>
  <c r="L979" i="7"/>
  <c r="L978" i="7"/>
  <c r="L977" i="7"/>
  <c r="L976" i="7"/>
  <c r="L975" i="7"/>
  <c r="L974" i="7"/>
  <c r="L973" i="7"/>
  <c r="L972" i="7"/>
  <c r="L971" i="7"/>
  <c r="L970" i="7"/>
  <c r="L969" i="7"/>
  <c r="L968" i="7"/>
  <c r="L967" i="7"/>
  <c r="L966" i="7"/>
  <c r="L965" i="7"/>
  <c r="L964" i="7"/>
  <c r="L963" i="7"/>
  <c r="L962" i="7"/>
  <c r="L961" i="7"/>
  <c r="L960" i="7"/>
  <c r="L959" i="7"/>
  <c r="L958" i="7"/>
  <c r="L957" i="7"/>
  <c r="L956" i="7"/>
  <c r="L955" i="7"/>
  <c r="L954" i="7"/>
  <c r="L953" i="7"/>
  <c r="L952" i="7"/>
  <c r="L951" i="7"/>
  <c r="L950" i="7"/>
  <c r="L949" i="7"/>
  <c r="L948" i="7"/>
  <c r="L947" i="7"/>
  <c r="L946" i="7"/>
  <c r="L945" i="7"/>
  <c r="L944" i="7"/>
  <c r="L943" i="7"/>
  <c r="L942" i="7"/>
  <c r="L941" i="7"/>
  <c r="L940" i="7"/>
  <c r="L939" i="7"/>
  <c r="L938" i="7"/>
  <c r="L937" i="7"/>
  <c r="L936" i="7"/>
  <c r="L935" i="7"/>
  <c r="L934" i="7"/>
  <c r="L933" i="7"/>
  <c r="L932" i="7"/>
  <c r="L931" i="7"/>
  <c r="L930" i="7"/>
  <c r="L929" i="7"/>
  <c r="L928" i="7"/>
  <c r="L927" i="7"/>
  <c r="L926" i="7"/>
  <c r="L925" i="7"/>
  <c r="L924" i="7"/>
  <c r="L923" i="7"/>
  <c r="L922" i="7"/>
  <c r="L921" i="7"/>
  <c r="L920" i="7"/>
  <c r="L919" i="7"/>
  <c r="L918" i="7"/>
  <c r="L917" i="7"/>
  <c r="L916" i="7"/>
  <c r="L915" i="7"/>
  <c r="L914" i="7"/>
  <c r="L913" i="7"/>
  <c r="L912" i="7"/>
  <c r="L911" i="7"/>
  <c r="L910" i="7"/>
  <c r="L909" i="7"/>
  <c r="L908" i="7"/>
  <c r="L907" i="7"/>
  <c r="L906" i="7"/>
  <c r="L905" i="7"/>
  <c r="L904" i="7"/>
  <c r="L903" i="7"/>
  <c r="L902" i="7"/>
  <c r="L901" i="7"/>
  <c r="L900" i="7"/>
  <c r="L899" i="7"/>
  <c r="L898" i="7"/>
  <c r="L897" i="7"/>
  <c r="L896" i="7"/>
  <c r="L895" i="7"/>
  <c r="L894" i="7"/>
  <c r="L893" i="7"/>
  <c r="L892" i="7"/>
  <c r="L891" i="7"/>
  <c r="L890" i="7"/>
  <c r="L889" i="7"/>
  <c r="L888" i="7"/>
  <c r="L887" i="7"/>
  <c r="L886" i="7"/>
  <c r="L885" i="7"/>
  <c r="L884" i="7"/>
  <c r="L883" i="7"/>
  <c r="L882" i="7"/>
  <c r="L881" i="7"/>
  <c r="L880" i="7"/>
  <c r="L879" i="7"/>
  <c r="L878" i="7"/>
  <c r="L877" i="7"/>
  <c r="L876" i="7"/>
  <c r="L875" i="7"/>
  <c r="L874" i="7"/>
  <c r="L873" i="7"/>
  <c r="L872" i="7"/>
  <c r="L871" i="7"/>
  <c r="L870" i="7"/>
  <c r="L869" i="7"/>
  <c r="L868" i="7"/>
  <c r="L867" i="7"/>
  <c r="L866" i="7"/>
  <c r="L865" i="7"/>
  <c r="L864" i="7"/>
  <c r="L863" i="7"/>
  <c r="L862" i="7"/>
  <c r="L861" i="7"/>
  <c r="L860" i="7"/>
  <c r="L859" i="7"/>
  <c r="L858" i="7"/>
  <c r="L857" i="7"/>
  <c r="L856" i="7"/>
  <c r="L855" i="7"/>
  <c r="L854" i="7"/>
  <c r="L853" i="7"/>
  <c r="L852" i="7"/>
  <c r="L851" i="7"/>
  <c r="L850" i="7"/>
  <c r="L849" i="7"/>
  <c r="L848" i="7"/>
  <c r="L847" i="7"/>
  <c r="L846" i="7"/>
  <c r="L845" i="7"/>
  <c r="L844" i="7"/>
  <c r="L843" i="7"/>
  <c r="L842" i="7"/>
  <c r="L841" i="7"/>
  <c r="L840" i="7"/>
  <c r="L839" i="7"/>
  <c r="L838" i="7"/>
  <c r="L837" i="7"/>
  <c r="L836" i="7"/>
  <c r="L835" i="7"/>
  <c r="L834" i="7"/>
  <c r="L833" i="7"/>
  <c r="L832" i="7"/>
  <c r="L831" i="7"/>
  <c r="L830" i="7"/>
  <c r="L829" i="7"/>
  <c r="L828" i="7"/>
  <c r="L827" i="7"/>
  <c r="L826" i="7"/>
  <c r="L825" i="7"/>
  <c r="L824" i="7"/>
  <c r="L823" i="7"/>
  <c r="L822" i="7"/>
  <c r="L821" i="7"/>
  <c r="L820" i="7"/>
  <c r="L819" i="7"/>
  <c r="L818" i="7"/>
  <c r="L817" i="7"/>
  <c r="L816" i="7"/>
  <c r="L815" i="7"/>
  <c r="L814" i="7"/>
  <c r="L813" i="7"/>
  <c r="L812" i="7"/>
  <c r="L811" i="7"/>
  <c r="L810" i="7"/>
  <c r="L809" i="7"/>
  <c r="L808" i="7"/>
  <c r="L807" i="7"/>
  <c r="L806" i="7"/>
  <c r="L805" i="7"/>
  <c r="L804" i="7"/>
  <c r="L803" i="7"/>
  <c r="L802" i="7"/>
  <c r="L801" i="7"/>
  <c r="L800" i="7"/>
  <c r="L799" i="7"/>
  <c r="L798" i="7"/>
  <c r="L797" i="7"/>
  <c r="L796" i="7"/>
  <c r="L795" i="7"/>
  <c r="L794" i="7"/>
  <c r="L793" i="7"/>
  <c r="L792" i="7"/>
  <c r="L791" i="7"/>
  <c r="L790" i="7"/>
  <c r="L789" i="7"/>
  <c r="L788" i="7"/>
  <c r="L787" i="7"/>
  <c r="L786" i="7"/>
  <c r="L785" i="7"/>
  <c r="L784" i="7"/>
  <c r="L783" i="7"/>
  <c r="L782" i="7"/>
  <c r="L781" i="7"/>
  <c r="L780" i="7"/>
  <c r="L779" i="7"/>
  <c r="L778" i="7"/>
  <c r="L777" i="7"/>
  <c r="L776" i="7"/>
  <c r="L775" i="7"/>
  <c r="L774" i="7"/>
  <c r="L773" i="7"/>
  <c r="L772" i="7"/>
  <c r="L771" i="7"/>
  <c r="L770" i="7"/>
  <c r="L769" i="7"/>
  <c r="L768" i="7"/>
  <c r="L767" i="7"/>
  <c r="L766" i="7"/>
  <c r="L765" i="7"/>
  <c r="L764" i="7"/>
  <c r="L763" i="7"/>
  <c r="L762" i="7"/>
  <c r="L761" i="7"/>
  <c r="L760" i="7"/>
  <c r="L759" i="7"/>
  <c r="L758" i="7"/>
  <c r="L757" i="7"/>
  <c r="L756" i="7"/>
  <c r="L755" i="7"/>
  <c r="L754" i="7"/>
  <c r="L753" i="7"/>
  <c r="L752" i="7"/>
  <c r="L751" i="7"/>
  <c r="L750" i="7"/>
  <c r="L749" i="7"/>
  <c r="L748" i="7"/>
  <c r="L747" i="7"/>
  <c r="L746" i="7"/>
  <c r="L745" i="7"/>
  <c r="L744" i="7"/>
  <c r="L743" i="7"/>
  <c r="L742" i="7"/>
  <c r="L741" i="7"/>
  <c r="L740" i="7"/>
  <c r="L739" i="7"/>
  <c r="L738" i="7"/>
  <c r="L737" i="7"/>
  <c r="L736" i="7"/>
  <c r="L735" i="7"/>
  <c r="L734" i="7"/>
  <c r="L733" i="7"/>
  <c r="L732" i="7"/>
  <c r="L731" i="7"/>
  <c r="L730" i="7"/>
  <c r="L729" i="7"/>
  <c r="L728" i="7"/>
  <c r="L727" i="7"/>
  <c r="L726" i="7"/>
  <c r="L725" i="7"/>
  <c r="L724" i="7"/>
  <c r="L723" i="7"/>
  <c r="L722" i="7"/>
  <c r="L721" i="7"/>
  <c r="L720" i="7"/>
  <c r="L719" i="7"/>
  <c r="L718" i="7"/>
  <c r="L717" i="7"/>
  <c r="L716" i="7"/>
  <c r="L715" i="7"/>
  <c r="L714" i="7"/>
  <c r="L713" i="7"/>
  <c r="L712" i="7"/>
  <c r="L711" i="7"/>
  <c r="L710" i="7"/>
  <c r="L709" i="7"/>
  <c r="L708" i="7"/>
  <c r="L707" i="7"/>
  <c r="L706" i="7"/>
  <c r="L705" i="7"/>
  <c r="L704" i="7"/>
  <c r="L703" i="7"/>
  <c r="L702" i="7"/>
  <c r="L701" i="7"/>
  <c r="L700" i="7"/>
  <c r="L699" i="7"/>
  <c r="L698" i="7"/>
  <c r="L697" i="7"/>
  <c r="L696" i="7"/>
  <c r="L695" i="7"/>
  <c r="L694" i="7"/>
  <c r="L693" i="7"/>
  <c r="L692" i="7"/>
  <c r="L691" i="7"/>
  <c r="L690" i="7"/>
  <c r="L689" i="7"/>
  <c r="L688" i="7"/>
  <c r="L687" i="7"/>
  <c r="L686" i="7"/>
  <c r="L685" i="7"/>
  <c r="L684" i="7"/>
  <c r="L683" i="7"/>
  <c r="L682" i="7"/>
  <c r="L681" i="7"/>
  <c r="L680" i="7"/>
  <c r="L679" i="7"/>
  <c r="L678" i="7"/>
  <c r="L677" i="7"/>
  <c r="L676" i="7"/>
  <c r="L675" i="7"/>
  <c r="L674" i="7"/>
  <c r="L673" i="7"/>
  <c r="L672" i="7"/>
  <c r="L671" i="7"/>
  <c r="L670" i="7"/>
  <c r="L669" i="7"/>
  <c r="L668" i="7"/>
  <c r="L667" i="7"/>
  <c r="L666" i="7"/>
  <c r="L665" i="7"/>
  <c r="L664" i="7"/>
  <c r="L663" i="7"/>
  <c r="L662" i="7"/>
  <c r="L661" i="7"/>
  <c r="L660" i="7"/>
  <c r="L659" i="7"/>
  <c r="L658" i="7"/>
  <c r="L657" i="7"/>
  <c r="L656" i="7"/>
  <c r="L655" i="7"/>
  <c r="L654" i="7"/>
  <c r="L653" i="7"/>
  <c r="L652" i="7"/>
  <c r="L651" i="7"/>
  <c r="L650" i="7"/>
  <c r="L649" i="7"/>
  <c r="L648" i="7"/>
  <c r="L647" i="7"/>
  <c r="L646" i="7"/>
  <c r="L645" i="7"/>
  <c r="L644" i="7"/>
  <c r="L643" i="7"/>
  <c r="L642" i="7"/>
  <c r="L641" i="7"/>
  <c r="L640" i="7"/>
  <c r="L639" i="7"/>
  <c r="L638" i="7"/>
  <c r="L637" i="7"/>
  <c r="L636" i="7"/>
  <c r="L635" i="7"/>
  <c r="L634" i="7"/>
  <c r="L633" i="7"/>
  <c r="L632" i="7"/>
  <c r="L631" i="7"/>
  <c r="L630" i="7"/>
  <c r="L629" i="7"/>
  <c r="L628" i="7"/>
  <c r="L627" i="7"/>
  <c r="L626" i="7"/>
  <c r="L625" i="7"/>
  <c r="L624" i="7"/>
  <c r="L623" i="7"/>
  <c r="L622" i="7"/>
  <c r="L621" i="7"/>
  <c r="L620" i="7"/>
  <c r="L619" i="7"/>
  <c r="L618" i="7"/>
  <c r="L617" i="7"/>
  <c r="L616" i="7"/>
  <c r="L615" i="7"/>
  <c r="L614" i="7"/>
  <c r="L613" i="7"/>
  <c r="L612" i="7"/>
  <c r="L611" i="7"/>
  <c r="L610" i="7"/>
  <c r="L609" i="7"/>
  <c r="L608" i="7"/>
  <c r="L607" i="7"/>
  <c r="L606" i="7"/>
  <c r="L605" i="7"/>
  <c r="L604" i="7"/>
  <c r="L603" i="7"/>
  <c r="L602" i="7"/>
  <c r="L601" i="7"/>
  <c r="L600" i="7"/>
  <c r="L599" i="7"/>
  <c r="L598" i="7"/>
  <c r="L597" i="7"/>
  <c r="L596" i="7"/>
  <c r="L595" i="7"/>
  <c r="L594" i="7"/>
  <c r="L593" i="7"/>
  <c r="L592" i="7"/>
  <c r="L591" i="7"/>
  <c r="L590" i="7"/>
  <c r="L589" i="7"/>
  <c r="L588" i="7"/>
  <c r="L587" i="7"/>
  <c r="L586" i="7"/>
  <c r="L585" i="7"/>
  <c r="L584" i="7"/>
  <c r="L583" i="7"/>
  <c r="L582" i="7"/>
  <c r="L581" i="7"/>
  <c r="L580" i="7"/>
  <c r="L579" i="7"/>
  <c r="L578" i="7"/>
  <c r="L577" i="7"/>
  <c r="L576" i="7"/>
  <c r="L575" i="7"/>
  <c r="L574" i="7"/>
  <c r="L573" i="7"/>
  <c r="L572" i="7"/>
  <c r="L571" i="7"/>
  <c r="L570" i="7"/>
  <c r="L569" i="7"/>
  <c r="L568" i="7"/>
  <c r="L567" i="7"/>
  <c r="L566" i="7"/>
  <c r="L565" i="7"/>
  <c r="L564" i="7"/>
  <c r="L563" i="7"/>
  <c r="L562" i="7"/>
  <c r="L561" i="7"/>
  <c r="L560" i="7"/>
  <c r="L559" i="7"/>
  <c r="L558" i="7"/>
  <c r="L557" i="7"/>
  <c r="L556" i="7"/>
  <c r="L555" i="7"/>
  <c r="L554" i="7"/>
  <c r="L553" i="7"/>
  <c r="L552" i="7"/>
  <c r="L551" i="7"/>
  <c r="L550" i="7"/>
  <c r="L549" i="7"/>
  <c r="L548" i="7"/>
  <c r="L547" i="7"/>
  <c r="L546" i="7"/>
  <c r="L545" i="7"/>
  <c r="L544" i="7"/>
  <c r="L543" i="7"/>
  <c r="L542" i="7"/>
  <c r="L541" i="7"/>
  <c r="L540" i="7"/>
  <c r="L539" i="7"/>
  <c r="L538" i="7"/>
  <c r="L537" i="7"/>
  <c r="L536" i="7"/>
  <c r="L535" i="7"/>
  <c r="L534" i="7"/>
  <c r="L533" i="7"/>
  <c r="L532" i="7"/>
  <c r="L531" i="7"/>
  <c r="L530" i="7"/>
  <c r="L529" i="7"/>
  <c r="L528" i="7"/>
  <c r="L527" i="7"/>
  <c r="L526" i="7"/>
  <c r="L525" i="7"/>
  <c r="L524" i="7"/>
  <c r="L523" i="7"/>
  <c r="L522" i="7"/>
  <c r="L521" i="7"/>
  <c r="L520" i="7"/>
  <c r="L519" i="7"/>
  <c r="L518" i="7"/>
  <c r="L517" i="7"/>
  <c r="L516" i="7"/>
  <c r="L515" i="7"/>
  <c r="L514" i="7"/>
  <c r="L513" i="7"/>
  <c r="L512" i="7"/>
  <c r="L511" i="7"/>
  <c r="L510" i="7"/>
  <c r="L509" i="7"/>
  <c r="L508" i="7"/>
  <c r="L507" i="7"/>
  <c r="L506" i="7"/>
  <c r="L505" i="7"/>
  <c r="L504" i="7"/>
  <c r="L503" i="7"/>
  <c r="L502" i="7"/>
  <c r="L501" i="7"/>
  <c r="L500" i="7"/>
  <c r="L499" i="7"/>
  <c r="L498" i="7"/>
  <c r="L497" i="7"/>
  <c r="L496" i="7"/>
  <c r="L495" i="7"/>
  <c r="L494" i="7"/>
  <c r="L493" i="7"/>
  <c r="L492" i="7"/>
  <c r="L491" i="7"/>
  <c r="L490" i="7"/>
  <c r="L489" i="7"/>
  <c r="L488" i="7"/>
  <c r="L487" i="7"/>
  <c r="L486" i="7"/>
  <c r="L485" i="7"/>
  <c r="L484" i="7"/>
  <c r="L483" i="7"/>
  <c r="L482" i="7"/>
  <c r="L481" i="7"/>
  <c r="L480" i="7"/>
  <c r="L479" i="7"/>
  <c r="L478" i="7"/>
  <c r="L477" i="7"/>
  <c r="L476" i="7"/>
  <c r="L475" i="7"/>
  <c r="L474" i="7"/>
  <c r="L473" i="7"/>
  <c r="L472" i="7"/>
  <c r="L471" i="7"/>
  <c r="L470" i="7"/>
  <c r="L469" i="7"/>
  <c r="L468" i="7"/>
  <c r="L467" i="7"/>
  <c r="L466" i="7"/>
  <c r="L465" i="7"/>
  <c r="L464" i="7"/>
  <c r="L463" i="7"/>
  <c r="L462" i="7"/>
  <c r="L461" i="7"/>
  <c r="L460" i="7"/>
  <c r="L459" i="7"/>
  <c r="L458" i="7"/>
  <c r="L457" i="7"/>
  <c r="L456" i="7"/>
  <c r="L455" i="7"/>
  <c r="L454" i="7"/>
  <c r="L453" i="7"/>
  <c r="L452" i="7"/>
  <c r="L451" i="7"/>
  <c r="L450" i="7"/>
  <c r="L449" i="7"/>
  <c r="L448" i="7"/>
  <c r="L447" i="7"/>
  <c r="L446" i="7"/>
  <c r="L445" i="7"/>
  <c r="L444" i="7"/>
  <c r="L443" i="7"/>
  <c r="L442" i="7"/>
  <c r="L441" i="7"/>
  <c r="L440" i="7"/>
  <c r="L439" i="7"/>
  <c r="L438" i="7"/>
  <c r="L437" i="7"/>
  <c r="L436" i="7"/>
  <c r="L435" i="7"/>
  <c r="L434" i="7"/>
  <c r="L433" i="7"/>
  <c r="L432" i="7"/>
  <c r="L431" i="7"/>
  <c r="L430" i="7"/>
  <c r="L429" i="7"/>
  <c r="L428" i="7"/>
  <c r="L427" i="7"/>
  <c r="L426" i="7"/>
  <c r="L425" i="7"/>
  <c r="L424" i="7"/>
  <c r="L423" i="7"/>
  <c r="L422" i="7"/>
  <c r="L421" i="7"/>
  <c r="L420" i="7"/>
  <c r="L419" i="7"/>
  <c r="L418" i="7"/>
  <c r="L417" i="7"/>
  <c r="L416" i="7"/>
  <c r="L415" i="7"/>
  <c r="L414" i="7"/>
  <c r="L413" i="7"/>
  <c r="L412" i="7"/>
  <c r="L411" i="7"/>
  <c r="L410" i="7"/>
  <c r="L409" i="7"/>
  <c r="L408" i="7"/>
  <c r="L407" i="7"/>
  <c r="L406" i="7"/>
  <c r="L405" i="7"/>
  <c r="L404" i="7"/>
  <c r="L403" i="7"/>
  <c r="L402" i="7"/>
  <c r="L401" i="7"/>
  <c r="L400" i="7"/>
  <c r="L399" i="7"/>
  <c r="L398" i="7"/>
  <c r="L397" i="7"/>
  <c r="L396" i="7"/>
  <c r="L395" i="7"/>
  <c r="L394" i="7"/>
  <c r="L393" i="7"/>
  <c r="L392" i="7"/>
  <c r="L391" i="7"/>
  <c r="L390" i="7"/>
  <c r="L389" i="7"/>
  <c r="L388" i="7"/>
  <c r="L387" i="7"/>
  <c r="L386" i="7"/>
  <c r="L385" i="7"/>
  <c r="L384" i="7"/>
  <c r="L383" i="7"/>
  <c r="L382" i="7"/>
  <c r="L381" i="7"/>
  <c r="L380" i="7"/>
  <c r="L379" i="7"/>
  <c r="L378" i="7"/>
  <c r="L377" i="7"/>
  <c r="L376" i="7"/>
  <c r="L375" i="7"/>
  <c r="L374" i="7"/>
  <c r="L373" i="7"/>
  <c r="L372" i="7"/>
  <c r="L371" i="7"/>
  <c r="L370" i="7"/>
  <c r="L369" i="7"/>
  <c r="L368" i="7"/>
  <c r="L367" i="7"/>
  <c r="L366" i="7"/>
  <c r="L365" i="7"/>
  <c r="L364" i="7"/>
  <c r="L363" i="7"/>
  <c r="L362" i="7"/>
  <c r="L361" i="7"/>
  <c r="L360" i="7"/>
  <c r="L359" i="7"/>
  <c r="L358" i="7"/>
  <c r="L357" i="7"/>
  <c r="L356" i="7"/>
  <c r="L355" i="7"/>
  <c r="L354" i="7"/>
  <c r="L353" i="7"/>
  <c r="L352" i="7"/>
  <c r="L351" i="7"/>
  <c r="L350" i="7"/>
  <c r="L349" i="7"/>
  <c r="L348" i="7"/>
  <c r="L347" i="7"/>
  <c r="L346" i="7"/>
  <c r="L345" i="7"/>
  <c r="L344" i="7"/>
  <c r="L343" i="7"/>
  <c r="L342" i="7"/>
  <c r="L341" i="7"/>
  <c r="L340" i="7"/>
  <c r="L339" i="7"/>
  <c r="L338" i="7"/>
  <c r="L337" i="7"/>
  <c r="L336" i="7"/>
  <c r="L335" i="7"/>
  <c r="L334" i="7"/>
  <c r="L333" i="7"/>
  <c r="L332" i="7"/>
  <c r="L331" i="7"/>
  <c r="L330" i="7"/>
  <c r="L329" i="7"/>
  <c r="L328" i="7"/>
  <c r="L327" i="7"/>
  <c r="L326" i="7"/>
  <c r="L325" i="7"/>
  <c r="L324" i="7"/>
  <c r="L323" i="7"/>
  <c r="L322" i="7"/>
  <c r="L321" i="7"/>
  <c r="L320" i="7"/>
  <c r="L319" i="7"/>
  <c r="L318" i="7"/>
  <c r="L317" i="7"/>
  <c r="L316" i="7"/>
  <c r="L315" i="7"/>
  <c r="L314" i="7"/>
  <c r="L313" i="7"/>
  <c r="L312" i="7"/>
  <c r="L311" i="7"/>
  <c r="L310" i="7"/>
  <c r="L309" i="7"/>
  <c r="L308" i="7"/>
  <c r="L307" i="7"/>
  <c r="L306" i="7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82" i="7"/>
  <c r="L281" i="7"/>
  <c r="L280" i="7"/>
  <c r="L279" i="7"/>
  <c r="L278" i="7"/>
  <c r="L277" i="7"/>
  <c r="L276" i="7"/>
  <c r="L275" i="7"/>
  <c r="L274" i="7"/>
  <c r="L273" i="7"/>
  <c r="L272" i="7"/>
  <c r="L271" i="7"/>
  <c r="L270" i="7"/>
  <c r="L269" i="7"/>
  <c r="L268" i="7"/>
  <c r="L267" i="7"/>
  <c r="L266" i="7"/>
  <c r="L265" i="7"/>
  <c r="L264" i="7"/>
  <c r="L263" i="7"/>
  <c r="L262" i="7"/>
  <c r="L261" i="7"/>
  <c r="L260" i="7"/>
  <c r="L259" i="7"/>
  <c r="L258" i="7"/>
  <c r="L257" i="7"/>
  <c r="L256" i="7"/>
  <c r="L255" i="7"/>
  <c r="L254" i="7"/>
  <c r="L253" i="7"/>
  <c r="L252" i="7"/>
  <c r="L251" i="7"/>
  <c r="L250" i="7"/>
  <c r="L249" i="7"/>
  <c r="L248" i="7"/>
  <c r="L247" i="7"/>
  <c r="L246" i="7"/>
  <c r="L245" i="7"/>
  <c r="L244" i="7"/>
  <c r="L243" i="7"/>
  <c r="L242" i="7"/>
  <c r="L241" i="7"/>
  <c r="L240" i="7"/>
  <c r="L239" i="7"/>
  <c r="L238" i="7"/>
  <c r="L237" i="7"/>
  <c r="L236" i="7"/>
  <c r="L235" i="7"/>
  <c r="L234" i="7"/>
  <c r="L233" i="7"/>
  <c r="L232" i="7"/>
  <c r="L231" i="7"/>
  <c r="L230" i="7"/>
  <c r="L229" i="7"/>
  <c r="L228" i="7"/>
  <c r="L227" i="7"/>
  <c r="L226" i="7"/>
  <c r="L225" i="7"/>
  <c r="L224" i="7"/>
  <c r="L223" i="7"/>
  <c r="L222" i="7"/>
  <c r="L221" i="7"/>
  <c r="L220" i="7"/>
  <c r="L219" i="7"/>
  <c r="L218" i="7"/>
  <c r="L217" i="7"/>
  <c r="L216" i="7"/>
  <c r="L215" i="7"/>
  <c r="L214" i="7"/>
  <c r="L213" i="7"/>
  <c r="L212" i="7"/>
  <c r="L211" i="7"/>
  <c r="L210" i="7"/>
  <c r="L209" i="7"/>
  <c r="L208" i="7"/>
  <c r="L207" i="7"/>
  <c r="L206" i="7"/>
  <c r="L205" i="7"/>
  <c r="L204" i="7"/>
  <c r="L203" i="7"/>
  <c r="L202" i="7"/>
  <c r="L201" i="7"/>
  <c r="L200" i="7"/>
  <c r="L199" i="7"/>
  <c r="L198" i="7"/>
  <c r="L197" i="7"/>
  <c r="L196" i="7"/>
  <c r="L195" i="7"/>
  <c r="L194" i="7"/>
  <c r="L193" i="7"/>
  <c r="L192" i="7"/>
  <c r="L191" i="7"/>
  <c r="L190" i="7"/>
  <c r="L189" i="7"/>
  <c r="L188" i="7"/>
  <c r="L187" i="7"/>
  <c r="L186" i="7"/>
  <c r="L185" i="7"/>
  <c r="L184" i="7"/>
  <c r="L183" i="7"/>
  <c r="L182" i="7"/>
  <c r="L181" i="7"/>
  <c r="L180" i="7"/>
  <c r="L179" i="7"/>
  <c r="L178" i="7"/>
  <c r="L177" i="7"/>
  <c r="L176" i="7"/>
  <c r="L175" i="7"/>
  <c r="L174" i="7"/>
  <c r="L173" i="7"/>
  <c r="L172" i="7"/>
  <c r="L171" i="7"/>
  <c r="L170" i="7"/>
  <c r="L169" i="7"/>
  <c r="L168" i="7"/>
  <c r="L167" i="7"/>
  <c r="L166" i="7"/>
  <c r="L165" i="7"/>
  <c r="L164" i="7"/>
  <c r="L163" i="7"/>
  <c r="L162" i="7"/>
  <c r="L161" i="7"/>
  <c r="L160" i="7"/>
  <c r="L159" i="7"/>
  <c r="L158" i="7"/>
  <c r="L157" i="7"/>
  <c r="L156" i="7"/>
  <c r="L155" i="7"/>
  <c r="L154" i="7"/>
  <c r="L153" i="7"/>
  <c r="L152" i="7"/>
  <c r="L151" i="7"/>
  <c r="L150" i="7"/>
  <c r="L149" i="7"/>
  <c r="L148" i="7"/>
  <c r="L147" i="7"/>
  <c r="L146" i="7"/>
  <c r="L145" i="7"/>
  <c r="L144" i="7"/>
  <c r="L143" i="7"/>
  <c r="L142" i="7"/>
  <c r="L141" i="7"/>
  <c r="L140" i="7"/>
  <c r="L139" i="7"/>
  <c r="L138" i="7"/>
  <c r="L137" i="7"/>
  <c r="L136" i="7"/>
  <c r="L135" i="7"/>
  <c r="L134" i="7"/>
  <c r="L133" i="7"/>
  <c r="L132" i="7"/>
  <c r="L131" i="7"/>
  <c r="L130" i="7"/>
  <c r="L129" i="7"/>
  <c r="L128" i="7"/>
  <c r="L127" i="7"/>
  <c r="L126" i="7"/>
  <c r="L125" i="7"/>
  <c r="L124" i="7"/>
  <c r="L123" i="7"/>
  <c r="L122" i="7"/>
  <c r="L121" i="7"/>
  <c r="L120" i="7"/>
  <c r="L119" i="7"/>
  <c r="L118" i="7"/>
  <c r="L117" i="7"/>
  <c r="L116" i="7"/>
  <c r="L115" i="7"/>
  <c r="L114" i="7"/>
  <c r="L113" i="7"/>
  <c r="L112" i="7"/>
  <c r="L111" i="7"/>
  <c r="L110" i="7"/>
  <c r="L109" i="7"/>
  <c r="L108" i="7"/>
  <c r="L107" i="7"/>
  <c r="L106" i="7"/>
  <c r="L105" i="7"/>
  <c r="L104" i="7"/>
  <c r="L103" i="7"/>
  <c r="L102" i="7"/>
  <c r="L101" i="7"/>
  <c r="L100" i="7"/>
  <c r="L99" i="7"/>
  <c r="L98" i="7"/>
  <c r="L97" i="7"/>
  <c r="L96" i="7"/>
  <c r="L95" i="7"/>
  <c r="L94" i="7"/>
  <c r="L93" i="7"/>
  <c r="L92" i="7"/>
  <c r="L91" i="7"/>
  <c r="L90" i="7"/>
  <c r="L89" i="7"/>
  <c r="L88" i="7"/>
  <c r="L87" i="7"/>
  <c r="L86" i="7"/>
  <c r="L85" i="7"/>
  <c r="L84" i="7"/>
  <c r="L83" i="7"/>
  <c r="L82" i="7"/>
  <c r="L81" i="7"/>
  <c r="L80" i="7"/>
  <c r="L79" i="7"/>
  <c r="L78" i="7"/>
  <c r="L77" i="7"/>
  <c r="L76" i="7"/>
  <c r="L75" i="7"/>
  <c r="L74" i="7"/>
  <c r="L73" i="7"/>
  <c r="L72" i="7"/>
  <c r="L71" i="7"/>
  <c r="L70" i="7"/>
  <c r="L69" i="7"/>
  <c r="L68" i="7"/>
  <c r="L67" i="7"/>
  <c r="L66" i="7"/>
  <c r="L65" i="7"/>
  <c r="L64" i="7"/>
  <c r="L63" i="7"/>
  <c r="L62" i="7"/>
  <c r="L61" i="7"/>
  <c r="L60" i="7"/>
  <c r="L59" i="7"/>
  <c r="L58" i="7"/>
  <c r="L57" i="7"/>
  <c r="L56" i="7"/>
  <c r="L55" i="7"/>
  <c r="L54" i="7"/>
  <c r="L53" i="7"/>
  <c r="L52" i="7"/>
  <c r="L51" i="7"/>
  <c r="L50" i="7"/>
  <c r="L49" i="7"/>
  <c r="L48" i="7"/>
  <c r="L47" i="7"/>
  <c r="L46" i="7"/>
  <c r="L45" i="7"/>
  <c r="L44" i="7"/>
  <c r="L43" i="7"/>
  <c r="L42" i="7"/>
  <c r="L41" i="7"/>
  <c r="L40" i="7"/>
  <c r="L39" i="7"/>
  <c r="L38" i="7"/>
  <c r="L37" i="7"/>
  <c r="L36" i="7"/>
  <c r="L35" i="7"/>
  <c r="L34" i="7"/>
  <c r="L33" i="7"/>
  <c r="L32" i="7"/>
  <c r="L31" i="7"/>
  <c r="L30" i="7"/>
  <c r="L29" i="7"/>
  <c r="L28" i="7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L7" i="7"/>
  <c r="L6" i="7"/>
  <c r="L5" i="7"/>
  <c r="L4" i="7"/>
  <c r="L1109" i="6"/>
  <c r="L1108" i="6"/>
  <c r="L1107" i="6"/>
  <c r="L1106" i="6"/>
  <c r="L1105" i="6"/>
  <c r="L1104" i="6"/>
  <c r="L1103" i="6"/>
  <c r="L1102" i="6"/>
  <c r="L1101" i="6"/>
  <c r="L1100" i="6"/>
  <c r="L1099" i="6"/>
  <c r="L1098" i="6"/>
  <c r="L1097" i="6"/>
  <c r="L1096" i="6"/>
  <c r="L1095" i="6"/>
  <c r="L1094" i="6"/>
  <c r="L1093" i="6"/>
  <c r="L1092" i="6"/>
  <c r="L1091" i="6"/>
  <c r="L1090" i="6"/>
  <c r="L1089" i="6"/>
  <c r="L1088" i="6"/>
  <c r="L1087" i="6"/>
  <c r="L1086" i="6"/>
  <c r="L1085" i="6"/>
  <c r="L1084" i="6"/>
  <c r="L1083" i="6"/>
  <c r="L1082" i="6"/>
  <c r="L1081" i="6"/>
  <c r="L1080" i="6"/>
  <c r="L1079" i="6"/>
  <c r="L1078" i="6"/>
  <c r="L1077" i="6"/>
  <c r="L1076" i="6"/>
  <c r="L1075" i="6"/>
  <c r="L1074" i="6"/>
  <c r="L1073" i="6"/>
  <c r="L1072" i="6"/>
  <c r="L1071" i="6"/>
  <c r="L1070" i="6"/>
  <c r="L1069" i="6"/>
  <c r="L1068" i="6"/>
  <c r="L1067" i="6"/>
  <c r="L1066" i="6"/>
  <c r="L1065" i="6"/>
  <c r="L1064" i="6"/>
  <c r="L1063" i="6"/>
  <c r="L1062" i="6"/>
  <c r="L1061" i="6"/>
  <c r="L1060" i="6"/>
  <c r="L1059" i="6"/>
  <c r="L1058" i="6"/>
  <c r="L1057" i="6"/>
  <c r="L1056" i="6"/>
  <c r="L1055" i="6"/>
  <c r="L1054" i="6"/>
  <c r="L1053" i="6"/>
  <c r="L1052" i="6"/>
  <c r="L1051" i="6"/>
  <c r="L1050" i="6"/>
  <c r="L1049" i="6"/>
  <c r="L1048" i="6"/>
  <c r="L1047" i="6"/>
  <c r="L1046" i="6"/>
  <c r="L1045" i="6"/>
  <c r="L1044" i="6"/>
  <c r="L1043" i="6"/>
  <c r="L1042" i="6"/>
  <c r="L1041" i="6"/>
  <c r="L1040" i="6"/>
  <c r="L1039" i="6"/>
  <c r="L1038" i="6"/>
  <c r="L1037" i="6"/>
  <c r="L1036" i="6"/>
  <c r="L1035" i="6"/>
  <c r="L1034" i="6"/>
  <c r="L1033" i="6"/>
  <c r="L1032" i="6"/>
  <c r="L1031" i="6"/>
  <c r="L1030" i="6"/>
  <c r="L1029" i="6"/>
  <c r="L1028" i="6"/>
  <c r="L1027" i="6"/>
  <c r="L1026" i="6"/>
  <c r="L1025" i="6"/>
  <c r="L1024" i="6"/>
  <c r="L1023" i="6"/>
  <c r="L1022" i="6"/>
  <c r="L1021" i="6"/>
  <c r="L1020" i="6"/>
  <c r="L1019" i="6"/>
  <c r="L1018" i="6"/>
  <c r="L1017" i="6"/>
  <c r="L1016" i="6"/>
  <c r="L1015" i="6"/>
  <c r="L1014" i="6"/>
  <c r="L1013" i="6"/>
  <c r="L1012" i="6"/>
  <c r="L1011" i="6"/>
  <c r="L1010" i="6"/>
  <c r="L1009" i="6"/>
  <c r="L1008" i="6"/>
  <c r="L1007" i="6"/>
  <c r="L1006" i="6"/>
  <c r="L1005" i="6"/>
  <c r="L1004" i="6"/>
  <c r="L1003" i="6"/>
  <c r="L1002" i="6"/>
  <c r="L1001" i="6"/>
  <c r="L1000" i="6"/>
  <c r="L999" i="6"/>
  <c r="L998" i="6"/>
  <c r="L997" i="6"/>
  <c r="L996" i="6"/>
  <c r="L995" i="6"/>
  <c r="L994" i="6"/>
  <c r="L993" i="6"/>
  <c r="L992" i="6"/>
  <c r="L991" i="6"/>
  <c r="L990" i="6"/>
  <c r="L989" i="6"/>
  <c r="L988" i="6"/>
  <c r="L987" i="6"/>
  <c r="L986" i="6"/>
  <c r="L985" i="6"/>
  <c r="L984" i="6"/>
  <c r="L983" i="6"/>
  <c r="L982" i="6"/>
  <c r="L981" i="6"/>
  <c r="L980" i="6"/>
  <c r="L979" i="6"/>
  <c r="L978" i="6"/>
  <c r="L977" i="6"/>
  <c r="L976" i="6"/>
  <c r="L975" i="6"/>
  <c r="L974" i="6"/>
  <c r="L973" i="6"/>
  <c r="L972" i="6"/>
  <c r="L971" i="6"/>
  <c r="L970" i="6"/>
  <c r="L969" i="6"/>
  <c r="L968" i="6"/>
  <c r="L967" i="6"/>
  <c r="L966" i="6"/>
  <c r="L965" i="6"/>
  <c r="L964" i="6"/>
  <c r="L963" i="6"/>
  <c r="L962" i="6"/>
  <c r="L961" i="6"/>
  <c r="L960" i="6"/>
  <c r="L959" i="6"/>
  <c r="L958" i="6"/>
  <c r="L957" i="6"/>
  <c r="L956" i="6"/>
  <c r="L955" i="6"/>
  <c r="L954" i="6"/>
  <c r="L953" i="6"/>
  <c r="L952" i="6"/>
  <c r="L951" i="6"/>
  <c r="L950" i="6"/>
  <c r="L949" i="6"/>
  <c r="L948" i="6"/>
  <c r="L947" i="6"/>
  <c r="L946" i="6"/>
  <c r="L945" i="6"/>
  <c r="L944" i="6"/>
  <c r="L943" i="6"/>
  <c r="L942" i="6"/>
  <c r="L941" i="6"/>
  <c r="L940" i="6"/>
  <c r="L939" i="6"/>
  <c r="L938" i="6"/>
  <c r="L937" i="6"/>
  <c r="L936" i="6"/>
  <c r="L935" i="6"/>
  <c r="L934" i="6"/>
  <c r="L933" i="6"/>
  <c r="L932" i="6"/>
  <c r="L931" i="6"/>
  <c r="L930" i="6"/>
  <c r="L929" i="6"/>
  <c r="L928" i="6"/>
  <c r="L927" i="6"/>
  <c r="L926" i="6"/>
  <c r="L925" i="6"/>
  <c r="L924" i="6"/>
  <c r="L923" i="6"/>
  <c r="L922" i="6"/>
  <c r="L921" i="6"/>
  <c r="L920" i="6"/>
  <c r="L919" i="6"/>
  <c r="L918" i="6"/>
  <c r="L917" i="6"/>
  <c r="L916" i="6"/>
  <c r="L915" i="6"/>
  <c r="L914" i="6"/>
  <c r="L913" i="6"/>
  <c r="L912" i="6"/>
  <c r="L911" i="6"/>
  <c r="L910" i="6"/>
  <c r="L909" i="6"/>
  <c r="L908" i="6"/>
  <c r="L907" i="6"/>
  <c r="L906" i="6"/>
  <c r="L905" i="6"/>
  <c r="L904" i="6"/>
  <c r="L903" i="6"/>
  <c r="L902" i="6"/>
  <c r="L901" i="6"/>
  <c r="L900" i="6"/>
  <c r="L899" i="6"/>
  <c r="L898" i="6"/>
  <c r="L897" i="6"/>
  <c r="L896" i="6"/>
  <c r="L895" i="6"/>
  <c r="L894" i="6"/>
  <c r="L893" i="6"/>
  <c r="L892" i="6"/>
  <c r="L891" i="6"/>
  <c r="L890" i="6"/>
  <c r="L889" i="6"/>
  <c r="L888" i="6"/>
  <c r="L887" i="6"/>
  <c r="L886" i="6"/>
  <c r="L885" i="6"/>
  <c r="L884" i="6"/>
  <c r="L883" i="6"/>
  <c r="L882" i="6"/>
  <c r="L881" i="6"/>
  <c r="L880" i="6"/>
  <c r="L879" i="6"/>
  <c r="L878" i="6"/>
  <c r="L877" i="6"/>
  <c r="L876" i="6"/>
  <c r="L875" i="6"/>
  <c r="L874" i="6"/>
  <c r="L873" i="6"/>
  <c r="L872" i="6"/>
  <c r="L871" i="6"/>
  <c r="L870" i="6"/>
  <c r="L869" i="6"/>
  <c r="L868" i="6"/>
  <c r="L867" i="6"/>
  <c r="L866" i="6"/>
  <c r="L865" i="6"/>
  <c r="L864" i="6"/>
  <c r="L863" i="6"/>
  <c r="L862" i="6"/>
  <c r="L861" i="6"/>
  <c r="L860" i="6"/>
  <c r="L859" i="6"/>
  <c r="L858" i="6"/>
  <c r="L857" i="6"/>
  <c r="L856" i="6"/>
  <c r="L855" i="6"/>
  <c r="L854" i="6"/>
  <c r="L853" i="6"/>
  <c r="L852" i="6"/>
  <c r="L851" i="6"/>
  <c r="L850" i="6"/>
  <c r="L849" i="6"/>
  <c r="L848" i="6"/>
  <c r="L847" i="6"/>
  <c r="L846" i="6"/>
  <c r="L845" i="6"/>
  <c r="L844" i="6"/>
  <c r="L843" i="6"/>
  <c r="L842" i="6"/>
  <c r="L841" i="6"/>
  <c r="L840" i="6"/>
  <c r="L839" i="6"/>
  <c r="L838" i="6"/>
  <c r="L837" i="6"/>
  <c r="L836" i="6"/>
  <c r="L835" i="6"/>
  <c r="L834" i="6"/>
  <c r="L833" i="6"/>
  <c r="L832" i="6"/>
  <c r="L831" i="6"/>
  <c r="L830" i="6"/>
  <c r="L829" i="6"/>
  <c r="L828" i="6"/>
  <c r="L827" i="6"/>
  <c r="L826" i="6"/>
  <c r="L825" i="6"/>
  <c r="L824" i="6"/>
  <c r="L823" i="6"/>
  <c r="L822" i="6"/>
  <c r="L821" i="6"/>
  <c r="L820" i="6"/>
  <c r="L819" i="6"/>
  <c r="L818" i="6"/>
  <c r="L817" i="6"/>
  <c r="L816" i="6"/>
  <c r="L815" i="6"/>
  <c r="L814" i="6"/>
  <c r="L813" i="6"/>
  <c r="L812" i="6"/>
  <c r="L811" i="6"/>
  <c r="L810" i="6"/>
  <c r="L809" i="6"/>
  <c r="L808" i="6"/>
  <c r="L807" i="6"/>
  <c r="L806" i="6"/>
  <c r="L805" i="6"/>
  <c r="L804" i="6"/>
  <c r="L803" i="6"/>
  <c r="L802" i="6"/>
  <c r="L801" i="6"/>
  <c r="L800" i="6"/>
  <c r="L799" i="6"/>
  <c r="L798" i="6"/>
  <c r="L797" i="6"/>
  <c r="L796" i="6"/>
  <c r="L795" i="6"/>
  <c r="L794" i="6"/>
  <c r="L793" i="6"/>
  <c r="L792" i="6"/>
  <c r="L791" i="6"/>
  <c r="L790" i="6"/>
  <c r="L789" i="6"/>
  <c r="L788" i="6"/>
  <c r="L787" i="6"/>
  <c r="L786" i="6"/>
  <c r="L785" i="6"/>
  <c r="L784" i="6"/>
  <c r="L783" i="6"/>
  <c r="L782" i="6"/>
  <c r="L781" i="6"/>
  <c r="L780" i="6"/>
  <c r="L779" i="6"/>
  <c r="L778" i="6"/>
  <c r="L777" i="6"/>
  <c r="L776" i="6"/>
  <c r="L775" i="6"/>
  <c r="L774" i="6"/>
  <c r="L773" i="6"/>
  <c r="L772" i="6"/>
  <c r="L771" i="6"/>
  <c r="L770" i="6"/>
  <c r="L769" i="6"/>
  <c r="L768" i="6"/>
  <c r="L767" i="6"/>
  <c r="L766" i="6"/>
  <c r="L765" i="6"/>
  <c r="L764" i="6"/>
  <c r="L763" i="6"/>
  <c r="L762" i="6"/>
  <c r="L761" i="6"/>
  <c r="L760" i="6"/>
  <c r="L759" i="6"/>
  <c r="L758" i="6"/>
  <c r="L757" i="6"/>
  <c r="L756" i="6"/>
  <c r="L755" i="6"/>
  <c r="L754" i="6"/>
  <c r="L753" i="6"/>
  <c r="L752" i="6"/>
  <c r="L751" i="6"/>
  <c r="L750" i="6"/>
  <c r="L749" i="6"/>
  <c r="L748" i="6"/>
  <c r="L747" i="6"/>
  <c r="L746" i="6"/>
  <c r="L745" i="6"/>
  <c r="L744" i="6"/>
  <c r="L743" i="6"/>
  <c r="L742" i="6"/>
  <c r="L741" i="6"/>
  <c r="L740" i="6"/>
  <c r="L739" i="6"/>
  <c r="L738" i="6"/>
  <c r="L737" i="6"/>
  <c r="L736" i="6"/>
  <c r="L735" i="6"/>
  <c r="L734" i="6"/>
  <c r="L733" i="6"/>
  <c r="L732" i="6"/>
  <c r="L731" i="6"/>
  <c r="L730" i="6"/>
  <c r="L729" i="6"/>
  <c r="L728" i="6"/>
  <c r="L727" i="6"/>
  <c r="L726" i="6"/>
  <c r="L725" i="6"/>
  <c r="L724" i="6"/>
  <c r="L723" i="6"/>
  <c r="L722" i="6"/>
  <c r="L721" i="6"/>
  <c r="L720" i="6"/>
  <c r="L719" i="6"/>
  <c r="L718" i="6"/>
  <c r="L717" i="6"/>
  <c r="L716" i="6"/>
  <c r="L715" i="6"/>
  <c r="L714" i="6"/>
  <c r="L713" i="6"/>
  <c r="L712" i="6"/>
  <c r="L711" i="6"/>
  <c r="L710" i="6"/>
  <c r="L709" i="6"/>
  <c r="L708" i="6"/>
  <c r="L707" i="6"/>
  <c r="L706" i="6"/>
  <c r="L705" i="6"/>
  <c r="L704" i="6"/>
  <c r="L703" i="6"/>
  <c r="L702" i="6"/>
  <c r="L701" i="6"/>
  <c r="L700" i="6"/>
  <c r="L699" i="6"/>
  <c r="L698" i="6"/>
  <c r="L697" i="6"/>
  <c r="L696" i="6"/>
  <c r="L695" i="6"/>
  <c r="L694" i="6"/>
  <c r="L693" i="6"/>
  <c r="L692" i="6"/>
  <c r="L691" i="6"/>
  <c r="L690" i="6"/>
  <c r="L689" i="6"/>
  <c r="L688" i="6"/>
  <c r="L687" i="6"/>
  <c r="L686" i="6"/>
  <c r="L685" i="6"/>
  <c r="L684" i="6"/>
  <c r="L683" i="6"/>
  <c r="L682" i="6"/>
  <c r="L681" i="6"/>
  <c r="L680" i="6"/>
  <c r="L679" i="6"/>
  <c r="L678" i="6"/>
  <c r="L677" i="6"/>
  <c r="L676" i="6"/>
  <c r="L675" i="6"/>
  <c r="L674" i="6"/>
  <c r="L673" i="6"/>
  <c r="L672" i="6"/>
  <c r="L671" i="6"/>
  <c r="L670" i="6"/>
  <c r="L669" i="6"/>
  <c r="L668" i="6"/>
  <c r="L667" i="6"/>
  <c r="L666" i="6"/>
  <c r="L665" i="6"/>
  <c r="L664" i="6"/>
  <c r="L663" i="6"/>
  <c r="L662" i="6"/>
  <c r="L661" i="6"/>
  <c r="L660" i="6"/>
  <c r="L659" i="6"/>
  <c r="L658" i="6"/>
  <c r="L657" i="6"/>
  <c r="L656" i="6"/>
  <c r="L655" i="6"/>
  <c r="L654" i="6"/>
  <c r="L653" i="6"/>
  <c r="L652" i="6"/>
  <c r="L651" i="6"/>
  <c r="L650" i="6"/>
  <c r="L649" i="6"/>
  <c r="L648" i="6"/>
  <c r="L647" i="6"/>
  <c r="L646" i="6"/>
  <c r="L645" i="6"/>
  <c r="L644" i="6"/>
  <c r="L643" i="6"/>
  <c r="L642" i="6"/>
  <c r="L641" i="6"/>
  <c r="L640" i="6"/>
  <c r="L639" i="6"/>
  <c r="L638" i="6"/>
  <c r="L637" i="6"/>
  <c r="L636" i="6"/>
  <c r="L635" i="6"/>
  <c r="L634" i="6"/>
  <c r="L633" i="6"/>
  <c r="L632" i="6"/>
  <c r="L631" i="6"/>
  <c r="L630" i="6"/>
  <c r="L629" i="6"/>
  <c r="L628" i="6"/>
  <c r="L627" i="6"/>
  <c r="L626" i="6"/>
  <c r="L625" i="6"/>
  <c r="L624" i="6"/>
  <c r="L623" i="6"/>
  <c r="L622" i="6"/>
  <c r="L621" i="6"/>
  <c r="L620" i="6"/>
  <c r="L619" i="6"/>
  <c r="L618" i="6"/>
  <c r="L617" i="6"/>
  <c r="L616" i="6"/>
  <c r="L615" i="6"/>
  <c r="L614" i="6"/>
  <c r="L613" i="6"/>
  <c r="L612" i="6"/>
  <c r="L611" i="6"/>
  <c r="L610" i="6"/>
  <c r="L609" i="6"/>
  <c r="L608" i="6"/>
  <c r="L607" i="6"/>
  <c r="L606" i="6"/>
  <c r="L605" i="6"/>
  <c r="L604" i="6"/>
  <c r="L603" i="6"/>
  <c r="L602" i="6"/>
  <c r="L601" i="6"/>
  <c r="L600" i="6"/>
  <c r="L599" i="6"/>
  <c r="L598" i="6"/>
  <c r="L597" i="6"/>
  <c r="L596" i="6"/>
  <c r="L595" i="6"/>
  <c r="L594" i="6"/>
  <c r="L593" i="6"/>
  <c r="L592" i="6"/>
  <c r="L591" i="6"/>
  <c r="L590" i="6"/>
  <c r="L589" i="6"/>
  <c r="L588" i="6"/>
  <c r="L587" i="6"/>
  <c r="L586" i="6"/>
  <c r="L585" i="6"/>
  <c r="L584" i="6"/>
  <c r="L583" i="6"/>
  <c r="L582" i="6"/>
  <c r="L581" i="6"/>
  <c r="L580" i="6"/>
  <c r="L579" i="6"/>
  <c r="L578" i="6"/>
  <c r="L577" i="6"/>
  <c r="L576" i="6"/>
  <c r="L575" i="6"/>
  <c r="L574" i="6"/>
  <c r="L573" i="6"/>
  <c r="L572" i="6"/>
  <c r="L571" i="6"/>
  <c r="L570" i="6"/>
  <c r="L569" i="6"/>
  <c r="L568" i="6"/>
  <c r="L567" i="6"/>
  <c r="L566" i="6"/>
  <c r="L565" i="6"/>
  <c r="L564" i="6"/>
  <c r="L563" i="6"/>
  <c r="L562" i="6"/>
  <c r="L561" i="6"/>
  <c r="L560" i="6"/>
  <c r="L559" i="6"/>
  <c r="L558" i="6"/>
  <c r="L557" i="6"/>
  <c r="L556" i="6"/>
  <c r="L555" i="6"/>
  <c r="L554" i="6"/>
  <c r="L553" i="6"/>
  <c r="L552" i="6"/>
  <c r="L551" i="6"/>
  <c r="L550" i="6"/>
  <c r="L549" i="6"/>
  <c r="L548" i="6"/>
  <c r="L547" i="6"/>
  <c r="L546" i="6"/>
  <c r="L545" i="6"/>
  <c r="L544" i="6"/>
  <c r="L543" i="6"/>
  <c r="L542" i="6"/>
  <c r="L541" i="6"/>
  <c r="L540" i="6"/>
  <c r="L539" i="6"/>
  <c r="L538" i="6"/>
  <c r="L537" i="6"/>
  <c r="L536" i="6"/>
  <c r="L535" i="6"/>
  <c r="L534" i="6"/>
  <c r="L533" i="6"/>
  <c r="L532" i="6"/>
  <c r="L531" i="6"/>
  <c r="L530" i="6"/>
  <c r="L529" i="6"/>
  <c r="L528" i="6"/>
  <c r="L527" i="6"/>
  <c r="L526" i="6"/>
  <c r="L525" i="6"/>
  <c r="L524" i="6"/>
  <c r="L523" i="6"/>
  <c r="L522" i="6"/>
  <c r="L521" i="6"/>
  <c r="L520" i="6"/>
  <c r="L519" i="6"/>
  <c r="L518" i="6"/>
  <c r="L517" i="6"/>
  <c r="L516" i="6"/>
  <c r="L515" i="6"/>
  <c r="L514" i="6"/>
  <c r="L513" i="6"/>
  <c r="L512" i="6"/>
  <c r="L511" i="6"/>
  <c r="L510" i="6"/>
  <c r="L509" i="6"/>
  <c r="L508" i="6"/>
  <c r="L507" i="6"/>
  <c r="L506" i="6"/>
  <c r="L505" i="6"/>
  <c r="L504" i="6"/>
  <c r="L503" i="6"/>
  <c r="L502" i="6"/>
  <c r="L501" i="6"/>
  <c r="L500" i="6"/>
  <c r="L499" i="6"/>
  <c r="L498" i="6"/>
  <c r="L497" i="6"/>
  <c r="L496" i="6"/>
  <c r="L495" i="6"/>
  <c r="L494" i="6"/>
  <c r="L493" i="6"/>
  <c r="L492" i="6"/>
  <c r="L491" i="6"/>
  <c r="L490" i="6"/>
  <c r="L489" i="6"/>
  <c r="L488" i="6"/>
  <c r="L487" i="6"/>
  <c r="L486" i="6"/>
  <c r="L485" i="6"/>
  <c r="L484" i="6"/>
  <c r="L483" i="6"/>
  <c r="L482" i="6"/>
  <c r="L481" i="6"/>
  <c r="L480" i="6"/>
  <c r="L479" i="6"/>
  <c r="L478" i="6"/>
  <c r="L477" i="6"/>
  <c r="L476" i="6"/>
  <c r="L475" i="6"/>
  <c r="L474" i="6"/>
  <c r="L473" i="6"/>
  <c r="L472" i="6"/>
  <c r="L471" i="6"/>
  <c r="L470" i="6"/>
  <c r="L469" i="6"/>
  <c r="L468" i="6"/>
  <c r="L467" i="6"/>
  <c r="L466" i="6"/>
  <c r="L465" i="6"/>
  <c r="L464" i="6"/>
  <c r="L463" i="6"/>
  <c r="L462" i="6"/>
  <c r="L461" i="6"/>
  <c r="L460" i="6"/>
  <c r="L459" i="6"/>
  <c r="L458" i="6"/>
  <c r="L457" i="6"/>
  <c r="L456" i="6"/>
  <c r="L455" i="6"/>
  <c r="L454" i="6"/>
  <c r="L453" i="6"/>
  <c r="L452" i="6"/>
  <c r="L451" i="6"/>
  <c r="L450" i="6"/>
  <c r="L449" i="6"/>
  <c r="L448" i="6"/>
  <c r="L447" i="6"/>
  <c r="L446" i="6"/>
  <c r="L445" i="6"/>
  <c r="L444" i="6"/>
  <c r="L443" i="6"/>
  <c r="L442" i="6"/>
  <c r="L441" i="6"/>
  <c r="L440" i="6"/>
  <c r="L439" i="6"/>
  <c r="L438" i="6"/>
  <c r="L437" i="6"/>
  <c r="L436" i="6"/>
  <c r="L435" i="6"/>
  <c r="L434" i="6"/>
  <c r="L433" i="6"/>
  <c r="L432" i="6"/>
  <c r="L431" i="6"/>
  <c r="L430" i="6"/>
  <c r="L429" i="6"/>
  <c r="L428" i="6"/>
  <c r="L427" i="6"/>
  <c r="L426" i="6"/>
  <c r="L425" i="6"/>
  <c r="L424" i="6"/>
  <c r="L423" i="6"/>
  <c r="L422" i="6"/>
  <c r="L421" i="6"/>
  <c r="L420" i="6"/>
  <c r="L419" i="6"/>
  <c r="L418" i="6"/>
  <c r="L417" i="6"/>
  <c r="L416" i="6"/>
  <c r="L415" i="6"/>
  <c r="L414" i="6"/>
  <c r="L413" i="6"/>
  <c r="L412" i="6"/>
  <c r="L411" i="6"/>
  <c r="L410" i="6"/>
  <c r="L409" i="6"/>
  <c r="L408" i="6"/>
  <c r="L407" i="6"/>
  <c r="L406" i="6"/>
  <c r="L405" i="6"/>
  <c r="L404" i="6"/>
  <c r="L403" i="6"/>
  <c r="L402" i="6"/>
  <c r="L401" i="6"/>
  <c r="L400" i="6"/>
  <c r="L399" i="6"/>
  <c r="L398" i="6"/>
  <c r="L397" i="6"/>
  <c r="L396" i="6"/>
  <c r="L395" i="6"/>
  <c r="L394" i="6"/>
  <c r="L393" i="6"/>
  <c r="L392" i="6"/>
  <c r="L391" i="6"/>
  <c r="L390" i="6"/>
  <c r="L389" i="6"/>
  <c r="L388" i="6"/>
  <c r="L387" i="6"/>
  <c r="L386" i="6"/>
  <c r="L385" i="6"/>
  <c r="L384" i="6"/>
  <c r="L383" i="6"/>
  <c r="L382" i="6"/>
  <c r="L381" i="6"/>
  <c r="L380" i="6"/>
  <c r="L379" i="6"/>
  <c r="L378" i="6"/>
  <c r="L377" i="6"/>
  <c r="L376" i="6"/>
  <c r="L375" i="6"/>
  <c r="L374" i="6"/>
  <c r="L373" i="6"/>
  <c r="L372" i="6"/>
  <c r="L371" i="6"/>
  <c r="L370" i="6"/>
  <c r="L369" i="6"/>
  <c r="L368" i="6"/>
  <c r="L367" i="6"/>
  <c r="L366" i="6"/>
  <c r="L365" i="6"/>
  <c r="L364" i="6"/>
  <c r="L363" i="6"/>
  <c r="L362" i="6"/>
  <c r="L361" i="6"/>
  <c r="L360" i="6"/>
  <c r="L359" i="6"/>
  <c r="L358" i="6"/>
  <c r="L357" i="6"/>
  <c r="L356" i="6"/>
  <c r="L355" i="6"/>
  <c r="L354" i="6"/>
  <c r="L353" i="6"/>
  <c r="L352" i="6"/>
  <c r="L351" i="6"/>
  <c r="L350" i="6"/>
  <c r="L349" i="6"/>
  <c r="L348" i="6"/>
  <c r="L347" i="6"/>
  <c r="L346" i="6"/>
  <c r="L345" i="6"/>
  <c r="L344" i="6"/>
  <c r="L343" i="6"/>
  <c r="L342" i="6"/>
  <c r="L341" i="6"/>
  <c r="L340" i="6"/>
  <c r="L339" i="6"/>
  <c r="L338" i="6"/>
  <c r="L337" i="6"/>
  <c r="L336" i="6"/>
  <c r="L335" i="6"/>
  <c r="L334" i="6"/>
  <c r="L333" i="6"/>
  <c r="L332" i="6"/>
  <c r="L331" i="6"/>
  <c r="L330" i="6"/>
  <c r="L329" i="6"/>
  <c r="L328" i="6"/>
  <c r="L327" i="6"/>
  <c r="L326" i="6"/>
  <c r="L325" i="6"/>
  <c r="L324" i="6"/>
  <c r="L323" i="6"/>
  <c r="L322" i="6"/>
  <c r="L321" i="6"/>
  <c r="L320" i="6"/>
  <c r="L319" i="6"/>
  <c r="L318" i="6"/>
  <c r="L317" i="6"/>
  <c r="L316" i="6"/>
  <c r="L315" i="6"/>
  <c r="L314" i="6"/>
  <c r="L313" i="6"/>
  <c r="L312" i="6"/>
  <c r="L311" i="6"/>
  <c r="L310" i="6"/>
  <c r="L309" i="6"/>
  <c r="L308" i="6"/>
  <c r="L307" i="6"/>
  <c r="L306" i="6"/>
  <c r="L305" i="6"/>
  <c r="L304" i="6"/>
  <c r="L303" i="6"/>
  <c r="L302" i="6"/>
  <c r="L301" i="6"/>
  <c r="L300" i="6"/>
  <c r="L299" i="6"/>
  <c r="L298" i="6"/>
  <c r="L297" i="6"/>
  <c r="L296" i="6"/>
  <c r="L295" i="6"/>
  <c r="L294" i="6"/>
  <c r="L293" i="6"/>
  <c r="L292" i="6"/>
  <c r="L291" i="6"/>
  <c r="L290" i="6"/>
  <c r="L289" i="6"/>
  <c r="L288" i="6"/>
  <c r="L287" i="6"/>
  <c r="L286" i="6"/>
  <c r="L285" i="6"/>
  <c r="L284" i="6"/>
  <c r="L283" i="6"/>
  <c r="L282" i="6"/>
  <c r="L281" i="6"/>
  <c r="L280" i="6"/>
  <c r="L279" i="6"/>
  <c r="L278" i="6"/>
  <c r="L277" i="6"/>
  <c r="L276" i="6"/>
  <c r="L275" i="6"/>
  <c r="L274" i="6"/>
  <c r="L273" i="6"/>
  <c r="L272" i="6"/>
  <c r="L271" i="6"/>
  <c r="L270" i="6"/>
  <c r="L269" i="6"/>
  <c r="L268" i="6"/>
  <c r="L267" i="6"/>
  <c r="L266" i="6"/>
  <c r="L265" i="6"/>
  <c r="L264" i="6"/>
  <c r="L263" i="6"/>
  <c r="L262" i="6"/>
  <c r="L261" i="6"/>
  <c r="L260" i="6"/>
  <c r="L259" i="6"/>
  <c r="L258" i="6"/>
  <c r="L257" i="6"/>
  <c r="L256" i="6"/>
  <c r="L255" i="6"/>
  <c r="L254" i="6"/>
  <c r="L253" i="6"/>
  <c r="L252" i="6"/>
  <c r="L251" i="6"/>
  <c r="L250" i="6"/>
  <c r="L249" i="6"/>
  <c r="L248" i="6"/>
  <c r="L247" i="6"/>
  <c r="L246" i="6"/>
  <c r="L245" i="6"/>
  <c r="L244" i="6"/>
  <c r="L243" i="6"/>
  <c r="L242" i="6"/>
  <c r="L241" i="6"/>
  <c r="L240" i="6"/>
  <c r="L239" i="6"/>
  <c r="L238" i="6"/>
  <c r="L237" i="6"/>
  <c r="L236" i="6"/>
  <c r="L235" i="6"/>
  <c r="L234" i="6"/>
  <c r="L233" i="6"/>
  <c r="L232" i="6"/>
  <c r="L231" i="6"/>
  <c r="L230" i="6"/>
  <c r="L229" i="6"/>
  <c r="L228" i="6"/>
  <c r="L227" i="6"/>
  <c r="L226" i="6"/>
  <c r="L225" i="6"/>
  <c r="L224" i="6"/>
  <c r="L223" i="6"/>
  <c r="L222" i="6"/>
  <c r="L221" i="6"/>
  <c r="L220" i="6"/>
  <c r="L219" i="6"/>
  <c r="L218" i="6"/>
  <c r="L217" i="6"/>
  <c r="L216" i="6"/>
  <c r="L215" i="6"/>
  <c r="L214" i="6"/>
  <c r="L213" i="6"/>
  <c r="L212" i="6"/>
  <c r="L211" i="6"/>
  <c r="L210" i="6"/>
  <c r="L209" i="6"/>
  <c r="L208" i="6"/>
  <c r="L207" i="6"/>
  <c r="L206" i="6"/>
  <c r="L205" i="6"/>
  <c r="L204" i="6"/>
  <c r="L203" i="6"/>
  <c r="L202" i="6"/>
  <c r="L201" i="6"/>
  <c r="L200" i="6"/>
  <c r="L199" i="6"/>
  <c r="L198" i="6"/>
  <c r="L197" i="6"/>
  <c r="L196" i="6"/>
  <c r="L195" i="6"/>
  <c r="L194" i="6"/>
  <c r="L193" i="6"/>
  <c r="L192" i="6"/>
  <c r="L191" i="6"/>
  <c r="L190" i="6"/>
  <c r="L189" i="6"/>
  <c r="L188" i="6"/>
  <c r="L187" i="6"/>
  <c r="L186" i="6"/>
  <c r="L185" i="6"/>
  <c r="L184" i="6"/>
  <c r="L183" i="6"/>
  <c r="L182" i="6"/>
  <c r="L181" i="6"/>
  <c r="L180" i="6"/>
  <c r="L179" i="6"/>
  <c r="L178" i="6"/>
  <c r="L177" i="6"/>
  <c r="L176" i="6"/>
  <c r="L175" i="6"/>
  <c r="L174" i="6"/>
  <c r="L173" i="6"/>
  <c r="L172" i="6"/>
  <c r="L171" i="6"/>
  <c r="L170" i="6"/>
  <c r="L169" i="6"/>
  <c r="L168" i="6"/>
  <c r="L167" i="6"/>
  <c r="L166" i="6"/>
  <c r="L165" i="6"/>
  <c r="L164" i="6"/>
  <c r="L163" i="6"/>
  <c r="L162" i="6"/>
  <c r="L161" i="6"/>
  <c r="L160" i="6"/>
  <c r="L159" i="6"/>
  <c r="L158" i="6"/>
  <c r="L157" i="6"/>
  <c r="L156" i="6"/>
  <c r="L155" i="6"/>
  <c r="L154" i="6"/>
  <c r="L153" i="6"/>
  <c r="L152" i="6"/>
  <c r="L151" i="6"/>
  <c r="L150" i="6"/>
  <c r="L149" i="6"/>
  <c r="L148" i="6"/>
  <c r="L147" i="6"/>
  <c r="L146" i="6"/>
  <c r="L145" i="6"/>
  <c r="L144" i="6"/>
  <c r="L143" i="6"/>
  <c r="L142" i="6"/>
  <c r="L141" i="6"/>
  <c r="L140" i="6"/>
  <c r="L139" i="6"/>
  <c r="L138" i="6"/>
  <c r="L137" i="6"/>
  <c r="L136" i="6"/>
  <c r="L135" i="6"/>
  <c r="L134" i="6"/>
  <c r="L133" i="6"/>
  <c r="L132" i="6"/>
  <c r="L131" i="6"/>
  <c r="L130" i="6"/>
  <c r="L129" i="6"/>
  <c r="L128" i="6"/>
  <c r="L127" i="6"/>
  <c r="L126" i="6"/>
  <c r="L125" i="6"/>
  <c r="L124" i="6"/>
  <c r="L123" i="6"/>
  <c r="L122" i="6"/>
  <c r="L121" i="6"/>
  <c r="L120" i="6"/>
  <c r="L119" i="6"/>
  <c r="L118" i="6"/>
  <c r="L117" i="6"/>
  <c r="L116" i="6"/>
  <c r="L115" i="6"/>
  <c r="L114" i="6"/>
  <c r="L113" i="6"/>
  <c r="L112" i="6"/>
  <c r="L111" i="6"/>
  <c r="L110" i="6"/>
  <c r="L109" i="6"/>
  <c r="L108" i="6"/>
  <c r="L107" i="6"/>
  <c r="L106" i="6"/>
  <c r="L105" i="6"/>
  <c r="L104" i="6"/>
  <c r="L103" i="6"/>
  <c r="L102" i="6"/>
  <c r="L101" i="6"/>
  <c r="L100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5" i="6"/>
  <c r="L84" i="6"/>
  <c r="L83" i="6"/>
  <c r="L82" i="6"/>
  <c r="L81" i="6"/>
  <c r="L80" i="6"/>
  <c r="L79" i="6"/>
  <c r="L78" i="6"/>
  <c r="L77" i="6"/>
  <c r="L76" i="6"/>
  <c r="L75" i="6"/>
  <c r="L74" i="6"/>
  <c r="L73" i="6"/>
  <c r="L72" i="6"/>
  <c r="L71" i="6"/>
  <c r="L70" i="6"/>
  <c r="L69" i="6"/>
  <c r="L68" i="6"/>
  <c r="L67" i="6"/>
  <c r="L66" i="6"/>
  <c r="L65" i="6"/>
  <c r="L64" i="6"/>
  <c r="L63" i="6"/>
  <c r="L62" i="6"/>
  <c r="L61" i="6"/>
  <c r="L60" i="6"/>
  <c r="L59" i="6"/>
  <c r="L58" i="6"/>
  <c r="L57" i="6"/>
  <c r="L56" i="6"/>
  <c r="L55" i="6"/>
  <c r="L54" i="6"/>
  <c r="L53" i="6"/>
  <c r="L52" i="6"/>
  <c r="L51" i="6"/>
  <c r="L50" i="6"/>
  <c r="L49" i="6"/>
  <c r="L48" i="6"/>
  <c r="L47" i="6"/>
  <c r="L46" i="6"/>
  <c r="L45" i="6"/>
  <c r="L44" i="6"/>
  <c r="L43" i="6"/>
  <c r="L42" i="6"/>
  <c r="L41" i="6"/>
  <c r="L40" i="6"/>
  <c r="L39" i="6"/>
  <c r="L38" i="6"/>
  <c r="L37" i="6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12" i="6"/>
  <c r="L11" i="6"/>
  <c r="L10" i="6"/>
  <c r="L9" i="6"/>
  <c r="L8" i="6"/>
  <c r="L7" i="6"/>
  <c r="L6" i="6"/>
  <c r="L5" i="6"/>
  <c r="L4" i="6"/>
  <c r="L1109" i="5"/>
  <c r="L1108" i="5"/>
  <c r="L1107" i="5"/>
  <c r="L1106" i="5"/>
  <c r="L1105" i="5"/>
  <c r="L1104" i="5"/>
  <c r="L1103" i="5"/>
  <c r="L1102" i="5"/>
  <c r="L1101" i="5"/>
  <c r="L1100" i="5"/>
  <c r="L1099" i="5"/>
  <c r="L1098" i="5"/>
  <c r="L1097" i="5"/>
  <c r="L1096" i="5"/>
  <c r="L1095" i="5"/>
  <c r="L1094" i="5"/>
  <c r="L1093" i="5"/>
  <c r="L1092" i="5"/>
  <c r="L1091" i="5"/>
  <c r="L1090" i="5"/>
  <c r="L1089" i="5"/>
  <c r="L1088" i="5"/>
  <c r="L1087" i="5"/>
  <c r="L1086" i="5"/>
  <c r="L1085" i="5"/>
  <c r="L1084" i="5"/>
  <c r="L1083" i="5"/>
  <c r="L1082" i="5"/>
  <c r="L1081" i="5"/>
  <c r="L1080" i="5"/>
  <c r="L1079" i="5"/>
  <c r="L1078" i="5"/>
  <c r="L1077" i="5"/>
  <c r="L1076" i="5"/>
  <c r="L1075" i="5"/>
  <c r="L1074" i="5"/>
  <c r="L1073" i="5"/>
  <c r="L1072" i="5"/>
  <c r="L1071" i="5"/>
  <c r="L1070" i="5"/>
  <c r="L1069" i="5"/>
  <c r="L1068" i="5"/>
  <c r="L1067" i="5"/>
  <c r="L1066" i="5"/>
  <c r="L1065" i="5"/>
  <c r="L1064" i="5"/>
  <c r="L1063" i="5"/>
  <c r="L1062" i="5"/>
  <c r="L1061" i="5"/>
  <c r="L1060" i="5"/>
  <c r="L1059" i="5"/>
  <c r="L1058" i="5"/>
  <c r="L1057" i="5"/>
  <c r="L1056" i="5"/>
  <c r="L1055" i="5"/>
  <c r="L1054" i="5"/>
  <c r="L1053" i="5"/>
  <c r="L1052" i="5"/>
  <c r="L1051" i="5"/>
  <c r="L1050" i="5"/>
  <c r="L1049" i="5"/>
  <c r="L1048" i="5"/>
  <c r="L1047" i="5"/>
  <c r="L1046" i="5"/>
  <c r="L1045" i="5"/>
  <c r="L1044" i="5"/>
  <c r="L1043" i="5"/>
  <c r="L1042" i="5"/>
  <c r="L1041" i="5"/>
  <c r="L1040" i="5"/>
  <c r="L1039" i="5"/>
  <c r="L1038" i="5"/>
  <c r="L1037" i="5"/>
  <c r="L1036" i="5"/>
  <c r="L1035" i="5"/>
  <c r="L1034" i="5"/>
  <c r="L1033" i="5"/>
  <c r="L1032" i="5"/>
  <c r="L1031" i="5"/>
  <c r="L1030" i="5"/>
  <c r="L1029" i="5"/>
  <c r="L1028" i="5"/>
  <c r="L1027" i="5"/>
  <c r="L1026" i="5"/>
  <c r="L1025" i="5"/>
  <c r="L1024" i="5"/>
  <c r="L1023" i="5"/>
  <c r="L1022" i="5"/>
  <c r="L1021" i="5"/>
  <c r="L1020" i="5"/>
  <c r="L1019" i="5"/>
  <c r="L1018" i="5"/>
  <c r="L1017" i="5"/>
  <c r="L1016" i="5"/>
  <c r="L1015" i="5"/>
  <c r="L1014" i="5"/>
  <c r="L1013" i="5"/>
  <c r="L1012" i="5"/>
  <c r="L1011" i="5"/>
  <c r="L1010" i="5"/>
  <c r="L1009" i="5"/>
  <c r="L1008" i="5"/>
  <c r="L1007" i="5"/>
  <c r="L1006" i="5"/>
  <c r="L1005" i="5"/>
  <c r="L1004" i="5"/>
  <c r="L1003" i="5"/>
  <c r="L1002" i="5"/>
  <c r="L1001" i="5"/>
  <c r="L1000" i="5"/>
  <c r="L999" i="5"/>
  <c r="L998" i="5"/>
  <c r="L997" i="5"/>
  <c r="L996" i="5"/>
  <c r="L995" i="5"/>
  <c r="L994" i="5"/>
  <c r="L993" i="5"/>
  <c r="L992" i="5"/>
  <c r="L991" i="5"/>
  <c r="L990" i="5"/>
  <c r="L989" i="5"/>
  <c r="L988" i="5"/>
  <c r="L987" i="5"/>
  <c r="L986" i="5"/>
  <c r="L985" i="5"/>
  <c r="L984" i="5"/>
  <c r="L983" i="5"/>
  <c r="L982" i="5"/>
  <c r="L981" i="5"/>
  <c r="L980" i="5"/>
  <c r="L979" i="5"/>
  <c r="L978" i="5"/>
  <c r="L977" i="5"/>
  <c r="L976" i="5"/>
  <c r="L975" i="5"/>
  <c r="L974" i="5"/>
  <c r="L973" i="5"/>
  <c r="L972" i="5"/>
  <c r="L971" i="5"/>
  <c r="L970" i="5"/>
  <c r="L969" i="5"/>
  <c r="L968" i="5"/>
  <c r="L967" i="5"/>
  <c r="L966" i="5"/>
  <c r="L965" i="5"/>
  <c r="L964" i="5"/>
  <c r="L963" i="5"/>
  <c r="L962" i="5"/>
  <c r="L961" i="5"/>
  <c r="L960" i="5"/>
  <c r="L959" i="5"/>
  <c r="L958" i="5"/>
  <c r="L957" i="5"/>
  <c r="L956" i="5"/>
  <c r="L955" i="5"/>
  <c r="L954" i="5"/>
  <c r="L953" i="5"/>
  <c r="L952" i="5"/>
  <c r="L951" i="5"/>
  <c r="L950" i="5"/>
  <c r="L949" i="5"/>
  <c r="L948" i="5"/>
  <c r="L947" i="5"/>
  <c r="L946" i="5"/>
  <c r="L945" i="5"/>
  <c r="L944" i="5"/>
  <c r="L943" i="5"/>
  <c r="L942" i="5"/>
  <c r="L941" i="5"/>
  <c r="L940" i="5"/>
  <c r="L939" i="5"/>
  <c r="L938" i="5"/>
  <c r="L937" i="5"/>
  <c r="L936" i="5"/>
  <c r="L935" i="5"/>
  <c r="L934" i="5"/>
  <c r="L933" i="5"/>
  <c r="L932" i="5"/>
  <c r="L931" i="5"/>
  <c r="L930" i="5"/>
  <c r="L929" i="5"/>
  <c r="L928" i="5"/>
  <c r="L927" i="5"/>
  <c r="L926" i="5"/>
  <c r="L925" i="5"/>
  <c r="L924" i="5"/>
  <c r="L923" i="5"/>
  <c r="L922" i="5"/>
  <c r="L921" i="5"/>
  <c r="L920" i="5"/>
  <c r="L919" i="5"/>
  <c r="L918" i="5"/>
  <c r="L917" i="5"/>
  <c r="L916" i="5"/>
  <c r="L915" i="5"/>
  <c r="L914" i="5"/>
  <c r="L913" i="5"/>
  <c r="L912" i="5"/>
  <c r="L911" i="5"/>
  <c r="L910" i="5"/>
  <c r="L909" i="5"/>
  <c r="L908" i="5"/>
  <c r="L907" i="5"/>
  <c r="L906" i="5"/>
  <c r="L905" i="5"/>
  <c r="L904" i="5"/>
  <c r="L903" i="5"/>
  <c r="L902" i="5"/>
  <c r="L901" i="5"/>
  <c r="L900" i="5"/>
  <c r="L899" i="5"/>
  <c r="L898" i="5"/>
  <c r="L897" i="5"/>
  <c r="L896" i="5"/>
  <c r="L895" i="5"/>
  <c r="L894" i="5"/>
  <c r="L893" i="5"/>
  <c r="L892" i="5"/>
  <c r="L891" i="5"/>
  <c r="L890" i="5"/>
  <c r="L889" i="5"/>
  <c r="L888" i="5"/>
  <c r="L887" i="5"/>
  <c r="L886" i="5"/>
  <c r="L885" i="5"/>
  <c r="L884" i="5"/>
  <c r="L883" i="5"/>
  <c r="L882" i="5"/>
  <c r="L881" i="5"/>
  <c r="L880" i="5"/>
  <c r="L879" i="5"/>
  <c r="L878" i="5"/>
  <c r="L877" i="5"/>
  <c r="L876" i="5"/>
  <c r="L875" i="5"/>
  <c r="L874" i="5"/>
  <c r="L873" i="5"/>
  <c r="L872" i="5"/>
  <c r="L871" i="5"/>
  <c r="L870" i="5"/>
  <c r="L869" i="5"/>
  <c r="L868" i="5"/>
  <c r="L867" i="5"/>
  <c r="L866" i="5"/>
  <c r="L865" i="5"/>
  <c r="L864" i="5"/>
  <c r="L863" i="5"/>
  <c r="L862" i="5"/>
  <c r="L861" i="5"/>
  <c r="L860" i="5"/>
  <c r="L859" i="5"/>
  <c r="L858" i="5"/>
  <c r="L857" i="5"/>
  <c r="L856" i="5"/>
  <c r="L855" i="5"/>
  <c r="L854" i="5"/>
  <c r="L853" i="5"/>
  <c r="L852" i="5"/>
  <c r="L851" i="5"/>
  <c r="L850" i="5"/>
  <c r="L849" i="5"/>
  <c r="L848" i="5"/>
  <c r="L847" i="5"/>
  <c r="L846" i="5"/>
  <c r="L845" i="5"/>
  <c r="L844" i="5"/>
  <c r="L843" i="5"/>
  <c r="L842" i="5"/>
  <c r="L841" i="5"/>
  <c r="L840" i="5"/>
  <c r="L839" i="5"/>
  <c r="L838" i="5"/>
  <c r="L837" i="5"/>
  <c r="L836" i="5"/>
  <c r="L835" i="5"/>
  <c r="L834" i="5"/>
  <c r="L833" i="5"/>
  <c r="L832" i="5"/>
  <c r="L831" i="5"/>
  <c r="L830" i="5"/>
  <c r="L829" i="5"/>
  <c r="L828" i="5"/>
  <c r="L827" i="5"/>
  <c r="L826" i="5"/>
  <c r="L825" i="5"/>
  <c r="L824" i="5"/>
  <c r="L823" i="5"/>
  <c r="L822" i="5"/>
  <c r="L821" i="5"/>
  <c r="L820" i="5"/>
  <c r="L819" i="5"/>
  <c r="L818" i="5"/>
  <c r="L817" i="5"/>
  <c r="L816" i="5"/>
  <c r="L815" i="5"/>
  <c r="L814" i="5"/>
  <c r="L813" i="5"/>
  <c r="L812" i="5"/>
  <c r="L811" i="5"/>
  <c r="L810" i="5"/>
  <c r="L809" i="5"/>
  <c r="L808" i="5"/>
  <c r="L807" i="5"/>
  <c r="L806" i="5"/>
  <c r="L805" i="5"/>
  <c r="L804" i="5"/>
  <c r="L803" i="5"/>
  <c r="L802" i="5"/>
  <c r="L801" i="5"/>
  <c r="L800" i="5"/>
  <c r="L799" i="5"/>
  <c r="L798" i="5"/>
  <c r="L797" i="5"/>
  <c r="L796" i="5"/>
  <c r="L795" i="5"/>
  <c r="L794" i="5"/>
  <c r="L793" i="5"/>
  <c r="L792" i="5"/>
  <c r="L791" i="5"/>
  <c r="L790" i="5"/>
  <c r="L789" i="5"/>
  <c r="L788" i="5"/>
  <c r="L787" i="5"/>
  <c r="L786" i="5"/>
  <c r="L785" i="5"/>
  <c r="L784" i="5"/>
  <c r="L783" i="5"/>
  <c r="L782" i="5"/>
  <c r="L781" i="5"/>
  <c r="L780" i="5"/>
  <c r="L779" i="5"/>
  <c r="L778" i="5"/>
  <c r="L777" i="5"/>
  <c r="L776" i="5"/>
  <c r="L775" i="5"/>
  <c r="L774" i="5"/>
  <c r="L773" i="5"/>
  <c r="L772" i="5"/>
  <c r="L771" i="5"/>
  <c r="L770" i="5"/>
  <c r="L769" i="5"/>
  <c r="L768" i="5"/>
  <c r="L767" i="5"/>
  <c r="L766" i="5"/>
  <c r="L765" i="5"/>
  <c r="L764" i="5"/>
  <c r="L763" i="5"/>
  <c r="L762" i="5"/>
  <c r="L761" i="5"/>
  <c r="L760" i="5"/>
  <c r="L759" i="5"/>
  <c r="L758" i="5"/>
  <c r="L757" i="5"/>
  <c r="L756" i="5"/>
  <c r="L755" i="5"/>
  <c r="L754" i="5"/>
  <c r="L753" i="5"/>
  <c r="L752" i="5"/>
  <c r="L751" i="5"/>
  <c r="L750" i="5"/>
  <c r="L749" i="5"/>
  <c r="L748" i="5"/>
  <c r="L747" i="5"/>
  <c r="L746" i="5"/>
  <c r="L745" i="5"/>
  <c r="L744" i="5"/>
  <c r="L743" i="5"/>
  <c r="L742" i="5"/>
  <c r="L741" i="5"/>
  <c r="L740" i="5"/>
  <c r="L739" i="5"/>
  <c r="L738" i="5"/>
  <c r="L737" i="5"/>
  <c r="L736" i="5"/>
  <c r="L735" i="5"/>
  <c r="L734" i="5"/>
  <c r="L733" i="5"/>
  <c r="L732" i="5"/>
  <c r="L731" i="5"/>
  <c r="L730" i="5"/>
  <c r="L729" i="5"/>
  <c r="L728" i="5"/>
  <c r="L727" i="5"/>
  <c r="L726" i="5"/>
  <c r="L725" i="5"/>
  <c r="L724" i="5"/>
  <c r="L723" i="5"/>
  <c r="L722" i="5"/>
  <c r="L721" i="5"/>
  <c r="L720" i="5"/>
  <c r="L719" i="5"/>
  <c r="L718" i="5"/>
  <c r="L717" i="5"/>
  <c r="L716" i="5"/>
  <c r="L715" i="5"/>
  <c r="L714" i="5"/>
  <c r="L713" i="5"/>
  <c r="L712" i="5"/>
  <c r="L711" i="5"/>
  <c r="L710" i="5"/>
  <c r="L709" i="5"/>
  <c r="L708" i="5"/>
  <c r="L707" i="5"/>
  <c r="L706" i="5"/>
  <c r="L705" i="5"/>
  <c r="L704" i="5"/>
  <c r="L703" i="5"/>
  <c r="L702" i="5"/>
  <c r="L701" i="5"/>
  <c r="L700" i="5"/>
  <c r="L699" i="5"/>
  <c r="L698" i="5"/>
  <c r="L697" i="5"/>
  <c r="L696" i="5"/>
  <c r="L695" i="5"/>
  <c r="L694" i="5"/>
  <c r="L693" i="5"/>
  <c r="L692" i="5"/>
  <c r="L691" i="5"/>
  <c r="L690" i="5"/>
  <c r="L689" i="5"/>
  <c r="L688" i="5"/>
  <c r="L687" i="5"/>
  <c r="L686" i="5"/>
  <c r="L685" i="5"/>
  <c r="L684" i="5"/>
  <c r="L683" i="5"/>
  <c r="L682" i="5"/>
  <c r="L681" i="5"/>
  <c r="L680" i="5"/>
  <c r="L679" i="5"/>
  <c r="L678" i="5"/>
  <c r="L677" i="5"/>
  <c r="L676" i="5"/>
  <c r="L675" i="5"/>
  <c r="L674" i="5"/>
  <c r="L673" i="5"/>
  <c r="L672" i="5"/>
  <c r="L671" i="5"/>
  <c r="L670" i="5"/>
  <c r="L669" i="5"/>
  <c r="L668" i="5"/>
  <c r="L667" i="5"/>
  <c r="L666" i="5"/>
  <c r="L665" i="5"/>
  <c r="L664" i="5"/>
  <c r="L663" i="5"/>
  <c r="L662" i="5"/>
  <c r="L661" i="5"/>
  <c r="L660" i="5"/>
  <c r="L659" i="5"/>
  <c r="L658" i="5"/>
  <c r="L657" i="5"/>
  <c r="L656" i="5"/>
  <c r="L655" i="5"/>
  <c r="L654" i="5"/>
  <c r="L653" i="5"/>
  <c r="L652" i="5"/>
  <c r="L651" i="5"/>
  <c r="L650" i="5"/>
  <c r="L649" i="5"/>
  <c r="L648" i="5"/>
  <c r="L647" i="5"/>
  <c r="L646" i="5"/>
  <c r="L645" i="5"/>
  <c r="L644" i="5"/>
  <c r="L643" i="5"/>
  <c r="L642" i="5"/>
  <c r="L641" i="5"/>
  <c r="L640" i="5"/>
  <c r="L639" i="5"/>
  <c r="L638" i="5"/>
  <c r="L637" i="5"/>
  <c r="L636" i="5"/>
  <c r="L635" i="5"/>
  <c r="L634" i="5"/>
  <c r="L633" i="5"/>
  <c r="L632" i="5"/>
  <c r="L631" i="5"/>
  <c r="L630" i="5"/>
  <c r="L629" i="5"/>
  <c r="L628" i="5"/>
  <c r="L627" i="5"/>
  <c r="L626" i="5"/>
  <c r="L625" i="5"/>
  <c r="L624" i="5"/>
  <c r="L623" i="5"/>
  <c r="L622" i="5"/>
  <c r="L621" i="5"/>
  <c r="L620" i="5"/>
  <c r="L619" i="5"/>
  <c r="L618" i="5"/>
  <c r="L617" i="5"/>
  <c r="L616" i="5"/>
  <c r="L615" i="5"/>
  <c r="L614" i="5"/>
  <c r="L613" i="5"/>
  <c r="L612" i="5"/>
  <c r="L611" i="5"/>
  <c r="L610" i="5"/>
  <c r="L609" i="5"/>
  <c r="L608" i="5"/>
  <c r="L607" i="5"/>
  <c r="L606" i="5"/>
  <c r="L605" i="5"/>
  <c r="L604" i="5"/>
  <c r="L603" i="5"/>
  <c r="L602" i="5"/>
  <c r="L601" i="5"/>
  <c r="L600" i="5"/>
  <c r="L599" i="5"/>
  <c r="L598" i="5"/>
  <c r="L597" i="5"/>
  <c r="L596" i="5"/>
  <c r="L595" i="5"/>
  <c r="L594" i="5"/>
  <c r="L593" i="5"/>
  <c r="L592" i="5"/>
  <c r="L591" i="5"/>
  <c r="L590" i="5"/>
  <c r="L589" i="5"/>
  <c r="L588" i="5"/>
  <c r="L587" i="5"/>
  <c r="L586" i="5"/>
  <c r="L585" i="5"/>
  <c r="L584" i="5"/>
  <c r="L583" i="5"/>
  <c r="L582" i="5"/>
  <c r="L581" i="5"/>
  <c r="L580" i="5"/>
  <c r="L579" i="5"/>
  <c r="L578" i="5"/>
  <c r="L577" i="5"/>
  <c r="L576" i="5"/>
  <c r="L575" i="5"/>
  <c r="L574" i="5"/>
  <c r="L573" i="5"/>
  <c r="L572" i="5"/>
  <c r="L571" i="5"/>
  <c r="L570" i="5"/>
  <c r="L569" i="5"/>
  <c r="L568" i="5"/>
  <c r="L567" i="5"/>
  <c r="L566" i="5"/>
  <c r="L565" i="5"/>
  <c r="L564" i="5"/>
  <c r="L563" i="5"/>
  <c r="L562" i="5"/>
  <c r="L561" i="5"/>
  <c r="L560" i="5"/>
  <c r="L559" i="5"/>
  <c r="L558" i="5"/>
  <c r="L557" i="5"/>
  <c r="L556" i="5"/>
  <c r="L555" i="5"/>
  <c r="L554" i="5"/>
  <c r="L553" i="5"/>
  <c r="L552" i="5"/>
  <c r="L551" i="5"/>
  <c r="L550" i="5"/>
  <c r="L549" i="5"/>
  <c r="L548" i="5"/>
  <c r="L547" i="5"/>
  <c r="L546" i="5"/>
  <c r="L545" i="5"/>
  <c r="L544" i="5"/>
  <c r="L543" i="5"/>
  <c r="L542" i="5"/>
  <c r="L541" i="5"/>
  <c r="L540" i="5"/>
  <c r="L539" i="5"/>
  <c r="L538" i="5"/>
  <c r="L537" i="5"/>
  <c r="L536" i="5"/>
  <c r="L535" i="5"/>
  <c r="L534" i="5"/>
  <c r="L533" i="5"/>
  <c r="L532" i="5"/>
  <c r="L531" i="5"/>
  <c r="L530" i="5"/>
  <c r="L529" i="5"/>
  <c r="L528" i="5"/>
  <c r="L527" i="5"/>
  <c r="L526" i="5"/>
  <c r="L525" i="5"/>
  <c r="L524" i="5"/>
  <c r="L523" i="5"/>
  <c r="L522" i="5"/>
  <c r="L521" i="5"/>
  <c r="L520" i="5"/>
  <c r="L519" i="5"/>
  <c r="L518" i="5"/>
  <c r="L517" i="5"/>
  <c r="L516" i="5"/>
  <c r="L515" i="5"/>
  <c r="L514" i="5"/>
  <c r="L513" i="5"/>
  <c r="L512" i="5"/>
  <c r="L511" i="5"/>
  <c r="L510" i="5"/>
  <c r="L509" i="5"/>
  <c r="L508" i="5"/>
  <c r="L507" i="5"/>
  <c r="L506" i="5"/>
  <c r="L505" i="5"/>
  <c r="L504" i="5"/>
  <c r="L503" i="5"/>
  <c r="L502" i="5"/>
  <c r="L501" i="5"/>
  <c r="L500" i="5"/>
  <c r="L499" i="5"/>
  <c r="L498" i="5"/>
  <c r="L497" i="5"/>
  <c r="L496" i="5"/>
  <c r="L495" i="5"/>
  <c r="L494" i="5"/>
  <c r="L493" i="5"/>
  <c r="L492" i="5"/>
  <c r="L491" i="5"/>
  <c r="L490" i="5"/>
  <c r="L489" i="5"/>
  <c r="L488" i="5"/>
  <c r="L487" i="5"/>
  <c r="L486" i="5"/>
  <c r="L485" i="5"/>
  <c r="L484" i="5"/>
  <c r="L483" i="5"/>
  <c r="L482" i="5"/>
  <c r="L481" i="5"/>
  <c r="L480" i="5"/>
  <c r="L479" i="5"/>
  <c r="L478" i="5"/>
  <c r="L477" i="5"/>
  <c r="L476" i="5"/>
  <c r="L475" i="5"/>
  <c r="L474" i="5"/>
  <c r="L473" i="5"/>
  <c r="L472" i="5"/>
  <c r="L471" i="5"/>
  <c r="L470" i="5"/>
  <c r="L469" i="5"/>
  <c r="L468" i="5"/>
  <c r="L467" i="5"/>
  <c r="L466" i="5"/>
  <c r="L465" i="5"/>
  <c r="L464" i="5"/>
  <c r="L463" i="5"/>
  <c r="L462" i="5"/>
  <c r="L461" i="5"/>
  <c r="L460" i="5"/>
  <c r="L459" i="5"/>
  <c r="L458" i="5"/>
  <c r="L457" i="5"/>
  <c r="L456" i="5"/>
  <c r="L455" i="5"/>
  <c r="L454" i="5"/>
  <c r="L453" i="5"/>
  <c r="L452" i="5"/>
  <c r="L451" i="5"/>
  <c r="L450" i="5"/>
  <c r="L449" i="5"/>
  <c r="L448" i="5"/>
  <c r="L447" i="5"/>
  <c r="L446" i="5"/>
  <c r="L445" i="5"/>
  <c r="L444" i="5"/>
  <c r="L443" i="5"/>
  <c r="L442" i="5"/>
  <c r="L441" i="5"/>
  <c r="L440" i="5"/>
  <c r="L439" i="5"/>
  <c r="L438" i="5"/>
  <c r="L437" i="5"/>
  <c r="L436" i="5"/>
  <c r="L435" i="5"/>
  <c r="L434" i="5"/>
  <c r="L433" i="5"/>
  <c r="L432" i="5"/>
  <c r="L431" i="5"/>
  <c r="L430" i="5"/>
  <c r="L429" i="5"/>
  <c r="L428" i="5"/>
  <c r="L427" i="5"/>
  <c r="L426" i="5"/>
  <c r="L425" i="5"/>
  <c r="L424" i="5"/>
  <c r="L423" i="5"/>
  <c r="L422" i="5"/>
  <c r="L421" i="5"/>
  <c r="L420" i="5"/>
  <c r="L419" i="5"/>
  <c r="L418" i="5"/>
  <c r="L417" i="5"/>
  <c r="L416" i="5"/>
  <c r="L415" i="5"/>
  <c r="L414" i="5"/>
  <c r="L413" i="5"/>
  <c r="L412" i="5"/>
  <c r="L411" i="5"/>
  <c r="L410" i="5"/>
  <c r="L409" i="5"/>
  <c r="L408" i="5"/>
  <c r="L407" i="5"/>
  <c r="L406" i="5"/>
  <c r="L405" i="5"/>
  <c r="L404" i="5"/>
  <c r="L403" i="5"/>
  <c r="L402" i="5"/>
  <c r="L401" i="5"/>
  <c r="L400" i="5"/>
  <c r="L399" i="5"/>
  <c r="L398" i="5"/>
  <c r="L397" i="5"/>
  <c r="L396" i="5"/>
  <c r="L395" i="5"/>
  <c r="L394" i="5"/>
  <c r="L393" i="5"/>
  <c r="L392" i="5"/>
  <c r="L391" i="5"/>
  <c r="L390" i="5"/>
  <c r="L389" i="5"/>
  <c r="L388" i="5"/>
  <c r="L387" i="5"/>
  <c r="L386" i="5"/>
  <c r="L385" i="5"/>
  <c r="L384" i="5"/>
  <c r="L383" i="5"/>
  <c r="L382" i="5"/>
  <c r="L381" i="5"/>
  <c r="L380" i="5"/>
  <c r="L379" i="5"/>
  <c r="L378" i="5"/>
  <c r="L377" i="5"/>
  <c r="L376" i="5"/>
  <c r="L375" i="5"/>
  <c r="L374" i="5"/>
  <c r="L373" i="5"/>
  <c r="L372" i="5"/>
  <c r="L371" i="5"/>
  <c r="L370" i="5"/>
  <c r="L369" i="5"/>
  <c r="L368" i="5"/>
  <c r="L367" i="5"/>
  <c r="L366" i="5"/>
  <c r="L365" i="5"/>
  <c r="L364" i="5"/>
  <c r="L363" i="5"/>
  <c r="L362" i="5"/>
  <c r="L361" i="5"/>
  <c r="L360" i="5"/>
  <c r="L359" i="5"/>
  <c r="L358" i="5"/>
  <c r="L357" i="5"/>
  <c r="L356" i="5"/>
  <c r="L355" i="5"/>
  <c r="L354" i="5"/>
  <c r="L353" i="5"/>
  <c r="L352" i="5"/>
  <c r="L351" i="5"/>
  <c r="L350" i="5"/>
  <c r="L349" i="5"/>
  <c r="L348" i="5"/>
  <c r="L347" i="5"/>
  <c r="L346" i="5"/>
  <c r="L345" i="5"/>
  <c r="L344" i="5"/>
  <c r="L343" i="5"/>
  <c r="L342" i="5"/>
  <c r="L341" i="5"/>
  <c r="L340" i="5"/>
  <c r="L339" i="5"/>
  <c r="L338" i="5"/>
  <c r="L337" i="5"/>
  <c r="L336" i="5"/>
  <c r="L335" i="5"/>
  <c r="L334" i="5"/>
  <c r="L333" i="5"/>
  <c r="L332" i="5"/>
  <c r="L331" i="5"/>
  <c r="L330" i="5"/>
  <c r="L329" i="5"/>
  <c r="L328" i="5"/>
  <c r="L327" i="5"/>
  <c r="L326" i="5"/>
  <c r="L325" i="5"/>
  <c r="L324" i="5"/>
  <c r="L323" i="5"/>
  <c r="L322" i="5"/>
  <c r="L321" i="5"/>
  <c r="L320" i="5"/>
  <c r="L319" i="5"/>
  <c r="L318" i="5"/>
  <c r="L317" i="5"/>
  <c r="L316" i="5"/>
  <c r="L315" i="5"/>
  <c r="L314" i="5"/>
  <c r="L313" i="5"/>
  <c r="L312" i="5"/>
  <c r="L311" i="5"/>
  <c r="L310" i="5"/>
  <c r="L309" i="5"/>
  <c r="L308" i="5"/>
  <c r="L307" i="5"/>
  <c r="L306" i="5"/>
  <c r="L305" i="5"/>
  <c r="L304" i="5"/>
  <c r="L303" i="5"/>
  <c r="L302" i="5"/>
  <c r="L301" i="5"/>
  <c r="L300" i="5"/>
  <c r="L299" i="5"/>
  <c r="L298" i="5"/>
  <c r="L297" i="5"/>
  <c r="L296" i="5"/>
  <c r="L295" i="5"/>
  <c r="L294" i="5"/>
  <c r="L293" i="5"/>
  <c r="L292" i="5"/>
  <c r="L291" i="5"/>
  <c r="L290" i="5"/>
  <c r="L289" i="5"/>
  <c r="L288" i="5"/>
  <c r="L287" i="5"/>
  <c r="L286" i="5"/>
  <c r="L285" i="5"/>
  <c r="L284" i="5"/>
  <c r="L283" i="5"/>
  <c r="L282" i="5"/>
  <c r="L281" i="5"/>
  <c r="L280" i="5"/>
  <c r="L279" i="5"/>
  <c r="L278" i="5"/>
  <c r="L277" i="5"/>
  <c r="L276" i="5"/>
  <c r="L275" i="5"/>
  <c r="L274" i="5"/>
  <c r="L273" i="5"/>
  <c r="L272" i="5"/>
  <c r="L271" i="5"/>
  <c r="L270" i="5"/>
  <c r="L269" i="5"/>
  <c r="L268" i="5"/>
  <c r="L267" i="5"/>
  <c r="L266" i="5"/>
  <c r="L265" i="5"/>
  <c r="L264" i="5"/>
  <c r="L263" i="5"/>
  <c r="L262" i="5"/>
  <c r="L261" i="5"/>
  <c r="L260" i="5"/>
  <c r="L259" i="5"/>
  <c r="L258" i="5"/>
  <c r="L257" i="5"/>
  <c r="L256" i="5"/>
  <c r="L255" i="5"/>
  <c r="L254" i="5"/>
  <c r="L253" i="5"/>
  <c r="L252" i="5"/>
  <c r="L251" i="5"/>
  <c r="L250" i="5"/>
  <c r="L249" i="5"/>
  <c r="L248" i="5"/>
  <c r="L247" i="5"/>
  <c r="L246" i="5"/>
  <c r="L245" i="5"/>
  <c r="L244" i="5"/>
  <c r="L243" i="5"/>
  <c r="L242" i="5"/>
  <c r="L241" i="5"/>
  <c r="L240" i="5"/>
  <c r="L239" i="5"/>
  <c r="L238" i="5"/>
  <c r="L237" i="5"/>
  <c r="L236" i="5"/>
  <c r="L235" i="5"/>
  <c r="L234" i="5"/>
  <c r="L233" i="5"/>
  <c r="L232" i="5"/>
  <c r="L231" i="5"/>
  <c r="L230" i="5"/>
  <c r="L229" i="5"/>
  <c r="L228" i="5"/>
  <c r="L227" i="5"/>
  <c r="L226" i="5"/>
  <c r="L225" i="5"/>
  <c r="L224" i="5"/>
  <c r="L223" i="5"/>
  <c r="L222" i="5"/>
  <c r="L221" i="5"/>
  <c r="L220" i="5"/>
  <c r="L219" i="5"/>
  <c r="L218" i="5"/>
  <c r="L217" i="5"/>
  <c r="L216" i="5"/>
  <c r="L215" i="5"/>
  <c r="L214" i="5"/>
  <c r="L213" i="5"/>
  <c r="L212" i="5"/>
  <c r="L211" i="5"/>
  <c r="L210" i="5"/>
  <c r="L209" i="5"/>
  <c r="L208" i="5"/>
  <c r="L207" i="5"/>
  <c r="L206" i="5"/>
  <c r="L205" i="5"/>
  <c r="L204" i="5"/>
  <c r="L203" i="5"/>
  <c r="L202" i="5"/>
  <c r="L201" i="5"/>
  <c r="L200" i="5"/>
  <c r="L199" i="5"/>
  <c r="L198" i="5"/>
  <c r="L197" i="5"/>
  <c r="L196" i="5"/>
  <c r="L195" i="5"/>
  <c r="L194" i="5"/>
  <c r="L193" i="5"/>
  <c r="L192" i="5"/>
  <c r="L191" i="5"/>
  <c r="L190" i="5"/>
  <c r="L189" i="5"/>
  <c r="L188" i="5"/>
  <c r="L187" i="5"/>
  <c r="L186" i="5"/>
  <c r="L185" i="5"/>
  <c r="L184" i="5"/>
  <c r="L183" i="5"/>
  <c r="L182" i="5"/>
  <c r="L181" i="5"/>
  <c r="L180" i="5"/>
  <c r="L179" i="5"/>
  <c r="L178" i="5"/>
  <c r="L177" i="5"/>
  <c r="L176" i="5"/>
  <c r="L175" i="5"/>
  <c r="L174" i="5"/>
  <c r="L173" i="5"/>
  <c r="L172" i="5"/>
  <c r="L171" i="5"/>
  <c r="L170" i="5"/>
  <c r="L169" i="5"/>
  <c r="L168" i="5"/>
  <c r="L167" i="5"/>
  <c r="L166" i="5"/>
  <c r="L165" i="5"/>
  <c r="L164" i="5"/>
  <c r="L163" i="5"/>
  <c r="L162" i="5"/>
  <c r="L161" i="5"/>
  <c r="L160" i="5"/>
  <c r="L159" i="5"/>
  <c r="L158" i="5"/>
  <c r="L157" i="5"/>
  <c r="L156" i="5"/>
  <c r="L155" i="5"/>
  <c r="L154" i="5"/>
  <c r="L153" i="5"/>
  <c r="L152" i="5"/>
  <c r="L151" i="5"/>
  <c r="L150" i="5"/>
  <c r="L149" i="5"/>
  <c r="L148" i="5"/>
  <c r="L147" i="5"/>
  <c r="L146" i="5"/>
  <c r="L145" i="5"/>
  <c r="L144" i="5"/>
  <c r="L143" i="5"/>
  <c r="L142" i="5"/>
  <c r="L141" i="5"/>
  <c r="L140" i="5"/>
  <c r="L139" i="5"/>
  <c r="L138" i="5"/>
  <c r="L137" i="5"/>
  <c r="L136" i="5"/>
  <c r="L135" i="5"/>
  <c r="L134" i="5"/>
  <c r="L133" i="5"/>
  <c r="L132" i="5"/>
  <c r="L131" i="5"/>
  <c r="L130" i="5"/>
  <c r="L129" i="5"/>
  <c r="L128" i="5"/>
  <c r="L127" i="5"/>
  <c r="L126" i="5"/>
  <c r="L125" i="5"/>
  <c r="L124" i="5"/>
  <c r="L123" i="5"/>
  <c r="L122" i="5"/>
  <c r="L121" i="5"/>
  <c r="L120" i="5"/>
  <c r="L119" i="5"/>
  <c r="L118" i="5"/>
  <c r="L117" i="5"/>
  <c r="L116" i="5"/>
  <c r="L115" i="5"/>
  <c r="L114" i="5"/>
  <c r="L113" i="5"/>
  <c r="L112" i="5"/>
  <c r="L111" i="5"/>
  <c r="L110" i="5"/>
  <c r="L109" i="5"/>
  <c r="L108" i="5"/>
  <c r="L107" i="5"/>
  <c r="L106" i="5"/>
  <c r="L105" i="5"/>
  <c r="L104" i="5"/>
  <c r="L103" i="5"/>
  <c r="L102" i="5"/>
  <c r="L101" i="5"/>
  <c r="L100" i="5"/>
  <c r="L99" i="5"/>
  <c r="L98" i="5"/>
  <c r="L97" i="5"/>
  <c r="L96" i="5"/>
  <c r="L95" i="5"/>
  <c r="L94" i="5"/>
  <c r="L93" i="5"/>
  <c r="L92" i="5"/>
  <c r="L91" i="5"/>
  <c r="L90" i="5"/>
  <c r="L89" i="5"/>
  <c r="L88" i="5"/>
  <c r="L87" i="5"/>
  <c r="L86" i="5"/>
  <c r="L85" i="5"/>
  <c r="L84" i="5"/>
  <c r="L83" i="5"/>
  <c r="L82" i="5"/>
  <c r="L81" i="5"/>
  <c r="L80" i="5"/>
  <c r="L79" i="5"/>
  <c r="L78" i="5"/>
  <c r="L77" i="5"/>
  <c r="L76" i="5"/>
  <c r="L75" i="5"/>
  <c r="L74" i="5"/>
  <c r="L73" i="5"/>
  <c r="L72" i="5"/>
  <c r="L71" i="5"/>
  <c r="L70" i="5"/>
  <c r="L69" i="5"/>
  <c r="L68" i="5"/>
  <c r="L67" i="5"/>
  <c r="L66" i="5"/>
  <c r="L65" i="5"/>
  <c r="L64" i="5"/>
  <c r="L63" i="5"/>
  <c r="L62" i="5"/>
  <c r="L61" i="5"/>
  <c r="L60" i="5"/>
  <c r="L59" i="5"/>
  <c r="L58" i="5"/>
  <c r="L57" i="5"/>
  <c r="L56" i="5"/>
  <c r="L55" i="5"/>
  <c r="L54" i="5"/>
  <c r="L53" i="5"/>
  <c r="L52" i="5"/>
  <c r="L51" i="5"/>
  <c r="L50" i="5"/>
  <c r="L49" i="5"/>
  <c r="L48" i="5"/>
  <c r="L47" i="5"/>
  <c r="L46" i="5"/>
  <c r="L45" i="5"/>
  <c r="L44" i="5"/>
  <c r="L43" i="5"/>
  <c r="L42" i="5"/>
  <c r="L41" i="5"/>
  <c r="L40" i="5"/>
  <c r="L39" i="5"/>
  <c r="L38" i="5"/>
  <c r="L37" i="5"/>
  <c r="L36" i="5"/>
  <c r="L35" i="5"/>
  <c r="L34" i="5"/>
  <c r="L33" i="5"/>
  <c r="L32" i="5"/>
  <c r="L31" i="5"/>
  <c r="L30" i="5"/>
  <c r="L29" i="5"/>
  <c r="L28" i="5"/>
  <c r="L27" i="5"/>
  <c r="L26" i="5"/>
  <c r="L25" i="5"/>
  <c r="L24" i="5"/>
  <c r="L23" i="5"/>
  <c r="L22" i="5"/>
  <c r="L21" i="5"/>
  <c r="L20" i="5"/>
  <c r="L19" i="5"/>
  <c r="L18" i="5"/>
  <c r="L17" i="5"/>
  <c r="L16" i="5"/>
  <c r="L15" i="5"/>
  <c r="L14" i="5"/>
  <c r="L13" i="5"/>
  <c r="L12" i="5"/>
  <c r="L11" i="5"/>
  <c r="L10" i="5"/>
  <c r="L9" i="5"/>
  <c r="L8" i="5"/>
  <c r="L7" i="5"/>
  <c r="L6" i="5"/>
  <c r="L5" i="5"/>
  <c r="L4" i="5"/>
  <c r="L4" i="2"/>
  <c r="L4" i="12"/>
  <c r="L1606" i="12"/>
  <c r="L1605" i="12"/>
  <c r="L1604" i="12"/>
  <c r="L1603" i="12"/>
  <c r="L1602" i="12"/>
  <c r="L1601" i="12"/>
  <c r="L1600" i="12"/>
  <c r="L1599" i="12"/>
  <c r="L1598" i="12"/>
  <c r="L1597" i="12"/>
  <c r="L1596" i="12"/>
  <c r="L1595" i="12"/>
  <c r="L1594" i="12"/>
  <c r="L1593" i="12"/>
  <c r="L1592" i="12"/>
  <c r="L1591" i="12"/>
  <c r="L1590" i="12"/>
  <c r="L1589" i="12"/>
  <c r="L1588" i="12"/>
  <c r="L1587" i="12"/>
  <c r="L1586" i="12"/>
  <c r="L1585" i="12"/>
  <c r="L1584" i="12"/>
  <c r="L1583" i="12"/>
  <c r="L1582" i="12"/>
  <c r="L1581" i="12"/>
  <c r="L1580" i="12"/>
  <c r="L1579" i="12"/>
  <c r="L1578" i="12"/>
  <c r="L1577" i="12"/>
  <c r="L1576" i="12"/>
  <c r="L1575" i="12"/>
  <c r="L1574" i="12"/>
  <c r="L1573" i="12"/>
  <c r="L1572" i="12"/>
  <c r="L1571" i="12"/>
  <c r="L1570" i="12"/>
  <c r="L1569" i="12"/>
  <c r="L1568" i="12"/>
  <c r="L1567" i="12"/>
  <c r="L1566" i="12"/>
  <c r="L1565" i="12"/>
  <c r="L1564" i="12"/>
  <c r="L1563" i="12"/>
  <c r="L1562" i="12"/>
  <c r="L1561" i="12"/>
  <c r="L1560" i="12"/>
  <c r="L1559" i="12"/>
  <c r="L1558" i="12"/>
  <c r="L1557" i="12"/>
  <c r="L1556" i="12"/>
  <c r="L1555" i="12"/>
  <c r="L1554" i="12"/>
  <c r="L1553" i="12"/>
  <c r="L1552" i="12"/>
  <c r="L1551" i="12"/>
  <c r="L1550" i="12"/>
  <c r="L1549" i="12"/>
  <c r="L1548" i="12"/>
  <c r="L1547" i="12"/>
  <c r="L1546" i="12"/>
  <c r="L1545" i="12"/>
  <c r="L1544" i="12"/>
  <c r="L1543" i="12"/>
  <c r="L1542" i="12"/>
  <c r="L1541" i="12"/>
  <c r="L1540" i="12"/>
  <c r="L1539" i="12"/>
  <c r="L1538" i="12"/>
  <c r="L1537" i="12"/>
  <c r="L1536" i="12"/>
  <c r="L1535" i="12"/>
  <c r="L1534" i="12"/>
  <c r="L1533" i="12"/>
  <c r="L1532" i="12"/>
  <c r="L1531" i="12"/>
  <c r="L1530" i="12"/>
  <c r="L1529" i="12"/>
  <c r="L1528" i="12"/>
  <c r="L1527" i="12"/>
  <c r="L1526" i="12"/>
  <c r="L1525" i="12"/>
  <c r="L1524" i="12"/>
  <c r="L1523" i="12"/>
  <c r="L1522" i="12"/>
  <c r="L1521" i="12"/>
  <c r="L1520" i="12"/>
  <c r="L1519" i="12"/>
  <c r="L1518" i="12"/>
  <c r="L1517" i="12"/>
  <c r="L1516" i="12"/>
  <c r="L1515" i="12"/>
  <c r="L1514" i="12"/>
  <c r="L1513" i="12"/>
  <c r="L1512" i="12"/>
  <c r="L1511" i="12"/>
  <c r="L1510" i="12"/>
  <c r="L1509" i="12"/>
  <c r="L1508" i="12"/>
  <c r="L1507" i="12"/>
  <c r="L1506" i="12"/>
  <c r="L1505" i="12"/>
  <c r="L1504" i="12"/>
  <c r="L1503" i="12"/>
  <c r="L1502" i="12"/>
  <c r="L1501" i="12"/>
  <c r="L1500" i="12"/>
  <c r="L1499" i="12"/>
  <c r="L1498" i="12"/>
  <c r="L1497" i="12"/>
  <c r="L1496" i="12"/>
  <c r="L1495" i="12"/>
  <c r="L1494" i="12"/>
  <c r="L1493" i="12"/>
  <c r="L1492" i="12"/>
  <c r="L1491" i="12"/>
  <c r="L1490" i="12"/>
  <c r="L1489" i="12"/>
  <c r="L1488" i="12"/>
  <c r="L1487" i="12"/>
  <c r="L1486" i="12"/>
  <c r="L1485" i="12"/>
  <c r="L1484" i="12"/>
  <c r="L1483" i="12"/>
  <c r="L1482" i="12"/>
  <c r="L1481" i="12"/>
  <c r="L1480" i="12"/>
  <c r="L1479" i="12"/>
  <c r="L1478" i="12"/>
  <c r="L1477" i="12"/>
  <c r="L1476" i="12"/>
  <c r="L1475" i="12"/>
  <c r="L1474" i="12"/>
  <c r="L1473" i="12"/>
  <c r="L1472" i="12"/>
  <c r="L1471" i="12"/>
  <c r="L1470" i="12"/>
  <c r="L1469" i="12"/>
  <c r="L1468" i="12"/>
  <c r="L1467" i="12"/>
  <c r="L1466" i="12"/>
  <c r="L1465" i="12"/>
  <c r="L1464" i="12"/>
  <c r="L1463" i="12"/>
  <c r="L1462" i="12"/>
  <c r="L1461" i="12"/>
  <c r="L1460" i="12"/>
  <c r="L1459" i="12"/>
  <c r="L1458" i="12"/>
  <c r="L1457" i="12"/>
  <c r="L1456" i="12"/>
  <c r="L1455" i="12"/>
  <c r="L1454" i="12"/>
  <c r="L1453" i="12"/>
  <c r="L1452" i="12"/>
  <c r="L1451" i="12"/>
  <c r="L1450" i="12"/>
  <c r="L1449" i="12"/>
  <c r="L1448" i="12"/>
  <c r="L1447" i="12"/>
  <c r="L1446" i="12"/>
  <c r="L1445" i="12"/>
  <c r="L1444" i="12"/>
  <c r="L1443" i="12"/>
  <c r="L1442" i="12"/>
  <c r="L1441" i="12"/>
  <c r="L1440" i="12"/>
  <c r="L1439" i="12"/>
  <c r="L1438" i="12"/>
  <c r="L1437" i="12"/>
  <c r="L1436" i="12"/>
  <c r="L1435" i="12"/>
  <c r="L1434" i="12"/>
  <c r="L1433" i="12"/>
  <c r="L1432" i="12"/>
  <c r="L1431" i="12"/>
  <c r="L1430" i="12"/>
  <c r="L1429" i="12"/>
  <c r="L1428" i="12"/>
  <c r="L1427" i="12"/>
  <c r="L1426" i="12"/>
  <c r="L1425" i="12"/>
  <c r="L1424" i="12"/>
  <c r="L1423" i="12"/>
  <c r="L1422" i="12"/>
  <c r="L1421" i="12"/>
  <c r="L1420" i="12"/>
  <c r="L1419" i="12"/>
  <c r="L1418" i="12"/>
  <c r="L1417" i="12"/>
  <c r="L1416" i="12"/>
  <c r="L1415" i="12"/>
  <c r="L1414" i="12"/>
  <c r="L1413" i="12"/>
  <c r="L1412" i="12"/>
  <c r="L1411" i="12"/>
  <c r="L1410" i="12"/>
  <c r="L1409" i="12"/>
  <c r="L1408" i="12"/>
  <c r="L1407" i="12"/>
  <c r="L1406" i="12"/>
  <c r="L1405" i="12"/>
  <c r="L1404" i="12"/>
  <c r="L1403" i="12"/>
  <c r="L1402" i="12"/>
  <c r="L1401" i="12"/>
  <c r="L1400" i="12"/>
  <c r="L1399" i="12"/>
  <c r="L1398" i="12"/>
  <c r="L1397" i="12"/>
  <c r="L1396" i="12"/>
  <c r="L1395" i="12"/>
  <c r="L1394" i="12"/>
  <c r="L1393" i="12"/>
  <c r="L1392" i="12"/>
  <c r="L1391" i="12"/>
  <c r="L1390" i="12"/>
  <c r="L1389" i="12"/>
  <c r="L1388" i="12"/>
  <c r="L1387" i="12"/>
  <c r="L1386" i="12"/>
  <c r="L1385" i="12"/>
  <c r="L1384" i="12"/>
  <c r="L1383" i="12"/>
  <c r="L1382" i="12"/>
  <c r="L1381" i="12"/>
  <c r="L1380" i="12"/>
  <c r="L1379" i="12"/>
  <c r="L1378" i="12"/>
  <c r="L1377" i="12"/>
  <c r="L1376" i="12"/>
  <c r="L1375" i="12"/>
  <c r="L1374" i="12"/>
  <c r="L1373" i="12"/>
  <c r="L1372" i="12"/>
  <c r="L1371" i="12"/>
  <c r="L1370" i="12"/>
  <c r="L1369" i="12"/>
  <c r="L1368" i="12"/>
  <c r="L1367" i="12"/>
  <c r="L1366" i="12"/>
  <c r="L1365" i="12"/>
  <c r="L1364" i="12"/>
  <c r="L1363" i="12"/>
  <c r="L1362" i="12"/>
  <c r="L1361" i="12"/>
  <c r="L1360" i="12"/>
  <c r="L1359" i="12"/>
  <c r="L1358" i="12"/>
  <c r="L1357" i="12"/>
  <c r="L1356" i="12"/>
  <c r="L1355" i="12"/>
  <c r="L1354" i="12"/>
  <c r="L1353" i="12"/>
  <c r="L1352" i="12"/>
  <c r="L1351" i="12"/>
  <c r="L1350" i="12"/>
  <c r="L1349" i="12"/>
  <c r="L1348" i="12"/>
  <c r="L1347" i="12"/>
  <c r="L1346" i="12"/>
  <c r="L1345" i="12"/>
  <c r="L1344" i="12"/>
  <c r="L1343" i="12"/>
  <c r="L1342" i="12"/>
  <c r="L1341" i="12"/>
  <c r="L1340" i="12"/>
  <c r="L1339" i="12"/>
  <c r="L1338" i="12"/>
  <c r="L1337" i="12"/>
  <c r="L1336" i="12"/>
  <c r="L1335" i="12"/>
  <c r="L1334" i="12"/>
  <c r="L1333" i="12"/>
  <c r="L1332" i="12"/>
  <c r="L1331" i="12"/>
  <c r="L1330" i="12"/>
  <c r="L1329" i="12"/>
  <c r="L1328" i="12"/>
  <c r="L1327" i="12"/>
  <c r="L1326" i="12"/>
  <c r="L1325" i="12"/>
  <c r="L1324" i="12"/>
  <c r="L1323" i="12"/>
  <c r="L1322" i="12"/>
  <c r="L1321" i="12"/>
  <c r="L1320" i="12"/>
  <c r="L1319" i="12"/>
  <c r="L1318" i="12"/>
  <c r="L1317" i="12"/>
  <c r="L1316" i="12"/>
  <c r="L1315" i="12"/>
  <c r="L1314" i="12"/>
  <c r="L1313" i="12"/>
  <c r="L1312" i="12"/>
  <c r="L1311" i="12"/>
  <c r="L1310" i="12"/>
  <c r="L1309" i="12"/>
  <c r="L1308" i="12"/>
  <c r="L1307" i="12"/>
  <c r="L1306" i="12"/>
  <c r="L1305" i="12"/>
  <c r="L1304" i="12"/>
  <c r="L1303" i="12"/>
  <c r="L1302" i="12"/>
  <c r="L1301" i="12"/>
  <c r="L1300" i="12"/>
  <c r="L1299" i="12"/>
  <c r="L1298" i="12"/>
  <c r="L1297" i="12"/>
  <c r="L1296" i="12"/>
  <c r="L1295" i="12"/>
  <c r="L1294" i="12"/>
  <c r="L1293" i="12"/>
  <c r="L1292" i="12"/>
  <c r="L1291" i="12"/>
  <c r="L1290" i="12"/>
  <c r="L1289" i="12"/>
  <c r="L1288" i="12"/>
  <c r="L1287" i="12"/>
  <c r="L1286" i="12"/>
  <c r="L1285" i="12"/>
  <c r="L1284" i="12"/>
  <c r="L1283" i="12"/>
  <c r="L1282" i="12"/>
  <c r="L1281" i="12"/>
  <c r="L1280" i="12"/>
  <c r="L1279" i="12"/>
  <c r="L1278" i="12"/>
  <c r="L1277" i="12"/>
  <c r="L1276" i="12"/>
  <c r="L1275" i="12"/>
  <c r="L1274" i="12"/>
  <c r="L1273" i="12"/>
  <c r="L1272" i="12"/>
  <c r="L1271" i="12"/>
  <c r="L1270" i="12"/>
  <c r="L1269" i="12"/>
  <c r="L1268" i="12"/>
  <c r="L1267" i="12"/>
  <c r="L1266" i="12"/>
  <c r="L1265" i="12"/>
  <c r="L1264" i="12"/>
  <c r="L1263" i="12"/>
  <c r="L1262" i="12"/>
  <c r="L1261" i="12"/>
  <c r="L1260" i="12"/>
  <c r="L1259" i="12"/>
  <c r="L1258" i="12"/>
  <c r="L1257" i="12"/>
  <c r="L1256" i="12"/>
  <c r="L1255" i="12"/>
  <c r="L1254" i="12"/>
  <c r="L1253" i="12"/>
  <c r="L1252" i="12"/>
  <c r="L1251" i="12"/>
  <c r="L1250" i="12"/>
  <c r="L1249" i="12"/>
  <c r="L1248" i="12"/>
  <c r="L1247" i="12"/>
  <c r="L1246" i="12"/>
  <c r="L1245" i="12"/>
  <c r="L1244" i="12"/>
  <c r="L1243" i="12"/>
  <c r="L1242" i="12"/>
  <c r="L1241" i="12"/>
  <c r="L1240" i="12"/>
  <c r="L1239" i="12"/>
  <c r="L1238" i="12"/>
  <c r="L1237" i="12"/>
  <c r="L1236" i="12"/>
  <c r="L1235" i="12"/>
  <c r="L1234" i="12"/>
  <c r="L1233" i="12"/>
  <c r="L1232" i="12"/>
  <c r="L1231" i="12"/>
  <c r="L1230" i="12"/>
  <c r="L1229" i="12"/>
  <c r="L1228" i="12"/>
  <c r="L1227" i="12"/>
  <c r="L1226" i="12"/>
  <c r="L1225" i="12"/>
  <c r="L1224" i="12"/>
  <c r="L1223" i="12"/>
  <c r="L1222" i="12"/>
  <c r="L1221" i="12"/>
  <c r="L1220" i="12"/>
  <c r="L1219" i="12"/>
  <c r="L1218" i="12"/>
  <c r="L1217" i="12"/>
  <c r="L1216" i="12"/>
  <c r="L1215" i="12"/>
  <c r="L1214" i="12"/>
  <c r="L1213" i="12"/>
  <c r="L1212" i="12"/>
  <c r="L1211" i="12"/>
  <c r="L1210" i="12"/>
  <c r="L1209" i="12"/>
  <c r="L1208" i="12"/>
  <c r="L1207" i="12"/>
  <c r="L1206" i="12"/>
  <c r="L1205" i="12"/>
  <c r="L1204" i="12"/>
  <c r="L1203" i="12"/>
  <c r="L1202" i="12"/>
  <c r="L1201" i="12"/>
  <c r="L1200" i="12"/>
  <c r="L1199" i="12"/>
  <c r="L1198" i="12"/>
  <c r="L1197" i="12"/>
  <c r="L1196" i="12"/>
  <c r="L1195" i="12"/>
  <c r="L1194" i="12"/>
  <c r="L1193" i="12"/>
  <c r="L1192" i="12"/>
  <c r="L1191" i="12"/>
  <c r="L1190" i="12"/>
  <c r="L1189" i="12"/>
  <c r="L1188" i="12"/>
  <c r="L1187" i="12"/>
  <c r="L1186" i="12"/>
  <c r="L1185" i="12"/>
  <c r="L1184" i="12"/>
  <c r="L1183" i="12"/>
  <c r="L1182" i="12"/>
  <c r="L1181" i="12"/>
  <c r="L1180" i="12"/>
  <c r="L1179" i="12"/>
  <c r="L1178" i="12"/>
  <c r="L1177" i="12"/>
  <c r="L1176" i="12"/>
  <c r="L1175" i="12"/>
  <c r="L1174" i="12"/>
  <c r="L1173" i="12"/>
  <c r="L1172" i="12"/>
  <c r="L1171" i="12"/>
  <c r="L1170" i="12"/>
  <c r="L1169" i="12"/>
  <c r="L1168" i="12"/>
  <c r="L1167" i="12"/>
  <c r="L1166" i="12"/>
  <c r="L1165" i="12"/>
  <c r="L1164" i="12"/>
  <c r="L1163" i="12"/>
  <c r="L1162" i="12"/>
  <c r="L1161" i="12"/>
  <c r="L1160" i="12"/>
  <c r="L1159" i="12"/>
  <c r="L1158" i="12"/>
  <c r="L1157" i="12"/>
  <c r="L1156" i="12"/>
  <c r="L1155" i="12"/>
  <c r="L1154" i="12"/>
  <c r="L1153" i="12"/>
  <c r="L1152" i="12"/>
  <c r="L1151" i="12"/>
  <c r="L1150" i="12"/>
  <c r="L1149" i="12"/>
  <c r="L1148" i="12"/>
  <c r="L1147" i="12"/>
  <c r="L1146" i="12"/>
  <c r="L1145" i="12"/>
  <c r="L1144" i="12"/>
  <c r="L1143" i="12"/>
  <c r="L1142" i="12"/>
  <c r="L1141" i="12"/>
  <c r="L1140" i="12"/>
  <c r="L1139" i="12"/>
  <c r="L1138" i="12"/>
  <c r="L1137" i="12"/>
  <c r="L1136" i="12"/>
  <c r="L1135" i="12"/>
  <c r="L1134" i="12"/>
  <c r="L1133" i="12"/>
  <c r="L1132" i="12"/>
  <c r="L1131" i="12"/>
  <c r="L1130" i="12"/>
  <c r="L1129" i="12"/>
  <c r="L1128" i="12"/>
  <c r="L1127" i="12"/>
  <c r="L1126" i="12"/>
  <c r="L1125" i="12"/>
  <c r="L1124" i="12"/>
  <c r="L1123" i="12"/>
  <c r="L1122" i="12"/>
  <c r="L1121" i="12"/>
  <c r="L1120" i="12"/>
  <c r="L1119" i="12"/>
  <c r="L1118" i="12"/>
  <c r="L1117" i="12"/>
  <c r="L1116" i="12"/>
  <c r="L1115" i="12"/>
  <c r="L1114" i="12"/>
  <c r="L1113" i="12"/>
  <c r="L1112" i="12"/>
  <c r="L1111" i="12"/>
  <c r="L1110" i="12"/>
  <c r="L1109" i="12"/>
  <c r="L1108" i="12"/>
  <c r="L1107" i="12"/>
  <c r="L1106" i="12"/>
  <c r="L1105" i="12"/>
  <c r="L1104" i="12"/>
  <c r="L1103" i="12"/>
  <c r="L1102" i="12"/>
  <c r="L1101" i="12"/>
  <c r="L1100" i="12"/>
  <c r="L1099" i="12"/>
  <c r="L1098" i="12"/>
  <c r="L1097" i="12"/>
  <c r="L1096" i="12"/>
  <c r="L1095" i="12"/>
  <c r="L1094" i="12"/>
  <c r="L1093" i="12"/>
  <c r="L1092" i="12"/>
  <c r="L1091" i="12"/>
  <c r="L1090" i="12"/>
  <c r="L1089" i="12"/>
  <c r="L1088" i="12"/>
  <c r="L1087" i="12"/>
  <c r="L1086" i="12"/>
  <c r="L1085" i="12"/>
  <c r="L1084" i="12"/>
  <c r="L1083" i="12"/>
  <c r="L1082" i="12"/>
  <c r="L1081" i="12"/>
  <c r="L1080" i="12"/>
  <c r="L1079" i="12"/>
  <c r="L1078" i="12"/>
  <c r="L1077" i="12"/>
  <c r="L1076" i="12"/>
  <c r="L1075" i="12"/>
  <c r="L1074" i="12"/>
  <c r="L1073" i="12"/>
  <c r="L1072" i="12"/>
  <c r="L1071" i="12"/>
  <c r="L1070" i="12"/>
  <c r="L1069" i="12"/>
  <c r="L1068" i="12"/>
  <c r="L1067" i="12"/>
  <c r="L1066" i="12"/>
  <c r="L1065" i="12"/>
  <c r="L1064" i="12"/>
  <c r="L1063" i="12"/>
  <c r="L1062" i="12"/>
  <c r="L1061" i="12"/>
  <c r="L1060" i="12"/>
  <c r="L1059" i="12"/>
  <c r="L1058" i="12"/>
  <c r="L1057" i="12"/>
  <c r="L1056" i="12"/>
  <c r="L1055" i="12"/>
  <c r="L1054" i="12"/>
  <c r="L1053" i="12"/>
  <c r="L1052" i="12"/>
  <c r="L1051" i="12"/>
  <c r="L1050" i="12"/>
  <c r="L1049" i="12"/>
  <c r="L1048" i="12"/>
  <c r="L1047" i="12"/>
  <c r="L1046" i="12"/>
  <c r="L1045" i="12"/>
  <c r="L1044" i="12"/>
  <c r="L1043" i="12"/>
  <c r="L1042" i="12"/>
  <c r="L1041" i="12"/>
  <c r="L1040" i="12"/>
  <c r="L1039" i="12"/>
  <c r="L1038" i="12"/>
  <c r="L1037" i="12"/>
  <c r="L1036" i="12"/>
  <c r="L1035" i="12"/>
  <c r="L1034" i="12"/>
  <c r="L1033" i="12"/>
  <c r="L1032" i="12"/>
  <c r="L1031" i="12"/>
  <c r="L1030" i="12"/>
  <c r="L1029" i="12"/>
  <c r="L1028" i="12"/>
  <c r="L1027" i="12"/>
  <c r="L1026" i="12"/>
  <c r="L1025" i="12"/>
  <c r="L1024" i="12"/>
  <c r="L1023" i="12"/>
  <c r="L1022" i="12"/>
  <c r="L1021" i="12"/>
  <c r="L1020" i="12"/>
  <c r="L1019" i="12"/>
  <c r="L1018" i="12"/>
  <c r="L1017" i="12"/>
  <c r="L1016" i="12"/>
  <c r="L1015" i="12"/>
  <c r="L1014" i="12"/>
  <c r="L1013" i="12"/>
  <c r="L1012" i="12"/>
  <c r="L1011" i="12"/>
  <c r="L1010" i="12"/>
  <c r="L1009" i="12"/>
  <c r="L1008" i="12"/>
  <c r="L1007" i="12"/>
  <c r="L1006" i="12"/>
  <c r="L1005" i="12"/>
  <c r="L1004" i="12"/>
  <c r="L1003" i="12"/>
  <c r="L1002" i="12"/>
  <c r="L1001" i="12"/>
  <c r="L1000" i="12"/>
  <c r="L999" i="12"/>
  <c r="L998" i="12"/>
  <c r="L997" i="12"/>
  <c r="L996" i="12"/>
  <c r="L995" i="12"/>
  <c r="L994" i="12"/>
  <c r="L993" i="12"/>
  <c r="L992" i="12"/>
  <c r="L991" i="12"/>
  <c r="L990" i="12"/>
  <c r="L989" i="12"/>
  <c r="L988" i="12"/>
  <c r="L987" i="12"/>
  <c r="L986" i="12"/>
  <c r="L985" i="12"/>
  <c r="L984" i="12"/>
  <c r="L983" i="12"/>
  <c r="L982" i="12"/>
  <c r="L981" i="12"/>
  <c r="L980" i="12"/>
  <c r="L979" i="12"/>
  <c r="L978" i="12"/>
  <c r="L977" i="12"/>
  <c r="L976" i="12"/>
  <c r="L975" i="12"/>
  <c r="L974" i="12"/>
  <c r="L973" i="12"/>
  <c r="L972" i="12"/>
  <c r="L971" i="12"/>
  <c r="L970" i="12"/>
  <c r="L969" i="12"/>
  <c r="L968" i="12"/>
  <c r="L967" i="12"/>
  <c r="L966" i="12"/>
  <c r="L965" i="12"/>
  <c r="L964" i="12"/>
  <c r="L963" i="12"/>
  <c r="L962" i="12"/>
  <c r="L961" i="12"/>
  <c r="L960" i="12"/>
  <c r="L959" i="12"/>
  <c r="L958" i="12"/>
  <c r="L957" i="12"/>
  <c r="L956" i="12"/>
  <c r="L955" i="12"/>
  <c r="L954" i="12"/>
  <c r="L953" i="12"/>
  <c r="L952" i="12"/>
  <c r="L951" i="12"/>
  <c r="L950" i="12"/>
  <c r="L949" i="12"/>
  <c r="L948" i="12"/>
  <c r="L947" i="12"/>
  <c r="L946" i="12"/>
  <c r="L945" i="12"/>
  <c r="L944" i="12"/>
  <c r="L943" i="12"/>
  <c r="L942" i="12"/>
  <c r="L941" i="12"/>
  <c r="L940" i="12"/>
  <c r="L939" i="12"/>
  <c r="L938" i="12"/>
  <c r="L937" i="12"/>
  <c r="L936" i="12"/>
  <c r="L935" i="12"/>
  <c r="L934" i="12"/>
  <c r="L933" i="12"/>
  <c r="L932" i="12"/>
  <c r="L931" i="12"/>
  <c r="L930" i="12"/>
  <c r="L929" i="12"/>
  <c r="L928" i="12"/>
  <c r="L927" i="12"/>
  <c r="L926" i="12"/>
  <c r="L925" i="12"/>
  <c r="L924" i="12"/>
  <c r="L923" i="12"/>
  <c r="L922" i="12"/>
  <c r="L921" i="12"/>
  <c r="L920" i="12"/>
  <c r="L919" i="12"/>
  <c r="L918" i="12"/>
  <c r="L917" i="12"/>
  <c r="L916" i="12"/>
  <c r="L915" i="12"/>
  <c r="L914" i="12"/>
  <c r="L913" i="12"/>
  <c r="L912" i="12"/>
  <c r="L911" i="12"/>
  <c r="L910" i="12"/>
  <c r="L909" i="12"/>
  <c r="L908" i="12"/>
  <c r="L907" i="12"/>
  <c r="L906" i="12"/>
  <c r="L905" i="12"/>
  <c r="L904" i="12"/>
  <c r="L903" i="12"/>
  <c r="L902" i="12"/>
  <c r="L901" i="12"/>
  <c r="L900" i="12"/>
  <c r="L899" i="12"/>
  <c r="L898" i="12"/>
  <c r="L897" i="12"/>
  <c r="L896" i="12"/>
  <c r="L895" i="12"/>
  <c r="L894" i="12"/>
  <c r="L893" i="12"/>
  <c r="L892" i="12"/>
  <c r="L891" i="12"/>
  <c r="L890" i="12"/>
  <c r="L889" i="12"/>
  <c r="L888" i="12"/>
  <c r="L887" i="12"/>
  <c r="L886" i="12"/>
  <c r="L885" i="12"/>
  <c r="L884" i="12"/>
  <c r="L883" i="12"/>
  <c r="L882" i="12"/>
  <c r="L881" i="12"/>
  <c r="L880" i="12"/>
  <c r="L879" i="12"/>
  <c r="L878" i="12"/>
  <c r="L877" i="12"/>
  <c r="L876" i="12"/>
  <c r="L875" i="12"/>
  <c r="L874" i="12"/>
  <c r="L873" i="12"/>
  <c r="L872" i="12"/>
  <c r="L871" i="12"/>
  <c r="L870" i="12"/>
  <c r="L869" i="12"/>
  <c r="L868" i="12"/>
  <c r="L867" i="12"/>
  <c r="L866" i="12"/>
  <c r="L865" i="12"/>
  <c r="L864" i="12"/>
  <c r="L863" i="12"/>
  <c r="L862" i="12"/>
  <c r="L861" i="12"/>
  <c r="L860" i="12"/>
  <c r="L859" i="12"/>
  <c r="L858" i="12"/>
  <c r="L857" i="12"/>
  <c r="L856" i="12"/>
  <c r="L855" i="12"/>
  <c r="L854" i="12"/>
  <c r="L853" i="12"/>
  <c r="L852" i="12"/>
  <c r="L851" i="12"/>
  <c r="L850" i="12"/>
  <c r="L849" i="12"/>
  <c r="L848" i="12"/>
  <c r="L847" i="12"/>
  <c r="L846" i="12"/>
  <c r="L845" i="12"/>
  <c r="L844" i="12"/>
  <c r="L843" i="12"/>
  <c r="L842" i="12"/>
  <c r="L841" i="12"/>
  <c r="L840" i="12"/>
  <c r="L839" i="12"/>
  <c r="L838" i="12"/>
  <c r="L837" i="12"/>
  <c r="L836" i="12"/>
  <c r="L835" i="12"/>
  <c r="L834" i="12"/>
  <c r="L833" i="12"/>
  <c r="L832" i="12"/>
  <c r="L831" i="12"/>
  <c r="L830" i="12"/>
  <c r="L829" i="12"/>
  <c r="L828" i="12"/>
  <c r="L827" i="12"/>
  <c r="L826" i="12"/>
  <c r="L825" i="12"/>
  <c r="L824" i="12"/>
  <c r="L823" i="12"/>
  <c r="L822" i="12"/>
  <c r="L821" i="12"/>
  <c r="L820" i="12"/>
  <c r="L819" i="12"/>
  <c r="L818" i="12"/>
  <c r="L817" i="12"/>
  <c r="L816" i="12"/>
  <c r="L815" i="12"/>
  <c r="L814" i="12"/>
  <c r="L813" i="12"/>
  <c r="L812" i="12"/>
  <c r="L811" i="12"/>
  <c r="L810" i="12"/>
  <c r="L809" i="12"/>
  <c r="L808" i="12"/>
  <c r="L807" i="12"/>
  <c r="L806" i="12"/>
  <c r="L805" i="12"/>
  <c r="L804" i="12"/>
  <c r="L803" i="12"/>
  <c r="L802" i="12"/>
  <c r="L801" i="12"/>
  <c r="L800" i="12"/>
  <c r="L799" i="12"/>
  <c r="L798" i="12"/>
  <c r="L797" i="12"/>
  <c r="L796" i="12"/>
  <c r="L795" i="12"/>
  <c r="L794" i="12"/>
  <c r="L793" i="12"/>
  <c r="L792" i="12"/>
  <c r="L791" i="12"/>
  <c r="L790" i="12"/>
  <c r="L789" i="12"/>
  <c r="L788" i="12"/>
  <c r="L787" i="12"/>
  <c r="L786" i="12"/>
  <c r="L785" i="12"/>
  <c r="L784" i="12"/>
  <c r="L783" i="12"/>
  <c r="L782" i="12"/>
  <c r="L781" i="12"/>
  <c r="L780" i="12"/>
  <c r="L779" i="12"/>
  <c r="L778" i="12"/>
  <c r="L777" i="12"/>
  <c r="L776" i="12"/>
  <c r="L775" i="12"/>
  <c r="L774" i="12"/>
  <c r="L773" i="12"/>
  <c r="L772" i="12"/>
  <c r="L771" i="12"/>
  <c r="L770" i="12"/>
  <c r="L769" i="12"/>
  <c r="L768" i="12"/>
  <c r="L767" i="12"/>
  <c r="L766" i="12"/>
  <c r="L765" i="12"/>
  <c r="L764" i="12"/>
  <c r="L763" i="12"/>
  <c r="L762" i="12"/>
  <c r="L761" i="12"/>
  <c r="L760" i="12"/>
  <c r="L759" i="12"/>
  <c r="L758" i="12"/>
  <c r="L757" i="12"/>
  <c r="L756" i="12"/>
  <c r="L755" i="12"/>
  <c r="L754" i="12"/>
  <c r="L753" i="12"/>
  <c r="L752" i="12"/>
  <c r="L751" i="12"/>
  <c r="L750" i="12"/>
  <c r="L749" i="12"/>
  <c r="L748" i="12"/>
  <c r="L747" i="12"/>
  <c r="L746" i="12"/>
  <c r="L745" i="12"/>
  <c r="L744" i="12"/>
  <c r="L743" i="12"/>
  <c r="L742" i="12"/>
  <c r="L741" i="12"/>
  <c r="L740" i="12"/>
  <c r="L739" i="12"/>
  <c r="L738" i="12"/>
  <c r="L737" i="12"/>
  <c r="L736" i="12"/>
  <c r="L735" i="12"/>
  <c r="L734" i="12"/>
  <c r="L733" i="12"/>
  <c r="L732" i="12"/>
  <c r="L731" i="12"/>
  <c r="L730" i="12"/>
  <c r="L729" i="12"/>
  <c r="L728" i="12"/>
  <c r="L727" i="12"/>
  <c r="L726" i="12"/>
  <c r="L725" i="12"/>
  <c r="L724" i="12"/>
  <c r="L723" i="12"/>
  <c r="L722" i="12"/>
  <c r="L721" i="12"/>
  <c r="L720" i="12"/>
  <c r="L719" i="12"/>
  <c r="L718" i="12"/>
  <c r="L717" i="12"/>
  <c r="L716" i="12"/>
  <c r="L715" i="12"/>
  <c r="L714" i="12"/>
  <c r="L713" i="12"/>
  <c r="L712" i="12"/>
  <c r="L711" i="12"/>
  <c r="L710" i="12"/>
  <c r="L709" i="12"/>
  <c r="L708" i="12"/>
  <c r="L707" i="12"/>
  <c r="L706" i="12"/>
  <c r="L705" i="12"/>
  <c r="L704" i="12"/>
  <c r="L703" i="12"/>
  <c r="L702" i="12"/>
  <c r="L701" i="12"/>
  <c r="L700" i="12"/>
  <c r="L699" i="12"/>
  <c r="L698" i="12"/>
  <c r="L697" i="12"/>
  <c r="L696" i="12"/>
  <c r="L695" i="12"/>
  <c r="L694" i="12"/>
  <c r="L693" i="12"/>
  <c r="L692" i="12"/>
  <c r="L691" i="12"/>
  <c r="L690" i="12"/>
  <c r="L689" i="12"/>
  <c r="L688" i="12"/>
  <c r="L687" i="12"/>
  <c r="L686" i="12"/>
  <c r="L685" i="12"/>
  <c r="L684" i="12"/>
  <c r="L683" i="12"/>
  <c r="L682" i="12"/>
  <c r="L681" i="12"/>
  <c r="L680" i="12"/>
  <c r="L679" i="12"/>
  <c r="L678" i="12"/>
  <c r="L677" i="12"/>
  <c r="L676" i="12"/>
  <c r="L675" i="12"/>
  <c r="L674" i="12"/>
  <c r="L673" i="12"/>
  <c r="L672" i="12"/>
  <c r="L671" i="12"/>
  <c r="L670" i="12"/>
  <c r="L669" i="12"/>
  <c r="L668" i="12"/>
  <c r="L667" i="12"/>
  <c r="L666" i="12"/>
  <c r="L665" i="12"/>
  <c r="L664" i="12"/>
  <c r="L663" i="12"/>
  <c r="L662" i="12"/>
  <c r="L661" i="12"/>
  <c r="L660" i="12"/>
  <c r="L659" i="12"/>
  <c r="L658" i="12"/>
  <c r="L657" i="12"/>
  <c r="L656" i="12"/>
  <c r="L655" i="12"/>
  <c r="L654" i="12"/>
  <c r="L653" i="12"/>
  <c r="L652" i="12"/>
  <c r="L651" i="12"/>
  <c r="L650" i="12"/>
  <c r="L649" i="12"/>
  <c r="L648" i="12"/>
  <c r="L647" i="12"/>
  <c r="L646" i="12"/>
  <c r="L645" i="12"/>
  <c r="L644" i="12"/>
  <c r="L643" i="12"/>
  <c r="L642" i="12"/>
  <c r="L641" i="12"/>
  <c r="L640" i="12"/>
  <c r="L639" i="12"/>
  <c r="L638" i="12"/>
  <c r="L637" i="12"/>
  <c r="L636" i="12"/>
  <c r="L635" i="12"/>
  <c r="L634" i="12"/>
  <c r="L633" i="12"/>
  <c r="L632" i="12"/>
  <c r="L631" i="12"/>
  <c r="L630" i="12"/>
  <c r="L629" i="12"/>
  <c r="L628" i="12"/>
  <c r="L627" i="12"/>
  <c r="L626" i="12"/>
  <c r="L625" i="12"/>
  <c r="L624" i="12"/>
  <c r="L623" i="12"/>
  <c r="L622" i="12"/>
  <c r="L621" i="12"/>
  <c r="L620" i="12"/>
  <c r="L619" i="12"/>
  <c r="L618" i="12"/>
  <c r="L617" i="12"/>
  <c r="L616" i="12"/>
  <c r="L615" i="12"/>
  <c r="L614" i="12"/>
  <c r="L613" i="12"/>
  <c r="L612" i="12"/>
  <c r="L611" i="12"/>
  <c r="L610" i="12"/>
  <c r="L609" i="12"/>
  <c r="L608" i="12"/>
  <c r="L607" i="12"/>
  <c r="L606" i="12"/>
  <c r="L605" i="12"/>
  <c r="L604" i="12"/>
  <c r="L603" i="12"/>
  <c r="L602" i="12"/>
  <c r="L601" i="12"/>
  <c r="L600" i="12"/>
  <c r="L599" i="12"/>
  <c r="L598" i="12"/>
  <c r="L597" i="12"/>
  <c r="L596" i="12"/>
  <c r="L595" i="12"/>
  <c r="L594" i="12"/>
  <c r="L593" i="12"/>
  <c r="L592" i="12"/>
  <c r="L591" i="12"/>
  <c r="L590" i="12"/>
  <c r="L589" i="12"/>
  <c r="L588" i="12"/>
  <c r="L587" i="12"/>
  <c r="L586" i="12"/>
  <c r="L585" i="12"/>
  <c r="L584" i="12"/>
  <c r="L583" i="12"/>
  <c r="L582" i="12"/>
  <c r="L581" i="12"/>
  <c r="L580" i="12"/>
  <c r="L579" i="12"/>
  <c r="L578" i="12"/>
  <c r="L577" i="12"/>
  <c r="L576" i="12"/>
  <c r="L575" i="12"/>
  <c r="L574" i="12"/>
  <c r="L573" i="12"/>
  <c r="L572" i="12"/>
  <c r="L571" i="12"/>
  <c r="L570" i="12"/>
  <c r="L569" i="12"/>
  <c r="L568" i="12"/>
  <c r="L567" i="12"/>
  <c r="L566" i="12"/>
  <c r="L565" i="12"/>
  <c r="L564" i="12"/>
  <c r="L563" i="12"/>
  <c r="L562" i="12"/>
  <c r="L561" i="12"/>
  <c r="L560" i="12"/>
  <c r="L559" i="12"/>
  <c r="L558" i="12"/>
  <c r="L557" i="12"/>
  <c r="L556" i="12"/>
  <c r="L555" i="12"/>
  <c r="L554" i="12"/>
  <c r="L553" i="12"/>
  <c r="L552" i="12"/>
  <c r="L551" i="12"/>
  <c r="L550" i="12"/>
  <c r="L549" i="12"/>
  <c r="L548" i="12"/>
  <c r="L547" i="12"/>
  <c r="L546" i="12"/>
  <c r="L545" i="12"/>
  <c r="L544" i="12"/>
  <c r="L543" i="12"/>
  <c r="L542" i="12"/>
  <c r="L541" i="12"/>
  <c r="L540" i="12"/>
  <c r="L539" i="12"/>
  <c r="L538" i="12"/>
  <c r="L537" i="12"/>
  <c r="L536" i="12"/>
  <c r="L535" i="12"/>
  <c r="L534" i="12"/>
  <c r="L533" i="12"/>
  <c r="L532" i="12"/>
  <c r="L531" i="12"/>
  <c r="L530" i="12"/>
  <c r="L529" i="12"/>
  <c r="L528" i="12"/>
  <c r="L527" i="12"/>
  <c r="L526" i="12"/>
  <c r="L525" i="12"/>
  <c r="L524" i="12"/>
  <c r="L523" i="12"/>
  <c r="L522" i="12"/>
  <c r="L521" i="12"/>
  <c r="L520" i="12"/>
  <c r="L519" i="12"/>
  <c r="L518" i="12"/>
  <c r="L517" i="12"/>
  <c r="L516" i="12"/>
  <c r="L515" i="12"/>
  <c r="L514" i="12"/>
  <c r="L513" i="12"/>
  <c r="L512" i="12"/>
  <c r="L511" i="12"/>
  <c r="L510" i="12"/>
  <c r="L509" i="12"/>
  <c r="L508" i="12"/>
  <c r="L507" i="12"/>
  <c r="L506" i="12"/>
  <c r="L505" i="12"/>
  <c r="L504" i="12"/>
  <c r="L503" i="12"/>
  <c r="L502" i="12"/>
  <c r="L501" i="12"/>
  <c r="L500" i="12"/>
  <c r="L499" i="12"/>
  <c r="L498" i="12"/>
  <c r="L497" i="12"/>
  <c r="L496" i="12"/>
  <c r="L495" i="12"/>
  <c r="L494" i="12"/>
  <c r="L493" i="12"/>
  <c r="L492" i="12"/>
  <c r="L491" i="12"/>
  <c r="L490" i="12"/>
  <c r="L489" i="12"/>
  <c r="L488" i="12"/>
  <c r="L487" i="12"/>
  <c r="L486" i="12"/>
  <c r="L485" i="12"/>
  <c r="L484" i="12"/>
  <c r="L483" i="12"/>
  <c r="L482" i="12"/>
  <c r="L481" i="12"/>
  <c r="L480" i="12"/>
  <c r="L479" i="12"/>
  <c r="L478" i="12"/>
  <c r="L477" i="12"/>
  <c r="L476" i="12"/>
  <c r="L475" i="12"/>
  <c r="L474" i="12"/>
  <c r="L473" i="12"/>
  <c r="L472" i="12"/>
  <c r="L471" i="12"/>
  <c r="L470" i="12"/>
  <c r="L469" i="12"/>
  <c r="L468" i="12"/>
  <c r="L467" i="12"/>
  <c r="L466" i="12"/>
  <c r="L465" i="12"/>
  <c r="L464" i="12"/>
  <c r="L463" i="12"/>
  <c r="L462" i="12"/>
  <c r="L461" i="12"/>
  <c r="L460" i="12"/>
  <c r="L459" i="12"/>
  <c r="L458" i="12"/>
  <c r="L457" i="12"/>
  <c r="L456" i="12"/>
  <c r="L455" i="12"/>
  <c r="L454" i="12"/>
  <c r="L453" i="12"/>
  <c r="L452" i="12"/>
  <c r="L451" i="12"/>
  <c r="L450" i="12"/>
  <c r="L449" i="12"/>
  <c r="L448" i="12"/>
  <c r="L447" i="12"/>
  <c r="L446" i="12"/>
  <c r="L445" i="12"/>
  <c r="L444" i="12"/>
  <c r="L443" i="12"/>
  <c r="L442" i="12"/>
  <c r="L441" i="12"/>
  <c r="L440" i="12"/>
  <c r="L439" i="12"/>
  <c r="L438" i="12"/>
  <c r="L437" i="12"/>
  <c r="L436" i="12"/>
  <c r="L435" i="12"/>
  <c r="L434" i="12"/>
  <c r="L433" i="12"/>
  <c r="L432" i="12"/>
  <c r="L431" i="12"/>
  <c r="L430" i="12"/>
  <c r="L429" i="12"/>
  <c r="L428" i="12"/>
  <c r="L427" i="12"/>
  <c r="L426" i="12"/>
  <c r="L425" i="12"/>
  <c r="L424" i="12"/>
  <c r="L423" i="12"/>
  <c r="L422" i="12"/>
  <c r="L421" i="12"/>
  <c r="L420" i="12"/>
  <c r="L419" i="12"/>
  <c r="L418" i="12"/>
  <c r="L417" i="12"/>
  <c r="L416" i="12"/>
  <c r="L415" i="12"/>
  <c r="L414" i="12"/>
  <c r="L413" i="12"/>
  <c r="L412" i="12"/>
  <c r="L411" i="12"/>
  <c r="L410" i="12"/>
  <c r="L409" i="12"/>
  <c r="L408" i="12"/>
  <c r="L407" i="12"/>
  <c r="L406" i="12"/>
  <c r="L405" i="12"/>
  <c r="L404" i="12"/>
  <c r="L403" i="12"/>
  <c r="L402" i="12"/>
  <c r="L401" i="12"/>
  <c r="L400" i="12"/>
  <c r="L399" i="12"/>
  <c r="L398" i="12"/>
  <c r="L397" i="12"/>
  <c r="L396" i="12"/>
  <c r="L395" i="12"/>
  <c r="L394" i="12"/>
  <c r="L393" i="12"/>
  <c r="L392" i="12"/>
  <c r="L391" i="12"/>
  <c r="L390" i="12"/>
  <c r="L389" i="12"/>
  <c r="L388" i="12"/>
  <c r="L387" i="12"/>
  <c r="L386" i="12"/>
  <c r="L385" i="12"/>
  <c r="L384" i="12"/>
  <c r="L383" i="12"/>
  <c r="L382" i="12"/>
  <c r="L381" i="12"/>
  <c r="L380" i="12"/>
  <c r="L379" i="12"/>
  <c r="L378" i="12"/>
  <c r="L377" i="12"/>
  <c r="L376" i="12"/>
  <c r="L375" i="12"/>
  <c r="L374" i="12"/>
  <c r="L373" i="12"/>
  <c r="L372" i="12"/>
  <c r="L371" i="12"/>
  <c r="L370" i="12"/>
  <c r="L369" i="12"/>
  <c r="L368" i="12"/>
  <c r="L367" i="12"/>
  <c r="L366" i="12"/>
  <c r="L365" i="12"/>
  <c r="L364" i="12"/>
  <c r="L363" i="12"/>
  <c r="L362" i="12"/>
  <c r="L361" i="12"/>
  <c r="L360" i="12"/>
  <c r="L359" i="12"/>
  <c r="L358" i="12"/>
  <c r="L357" i="12"/>
  <c r="L356" i="12"/>
  <c r="L355" i="12"/>
  <c r="L354" i="12"/>
  <c r="L353" i="12"/>
  <c r="L352" i="12"/>
  <c r="L351" i="12"/>
  <c r="L350" i="12"/>
  <c r="L349" i="12"/>
  <c r="L348" i="12"/>
  <c r="L347" i="12"/>
  <c r="L346" i="12"/>
  <c r="L345" i="12"/>
  <c r="L344" i="12"/>
  <c r="L343" i="12"/>
  <c r="L342" i="12"/>
  <c r="L341" i="12"/>
  <c r="L340" i="12"/>
  <c r="L339" i="12"/>
  <c r="L338" i="12"/>
  <c r="L337" i="12"/>
  <c r="L336" i="12"/>
  <c r="L335" i="12"/>
  <c r="L334" i="12"/>
  <c r="L333" i="12"/>
  <c r="L332" i="12"/>
  <c r="L331" i="12"/>
  <c r="L330" i="12"/>
  <c r="L329" i="12"/>
  <c r="L328" i="12"/>
  <c r="L327" i="12"/>
  <c r="L326" i="12"/>
  <c r="L325" i="12"/>
  <c r="L324" i="12"/>
  <c r="L323" i="12"/>
  <c r="L322" i="12"/>
  <c r="L321" i="12"/>
  <c r="L320" i="12"/>
  <c r="L319" i="12"/>
  <c r="L318" i="12"/>
  <c r="L317" i="12"/>
  <c r="L316" i="12"/>
  <c r="L315" i="12"/>
  <c r="L314" i="12"/>
  <c r="L313" i="12"/>
  <c r="L312" i="12"/>
  <c r="L311" i="12"/>
  <c r="L310" i="12"/>
  <c r="L309" i="12"/>
  <c r="L308" i="12"/>
  <c r="L307" i="12"/>
  <c r="L306" i="12"/>
  <c r="L305" i="12"/>
  <c r="L304" i="12"/>
  <c r="L303" i="12"/>
  <c r="L302" i="12"/>
  <c r="L301" i="12"/>
  <c r="L300" i="12"/>
  <c r="L299" i="12"/>
  <c r="L298" i="12"/>
  <c r="L297" i="12"/>
  <c r="L296" i="12"/>
  <c r="L295" i="12"/>
  <c r="L294" i="12"/>
  <c r="L293" i="12"/>
  <c r="L292" i="12"/>
  <c r="L291" i="12"/>
  <c r="L290" i="12"/>
  <c r="L289" i="12"/>
  <c r="L288" i="12"/>
  <c r="L287" i="12"/>
  <c r="L286" i="12"/>
  <c r="L285" i="12"/>
  <c r="L284" i="12"/>
  <c r="L283" i="12"/>
  <c r="L282" i="12"/>
  <c r="L281" i="12"/>
  <c r="L280" i="12"/>
  <c r="L279" i="12"/>
  <c r="L278" i="12"/>
  <c r="L277" i="12"/>
  <c r="L276" i="12"/>
  <c r="L275" i="12"/>
  <c r="L274" i="12"/>
  <c r="L273" i="12"/>
  <c r="L272" i="12"/>
  <c r="L271" i="12"/>
  <c r="L270" i="12"/>
  <c r="L269" i="12"/>
  <c r="L268" i="12"/>
  <c r="L267" i="12"/>
  <c r="L266" i="12"/>
  <c r="L265" i="12"/>
  <c r="L264" i="12"/>
  <c r="L263" i="12"/>
  <c r="L262" i="12"/>
  <c r="L261" i="12"/>
  <c r="L260" i="12"/>
  <c r="L259" i="12"/>
  <c r="L258" i="12"/>
  <c r="L257" i="12"/>
  <c r="L256" i="12"/>
  <c r="L255" i="12"/>
  <c r="L254" i="12"/>
  <c r="L253" i="12"/>
  <c r="L252" i="12"/>
  <c r="L251" i="12"/>
  <c r="L250" i="12"/>
  <c r="L249" i="12"/>
  <c r="L248" i="12"/>
  <c r="L247" i="12"/>
  <c r="L246" i="12"/>
  <c r="L245" i="12"/>
  <c r="L244" i="12"/>
  <c r="L243" i="12"/>
  <c r="L242" i="12"/>
  <c r="L241" i="12"/>
  <c r="L240" i="12"/>
  <c r="L239" i="12"/>
  <c r="L238" i="12"/>
  <c r="L237" i="12"/>
  <c r="L236" i="12"/>
  <c r="L235" i="12"/>
  <c r="L234" i="12"/>
  <c r="L233" i="12"/>
  <c r="L232" i="12"/>
  <c r="L231" i="12"/>
  <c r="L230" i="12"/>
  <c r="L229" i="12"/>
  <c r="L228" i="12"/>
  <c r="L227" i="12"/>
  <c r="L226" i="12"/>
  <c r="L225" i="12"/>
  <c r="L224" i="12"/>
  <c r="L223" i="12"/>
  <c r="L222" i="12"/>
  <c r="L221" i="12"/>
  <c r="L220" i="12"/>
  <c r="L219" i="12"/>
  <c r="L218" i="12"/>
  <c r="L217" i="12"/>
  <c r="L216" i="12"/>
  <c r="L215" i="12"/>
  <c r="L214" i="12"/>
  <c r="L213" i="12"/>
  <c r="L212" i="12"/>
  <c r="L211" i="12"/>
  <c r="L210" i="12"/>
  <c r="L209" i="12"/>
  <c r="L208" i="12"/>
  <c r="L207" i="12"/>
  <c r="L206" i="12"/>
  <c r="L205" i="12"/>
  <c r="L204" i="12"/>
  <c r="L203" i="12"/>
  <c r="L202" i="12"/>
  <c r="L201" i="12"/>
  <c r="L200" i="12"/>
  <c r="L199" i="12"/>
  <c r="L198" i="12"/>
  <c r="L197" i="12"/>
  <c r="L196" i="12"/>
  <c r="L195" i="12"/>
  <c r="L194" i="12"/>
  <c r="L193" i="12"/>
  <c r="L192" i="12"/>
  <c r="L191" i="12"/>
  <c r="L190" i="12"/>
  <c r="L189" i="12"/>
  <c r="L188" i="12"/>
  <c r="L187" i="12"/>
  <c r="L186" i="12"/>
  <c r="L185" i="12"/>
  <c r="L184" i="12"/>
  <c r="L183" i="12"/>
  <c r="L182" i="12"/>
  <c r="L181" i="12"/>
  <c r="L180" i="12"/>
  <c r="L179" i="12"/>
  <c r="L178" i="12"/>
  <c r="L177" i="12"/>
  <c r="L176" i="12"/>
  <c r="L175" i="12"/>
  <c r="L174" i="12"/>
  <c r="L173" i="12"/>
  <c r="L172" i="12"/>
  <c r="L171" i="12"/>
  <c r="L170" i="12"/>
  <c r="L169" i="12"/>
  <c r="L168" i="12"/>
  <c r="L167" i="12"/>
  <c r="L166" i="12"/>
  <c r="L165" i="12"/>
  <c r="L164" i="12"/>
  <c r="L163" i="12"/>
  <c r="L162" i="12"/>
  <c r="L161" i="12"/>
  <c r="L160" i="12"/>
  <c r="L159" i="12"/>
  <c r="L158" i="12"/>
  <c r="L157" i="12"/>
  <c r="L156" i="12"/>
  <c r="L155" i="12"/>
  <c r="L154" i="12"/>
  <c r="L153" i="12"/>
  <c r="L152" i="12"/>
  <c r="L151" i="12"/>
  <c r="L150" i="12"/>
  <c r="L149" i="12"/>
  <c r="L148" i="12"/>
  <c r="L147" i="12"/>
  <c r="L146" i="12"/>
  <c r="L145" i="12"/>
  <c r="L144" i="12"/>
  <c r="L143" i="12"/>
  <c r="L142" i="12"/>
  <c r="L141" i="12"/>
  <c r="L140" i="12"/>
  <c r="L139" i="12"/>
  <c r="L138" i="12"/>
  <c r="L137" i="12"/>
  <c r="L136" i="12"/>
  <c r="L135" i="12"/>
  <c r="L134" i="12"/>
  <c r="L133" i="12"/>
  <c r="L132" i="12"/>
  <c r="L131" i="12"/>
  <c r="L130" i="12"/>
  <c r="L129" i="12"/>
  <c r="L128" i="12"/>
  <c r="L127" i="12"/>
  <c r="L126" i="12"/>
  <c r="L125" i="12"/>
  <c r="L124" i="12"/>
  <c r="L123" i="12"/>
  <c r="L122" i="12"/>
  <c r="L121" i="12"/>
  <c r="L120" i="12"/>
  <c r="L119" i="12"/>
  <c r="L118" i="12"/>
  <c r="L117" i="12"/>
  <c r="L116" i="12"/>
  <c r="L115" i="12"/>
  <c r="L114" i="12"/>
  <c r="L113" i="12"/>
  <c r="L112" i="12"/>
  <c r="L111" i="12"/>
  <c r="L110" i="12"/>
  <c r="L109" i="12"/>
  <c r="L108" i="12"/>
  <c r="L107" i="12"/>
  <c r="L106" i="12"/>
  <c r="L105" i="12"/>
  <c r="L104" i="12"/>
  <c r="L103" i="12"/>
  <c r="L102" i="12"/>
  <c r="L101" i="12"/>
  <c r="L100" i="12"/>
  <c r="L99" i="12"/>
  <c r="L98" i="12"/>
  <c r="L97" i="12"/>
  <c r="L96" i="12"/>
  <c r="L95" i="12"/>
  <c r="L94" i="12"/>
  <c r="L93" i="12"/>
  <c r="L92" i="12"/>
  <c r="L91" i="12"/>
  <c r="L90" i="12"/>
  <c r="L89" i="12"/>
  <c r="L88" i="12"/>
  <c r="L87" i="12"/>
  <c r="L86" i="12"/>
  <c r="L85" i="12"/>
  <c r="L84" i="12"/>
  <c r="L83" i="12"/>
  <c r="L82" i="12"/>
  <c r="L81" i="12"/>
  <c r="L80" i="12"/>
  <c r="L79" i="12"/>
  <c r="L78" i="12"/>
  <c r="L77" i="12"/>
  <c r="L76" i="12"/>
  <c r="L75" i="12"/>
  <c r="L74" i="12"/>
  <c r="L73" i="12"/>
  <c r="L72" i="12"/>
  <c r="L71" i="12"/>
  <c r="L70" i="12"/>
  <c r="L69" i="12"/>
  <c r="L68" i="12"/>
  <c r="L67" i="12"/>
  <c r="L66" i="12"/>
  <c r="L65" i="12"/>
  <c r="L64" i="12"/>
  <c r="L63" i="12"/>
  <c r="L62" i="12"/>
  <c r="L61" i="12"/>
  <c r="L60" i="12"/>
  <c r="L59" i="12"/>
  <c r="L58" i="12"/>
  <c r="L57" i="12"/>
  <c r="L56" i="12"/>
  <c r="L55" i="12"/>
  <c r="L54" i="12"/>
  <c r="L53" i="12"/>
  <c r="L52" i="12"/>
  <c r="L51" i="12"/>
  <c r="L50" i="12"/>
  <c r="L49" i="12"/>
  <c r="L48" i="12"/>
  <c r="L47" i="12"/>
  <c r="L46" i="12"/>
  <c r="L45" i="12"/>
  <c r="L44" i="12"/>
  <c r="L43" i="12"/>
  <c r="L42" i="12"/>
  <c r="L41" i="12"/>
  <c r="L40" i="12"/>
  <c r="L39" i="12"/>
  <c r="L38" i="12"/>
  <c r="L37" i="12"/>
  <c r="L36" i="12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13" i="12"/>
  <c r="L12" i="12"/>
  <c r="L11" i="12"/>
  <c r="L10" i="12"/>
  <c r="L9" i="12"/>
  <c r="L8" i="12"/>
  <c r="L7" i="12"/>
  <c r="L6" i="12"/>
  <c r="L5" i="12"/>
  <c r="L1606" i="2"/>
  <c r="L1605" i="2"/>
  <c r="L1604" i="2"/>
  <c r="L1603" i="2"/>
  <c r="L1602" i="2"/>
  <c r="L1601" i="2"/>
  <c r="L1600" i="2"/>
  <c r="L1599" i="2"/>
  <c r="L1598" i="2"/>
  <c r="L1597" i="2"/>
  <c r="L1596" i="2"/>
  <c r="L1595" i="2"/>
  <c r="L1594" i="2"/>
  <c r="L1593" i="2"/>
  <c r="L1592" i="2"/>
  <c r="L1591" i="2"/>
  <c r="L1590" i="2"/>
  <c r="L1589" i="2"/>
  <c r="L1588" i="2"/>
  <c r="L1587" i="2"/>
  <c r="L1586" i="2"/>
  <c r="L1585" i="2"/>
  <c r="L1584" i="2"/>
  <c r="L1583" i="2"/>
  <c r="L1582" i="2"/>
  <c r="L1581" i="2"/>
  <c r="L1580" i="2"/>
  <c r="L1579" i="2"/>
  <c r="L1578" i="2"/>
  <c r="L1577" i="2"/>
  <c r="L1576" i="2"/>
  <c r="L1575" i="2"/>
  <c r="L1574" i="2"/>
  <c r="L1573" i="2"/>
  <c r="L1572" i="2"/>
  <c r="L1571" i="2"/>
  <c r="L1570" i="2"/>
  <c r="L1569" i="2"/>
  <c r="L1568" i="2"/>
  <c r="L1567" i="2"/>
  <c r="L1566" i="2"/>
  <c r="L1565" i="2"/>
  <c r="L1564" i="2"/>
  <c r="L1563" i="2"/>
  <c r="L1562" i="2"/>
  <c r="L1561" i="2"/>
  <c r="L1560" i="2"/>
  <c r="L1559" i="2"/>
  <c r="L1558" i="2"/>
  <c r="L1557" i="2"/>
  <c r="L1556" i="2"/>
  <c r="L1555" i="2"/>
  <c r="L1554" i="2"/>
  <c r="L1553" i="2"/>
  <c r="L1552" i="2"/>
  <c r="L1551" i="2"/>
  <c r="L1550" i="2"/>
  <c r="L1549" i="2"/>
  <c r="L1548" i="2"/>
  <c r="L1547" i="2"/>
  <c r="L1546" i="2"/>
  <c r="L1545" i="2"/>
  <c r="L1544" i="2"/>
  <c r="L1543" i="2"/>
  <c r="L1542" i="2"/>
  <c r="L1541" i="2"/>
  <c r="L1540" i="2"/>
  <c r="L1539" i="2"/>
  <c r="L1538" i="2"/>
  <c r="L1537" i="2"/>
  <c r="L1536" i="2"/>
  <c r="L1535" i="2"/>
  <c r="L1534" i="2"/>
  <c r="L1533" i="2"/>
  <c r="L1532" i="2"/>
  <c r="L1531" i="2"/>
  <c r="L1530" i="2"/>
  <c r="L1529" i="2"/>
  <c r="L1528" i="2"/>
  <c r="L1527" i="2"/>
  <c r="L1526" i="2"/>
  <c r="L1525" i="2"/>
  <c r="L1524" i="2"/>
  <c r="L1523" i="2"/>
  <c r="L1522" i="2"/>
  <c r="L1521" i="2"/>
  <c r="L1520" i="2"/>
  <c r="L1519" i="2"/>
  <c r="L1518" i="2"/>
  <c r="L1517" i="2"/>
  <c r="L1516" i="2"/>
  <c r="L1515" i="2"/>
  <c r="L1514" i="2"/>
  <c r="L1513" i="2"/>
  <c r="L1512" i="2"/>
  <c r="L1511" i="2"/>
  <c r="L1510" i="2"/>
  <c r="L1509" i="2"/>
  <c r="L1508" i="2"/>
  <c r="L1507" i="2"/>
  <c r="L1506" i="2"/>
  <c r="L1505" i="2"/>
  <c r="L1504" i="2"/>
  <c r="L1503" i="2"/>
  <c r="L1502" i="2"/>
  <c r="L1501" i="2"/>
  <c r="L1500" i="2"/>
  <c r="L1499" i="2"/>
  <c r="L1498" i="2"/>
  <c r="L1497" i="2"/>
  <c r="L1496" i="2"/>
  <c r="L1495" i="2"/>
  <c r="L1494" i="2"/>
  <c r="L1493" i="2"/>
  <c r="L1492" i="2"/>
  <c r="L1491" i="2"/>
  <c r="L1490" i="2"/>
  <c r="L1489" i="2"/>
  <c r="L1488" i="2"/>
  <c r="L1487" i="2"/>
  <c r="L1486" i="2"/>
  <c r="L1485" i="2"/>
  <c r="L1484" i="2"/>
  <c r="L1483" i="2"/>
  <c r="L1482" i="2"/>
  <c r="L1481" i="2"/>
  <c r="L1480" i="2"/>
  <c r="L1479" i="2"/>
  <c r="L1478" i="2"/>
  <c r="L1477" i="2"/>
  <c r="L1476" i="2"/>
  <c r="L1475" i="2"/>
  <c r="L1474" i="2"/>
  <c r="L1473" i="2"/>
  <c r="L1472" i="2"/>
  <c r="L1471" i="2"/>
  <c r="L1470" i="2"/>
  <c r="L1469" i="2"/>
  <c r="L1468" i="2"/>
  <c r="L1467" i="2"/>
  <c r="L1466" i="2"/>
  <c r="L1465" i="2"/>
  <c r="L1464" i="2"/>
  <c r="L1463" i="2"/>
  <c r="L1462" i="2"/>
  <c r="L1461" i="2"/>
  <c r="L1460" i="2"/>
  <c r="L1459" i="2"/>
  <c r="L1458" i="2"/>
  <c r="L1457" i="2"/>
  <c r="L1456" i="2"/>
  <c r="L1455" i="2"/>
  <c r="L1454" i="2"/>
  <c r="L1453" i="2"/>
  <c r="L1452" i="2"/>
  <c r="L1451" i="2"/>
  <c r="L1450" i="2"/>
  <c r="L1449" i="2"/>
  <c r="L1448" i="2"/>
  <c r="L1447" i="2"/>
  <c r="L1446" i="2"/>
  <c r="L1445" i="2"/>
  <c r="L1444" i="2"/>
  <c r="L1443" i="2"/>
  <c r="L1442" i="2"/>
  <c r="L1441" i="2"/>
  <c r="L1440" i="2"/>
  <c r="L1439" i="2"/>
  <c r="L1438" i="2"/>
  <c r="L1437" i="2"/>
  <c r="L1436" i="2"/>
  <c r="L1435" i="2"/>
  <c r="L1434" i="2"/>
  <c r="L1433" i="2"/>
  <c r="L1432" i="2"/>
  <c r="L1431" i="2"/>
  <c r="L1430" i="2"/>
  <c r="L1429" i="2"/>
  <c r="L1428" i="2"/>
  <c r="L1427" i="2"/>
  <c r="L1426" i="2"/>
  <c r="L1425" i="2"/>
  <c r="L1424" i="2"/>
  <c r="L1423" i="2"/>
  <c r="L1422" i="2"/>
  <c r="L1421" i="2"/>
  <c r="L1420" i="2"/>
  <c r="L1419" i="2"/>
  <c r="L1418" i="2"/>
  <c r="L1417" i="2"/>
  <c r="L1416" i="2"/>
  <c r="L1415" i="2"/>
  <c r="L1414" i="2"/>
  <c r="L1413" i="2"/>
  <c r="L1412" i="2"/>
  <c r="L1411" i="2"/>
  <c r="L1410" i="2"/>
  <c r="L1409" i="2"/>
  <c r="L1408" i="2"/>
  <c r="L1407" i="2"/>
  <c r="L1406" i="2"/>
  <c r="L1405" i="2"/>
  <c r="L1404" i="2"/>
  <c r="L1403" i="2"/>
  <c r="L1402" i="2"/>
  <c r="L1401" i="2"/>
  <c r="L1400" i="2"/>
  <c r="L1399" i="2"/>
  <c r="L1398" i="2"/>
  <c r="L1397" i="2"/>
  <c r="L1396" i="2"/>
  <c r="L1395" i="2"/>
  <c r="L1394" i="2"/>
  <c r="L1393" i="2"/>
  <c r="L1392" i="2"/>
  <c r="L1391" i="2"/>
  <c r="L1390" i="2"/>
  <c r="L1389" i="2"/>
  <c r="L1388" i="2"/>
  <c r="L1387" i="2"/>
  <c r="L1386" i="2"/>
  <c r="L1385" i="2"/>
  <c r="L1384" i="2"/>
  <c r="L1383" i="2"/>
  <c r="L1382" i="2"/>
  <c r="L1381" i="2"/>
  <c r="L1380" i="2"/>
  <c r="L1379" i="2"/>
  <c r="L1378" i="2"/>
  <c r="L1377" i="2"/>
  <c r="L1376" i="2"/>
  <c r="L1375" i="2"/>
  <c r="L1374" i="2"/>
  <c r="L1373" i="2"/>
  <c r="L1372" i="2"/>
  <c r="L1371" i="2"/>
  <c r="L1370" i="2"/>
  <c r="L1369" i="2"/>
  <c r="L1368" i="2"/>
  <c r="L1367" i="2"/>
  <c r="L1366" i="2"/>
  <c r="L1365" i="2"/>
  <c r="L1364" i="2"/>
  <c r="L1363" i="2"/>
  <c r="L1362" i="2"/>
  <c r="L1361" i="2"/>
  <c r="L1360" i="2"/>
  <c r="L1359" i="2"/>
  <c r="L1358" i="2"/>
  <c r="L1357" i="2"/>
  <c r="L1356" i="2"/>
  <c r="L1355" i="2"/>
  <c r="L1354" i="2"/>
  <c r="L1353" i="2"/>
  <c r="L1352" i="2"/>
  <c r="L1351" i="2"/>
  <c r="L1350" i="2"/>
  <c r="L1349" i="2"/>
  <c r="L1348" i="2"/>
  <c r="L1347" i="2"/>
  <c r="L1346" i="2"/>
  <c r="L1345" i="2"/>
  <c r="L1344" i="2"/>
  <c r="L1343" i="2"/>
  <c r="L1342" i="2"/>
  <c r="L1341" i="2"/>
  <c r="L1340" i="2"/>
  <c r="L1339" i="2"/>
  <c r="L1338" i="2"/>
  <c r="L1337" i="2"/>
  <c r="L1336" i="2"/>
  <c r="L1335" i="2"/>
  <c r="L1334" i="2"/>
  <c r="L1333" i="2"/>
  <c r="L1332" i="2"/>
  <c r="L1331" i="2"/>
  <c r="L1330" i="2"/>
  <c r="L1329" i="2"/>
  <c r="L1328" i="2"/>
  <c r="L1327" i="2"/>
  <c r="L1326" i="2"/>
  <c r="L1325" i="2"/>
  <c r="L1324" i="2"/>
  <c r="L1323" i="2"/>
  <c r="L1322" i="2"/>
  <c r="L1321" i="2"/>
  <c r="L1320" i="2"/>
  <c r="L1319" i="2"/>
  <c r="L1318" i="2"/>
  <c r="L1317" i="2"/>
  <c r="L1316" i="2"/>
  <c r="L1315" i="2"/>
  <c r="L1314" i="2"/>
  <c r="L1313" i="2"/>
  <c r="L1312" i="2"/>
  <c r="L1311" i="2"/>
  <c r="L1310" i="2"/>
  <c r="L1309" i="2"/>
  <c r="L1308" i="2"/>
  <c r="L1307" i="2"/>
  <c r="L1306" i="2"/>
  <c r="L1305" i="2"/>
  <c r="L1304" i="2"/>
  <c r="L1303" i="2"/>
  <c r="L1302" i="2"/>
  <c r="L1301" i="2"/>
  <c r="L1300" i="2"/>
  <c r="L1299" i="2"/>
  <c r="L1298" i="2"/>
  <c r="L1297" i="2"/>
  <c r="L1296" i="2"/>
  <c r="L1295" i="2"/>
  <c r="L1294" i="2"/>
  <c r="L1293" i="2"/>
  <c r="L1292" i="2"/>
  <c r="L1291" i="2"/>
  <c r="L1290" i="2"/>
  <c r="L1289" i="2"/>
  <c r="L1288" i="2"/>
  <c r="L1287" i="2"/>
  <c r="L1286" i="2"/>
  <c r="L1285" i="2"/>
  <c r="L1284" i="2"/>
  <c r="L1283" i="2"/>
  <c r="L1282" i="2"/>
  <c r="L1281" i="2"/>
  <c r="L1280" i="2"/>
  <c r="L1279" i="2"/>
  <c r="L1278" i="2"/>
  <c r="L1277" i="2"/>
  <c r="L1276" i="2"/>
  <c r="L1275" i="2"/>
  <c r="L1274" i="2"/>
  <c r="L1273" i="2"/>
  <c r="L1272" i="2"/>
  <c r="L1271" i="2"/>
  <c r="L1270" i="2"/>
  <c r="L1269" i="2"/>
  <c r="L1268" i="2"/>
  <c r="L1267" i="2"/>
  <c r="L1266" i="2"/>
  <c r="L1265" i="2"/>
  <c r="L1264" i="2"/>
  <c r="L1263" i="2"/>
  <c r="L1262" i="2"/>
  <c r="L1261" i="2"/>
  <c r="L1260" i="2"/>
  <c r="L1259" i="2"/>
  <c r="L1258" i="2"/>
  <c r="L1257" i="2"/>
  <c r="L1256" i="2"/>
  <c r="L1255" i="2"/>
  <c r="L1254" i="2"/>
  <c r="L1253" i="2"/>
  <c r="L1252" i="2"/>
  <c r="L1251" i="2"/>
  <c r="L1250" i="2"/>
  <c r="L1249" i="2"/>
  <c r="L1248" i="2"/>
  <c r="L1247" i="2"/>
  <c r="L1246" i="2"/>
  <c r="L1245" i="2"/>
  <c r="L1244" i="2"/>
  <c r="L1243" i="2"/>
  <c r="L1242" i="2"/>
  <c r="L1241" i="2"/>
  <c r="L1240" i="2"/>
  <c r="L1239" i="2"/>
  <c r="L1238" i="2"/>
  <c r="L1237" i="2"/>
  <c r="L1236" i="2"/>
  <c r="L1235" i="2"/>
  <c r="L1234" i="2"/>
  <c r="L1233" i="2"/>
  <c r="L1232" i="2"/>
  <c r="L1231" i="2"/>
  <c r="L1230" i="2"/>
  <c r="L1229" i="2"/>
  <c r="L1228" i="2"/>
  <c r="L1227" i="2"/>
  <c r="L1226" i="2"/>
  <c r="L1225" i="2"/>
  <c r="L1224" i="2"/>
  <c r="L1223" i="2"/>
  <c r="L1222" i="2"/>
  <c r="L1221" i="2"/>
  <c r="L1220" i="2"/>
  <c r="L1219" i="2"/>
  <c r="L1218" i="2"/>
  <c r="L1217" i="2"/>
  <c r="L1216" i="2"/>
  <c r="L1215" i="2"/>
  <c r="L1214" i="2"/>
  <c r="L1213" i="2"/>
  <c r="L1212" i="2"/>
  <c r="L1211" i="2"/>
  <c r="L1210" i="2"/>
  <c r="L1209" i="2"/>
  <c r="L1208" i="2"/>
  <c r="L1207" i="2"/>
  <c r="L1206" i="2"/>
  <c r="L1205" i="2"/>
  <c r="L1204" i="2"/>
  <c r="L1203" i="2"/>
  <c r="L1202" i="2"/>
  <c r="L1201" i="2"/>
  <c r="L1200" i="2"/>
  <c r="L1199" i="2"/>
  <c r="L1198" i="2"/>
  <c r="L1197" i="2"/>
  <c r="L1196" i="2"/>
  <c r="L1195" i="2"/>
  <c r="L1194" i="2"/>
  <c r="L1193" i="2"/>
  <c r="L1192" i="2"/>
  <c r="L1191" i="2"/>
  <c r="L1190" i="2"/>
  <c r="L1189" i="2"/>
  <c r="L1188" i="2"/>
  <c r="L1187" i="2"/>
  <c r="L1186" i="2"/>
  <c r="L1185" i="2"/>
  <c r="L1184" i="2"/>
  <c r="L1183" i="2"/>
  <c r="L1182" i="2"/>
  <c r="L1181" i="2"/>
  <c r="L1180" i="2"/>
  <c r="L1179" i="2"/>
  <c r="L1178" i="2"/>
  <c r="L1177" i="2"/>
  <c r="L1176" i="2"/>
  <c r="L1175" i="2"/>
  <c r="L1174" i="2"/>
  <c r="L1173" i="2"/>
  <c r="L1172" i="2"/>
  <c r="L1171" i="2"/>
  <c r="L1170" i="2"/>
  <c r="L1169" i="2"/>
  <c r="L1168" i="2"/>
  <c r="L1167" i="2"/>
  <c r="L1166" i="2"/>
  <c r="L1165" i="2"/>
  <c r="L1164" i="2"/>
  <c r="L1163" i="2"/>
  <c r="L1162" i="2"/>
  <c r="L1161" i="2"/>
  <c r="L1160" i="2"/>
  <c r="L1159" i="2"/>
  <c r="L1158" i="2"/>
  <c r="L1157" i="2"/>
  <c r="L1156" i="2"/>
  <c r="L1155" i="2"/>
  <c r="L1154" i="2"/>
  <c r="L1153" i="2"/>
  <c r="L1152" i="2"/>
  <c r="L1151" i="2"/>
  <c r="L1150" i="2"/>
  <c r="L1149" i="2"/>
  <c r="L1148" i="2"/>
  <c r="L1147" i="2"/>
  <c r="L1146" i="2"/>
  <c r="L1145" i="2"/>
  <c r="L1144" i="2"/>
  <c r="L1143" i="2"/>
  <c r="L1142" i="2"/>
  <c r="L1141" i="2"/>
  <c r="L1140" i="2"/>
  <c r="L1139" i="2"/>
  <c r="L1138" i="2"/>
  <c r="L1137" i="2"/>
  <c r="L1136" i="2"/>
  <c r="L1135" i="2"/>
  <c r="L1134" i="2"/>
  <c r="L1133" i="2"/>
  <c r="L1132" i="2"/>
  <c r="L1131" i="2"/>
  <c r="L1130" i="2"/>
  <c r="L1129" i="2"/>
  <c r="L1128" i="2"/>
  <c r="L1127" i="2"/>
  <c r="L1126" i="2"/>
  <c r="L1125" i="2"/>
  <c r="L1124" i="2"/>
  <c r="L1123" i="2"/>
  <c r="L1122" i="2"/>
  <c r="L1121" i="2"/>
  <c r="L1120" i="2"/>
  <c r="L1119" i="2"/>
  <c r="L1118" i="2"/>
  <c r="L1117" i="2"/>
  <c r="L1116" i="2"/>
  <c r="L1115" i="2"/>
  <c r="L1114" i="2"/>
  <c r="L1113" i="2"/>
  <c r="L1112" i="2"/>
  <c r="L1111" i="2"/>
  <c r="L1110" i="2"/>
  <c r="L1109" i="2"/>
  <c r="L1108" i="2"/>
  <c r="L1107" i="2"/>
  <c r="L1106" i="2"/>
  <c r="L1105" i="2"/>
  <c r="L1104" i="2"/>
  <c r="L1103" i="2"/>
  <c r="L1102" i="2"/>
  <c r="L1101" i="2"/>
  <c r="L1100" i="2"/>
  <c r="L1099" i="2"/>
  <c r="L1098" i="2"/>
  <c r="L1097" i="2"/>
  <c r="L1096" i="2"/>
  <c r="L1095" i="2"/>
  <c r="L1094" i="2"/>
  <c r="L1093" i="2"/>
  <c r="L1092" i="2"/>
  <c r="L1091" i="2"/>
  <c r="L1090" i="2"/>
  <c r="L1089" i="2"/>
  <c r="L1088" i="2"/>
  <c r="L1087" i="2"/>
  <c r="L1086" i="2"/>
  <c r="L1085" i="2"/>
  <c r="L1084" i="2"/>
  <c r="L1083" i="2"/>
  <c r="L1082" i="2"/>
  <c r="L1081" i="2"/>
  <c r="L1080" i="2"/>
  <c r="L1079" i="2"/>
  <c r="L1078" i="2"/>
  <c r="L1077" i="2"/>
  <c r="L1076" i="2"/>
  <c r="L1075" i="2"/>
  <c r="L1074" i="2"/>
  <c r="L1073" i="2"/>
  <c r="L1072" i="2"/>
  <c r="L1071" i="2"/>
  <c r="L1070" i="2"/>
  <c r="L1069" i="2"/>
  <c r="L1068" i="2"/>
  <c r="L1067" i="2"/>
  <c r="L1066" i="2"/>
  <c r="L1065" i="2"/>
  <c r="L1064" i="2"/>
  <c r="L1063" i="2"/>
  <c r="L1062" i="2"/>
  <c r="L1061" i="2"/>
  <c r="L1060" i="2"/>
  <c r="L1059" i="2"/>
  <c r="L1058" i="2"/>
  <c r="L1057" i="2"/>
  <c r="L1056" i="2"/>
  <c r="L1055" i="2"/>
  <c r="L1054" i="2"/>
  <c r="L1053" i="2"/>
  <c r="L1052" i="2"/>
  <c r="L1051" i="2"/>
  <c r="L1050" i="2"/>
  <c r="L1049" i="2"/>
  <c r="L1048" i="2"/>
  <c r="L1047" i="2"/>
  <c r="L1046" i="2"/>
  <c r="L1045" i="2"/>
  <c r="L1044" i="2"/>
  <c r="L1043" i="2"/>
  <c r="L1042" i="2"/>
  <c r="L1041" i="2"/>
  <c r="L1040" i="2"/>
  <c r="L1039" i="2"/>
  <c r="L1038" i="2"/>
  <c r="L1037" i="2"/>
  <c r="L1036" i="2"/>
  <c r="L1035" i="2"/>
  <c r="L1034" i="2"/>
  <c r="L1033" i="2"/>
  <c r="L1032" i="2"/>
  <c r="L1031" i="2"/>
  <c r="L1030" i="2"/>
  <c r="L1029" i="2"/>
  <c r="L1028" i="2"/>
  <c r="L1027" i="2"/>
  <c r="L1026" i="2"/>
  <c r="L1025" i="2"/>
  <c r="L1024" i="2"/>
  <c r="L1023" i="2"/>
  <c r="L1022" i="2"/>
  <c r="L1021" i="2"/>
  <c r="L1020" i="2"/>
  <c r="L1019" i="2"/>
  <c r="L1018" i="2"/>
  <c r="L1017" i="2"/>
  <c r="L1016" i="2"/>
  <c r="L1015" i="2"/>
  <c r="L1014" i="2"/>
  <c r="L1013" i="2"/>
  <c r="L1012" i="2"/>
  <c r="L1011" i="2"/>
  <c r="L1010" i="2"/>
  <c r="L1009" i="2"/>
  <c r="L1008" i="2"/>
  <c r="L1007" i="2"/>
  <c r="L1006" i="2"/>
  <c r="L1005" i="2"/>
  <c r="L1004" i="2"/>
  <c r="L1003" i="2"/>
  <c r="L1002" i="2"/>
  <c r="L1001" i="2"/>
  <c r="L1000" i="2"/>
  <c r="L999" i="2"/>
  <c r="L998" i="2"/>
  <c r="L997" i="2"/>
  <c r="L996" i="2"/>
  <c r="L995" i="2"/>
  <c r="L994" i="2"/>
  <c r="L993" i="2"/>
  <c r="L992" i="2"/>
  <c r="L991" i="2"/>
  <c r="L990" i="2"/>
  <c r="L989" i="2"/>
  <c r="L988" i="2"/>
  <c r="L987" i="2"/>
  <c r="L986" i="2"/>
  <c r="L985" i="2"/>
  <c r="L984" i="2"/>
  <c r="L983" i="2"/>
  <c r="L982" i="2"/>
  <c r="L981" i="2"/>
  <c r="L980" i="2"/>
  <c r="L979" i="2"/>
  <c r="L978" i="2"/>
  <c r="L977" i="2"/>
  <c r="L976" i="2"/>
  <c r="L975" i="2"/>
  <c r="L974" i="2"/>
  <c r="L973" i="2"/>
  <c r="L972" i="2"/>
  <c r="L971" i="2"/>
  <c r="L970" i="2"/>
  <c r="L969" i="2"/>
  <c r="L968" i="2"/>
  <c r="L967" i="2"/>
  <c r="L966" i="2"/>
  <c r="L965" i="2"/>
  <c r="L964" i="2"/>
  <c r="L963" i="2"/>
  <c r="L962" i="2"/>
  <c r="L961" i="2"/>
  <c r="L960" i="2"/>
  <c r="L959" i="2"/>
  <c r="L958" i="2"/>
  <c r="L957" i="2"/>
  <c r="L956" i="2"/>
  <c r="L955" i="2"/>
  <c r="L954" i="2"/>
  <c r="L953" i="2"/>
  <c r="L952" i="2"/>
  <c r="L951" i="2"/>
  <c r="L950" i="2"/>
  <c r="L949" i="2"/>
  <c r="L948" i="2"/>
  <c r="L947" i="2"/>
  <c r="L946" i="2"/>
  <c r="L945" i="2"/>
  <c r="L944" i="2"/>
  <c r="L943" i="2"/>
  <c r="L942" i="2"/>
  <c r="L941" i="2"/>
  <c r="L940" i="2"/>
  <c r="L939" i="2"/>
  <c r="L938" i="2"/>
  <c r="L937" i="2"/>
  <c r="L936" i="2"/>
  <c r="L935" i="2"/>
  <c r="L934" i="2"/>
  <c r="L933" i="2"/>
  <c r="L932" i="2"/>
  <c r="L931" i="2"/>
  <c r="L930" i="2"/>
  <c r="L929" i="2"/>
  <c r="L928" i="2"/>
  <c r="L927" i="2"/>
  <c r="L926" i="2"/>
  <c r="L925" i="2"/>
  <c r="L924" i="2"/>
  <c r="L923" i="2"/>
  <c r="L922" i="2"/>
  <c r="L921" i="2"/>
  <c r="L920" i="2"/>
  <c r="L919" i="2"/>
  <c r="L918" i="2"/>
  <c r="L917" i="2"/>
  <c r="L916" i="2"/>
  <c r="L915" i="2"/>
  <c r="L914" i="2"/>
  <c r="L913" i="2"/>
  <c r="L912" i="2"/>
  <c r="L911" i="2"/>
  <c r="L910" i="2"/>
  <c r="L909" i="2"/>
  <c r="L908" i="2"/>
  <c r="L907" i="2"/>
  <c r="L906" i="2"/>
  <c r="L905" i="2"/>
  <c r="L904" i="2"/>
  <c r="L903" i="2"/>
  <c r="L902" i="2"/>
  <c r="L901" i="2"/>
  <c r="L900" i="2"/>
  <c r="L899" i="2"/>
  <c r="L898" i="2"/>
  <c r="L897" i="2"/>
  <c r="L896" i="2"/>
  <c r="L895" i="2"/>
  <c r="L894" i="2"/>
  <c r="L893" i="2"/>
  <c r="L892" i="2"/>
  <c r="L891" i="2"/>
  <c r="L890" i="2"/>
  <c r="L889" i="2"/>
  <c r="L888" i="2"/>
  <c r="L887" i="2"/>
  <c r="L886" i="2"/>
  <c r="L885" i="2"/>
  <c r="L884" i="2"/>
  <c r="L883" i="2"/>
  <c r="L882" i="2"/>
  <c r="L881" i="2"/>
  <c r="L880" i="2"/>
  <c r="L879" i="2"/>
  <c r="L878" i="2"/>
  <c r="L877" i="2"/>
  <c r="L876" i="2"/>
  <c r="L875" i="2"/>
  <c r="L874" i="2"/>
  <c r="L873" i="2"/>
  <c r="L872" i="2"/>
  <c r="L871" i="2"/>
  <c r="L870" i="2"/>
  <c r="L869" i="2"/>
  <c r="L868" i="2"/>
  <c r="L867" i="2"/>
  <c r="L866" i="2"/>
  <c r="L865" i="2"/>
  <c r="L864" i="2"/>
  <c r="L863" i="2"/>
  <c r="L862" i="2"/>
  <c r="L861" i="2"/>
  <c r="L860" i="2"/>
  <c r="L859" i="2"/>
  <c r="L858" i="2"/>
  <c r="L857" i="2"/>
  <c r="L856" i="2"/>
  <c r="L855" i="2"/>
  <c r="L854" i="2"/>
  <c r="L853" i="2"/>
  <c r="L852" i="2"/>
  <c r="L851" i="2"/>
  <c r="L850" i="2"/>
  <c r="L849" i="2"/>
  <c r="L848" i="2"/>
  <c r="L847" i="2"/>
  <c r="L846" i="2"/>
  <c r="L845" i="2"/>
  <c r="L844" i="2"/>
  <c r="L843" i="2"/>
  <c r="L842" i="2"/>
  <c r="L841" i="2"/>
  <c r="L840" i="2"/>
  <c r="L839" i="2"/>
  <c r="L838" i="2"/>
  <c r="L837" i="2"/>
  <c r="L836" i="2"/>
  <c r="L835" i="2"/>
  <c r="L834" i="2"/>
  <c r="L833" i="2"/>
  <c r="L832" i="2"/>
  <c r="L831" i="2"/>
  <c r="L830" i="2"/>
  <c r="L829" i="2"/>
  <c r="L828" i="2"/>
  <c r="L827" i="2"/>
  <c r="L826" i="2"/>
  <c r="L825" i="2"/>
  <c r="L824" i="2"/>
  <c r="L823" i="2"/>
  <c r="L822" i="2"/>
  <c r="L821" i="2"/>
  <c r="L820" i="2"/>
  <c r="L819" i="2"/>
  <c r="L818" i="2"/>
  <c r="L817" i="2"/>
  <c r="L816" i="2"/>
  <c r="L815" i="2"/>
  <c r="L814" i="2"/>
  <c r="L813" i="2"/>
  <c r="L812" i="2"/>
  <c r="L811" i="2"/>
  <c r="L810" i="2"/>
  <c r="L809" i="2"/>
  <c r="L808" i="2"/>
  <c r="L807" i="2"/>
  <c r="L806" i="2"/>
  <c r="L805" i="2"/>
  <c r="L804" i="2"/>
  <c r="L803" i="2"/>
  <c r="L802" i="2"/>
  <c r="L801" i="2"/>
  <c r="L800" i="2"/>
  <c r="L799" i="2"/>
  <c r="L798" i="2"/>
  <c r="L797" i="2"/>
  <c r="L796" i="2"/>
  <c r="L795" i="2"/>
  <c r="L794" i="2"/>
  <c r="L793" i="2"/>
  <c r="L792" i="2"/>
  <c r="L791" i="2"/>
  <c r="L790" i="2"/>
  <c r="L789" i="2"/>
  <c r="L788" i="2"/>
  <c r="L787" i="2"/>
  <c r="L786" i="2"/>
  <c r="L785" i="2"/>
  <c r="L784" i="2"/>
  <c r="L783" i="2"/>
  <c r="L782" i="2"/>
  <c r="L781" i="2"/>
  <c r="L780" i="2"/>
  <c r="L779" i="2"/>
  <c r="L778" i="2"/>
  <c r="L777" i="2"/>
  <c r="L776" i="2"/>
  <c r="L775" i="2"/>
  <c r="L774" i="2"/>
  <c r="L773" i="2"/>
  <c r="L772" i="2"/>
  <c r="L771" i="2"/>
  <c r="L770" i="2"/>
  <c r="L769" i="2"/>
  <c r="L768" i="2"/>
  <c r="L767" i="2"/>
  <c r="L766" i="2"/>
  <c r="L765" i="2"/>
  <c r="L764" i="2"/>
  <c r="L763" i="2"/>
  <c r="L762" i="2"/>
  <c r="L761" i="2"/>
  <c r="L760" i="2"/>
  <c r="L759" i="2"/>
  <c r="L758" i="2"/>
  <c r="L757" i="2"/>
  <c r="L756" i="2"/>
  <c r="L755" i="2"/>
  <c r="L754" i="2"/>
  <c r="L753" i="2"/>
  <c r="L752" i="2"/>
  <c r="L751" i="2"/>
  <c r="L750" i="2"/>
  <c r="L749" i="2"/>
  <c r="L748" i="2"/>
  <c r="L747" i="2"/>
  <c r="L746" i="2"/>
  <c r="L745" i="2"/>
  <c r="L744" i="2"/>
  <c r="L743" i="2"/>
  <c r="L742" i="2"/>
  <c r="L741" i="2"/>
  <c r="L740" i="2"/>
  <c r="L739" i="2"/>
  <c r="L738" i="2"/>
  <c r="L737" i="2"/>
  <c r="L736" i="2"/>
  <c r="L735" i="2"/>
  <c r="L734" i="2"/>
  <c r="L733" i="2"/>
  <c r="L732" i="2"/>
  <c r="L731" i="2"/>
  <c r="L730" i="2"/>
  <c r="L729" i="2"/>
  <c r="L728" i="2"/>
  <c r="L727" i="2"/>
  <c r="L726" i="2"/>
  <c r="L725" i="2"/>
  <c r="L724" i="2"/>
  <c r="L723" i="2"/>
  <c r="L722" i="2"/>
  <c r="L721" i="2"/>
  <c r="L720" i="2"/>
  <c r="L719" i="2"/>
  <c r="L718" i="2"/>
  <c r="L717" i="2"/>
  <c r="L716" i="2"/>
  <c r="L715" i="2"/>
  <c r="L714" i="2"/>
  <c r="L713" i="2"/>
  <c r="L712" i="2"/>
  <c r="L711" i="2"/>
  <c r="L710" i="2"/>
  <c r="L709" i="2"/>
  <c r="L708" i="2"/>
  <c r="L707" i="2"/>
  <c r="L706" i="2"/>
  <c r="L705" i="2"/>
  <c r="L704" i="2"/>
  <c r="L703" i="2"/>
  <c r="L702" i="2"/>
  <c r="L701" i="2"/>
  <c r="L700" i="2"/>
  <c r="L699" i="2"/>
  <c r="L698" i="2"/>
  <c r="L697" i="2"/>
  <c r="L696" i="2"/>
  <c r="L695" i="2"/>
  <c r="L694" i="2"/>
  <c r="L693" i="2"/>
  <c r="L692" i="2"/>
  <c r="L691" i="2"/>
  <c r="L690" i="2"/>
  <c r="L689" i="2"/>
  <c r="L688" i="2"/>
  <c r="L687" i="2"/>
  <c r="L686" i="2"/>
  <c r="L685" i="2"/>
  <c r="L684" i="2"/>
  <c r="L683" i="2"/>
  <c r="L682" i="2"/>
  <c r="L681" i="2"/>
  <c r="L680" i="2"/>
  <c r="L679" i="2"/>
  <c r="L678" i="2"/>
  <c r="L677" i="2"/>
  <c r="L676" i="2"/>
  <c r="L675" i="2"/>
  <c r="L674" i="2"/>
  <c r="L673" i="2"/>
  <c r="L672" i="2"/>
  <c r="L671" i="2"/>
  <c r="L670" i="2"/>
  <c r="L669" i="2"/>
  <c r="L668" i="2"/>
  <c r="L667" i="2"/>
  <c r="L666" i="2"/>
  <c r="L665" i="2"/>
  <c r="L664" i="2"/>
  <c r="L663" i="2"/>
  <c r="L662" i="2"/>
  <c r="L661" i="2"/>
  <c r="L660" i="2"/>
  <c r="L659" i="2"/>
  <c r="L658" i="2"/>
  <c r="L657" i="2"/>
  <c r="L656" i="2"/>
  <c r="L655" i="2"/>
  <c r="L654" i="2"/>
  <c r="L653" i="2"/>
  <c r="L652" i="2"/>
  <c r="L651" i="2"/>
  <c r="L650" i="2"/>
  <c r="L649" i="2"/>
  <c r="L648" i="2"/>
  <c r="L647" i="2"/>
  <c r="L646" i="2"/>
  <c r="L645" i="2"/>
  <c r="L644" i="2"/>
  <c r="L643" i="2"/>
  <c r="L642" i="2"/>
  <c r="L641" i="2"/>
  <c r="L640" i="2"/>
  <c r="L639" i="2"/>
  <c r="L638" i="2"/>
  <c r="L637" i="2"/>
  <c r="L636" i="2"/>
  <c r="L635" i="2"/>
  <c r="L634" i="2"/>
  <c r="L633" i="2"/>
  <c r="L632" i="2"/>
  <c r="L631" i="2"/>
  <c r="L630" i="2"/>
  <c r="L629" i="2"/>
  <c r="L628" i="2"/>
  <c r="L627" i="2"/>
  <c r="L626" i="2"/>
  <c r="L625" i="2"/>
  <c r="L624" i="2"/>
  <c r="L623" i="2"/>
  <c r="L622" i="2"/>
  <c r="L621" i="2"/>
  <c r="L620" i="2"/>
  <c r="L619" i="2"/>
  <c r="L618" i="2"/>
  <c r="L617" i="2"/>
  <c r="L616" i="2"/>
  <c r="L615" i="2"/>
  <c r="L614" i="2"/>
  <c r="L613" i="2"/>
  <c r="L612" i="2"/>
  <c r="L611" i="2"/>
  <c r="L610" i="2"/>
  <c r="L609" i="2"/>
  <c r="L608" i="2"/>
  <c r="L607" i="2"/>
  <c r="L606" i="2"/>
  <c r="L605" i="2"/>
  <c r="L604" i="2"/>
  <c r="L603" i="2"/>
  <c r="L602" i="2"/>
  <c r="L601" i="2"/>
  <c r="L600" i="2"/>
  <c r="L599" i="2"/>
  <c r="L598" i="2"/>
  <c r="L597" i="2"/>
  <c r="L596" i="2"/>
  <c r="L595" i="2"/>
  <c r="L594" i="2"/>
  <c r="L593" i="2"/>
  <c r="L592" i="2"/>
  <c r="L591" i="2"/>
  <c r="L590" i="2"/>
  <c r="L589" i="2"/>
  <c r="L588" i="2"/>
  <c r="L587" i="2"/>
  <c r="L586" i="2"/>
  <c r="L585" i="2"/>
  <c r="L584" i="2"/>
  <c r="L583" i="2"/>
  <c r="L582" i="2"/>
  <c r="L581" i="2"/>
  <c r="L580" i="2"/>
  <c r="L579" i="2"/>
  <c r="L578" i="2"/>
  <c r="L577" i="2"/>
  <c r="L576" i="2"/>
  <c r="L575" i="2"/>
  <c r="L574" i="2"/>
  <c r="L573" i="2"/>
  <c r="L572" i="2"/>
  <c r="L571" i="2"/>
  <c r="L570" i="2"/>
  <c r="L569" i="2"/>
  <c r="L568" i="2"/>
  <c r="L567" i="2"/>
  <c r="L566" i="2"/>
  <c r="L565" i="2"/>
  <c r="L564" i="2"/>
  <c r="L563" i="2"/>
  <c r="L562" i="2"/>
  <c r="L561" i="2"/>
  <c r="L560" i="2"/>
  <c r="L559" i="2"/>
  <c r="L558" i="2"/>
  <c r="L557" i="2"/>
  <c r="L556" i="2"/>
  <c r="L555" i="2"/>
  <c r="L554" i="2"/>
  <c r="L553" i="2"/>
  <c r="L552" i="2"/>
  <c r="L551" i="2"/>
  <c r="L550" i="2"/>
  <c r="L549" i="2"/>
  <c r="L548" i="2"/>
  <c r="L547" i="2"/>
  <c r="L546" i="2"/>
  <c r="L545" i="2"/>
  <c r="L544" i="2"/>
  <c r="L543" i="2"/>
  <c r="L542" i="2"/>
  <c r="L541" i="2"/>
  <c r="L540" i="2"/>
  <c r="L539" i="2"/>
  <c r="L538" i="2"/>
  <c r="L537" i="2"/>
  <c r="L536" i="2"/>
  <c r="L535" i="2"/>
  <c r="L534" i="2"/>
  <c r="L533" i="2"/>
  <c r="L532" i="2"/>
  <c r="L531" i="2"/>
  <c r="L530" i="2"/>
  <c r="L529" i="2"/>
  <c r="L528" i="2"/>
  <c r="L527" i="2"/>
  <c r="L526" i="2"/>
  <c r="L525" i="2"/>
  <c r="L524" i="2"/>
  <c r="L523" i="2"/>
  <c r="L522" i="2"/>
  <c r="L521" i="2"/>
  <c r="L520" i="2"/>
  <c r="L519" i="2"/>
  <c r="L518" i="2"/>
  <c r="L517" i="2"/>
  <c r="L516" i="2"/>
  <c r="L515" i="2"/>
  <c r="L514" i="2"/>
  <c r="L513" i="2"/>
  <c r="L512" i="2"/>
  <c r="L511" i="2"/>
  <c r="L510" i="2"/>
  <c r="L509" i="2"/>
  <c r="L508" i="2"/>
  <c r="L507" i="2"/>
  <c r="L506" i="2"/>
  <c r="L505" i="2"/>
  <c r="L504" i="2"/>
  <c r="L503" i="2"/>
  <c r="L502" i="2"/>
  <c r="L501" i="2"/>
  <c r="L500" i="2"/>
  <c r="L499" i="2"/>
  <c r="L498" i="2"/>
  <c r="L497" i="2"/>
  <c r="L496" i="2"/>
  <c r="L495" i="2"/>
  <c r="L494" i="2"/>
  <c r="L493" i="2"/>
  <c r="L492" i="2"/>
  <c r="L491" i="2"/>
  <c r="L490" i="2"/>
  <c r="L489" i="2"/>
  <c r="L488" i="2"/>
  <c r="L487" i="2"/>
  <c r="L486" i="2"/>
  <c r="L485" i="2"/>
  <c r="L484" i="2"/>
  <c r="L483" i="2"/>
  <c r="L482" i="2"/>
  <c r="L481" i="2"/>
  <c r="L480" i="2"/>
  <c r="L479" i="2"/>
  <c r="L478" i="2"/>
  <c r="L477" i="2"/>
  <c r="L476" i="2"/>
  <c r="L475" i="2"/>
  <c r="L474" i="2"/>
  <c r="L473" i="2"/>
  <c r="L472" i="2"/>
  <c r="L471" i="2"/>
  <c r="L470" i="2"/>
  <c r="L469" i="2"/>
  <c r="L468" i="2"/>
  <c r="L467" i="2"/>
  <c r="L466" i="2"/>
  <c r="L465" i="2"/>
  <c r="L464" i="2"/>
  <c r="L463" i="2"/>
  <c r="L462" i="2"/>
  <c r="L461" i="2"/>
  <c r="L460" i="2"/>
  <c r="L459" i="2"/>
  <c r="L458" i="2"/>
  <c r="L457" i="2"/>
  <c r="L456" i="2"/>
  <c r="L455" i="2"/>
  <c r="L454" i="2"/>
  <c r="L453" i="2"/>
  <c r="L452" i="2"/>
  <c r="L451" i="2"/>
  <c r="L450" i="2"/>
  <c r="L449" i="2"/>
  <c r="L448" i="2"/>
  <c r="L447" i="2"/>
  <c r="L446" i="2"/>
  <c r="L445" i="2"/>
  <c r="L444" i="2"/>
  <c r="L443" i="2"/>
  <c r="L442" i="2"/>
  <c r="L441" i="2"/>
  <c r="L440" i="2"/>
  <c r="L439" i="2"/>
  <c r="L438" i="2"/>
  <c r="L437" i="2"/>
  <c r="L436" i="2"/>
  <c r="L435" i="2"/>
  <c r="L434" i="2"/>
  <c r="L433" i="2"/>
  <c r="L432" i="2"/>
  <c r="L431" i="2"/>
  <c r="L430" i="2"/>
  <c r="L429" i="2"/>
  <c r="L428" i="2"/>
  <c r="L427" i="2"/>
  <c r="L426" i="2"/>
  <c r="L425" i="2"/>
  <c r="L424" i="2"/>
  <c r="L423" i="2"/>
  <c r="L422" i="2"/>
  <c r="L421" i="2"/>
  <c r="L420" i="2"/>
  <c r="L419" i="2"/>
  <c r="L418" i="2"/>
  <c r="L417" i="2"/>
  <c r="L416" i="2"/>
  <c r="L415" i="2"/>
  <c r="L414" i="2"/>
  <c r="L413" i="2"/>
  <c r="L412" i="2"/>
  <c r="L411" i="2"/>
  <c r="L410" i="2"/>
  <c r="L409" i="2"/>
  <c r="L408" i="2"/>
  <c r="L407" i="2"/>
  <c r="L406" i="2"/>
  <c r="L405" i="2"/>
  <c r="L404" i="2"/>
  <c r="L403" i="2"/>
  <c r="L402" i="2"/>
  <c r="L401" i="2"/>
  <c r="L400" i="2"/>
  <c r="L399" i="2"/>
  <c r="L398" i="2"/>
  <c r="L397" i="2"/>
  <c r="L396" i="2"/>
  <c r="L395" i="2"/>
  <c r="L394" i="2"/>
  <c r="L393" i="2"/>
  <c r="L392" i="2"/>
  <c r="L391" i="2"/>
  <c r="L390" i="2"/>
  <c r="L389" i="2"/>
  <c r="L388" i="2"/>
  <c r="L387" i="2"/>
  <c r="L386" i="2"/>
  <c r="L385" i="2"/>
  <c r="L384" i="2"/>
  <c r="L383" i="2"/>
  <c r="L382" i="2"/>
  <c r="L381" i="2"/>
  <c r="L380" i="2"/>
  <c r="L379" i="2"/>
  <c r="L378" i="2"/>
  <c r="L377" i="2"/>
  <c r="L376" i="2"/>
  <c r="L375" i="2"/>
  <c r="L374" i="2"/>
  <c r="L373" i="2"/>
  <c r="L372" i="2"/>
  <c r="L371" i="2"/>
  <c r="L370" i="2"/>
  <c r="L369" i="2"/>
  <c r="L368" i="2"/>
  <c r="L367" i="2"/>
  <c r="L366" i="2"/>
  <c r="L365" i="2"/>
  <c r="L364" i="2"/>
  <c r="L363" i="2"/>
  <c r="L362" i="2"/>
  <c r="L361" i="2"/>
  <c r="L360" i="2"/>
  <c r="L359" i="2"/>
  <c r="L358" i="2"/>
  <c r="L357" i="2"/>
  <c r="L356" i="2"/>
  <c r="L355" i="2"/>
  <c r="L354" i="2"/>
  <c r="L353" i="2"/>
  <c r="L352" i="2"/>
  <c r="L351" i="2"/>
  <c r="L350" i="2"/>
  <c r="L349" i="2"/>
  <c r="L348" i="2"/>
  <c r="L347" i="2"/>
  <c r="L346" i="2"/>
  <c r="L345" i="2"/>
  <c r="L344" i="2"/>
  <c r="L343" i="2"/>
  <c r="L342" i="2"/>
  <c r="L341" i="2"/>
  <c r="L340" i="2"/>
  <c r="L339" i="2"/>
  <c r="L338" i="2"/>
  <c r="L337" i="2"/>
  <c r="L336" i="2"/>
  <c r="L335" i="2"/>
  <c r="L334" i="2"/>
  <c r="L333" i="2"/>
  <c r="L332" i="2"/>
  <c r="L331" i="2"/>
  <c r="L330" i="2"/>
  <c r="L329" i="2"/>
  <c r="L328" i="2"/>
  <c r="L327" i="2"/>
  <c r="L326" i="2"/>
  <c r="L325" i="2"/>
  <c r="L324" i="2"/>
  <c r="L323" i="2"/>
  <c r="L322" i="2"/>
  <c r="L321" i="2"/>
  <c r="L320" i="2"/>
  <c r="L319" i="2"/>
  <c r="L318" i="2"/>
  <c r="L317" i="2"/>
  <c r="L316" i="2"/>
  <c r="L315" i="2"/>
  <c r="L314" i="2"/>
  <c r="L313" i="2"/>
  <c r="L312" i="2"/>
  <c r="L311" i="2"/>
  <c r="L310" i="2"/>
  <c r="L309" i="2"/>
  <c r="L308" i="2"/>
  <c r="L307" i="2"/>
  <c r="L306" i="2"/>
  <c r="L305" i="2"/>
  <c r="L304" i="2"/>
  <c r="L303" i="2"/>
  <c r="L302" i="2"/>
  <c r="L301" i="2"/>
  <c r="L300" i="2"/>
  <c r="L299" i="2"/>
  <c r="L298" i="2"/>
  <c r="L297" i="2"/>
  <c r="L296" i="2"/>
  <c r="L295" i="2"/>
  <c r="L294" i="2"/>
  <c r="L293" i="2"/>
  <c r="L292" i="2"/>
  <c r="L291" i="2"/>
  <c r="L290" i="2"/>
  <c r="L289" i="2"/>
  <c r="L288" i="2"/>
  <c r="L287" i="2"/>
  <c r="L286" i="2"/>
  <c r="L285" i="2"/>
  <c r="L284" i="2"/>
  <c r="L283" i="2"/>
  <c r="L282" i="2"/>
  <c r="L281" i="2"/>
  <c r="L280" i="2"/>
  <c r="L279" i="2"/>
  <c r="L278" i="2"/>
  <c r="L277" i="2"/>
  <c r="L276" i="2"/>
  <c r="L275" i="2"/>
  <c r="L274" i="2"/>
  <c r="L273" i="2"/>
  <c r="L272" i="2"/>
  <c r="L271" i="2"/>
  <c r="L270" i="2"/>
  <c r="L269" i="2"/>
  <c r="L268" i="2"/>
  <c r="L267" i="2"/>
  <c r="L266" i="2"/>
  <c r="L265" i="2"/>
  <c r="L264" i="2"/>
  <c r="L263" i="2"/>
  <c r="L262" i="2"/>
  <c r="L261" i="2"/>
  <c r="L260" i="2"/>
  <c r="L259" i="2"/>
  <c r="L258" i="2"/>
  <c r="L257" i="2"/>
  <c r="L256" i="2"/>
  <c r="L255" i="2"/>
  <c r="L254" i="2"/>
  <c r="L253" i="2"/>
  <c r="L252" i="2"/>
  <c r="L251" i="2"/>
  <c r="L250" i="2"/>
  <c r="L249" i="2"/>
  <c r="L248" i="2"/>
  <c r="L247" i="2"/>
  <c r="L246" i="2"/>
  <c r="L245" i="2"/>
  <c r="L244" i="2"/>
  <c r="L243" i="2"/>
  <c r="L242" i="2"/>
  <c r="L241" i="2"/>
  <c r="L240" i="2"/>
  <c r="L239" i="2"/>
  <c r="L238" i="2"/>
  <c r="L237" i="2"/>
  <c r="L236" i="2"/>
  <c r="L235" i="2"/>
  <c r="L234" i="2"/>
  <c r="L233" i="2"/>
  <c r="L232" i="2"/>
  <c r="L231" i="2"/>
  <c r="L230" i="2"/>
  <c r="L229" i="2"/>
  <c r="L228" i="2"/>
  <c r="L227" i="2"/>
  <c r="L226" i="2"/>
  <c r="L225" i="2"/>
  <c r="L224" i="2"/>
  <c r="L223" i="2"/>
  <c r="L222" i="2"/>
  <c r="L221" i="2"/>
  <c r="L220" i="2"/>
  <c r="L219" i="2"/>
  <c r="L218" i="2"/>
  <c r="L217" i="2"/>
  <c r="L216" i="2"/>
  <c r="L215" i="2"/>
  <c r="L214" i="2"/>
  <c r="L213" i="2"/>
  <c r="L212" i="2"/>
  <c r="L211" i="2"/>
  <c r="L210" i="2"/>
  <c r="L209" i="2"/>
  <c r="L208" i="2"/>
  <c r="L207" i="2"/>
  <c r="L206" i="2"/>
  <c r="L205" i="2"/>
  <c r="L204" i="2"/>
  <c r="L203" i="2"/>
  <c r="L202" i="2"/>
  <c r="L201" i="2"/>
  <c r="L200" i="2"/>
  <c r="L199" i="2"/>
  <c r="L198" i="2"/>
  <c r="L197" i="2"/>
  <c r="L196" i="2"/>
  <c r="L195" i="2"/>
  <c r="L194" i="2"/>
  <c r="L193" i="2"/>
  <c r="L192" i="2"/>
  <c r="L191" i="2"/>
  <c r="L190" i="2"/>
  <c r="L189" i="2"/>
  <c r="L188" i="2"/>
  <c r="L187" i="2"/>
  <c r="L186" i="2"/>
  <c r="L185" i="2"/>
  <c r="L184" i="2"/>
  <c r="L183" i="2"/>
  <c r="L182" i="2"/>
  <c r="L181" i="2"/>
  <c r="L180" i="2"/>
  <c r="L179" i="2"/>
  <c r="L178" i="2"/>
  <c r="L177" i="2"/>
  <c r="L176" i="2"/>
  <c r="L175" i="2"/>
  <c r="L174" i="2"/>
  <c r="L173" i="2"/>
  <c r="L172" i="2"/>
  <c r="L171" i="2"/>
  <c r="L170" i="2"/>
  <c r="L169" i="2"/>
  <c r="L168" i="2"/>
  <c r="L167" i="2"/>
  <c r="L166" i="2"/>
  <c r="L165" i="2"/>
  <c r="L164" i="2"/>
  <c r="L163" i="2"/>
  <c r="L162" i="2"/>
  <c r="L161" i="2"/>
  <c r="L160" i="2"/>
  <c r="L159" i="2"/>
  <c r="L158" i="2"/>
  <c r="L157" i="2"/>
  <c r="L156" i="2"/>
  <c r="L155" i="2"/>
  <c r="L154" i="2"/>
  <c r="L153" i="2"/>
  <c r="L152" i="2"/>
  <c r="L151" i="2"/>
  <c r="L150" i="2"/>
  <c r="L149" i="2"/>
  <c r="L148" i="2"/>
  <c r="L147" i="2"/>
  <c r="L146" i="2"/>
  <c r="L145" i="2"/>
  <c r="L144" i="2"/>
  <c r="L143" i="2"/>
  <c r="L142" i="2"/>
  <c r="L141" i="2"/>
  <c r="L140" i="2"/>
  <c r="L139" i="2"/>
  <c r="L138" i="2"/>
  <c r="L137" i="2"/>
  <c r="L136" i="2"/>
  <c r="L135" i="2"/>
  <c r="L134" i="2"/>
  <c r="L133" i="2"/>
  <c r="L132" i="2"/>
  <c r="L131" i="2"/>
  <c r="L130" i="2"/>
  <c r="L129" i="2"/>
  <c r="L128" i="2"/>
  <c r="L127" i="2"/>
  <c r="L126" i="2"/>
  <c r="L125" i="2"/>
  <c r="L124" i="2"/>
  <c r="L123" i="2"/>
  <c r="L122" i="2"/>
  <c r="L121" i="2"/>
  <c r="L120" i="2"/>
  <c r="L119" i="2"/>
  <c r="L118" i="2"/>
  <c r="L117" i="2"/>
  <c r="L116" i="2"/>
  <c r="L115" i="2"/>
  <c r="L114" i="2"/>
  <c r="L113" i="2"/>
  <c r="L112" i="2"/>
  <c r="L111" i="2"/>
  <c r="L110" i="2"/>
  <c r="L109" i="2"/>
  <c r="L108" i="2"/>
  <c r="L107" i="2"/>
  <c r="L106" i="2"/>
  <c r="L105" i="2"/>
  <c r="L104" i="2"/>
  <c r="L103" i="2"/>
  <c r="L102" i="2"/>
  <c r="L101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L5" i="2"/>
  <c r="L1636" i="5"/>
  <c r="L1635" i="5"/>
  <c r="L1634" i="5"/>
  <c r="L1633" i="5"/>
  <c r="L1632" i="5"/>
  <c r="L1631" i="5"/>
  <c r="L1630" i="5"/>
  <c r="L1629" i="5"/>
  <c r="L1628" i="5"/>
  <c r="L1627" i="5"/>
  <c r="L1626" i="5"/>
  <c r="L1625" i="5"/>
  <c r="L1624" i="5"/>
  <c r="L1623" i="5"/>
  <c r="L1622" i="5"/>
  <c r="L1621" i="5"/>
  <c r="L1620" i="5"/>
  <c r="L1619" i="5"/>
  <c r="L1618" i="5"/>
  <c r="L1617" i="5"/>
  <c r="L1616" i="5"/>
  <c r="L1615" i="5"/>
  <c r="L1614" i="5"/>
  <c r="L1613" i="5"/>
  <c r="L1612" i="5"/>
  <c r="L1611" i="5"/>
  <c r="L1610" i="5"/>
  <c r="L1609" i="5"/>
  <c r="L1608" i="5"/>
  <c r="L1607" i="5"/>
  <c r="L1606" i="5"/>
  <c r="L1605" i="5"/>
  <c r="L1604" i="5"/>
  <c r="L1603" i="5"/>
  <c r="L1602" i="5"/>
  <c r="L1601" i="5"/>
  <c r="L1600" i="5"/>
  <c r="L1599" i="5"/>
  <c r="L1598" i="5"/>
  <c r="L1597" i="5"/>
  <c r="L1596" i="5"/>
  <c r="L1595" i="5"/>
  <c r="L1594" i="5"/>
  <c r="L1593" i="5"/>
  <c r="L1592" i="5"/>
  <c r="L1591" i="5"/>
  <c r="L1590" i="5"/>
  <c r="L1589" i="5"/>
  <c r="L1588" i="5"/>
  <c r="L1587" i="5"/>
  <c r="L1586" i="5"/>
  <c r="L1585" i="5"/>
  <c r="L1584" i="5"/>
  <c r="L1583" i="5"/>
  <c r="L1582" i="5"/>
  <c r="L1581" i="5"/>
  <c r="L1580" i="5"/>
  <c r="L1579" i="5"/>
  <c r="L1578" i="5"/>
  <c r="L1577" i="5"/>
  <c r="L1576" i="5"/>
  <c r="L1575" i="5"/>
  <c r="L1574" i="5"/>
  <c r="L1573" i="5"/>
  <c r="L1572" i="5"/>
  <c r="L1571" i="5"/>
  <c r="L1570" i="5"/>
  <c r="L1569" i="5"/>
  <c r="L1568" i="5"/>
  <c r="L1567" i="5"/>
  <c r="L1566" i="5"/>
  <c r="L1565" i="5"/>
  <c r="L1564" i="5"/>
  <c r="L1563" i="5"/>
  <c r="L1562" i="5"/>
  <c r="L1561" i="5"/>
  <c r="L1560" i="5"/>
  <c r="L1559" i="5"/>
  <c r="L1558" i="5"/>
  <c r="L1557" i="5"/>
  <c r="L1556" i="5"/>
  <c r="L1555" i="5"/>
  <c r="L1554" i="5"/>
  <c r="L1553" i="5"/>
  <c r="L1552" i="5"/>
  <c r="L1551" i="5"/>
  <c r="L1550" i="5"/>
  <c r="L1549" i="5"/>
  <c r="L1548" i="5"/>
  <c r="L1547" i="5"/>
  <c r="L1546" i="5"/>
  <c r="L1545" i="5"/>
  <c r="L1544" i="5"/>
  <c r="L1543" i="5"/>
  <c r="L1542" i="5"/>
  <c r="L1541" i="5"/>
  <c r="L1540" i="5"/>
  <c r="L1539" i="5"/>
  <c r="L1538" i="5"/>
  <c r="L1537" i="5"/>
  <c r="L1536" i="5"/>
  <c r="L1535" i="5"/>
  <c r="L1534" i="5"/>
  <c r="L1533" i="5"/>
  <c r="L1532" i="5"/>
  <c r="L1531" i="5"/>
  <c r="L1530" i="5"/>
  <c r="L1529" i="5"/>
  <c r="L1528" i="5"/>
  <c r="L1527" i="5"/>
  <c r="L1526" i="5"/>
  <c r="L1525" i="5"/>
  <c r="L1524" i="5"/>
  <c r="L1523" i="5"/>
  <c r="L1522" i="5"/>
  <c r="L1521" i="5"/>
  <c r="L1520" i="5"/>
  <c r="L1519" i="5"/>
  <c r="L1518" i="5"/>
  <c r="L1517" i="5"/>
  <c r="L1516" i="5"/>
  <c r="L1515" i="5"/>
  <c r="L1514" i="5"/>
  <c r="L1513" i="5"/>
  <c r="L1512" i="5"/>
  <c r="L1511" i="5"/>
  <c r="L1510" i="5"/>
  <c r="L1509" i="5"/>
  <c r="L1508" i="5"/>
  <c r="L1507" i="5"/>
  <c r="L1506" i="5"/>
  <c r="L1505" i="5"/>
  <c r="L1504" i="5"/>
  <c r="L1503" i="5"/>
  <c r="L1502" i="5"/>
  <c r="L1501" i="5"/>
  <c r="L1500" i="5"/>
  <c r="L1499" i="5"/>
  <c r="L1498" i="5"/>
  <c r="L1497" i="5"/>
  <c r="L1496" i="5"/>
  <c r="L1495" i="5"/>
  <c r="L1494" i="5"/>
  <c r="L1493" i="5"/>
  <c r="L1492" i="5"/>
  <c r="L1491" i="5"/>
  <c r="L1490" i="5"/>
  <c r="L1489" i="5"/>
  <c r="L1488" i="5"/>
  <c r="L1487" i="5"/>
  <c r="L1486" i="5"/>
  <c r="L1485" i="5"/>
  <c r="L1484" i="5"/>
  <c r="L1483" i="5"/>
  <c r="L1482" i="5"/>
  <c r="L1481" i="5"/>
  <c r="L1480" i="5"/>
  <c r="L1479" i="5"/>
  <c r="L1478" i="5"/>
  <c r="L1477" i="5"/>
  <c r="L1476" i="5"/>
  <c r="L1475" i="5"/>
  <c r="L1474" i="5"/>
  <c r="L1473" i="5"/>
  <c r="L1472" i="5"/>
  <c r="L1471" i="5"/>
  <c r="L1470" i="5"/>
  <c r="L1469" i="5"/>
  <c r="L1468" i="5"/>
  <c r="L1467" i="5"/>
  <c r="L1466" i="5"/>
  <c r="L1465" i="5"/>
  <c r="L1464" i="5"/>
  <c r="L1463" i="5"/>
  <c r="L1462" i="5"/>
  <c r="L1461" i="5"/>
  <c r="L1460" i="5"/>
  <c r="L1459" i="5"/>
  <c r="L1458" i="5"/>
  <c r="L1457" i="5"/>
  <c r="L1456" i="5"/>
  <c r="L1455" i="5"/>
  <c r="L1454" i="5"/>
  <c r="L1453" i="5"/>
  <c r="L1452" i="5"/>
  <c r="L1451" i="5"/>
  <c r="L1450" i="5"/>
  <c r="L1449" i="5"/>
  <c r="L1448" i="5"/>
  <c r="L1447" i="5"/>
  <c r="L1446" i="5"/>
  <c r="L1445" i="5"/>
  <c r="L1444" i="5"/>
  <c r="L1443" i="5"/>
  <c r="L1442" i="5"/>
  <c r="L1441" i="5"/>
  <c r="L1440" i="5"/>
  <c r="L1439" i="5"/>
  <c r="L1438" i="5"/>
  <c r="L1437" i="5"/>
  <c r="L1436" i="5"/>
  <c r="L1435" i="5"/>
  <c r="L1434" i="5"/>
  <c r="L1433" i="5"/>
  <c r="L1432" i="5"/>
  <c r="L1431" i="5"/>
  <c r="L1430" i="5"/>
  <c r="L1429" i="5"/>
  <c r="L1428" i="5"/>
  <c r="L1427" i="5"/>
  <c r="L1426" i="5"/>
  <c r="L1425" i="5"/>
  <c r="L1424" i="5"/>
  <c r="L1423" i="5"/>
  <c r="L1422" i="5"/>
  <c r="L1421" i="5"/>
  <c r="L1420" i="5"/>
  <c r="L1419" i="5"/>
  <c r="L1418" i="5"/>
  <c r="L1417" i="5"/>
  <c r="L1416" i="5"/>
  <c r="L1415" i="5"/>
  <c r="L1414" i="5"/>
  <c r="L1413" i="5"/>
  <c r="L1412" i="5"/>
  <c r="L1411" i="5"/>
  <c r="L1410" i="5"/>
  <c r="L1409" i="5"/>
  <c r="L1408" i="5"/>
  <c r="L1407" i="5"/>
  <c r="L1406" i="5"/>
  <c r="L1405" i="5"/>
  <c r="L1404" i="5"/>
  <c r="L1403" i="5"/>
  <c r="L1402" i="5"/>
  <c r="L1401" i="5"/>
  <c r="L1400" i="5"/>
  <c r="L1399" i="5"/>
  <c r="L1398" i="5"/>
  <c r="L1397" i="5"/>
  <c r="L1396" i="5"/>
  <c r="L1395" i="5"/>
  <c r="L1394" i="5"/>
  <c r="L1393" i="5"/>
  <c r="L1392" i="5"/>
  <c r="L1391" i="5"/>
  <c r="L1390" i="5"/>
  <c r="L1389" i="5"/>
  <c r="L1388" i="5"/>
  <c r="L1387" i="5"/>
  <c r="L1386" i="5"/>
  <c r="L1385" i="5"/>
  <c r="L1384" i="5"/>
  <c r="L1383" i="5"/>
  <c r="L1382" i="5"/>
  <c r="L1381" i="5"/>
  <c r="L1380" i="5"/>
  <c r="L1379" i="5"/>
  <c r="L1378" i="5"/>
  <c r="L1377" i="5"/>
  <c r="L1376" i="5"/>
  <c r="L1375" i="5"/>
  <c r="L1374" i="5"/>
  <c r="L1373" i="5"/>
  <c r="L1372" i="5"/>
  <c r="L1371" i="5"/>
  <c r="L1370" i="5"/>
  <c r="L1369" i="5"/>
  <c r="L1368" i="5"/>
  <c r="L1367" i="5"/>
  <c r="L1366" i="5"/>
  <c r="L1365" i="5"/>
  <c r="L1364" i="5"/>
  <c r="L1363" i="5"/>
  <c r="L1362" i="5"/>
  <c r="L1361" i="5"/>
  <c r="L1360" i="5"/>
  <c r="L1359" i="5"/>
  <c r="L1358" i="5"/>
  <c r="L1357" i="5"/>
  <c r="L1356" i="5"/>
  <c r="L1355" i="5"/>
  <c r="L1354" i="5"/>
  <c r="L1353" i="5"/>
  <c r="L1352" i="5"/>
  <c r="L1351" i="5"/>
  <c r="L1350" i="5"/>
  <c r="L1349" i="5"/>
  <c r="L1348" i="5"/>
  <c r="L1347" i="5"/>
  <c r="L1346" i="5"/>
  <c r="L1345" i="5"/>
  <c r="L1344" i="5"/>
  <c r="L1343" i="5"/>
  <c r="L1342" i="5"/>
  <c r="L1341" i="5"/>
  <c r="L1340" i="5"/>
  <c r="L1339" i="5"/>
  <c r="L1338" i="5"/>
  <c r="L1337" i="5"/>
  <c r="L1336" i="5"/>
  <c r="L1335" i="5"/>
  <c r="L1334" i="5"/>
  <c r="L1333" i="5"/>
  <c r="L1332" i="5"/>
  <c r="L1331" i="5"/>
  <c r="L1330" i="5"/>
  <c r="L1329" i="5"/>
  <c r="L1328" i="5"/>
  <c r="L1327" i="5"/>
  <c r="L1326" i="5"/>
  <c r="L1325" i="5"/>
  <c r="L1324" i="5"/>
  <c r="L1323" i="5"/>
  <c r="L1322" i="5"/>
  <c r="L1321" i="5"/>
  <c r="L1320" i="5"/>
  <c r="L1319" i="5"/>
  <c r="L1318" i="5"/>
  <c r="L1317" i="5"/>
  <c r="L1316" i="5"/>
  <c r="L1315" i="5"/>
  <c r="L1314" i="5"/>
  <c r="L1313" i="5"/>
  <c r="L1312" i="5"/>
  <c r="L1311" i="5"/>
  <c r="L1310" i="5"/>
  <c r="L1309" i="5"/>
  <c r="L1308" i="5"/>
  <c r="L1307" i="5"/>
  <c r="L1306" i="5"/>
  <c r="L1305" i="5"/>
  <c r="L1304" i="5"/>
  <c r="L1303" i="5"/>
  <c r="L1302" i="5"/>
  <c r="L1301" i="5"/>
  <c r="L1300" i="5"/>
  <c r="L1299" i="5"/>
  <c r="L1298" i="5"/>
  <c r="L1297" i="5"/>
  <c r="L1296" i="5"/>
  <c r="L1295" i="5"/>
  <c r="L1294" i="5"/>
  <c r="L1293" i="5"/>
  <c r="L1292" i="5"/>
  <c r="L1291" i="5"/>
  <c r="L1290" i="5"/>
  <c r="L1289" i="5"/>
  <c r="L1288" i="5"/>
  <c r="L1287" i="5"/>
  <c r="L1286" i="5"/>
  <c r="L1285" i="5"/>
  <c r="L1284" i="5"/>
  <c r="L1283" i="5"/>
  <c r="L1282" i="5"/>
  <c r="L1281" i="5"/>
  <c r="L1280" i="5"/>
  <c r="L1279" i="5"/>
  <c r="L1278" i="5"/>
  <c r="L1277" i="5"/>
  <c r="L1276" i="5"/>
  <c r="L1275" i="5"/>
  <c r="L1274" i="5"/>
  <c r="L1273" i="5"/>
  <c r="L1272" i="5"/>
  <c r="L1271" i="5"/>
  <c r="L1270" i="5"/>
  <c r="L1269" i="5"/>
  <c r="L1268" i="5"/>
  <c r="L1267" i="5"/>
  <c r="L1266" i="5"/>
  <c r="L1265" i="5"/>
  <c r="L1264" i="5"/>
  <c r="L1263" i="5"/>
  <c r="L1262" i="5"/>
  <c r="L1261" i="5"/>
  <c r="L1260" i="5"/>
  <c r="L1259" i="5"/>
  <c r="L1258" i="5"/>
  <c r="L1257" i="5"/>
  <c r="L1256" i="5"/>
  <c r="L1255" i="5"/>
  <c r="L1254" i="5"/>
  <c r="L1253" i="5"/>
  <c r="L1252" i="5"/>
  <c r="L1251" i="5"/>
  <c r="L1250" i="5"/>
  <c r="L1249" i="5"/>
  <c r="L1248" i="5"/>
  <c r="L1247" i="5"/>
  <c r="L1246" i="5"/>
  <c r="L1245" i="5"/>
  <c r="L1244" i="5"/>
  <c r="L1243" i="5"/>
  <c r="L1242" i="5"/>
  <c r="L1241" i="5"/>
  <c r="L1240" i="5"/>
  <c r="L1239" i="5"/>
  <c r="L1238" i="5"/>
  <c r="L1237" i="5"/>
  <c r="L1236" i="5"/>
  <c r="L1235" i="5"/>
  <c r="L1234" i="5"/>
  <c r="L1233" i="5"/>
  <c r="L1232" i="5"/>
  <c r="L1231" i="5"/>
  <c r="L1230" i="5"/>
  <c r="L1229" i="5"/>
  <c r="L1228" i="5"/>
  <c r="L1227" i="5"/>
  <c r="L1226" i="5"/>
  <c r="L1225" i="5"/>
  <c r="L1224" i="5"/>
  <c r="L1223" i="5"/>
  <c r="L1222" i="5"/>
  <c r="L1221" i="5"/>
  <c r="L1220" i="5"/>
  <c r="L1219" i="5"/>
  <c r="L1218" i="5"/>
  <c r="L1217" i="5"/>
  <c r="L1216" i="5"/>
  <c r="L1215" i="5"/>
  <c r="L1214" i="5"/>
  <c r="L1213" i="5"/>
  <c r="L1212" i="5"/>
  <c r="L1211" i="5"/>
  <c r="L1210" i="5"/>
  <c r="L1209" i="5"/>
  <c r="L1208" i="5"/>
  <c r="L1207" i="5"/>
  <c r="L1206" i="5"/>
  <c r="L1205" i="5"/>
  <c r="L1204" i="5"/>
  <c r="L1203" i="5"/>
  <c r="L1202" i="5"/>
  <c r="L1201" i="5"/>
  <c r="L1200" i="5"/>
  <c r="L1199" i="5"/>
  <c r="L1198" i="5"/>
  <c r="L1197" i="5"/>
  <c r="L1196" i="5"/>
  <c r="L1195" i="5"/>
  <c r="L1194" i="5"/>
  <c r="L1193" i="5"/>
  <c r="L1192" i="5"/>
  <c r="L1191" i="5"/>
  <c r="L1190" i="5"/>
  <c r="L1189" i="5"/>
  <c r="L1188" i="5"/>
  <c r="L1187" i="5"/>
  <c r="L1186" i="5"/>
  <c r="L1185" i="5"/>
  <c r="L1184" i="5"/>
  <c r="L1183" i="5"/>
  <c r="L1182" i="5"/>
  <c r="L1181" i="5"/>
  <c r="L1180" i="5"/>
  <c r="L1179" i="5"/>
  <c r="L1178" i="5"/>
  <c r="L1177" i="5"/>
  <c r="L1176" i="5"/>
  <c r="L1175" i="5"/>
  <c r="L1174" i="5"/>
  <c r="L1173" i="5"/>
  <c r="L1172" i="5"/>
  <c r="L1171" i="5"/>
  <c r="L1170" i="5"/>
  <c r="L1169" i="5"/>
  <c r="L1168" i="5"/>
  <c r="L1167" i="5"/>
  <c r="L1166" i="5"/>
  <c r="L1165" i="5"/>
  <c r="L1164" i="5"/>
  <c r="L1163" i="5"/>
  <c r="L1162" i="5"/>
  <c r="L1161" i="5"/>
  <c r="L1160" i="5"/>
  <c r="L1159" i="5"/>
  <c r="L1158" i="5"/>
  <c r="L1157" i="5"/>
  <c r="L1156" i="5"/>
  <c r="L1155" i="5"/>
  <c r="L1154" i="5"/>
  <c r="L1153" i="5"/>
  <c r="L1152" i="5"/>
  <c r="L1151" i="5"/>
  <c r="L1150" i="5"/>
  <c r="L1149" i="5"/>
  <c r="L1148" i="5"/>
  <c r="L1147" i="5"/>
  <c r="L1146" i="5"/>
  <c r="L1145" i="5"/>
  <c r="L1144" i="5"/>
  <c r="L1143" i="5"/>
  <c r="L1142" i="5"/>
  <c r="L1141" i="5"/>
  <c r="L1140" i="5"/>
  <c r="L1139" i="5"/>
  <c r="L1138" i="5"/>
  <c r="L1137" i="5"/>
  <c r="L1136" i="5"/>
  <c r="L1135" i="5"/>
  <c r="L1134" i="5"/>
  <c r="L1133" i="5"/>
  <c r="L1132" i="5"/>
  <c r="L1131" i="5"/>
  <c r="L1130" i="5"/>
  <c r="L1129" i="5"/>
  <c r="L1128" i="5"/>
  <c r="L1127" i="5"/>
  <c r="L1126" i="5"/>
  <c r="L1125" i="5"/>
  <c r="L1124" i="5"/>
  <c r="L1123" i="5"/>
  <c r="L1122" i="5"/>
  <c r="L1121" i="5"/>
  <c r="L1120" i="5"/>
  <c r="L1119" i="5"/>
  <c r="L1118" i="5"/>
  <c r="L1117" i="5"/>
  <c r="L1116" i="5"/>
  <c r="L1115" i="5"/>
  <c r="L1114" i="5"/>
  <c r="L1113" i="5"/>
  <c r="L1112" i="5"/>
  <c r="L1111" i="5"/>
  <c r="L1110" i="5"/>
  <c r="L1606" i="6"/>
  <c r="L1605" i="6"/>
  <c r="L1604" i="6"/>
  <c r="L1603" i="6"/>
  <c r="L1602" i="6"/>
  <c r="L1601" i="6"/>
  <c r="L1600" i="6"/>
  <c r="L1599" i="6"/>
  <c r="L1598" i="6"/>
  <c r="L1597" i="6"/>
  <c r="L1596" i="6"/>
  <c r="L1595" i="6"/>
  <c r="L1594" i="6"/>
  <c r="L1593" i="6"/>
  <c r="L1592" i="6"/>
  <c r="L1591" i="6"/>
  <c r="L1590" i="6"/>
  <c r="L1589" i="6"/>
  <c r="L1588" i="6"/>
  <c r="L1587" i="6"/>
  <c r="L1586" i="6"/>
  <c r="L1585" i="6"/>
  <c r="L1584" i="6"/>
  <c r="L1583" i="6"/>
  <c r="L1582" i="6"/>
  <c r="L1581" i="6"/>
  <c r="L1580" i="6"/>
  <c r="L1579" i="6"/>
  <c r="L1578" i="6"/>
  <c r="L1577" i="6"/>
  <c r="L1576" i="6"/>
  <c r="L1575" i="6"/>
  <c r="L1574" i="6"/>
  <c r="L1573" i="6"/>
  <c r="L1572" i="6"/>
  <c r="L1571" i="6"/>
  <c r="L1570" i="6"/>
  <c r="L1569" i="6"/>
  <c r="L1568" i="6"/>
  <c r="L1567" i="6"/>
  <c r="L1566" i="6"/>
  <c r="L1565" i="6"/>
  <c r="L1564" i="6"/>
  <c r="L1563" i="6"/>
  <c r="L1562" i="6"/>
  <c r="L1561" i="6"/>
  <c r="L1560" i="6"/>
  <c r="L1559" i="6"/>
  <c r="L1558" i="6"/>
  <c r="L1557" i="6"/>
  <c r="L1556" i="6"/>
  <c r="L1555" i="6"/>
  <c r="L1554" i="6"/>
  <c r="L1553" i="6"/>
  <c r="L1552" i="6"/>
  <c r="L1551" i="6"/>
  <c r="L1550" i="6"/>
  <c r="L1549" i="6"/>
  <c r="L1548" i="6"/>
  <c r="L1547" i="6"/>
  <c r="L1546" i="6"/>
  <c r="L1545" i="6"/>
  <c r="L1544" i="6"/>
  <c r="L1543" i="6"/>
  <c r="L1542" i="6"/>
  <c r="L1541" i="6"/>
  <c r="L1540" i="6"/>
  <c r="L1539" i="6"/>
  <c r="L1538" i="6"/>
  <c r="L1537" i="6"/>
  <c r="L1536" i="6"/>
  <c r="L1535" i="6"/>
  <c r="L1534" i="6"/>
  <c r="L1533" i="6"/>
  <c r="L1532" i="6"/>
  <c r="L1531" i="6"/>
  <c r="L1530" i="6"/>
  <c r="L1529" i="6"/>
  <c r="L1528" i="6"/>
  <c r="L1527" i="6"/>
  <c r="L1526" i="6"/>
  <c r="L1525" i="6"/>
  <c r="L1524" i="6"/>
  <c r="L1523" i="6"/>
  <c r="L1522" i="6"/>
  <c r="L1521" i="6"/>
  <c r="L1520" i="6"/>
  <c r="L1519" i="6"/>
  <c r="L1518" i="6"/>
  <c r="L1517" i="6"/>
  <c r="L1516" i="6"/>
  <c r="L1515" i="6"/>
  <c r="L1514" i="6"/>
  <c r="L1513" i="6"/>
  <c r="L1512" i="6"/>
  <c r="L1511" i="6"/>
  <c r="L1510" i="6"/>
  <c r="L1509" i="6"/>
  <c r="L1508" i="6"/>
  <c r="L1507" i="6"/>
  <c r="L1506" i="6"/>
  <c r="L1505" i="6"/>
  <c r="L1504" i="6"/>
  <c r="L1503" i="6"/>
  <c r="L1502" i="6"/>
  <c r="L1501" i="6"/>
  <c r="L1500" i="6"/>
  <c r="L1499" i="6"/>
  <c r="L1498" i="6"/>
  <c r="L1497" i="6"/>
  <c r="L1496" i="6"/>
  <c r="L1495" i="6"/>
  <c r="L1494" i="6"/>
  <c r="L1493" i="6"/>
  <c r="L1492" i="6"/>
  <c r="L1491" i="6"/>
  <c r="L1490" i="6"/>
  <c r="L1489" i="6"/>
  <c r="L1488" i="6"/>
  <c r="L1487" i="6"/>
  <c r="L1486" i="6"/>
  <c r="L1485" i="6"/>
  <c r="L1484" i="6"/>
  <c r="L1483" i="6"/>
  <c r="L1482" i="6"/>
  <c r="L1481" i="6"/>
  <c r="L1480" i="6"/>
  <c r="L1479" i="6"/>
  <c r="L1478" i="6"/>
  <c r="L1477" i="6"/>
  <c r="L1476" i="6"/>
  <c r="L1475" i="6"/>
  <c r="L1474" i="6"/>
  <c r="L1473" i="6"/>
  <c r="L1472" i="6"/>
  <c r="L1471" i="6"/>
  <c r="L1470" i="6"/>
  <c r="L1469" i="6"/>
  <c r="L1468" i="6"/>
  <c r="L1467" i="6"/>
  <c r="L1466" i="6"/>
  <c r="L1465" i="6"/>
  <c r="L1464" i="6"/>
  <c r="L1463" i="6"/>
  <c r="L1462" i="6"/>
  <c r="L1461" i="6"/>
  <c r="L1460" i="6"/>
  <c r="L1459" i="6"/>
  <c r="L1458" i="6"/>
  <c r="L1457" i="6"/>
  <c r="L1456" i="6"/>
  <c r="L1455" i="6"/>
  <c r="L1454" i="6"/>
  <c r="L1453" i="6"/>
  <c r="L1452" i="6"/>
  <c r="L1451" i="6"/>
  <c r="L1450" i="6"/>
  <c r="L1449" i="6"/>
  <c r="L1448" i="6"/>
  <c r="L1447" i="6"/>
  <c r="L1446" i="6"/>
  <c r="L1445" i="6"/>
  <c r="L1444" i="6"/>
  <c r="L1443" i="6"/>
  <c r="L1442" i="6"/>
  <c r="L1441" i="6"/>
  <c r="L1440" i="6"/>
  <c r="L1439" i="6"/>
  <c r="L1438" i="6"/>
  <c r="L1437" i="6"/>
  <c r="L1436" i="6"/>
  <c r="L1435" i="6"/>
  <c r="L1434" i="6"/>
  <c r="L1433" i="6"/>
  <c r="L1432" i="6"/>
  <c r="L1431" i="6"/>
  <c r="L1430" i="6"/>
  <c r="L1429" i="6"/>
  <c r="L1428" i="6"/>
  <c r="L1427" i="6"/>
  <c r="L1426" i="6"/>
  <c r="L1425" i="6"/>
  <c r="L1424" i="6"/>
  <c r="L1423" i="6"/>
  <c r="L1422" i="6"/>
  <c r="L1421" i="6"/>
  <c r="L1420" i="6"/>
  <c r="L1419" i="6"/>
  <c r="L1418" i="6"/>
  <c r="L1417" i="6"/>
  <c r="L1416" i="6"/>
  <c r="L1415" i="6"/>
  <c r="L1414" i="6"/>
  <c r="L1413" i="6"/>
  <c r="L1412" i="6"/>
  <c r="L1411" i="6"/>
  <c r="L1410" i="6"/>
  <c r="L1409" i="6"/>
  <c r="L1408" i="6"/>
  <c r="L1407" i="6"/>
  <c r="L1406" i="6"/>
  <c r="L1405" i="6"/>
  <c r="L1404" i="6"/>
  <c r="L1403" i="6"/>
  <c r="L1402" i="6"/>
  <c r="L1401" i="6"/>
  <c r="L1400" i="6"/>
  <c r="L1399" i="6"/>
  <c r="L1398" i="6"/>
  <c r="L1397" i="6"/>
  <c r="L1396" i="6"/>
  <c r="L1395" i="6"/>
  <c r="L1394" i="6"/>
  <c r="L1393" i="6"/>
  <c r="L1392" i="6"/>
  <c r="L1391" i="6"/>
  <c r="L1390" i="6"/>
  <c r="L1389" i="6"/>
  <c r="L1388" i="6"/>
  <c r="L1387" i="6"/>
  <c r="L1386" i="6"/>
  <c r="L1385" i="6"/>
  <c r="L1384" i="6"/>
  <c r="L1383" i="6"/>
  <c r="L1382" i="6"/>
  <c r="L1381" i="6"/>
  <c r="L1380" i="6"/>
  <c r="L1379" i="6"/>
  <c r="L1378" i="6"/>
  <c r="L1377" i="6"/>
  <c r="L1376" i="6"/>
  <c r="L1375" i="6"/>
  <c r="L1374" i="6"/>
  <c r="L1373" i="6"/>
  <c r="L1372" i="6"/>
  <c r="L1371" i="6"/>
  <c r="L1370" i="6"/>
  <c r="L1369" i="6"/>
  <c r="L1368" i="6"/>
  <c r="L1367" i="6"/>
  <c r="L1366" i="6"/>
  <c r="L1365" i="6"/>
  <c r="L1364" i="6"/>
  <c r="L1363" i="6"/>
  <c r="L1362" i="6"/>
  <c r="L1361" i="6"/>
  <c r="L1360" i="6"/>
  <c r="L1359" i="6"/>
  <c r="L1358" i="6"/>
  <c r="L1357" i="6"/>
  <c r="L1356" i="6"/>
  <c r="L1355" i="6"/>
  <c r="L1354" i="6"/>
  <c r="L1353" i="6"/>
  <c r="L1352" i="6"/>
  <c r="L1351" i="6"/>
  <c r="L1350" i="6"/>
  <c r="L1349" i="6"/>
  <c r="L1348" i="6"/>
  <c r="L1347" i="6"/>
  <c r="L1346" i="6"/>
  <c r="L1345" i="6"/>
  <c r="L1344" i="6"/>
  <c r="L1343" i="6"/>
  <c r="L1342" i="6"/>
  <c r="L1341" i="6"/>
  <c r="L1340" i="6"/>
  <c r="L1339" i="6"/>
  <c r="L1338" i="6"/>
  <c r="L1337" i="6"/>
  <c r="L1336" i="6"/>
  <c r="L1335" i="6"/>
  <c r="L1334" i="6"/>
  <c r="L1333" i="6"/>
  <c r="L1332" i="6"/>
  <c r="L1331" i="6"/>
  <c r="L1330" i="6"/>
  <c r="L1329" i="6"/>
  <c r="L1328" i="6"/>
  <c r="L1327" i="6"/>
  <c r="L1326" i="6"/>
  <c r="L1325" i="6"/>
  <c r="L1324" i="6"/>
  <c r="L1323" i="6"/>
  <c r="L1322" i="6"/>
  <c r="L1321" i="6"/>
  <c r="L1320" i="6"/>
  <c r="L1319" i="6"/>
  <c r="L1318" i="6"/>
  <c r="L1317" i="6"/>
  <c r="L1316" i="6"/>
  <c r="L1315" i="6"/>
  <c r="L1314" i="6"/>
  <c r="L1313" i="6"/>
  <c r="L1312" i="6"/>
  <c r="L1311" i="6"/>
  <c r="L1310" i="6"/>
  <c r="L1309" i="6"/>
  <c r="L1308" i="6"/>
  <c r="L1307" i="6"/>
  <c r="L1306" i="6"/>
  <c r="L1305" i="6"/>
  <c r="L1304" i="6"/>
  <c r="L1303" i="6"/>
  <c r="L1302" i="6"/>
  <c r="L1301" i="6"/>
  <c r="L1300" i="6"/>
  <c r="L1299" i="6"/>
  <c r="L1298" i="6"/>
  <c r="L1297" i="6"/>
  <c r="L1296" i="6"/>
  <c r="L1295" i="6"/>
  <c r="L1294" i="6"/>
  <c r="L1293" i="6"/>
  <c r="L1292" i="6"/>
  <c r="L1291" i="6"/>
  <c r="L1290" i="6"/>
  <c r="L1289" i="6"/>
  <c r="L1288" i="6"/>
  <c r="L1287" i="6"/>
  <c r="L1286" i="6"/>
  <c r="L1285" i="6"/>
  <c r="L1284" i="6"/>
  <c r="L1283" i="6"/>
  <c r="L1282" i="6"/>
  <c r="L1281" i="6"/>
  <c r="L1280" i="6"/>
  <c r="L1279" i="6"/>
  <c r="L1278" i="6"/>
  <c r="L1277" i="6"/>
  <c r="L1276" i="6"/>
  <c r="L1275" i="6"/>
  <c r="L1274" i="6"/>
  <c r="L1273" i="6"/>
  <c r="L1272" i="6"/>
  <c r="L1271" i="6"/>
  <c r="L1270" i="6"/>
  <c r="L1269" i="6"/>
  <c r="L1268" i="6"/>
  <c r="L1267" i="6"/>
  <c r="L1266" i="6"/>
  <c r="L1265" i="6"/>
  <c r="L1264" i="6"/>
  <c r="L1263" i="6"/>
  <c r="L1262" i="6"/>
  <c r="L1261" i="6"/>
  <c r="L1260" i="6"/>
  <c r="L1259" i="6"/>
  <c r="L1258" i="6"/>
  <c r="L1257" i="6"/>
  <c r="L1256" i="6"/>
  <c r="L1255" i="6"/>
  <c r="L1254" i="6"/>
  <c r="L1253" i="6"/>
  <c r="L1252" i="6"/>
  <c r="L1251" i="6"/>
  <c r="L1250" i="6"/>
  <c r="L1249" i="6"/>
  <c r="L1248" i="6"/>
  <c r="L1247" i="6"/>
  <c r="L1246" i="6"/>
  <c r="L1245" i="6"/>
  <c r="L1244" i="6"/>
  <c r="L1243" i="6"/>
  <c r="L1242" i="6"/>
  <c r="L1241" i="6"/>
  <c r="L1240" i="6"/>
  <c r="L1239" i="6"/>
  <c r="L1238" i="6"/>
  <c r="L1237" i="6"/>
  <c r="L1236" i="6"/>
  <c r="L1235" i="6"/>
  <c r="L1234" i="6"/>
  <c r="L1233" i="6"/>
  <c r="L1232" i="6"/>
  <c r="L1231" i="6"/>
  <c r="L1230" i="6"/>
  <c r="L1229" i="6"/>
  <c r="L1228" i="6"/>
  <c r="L1227" i="6"/>
  <c r="L1226" i="6"/>
  <c r="L1225" i="6"/>
  <c r="L1224" i="6"/>
  <c r="L1223" i="6"/>
  <c r="L1222" i="6"/>
  <c r="L1221" i="6"/>
  <c r="L1220" i="6"/>
  <c r="L1219" i="6"/>
  <c r="L1218" i="6"/>
  <c r="L1217" i="6"/>
  <c r="L1216" i="6"/>
  <c r="L1215" i="6"/>
  <c r="L1214" i="6"/>
  <c r="L1213" i="6"/>
  <c r="L1212" i="6"/>
  <c r="L1211" i="6"/>
  <c r="L1210" i="6"/>
  <c r="L1209" i="6"/>
  <c r="L1208" i="6"/>
  <c r="L1207" i="6"/>
  <c r="L1206" i="6"/>
  <c r="L1205" i="6"/>
  <c r="L1204" i="6"/>
  <c r="L1203" i="6"/>
  <c r="L1202" i="6"/>
  <c r="L1201" i="6"/>
  <c r="L1200" i="6"/>
  <c r="L1199" i="6"/>
  <c r="L1198" i="6"/>
  <c r="L1197" i="6"/>
  <c r="L1196" i="6"/>
  <c r="L1195" i="6"/>
  <c r="L1194" i="6"/>
  <c r="L1193" i="6"/>
  <c r="L1192" i="6"/>
  <c r="L1191" i="6"/>
  <c r="L1190" i="6"/>
  <c r="L1189" i="6"/>
  <c r="L1188" i="6"/>
  <c r="L1187" i="6"/>
  <c r="L1186" i="6"/>
  <c r="L1185" i="6"/>
  <c r="L1184" i="6"/>
  <c r="L1183" i="6"/>
  <c r="L1182" i="6"/>
  <c r="L1181" i="6"/>
  <c r="L1180" i="6"/>
  <c r="L1179" i="6"/>
  <c r="L1178" i="6"/>
  <c r="L1177" i="6"/>
  <c r="L1176" i="6"/>
  <c r="L1175" i="6"/>
  <c r="L1174" i="6"/>
  <c r="L1173" i="6"/>
  <c r="L1172" i="6"/>
  <c r="L1171" i="6"/>
  <c r="L1170" i="6"/>
  <c r="L1169" i="6"/>
  <c r="L1168" i="6"/>
  <c r="L1167" i="6"/>
  <c r="L1166" i="6"/>
  <c r="L1165" i="6"/>
  <c r="L1164" i="6"/>
  <c r="L1163" i="6"/>
  <c r="L1162" i="6"/>
  <c r="L1161" i="6"/>
  <c r="L1160" i="6"/>
  <c r="L1159" i="6"/>
  <c r="L1158" i="6"/>
  <c r="L1157" i="6"/>
  <c r="L1156" i="6"/>
  <c r="L1155" i="6"/>
  <c r="L1154" i="6"/>
  <c r="L1153" i="6"/>
  <c r="L1152" i="6"/>
  <c r="L1151" i="6"/>
  <c r="L1150" i="6"/>
  <c r="L1149" i="6"/>
  <c r="L1148" i="6"/>
  <c r="L1147" i="6"/>
  <c r="L1146" i="6"/>
  <c r="L1145" i="6"/>
  <c r="L1144" i="6"/>
  <c r="L1143" i="6"/>
  <c r="L1142" i="6"/>
  <c r="L1141" i="6"/>
  <c r="L1140" i="6"/>
  <c r="L1139" i="6"/>
  <c r="L1138" i="6"/>
  <c r="L1137" i="6"/>
  <c r="L1136" i="6"/>
  <c r="L1135" i="6"/>
  <c r="L1134" i="6"/>
  <c r="L1133" i="6"/>
  <c r="L1132" i="6"/>
  <c r="L1131" i="6"/>
  <c r="L1130" i="6"/>
  <c r="L1129" i="6"/>
  <c r="L1128" i="6"/>
  <c r="L1127" i="6"/>
  <c r="L1126" i="6"/>
  <c r="L1125" i="6"/>
  <c r="L1124" i="6"/>
  <c r="L1123" i="6"/>
  <c r="L1122" i="6"/>
  <c r="L1121" i="6"/>
  <c r="L1120" i="6"/>
  <c r="L1119" i="6"/>
  <c r="L1118" i="6"/>
  <c r="L1117" i="6"/>
  <c r="L1116" i="6"/>
  <c r="L1115" i="6"/>
  <c r="L1114" i="6"/>
  <c r="L1113" i="6"/>
  <c r="L1112" i="6"/>
  <c r="L1111" i="6"/>
  <c r="L1110" i="6"/>
  <c r="L1606" i="7"/>
  <c r="L1605" i="7"/>
  <c r="L1604" i="7"/>
  <c r="L1603" i="7"/>
  <c r="L1602" i="7"/>
  <c r="L1601" i="7"/>
  <c r="L1600" i="7"/>
  <c r="L1599" i="7"/>
  <c r="L1598" i="7"/>
  <c r="L1597" i="7"/>
  <c r="L1596" i="7"/>
  <c r="L1595" i="7"/>
  <c r="L1594" i="7"/>
  <c r="L1593" i="7"/>
  <c r="L1592" i="7"/>
  <c r="L1591" i="7"/>
  <c r="L1590" i="7"/>
  <c r="L1589" i="7"/>
  <c r="L1588" i="7"/>
  <c r="L1587" i="7"/>
  <c r="L1586" i="7"/>
  <c r="L1585" i="7"/>
  <c r="L1584" i="7"/>
  <c r="L1583" i="7"/>
  <c r="L1582" i="7"/>
  <c r="L1581" i="7"/>
  <c r="L1580" i="7"/>
  <c r="L1579" i="7"/>
  <c r="L1578" i="7"/>
  <c r="L1577" i="7"/>
  <c r="L1576" i="7"/>
  <c r="L1575" i="7"/>
  <c r="L1574" i="7"/>
  <c r="L1573" i="7"/>
  <c r="L1572" i="7"/>
  <c r="L1571" i="7"/>
  <c r="L1570" i="7"/>
  <c r="L1569" i="7"/>
  <c r="L1568" i="7"/>
  <c r="L1567" i="7"/>
  <c r="L1566" i="7"/>
  <c r="L1565" i="7"/>
  <c r="L1564" i="7"/>
  <c r="L1563" i="7"/>
  <c r="L1562" i="7"/>
  <c r="L1561" i="7"/>
  <c r="L1560" i="7"/>
  <c r="L1559" i="7"/>
  <c r="L1558" i="7"/>
  <c r="L1557" i="7"/>
  <c r="L1556" i="7"/>
  <c r="L1555" i="7"/>
  <c r="L1554" i="7"/>
  <c r="L1553" i="7"/>
  <c r="L1552" i="7"/>
  <c r="L1551" i="7"/>
  <c r="L1550" i="7"/>
  <c r="L1549" i="7"/>
  <c r="L1548" i="7"/>
  <c r="L1547" i="7"/>
  <c r="L1546" i="7"/>
  <c r="L1545" i="7"/>
  <c r="L1544" i="7"/>
  <c r="L1543" i="7"/>
  <c r="L1542" i="7"/>
  <c r="L1541" i="7"/>
  <c r="L1540" i="7"/>
  <c r="L1539" i="7"/>
  <c r="L1538" i="7"/>
  <c r="L1537" i="7"/>
  <c r="L1536" i="7"/>
  <c r="L1535" i="7"/>
  <c r="L1534" i="7"/>
  <c r="L1533" i="7"/>
  <c r="L1532" i="7"/>
  <c r="L1531" i="7"/>
  <c r="L1530" i="7"/>
  <c r="L1529" i="7"/>
  <c r="L1528" i="7"/>
  <c r="L1527" i="7"/>
  <c r="L1526" i="7"/>
  <c r="L1525" i="7"/>
  <c r="L1524" i="7"/>
  <c r="L1523" i="7"/>
  <c r="L1522" i="7"/>
  <c r="L1521" i="7"/>
  <c r="L1520" i="7"/>
  <c r="L1519" i="7"/>
  <c r="L1518" i="7"/>
  <c r="L1517" i="7"/>
  <c r="L1516" i="7"/>
  <c r="L1515" i="7"/>
  <c r="L1514" i="7"/>
  <c r="L1513" i="7"/>
  <c r="L1512" i="7"/>
  <c r="L1511" i="7"/>
  <c r="L1510" i="7"/>
  <c r="L1509" i="7"/>
  <c r="L1508" i="7"/>
  <c r="L1507" i="7"/>
  <c r="L1506" i="7"/>
  <c r="L1505" i="7"/>
  <c r="L1504" i="7"/>
  <c r="L1503" i="7"/>
  <c r="L1502" i="7"/>
  <c r="L1501" i="7"/>
  <c r="L1500" i="7"/>
  <c r="L1499" i="7"/>
  <c r="L1498" i="7"/>
  <c r="L1497" i="7"/>
  <c r="L1496" i="7"/>
  <c r="L1495" i="7"/>
  <c r="L1494" i="7"/>
  <c r="L1493" i="7"/>
  <c r="L1492" i="7"/>
  <c r="L1491" i="7"/>
  <c r="L1490" i="7"/>
  <c r="L1489" i="7"/>
  <c r="L1488" i="7"/>
  <c r="L1487" i="7"/>
  <c r="L1486" i="7"/>
  <c r="L1485" i="7"/>
  <c r="L1484" i="7"/>
  <c r="L1483" i="7"/>
  <c r="L1482" i="7"/>
  <c r="L1481" i="7"/>
  <c r="L1480" i="7"/>
  <c r="L1479" i="7"/>
  <c r="L1478" i="7"/>
  <c r="L1477" i="7"/>
  <c r="L1476" i="7"/>
  <c r="L1475" i="7"/>
  <c r="L1474" i="7"/>
  <c r="L1473" i="7"/>
  <c r="L1472" i="7"/>
  <c r="L1471" i="7"/>
  <c r="L1470" i="7"/>
  <c r="L1469" i="7"/>
  <c r="L1468" i="7"/>
  <c r="L1467" i="7"/>
  <c r="L1466" i="7"/>
  <c r="L1465" i="7"/>
  <c r="L1464" i="7"/>
  <c r="L1463" i="7"/>
  <c r="L1462" i="7"/>
  <c r="L1461" i="7"/>
  <c r="L1460" i="7"/>
  <c r="L1459" i="7"/>
  <c r="L1458" i="7"/>
  <c r="L1457" i="7"/>
  <c r="L1456" i="7"/>
  <c r="L1455" i="7"/>
  <c r="L1454" i="7"/>
  <c r="L1453" i="7"/>
  <c r="L1452" i="7"/>
  <c r="L1451" i="7"/>
  <c r="L1450" i="7"/>
  <c r="L1449" i="7"/>
  <c r="L1448" i="7"/>
  <c r="L1447" i="7"/>
  <c r="L1446" i="7"/>
  <c r="L1445" i="7"/>
  <c r="L1444" i="7"/>
  <c r="L1443" i="7"/>
  <c r="L1442" i="7"/>
  <c r="L1441" i="7"/>
  <c r="L1440" i="7"/>
  <c r="L1439" i="7"/>
  <c r="L1438" i="7"/>
  <c r="L1437" i="7"/>
  <c r="L1436" i="7"/>
  <c r="L1435" i="7"/>
  <c r="L1434" i="7"/>
  <c r="L1433" i="7"/>
  <c r="L1432" i="7"/>
  <c r="L1431" i="7"/>
  <c r="L1430" i="7"/>
  <c r="L1429" i="7"/>
  <c r="L1428" i="7"/>
  <c r="L1427" i="7"/>
  <c r="L1426" i="7"/>
  <c r="L1425" i="7"/>
  <c r="L1424" i="7"/>
  <c r="L1423" i="7"/>
  <c r="L1422" i="7"/>
  <c r="L1421" i="7"/>
  <c r="L1420" i="7"/>
  <c r="L1419" i="7"/>
  <c r="L1418" i="7"/>
  <c r="L1417" i="7"/>
  <c r="L1416" i="7"/>
  <c r="L1415" i="7"/>
  <c r="L1414" i="7"/>
  <c r="L1413" i="7"/>
  <c r="L1412" i="7"/>
  <c r="L1411" i="7"/>
  <c r="L1410" i="7"/>
  <c r="L1409" i="7"/>
  <c r="L1408" i="7"/>
  <c r="L1407" i="7"/>
  <c r="L1406" i="7"/>
  <c r="L1405" i="7"/>
  <c r="L1404" i="7"/>
  <c r="L1403" i="7"/>
  <c r="L1402" i="7"/>
  <c r="L1401" i="7"/>
  <c r="L1400" i="7"/>
  <c r="L1399" i="7"/>
  <c r="L1398" i="7"/>
  <c r="L1397" i="7"/>
  <c r="L1396" i="7"/>
  <c r="L1395" i="7"/>
  <c r="L1394" i="7"/>
  <c r="L1393" i="7"/>
  <c r="L1392" i="7"/>
  <c r="L1391" i="7"/>
  <c r="L1390" i="7"/>
  <c r="L1389" i="7"/>
  <c r="L1388" i="7"/>
  <c r="L1387" i="7"/>
  <c r="L1386" i="7"/>
  <c r="L1385" i="7"/>
  <c r="L1384" i="7"/>
  <c r="L1383" i="7"/>
  <c r="L1382" i="7"/>
  <c r="L1381" i="7"/>
  <c r="L1380" i="7"/>
  <c r="L1379" i="7"/>
  <c r="L1378" i="7"/>
  <c r="L1377" i="7"/>
  <c r="L1376" i="7"/>
  <c r="L1375" i="7"/>
  <c r="L1374" i="7"/>
  <c r="L1373" i="7"/>
  <c r="L1372" i="7"/>
  <c r="L1371" i="7"/>
  <c r="L1370" i="7"/>
  <c r="L1369" i="7"/>
  <c r="L1368" i="7"/>
  <c r="L1367" i="7"/>
  <c r="L1366" i="7"/>
  <c r="L1365" i="7"/>
  <c r="L1364" i="7"/>
  <c r="L1363" i="7"/>
  <c r="L1362" i="7"/>
  <c r="L1361" i="7"/>
  <c r="L1360" i="7"/>
  <c r="L1359" i="7"/>
  <c r="L1358" i="7"/>
  <c r="L1357" i="7"/>
  <c r="L1356" i="7"/>
  <c r="L1355" i="7"/>
  <c r="L1354" i="7"/>
  <c r="L1353" i="7"/>
  <c r="L1352" i="7"/>
  <c r="L1351" i="7"/>
  <c r="L1350" i="7"/>
  <c r="L1349" i="7"/>
  <c r="L1348" i="7"/>
  <c r="L1347" i="7"/>
  <c r="L1346" i="7"/>
  <c r="L1345" i="7"/>
  <c r="L1344" i="7"/>
  <c r="L1343" i="7"/>
  <c r="L1342" i="7"/>
  <c r="L1341" i="7"/>
  <c r="L1340" i="7"/>
  <c r="L1339" i="7"/>
  <c r="L1338" i="7"/>
  <c r="L1337" i="7"/>
  <c r="L1336" i="7"/>
  <c r="L1335" i="7"/>
  <c r="L1334" i="7"/>
  <c r="L1333" i="7"/>
  <c r="L1332" i="7"/>
  <c r="L1331" i="7"/>
  <c r="L1330" i="7"/>
  <c r="L1329" i="7"/>
  <c r="L1328" i="7"/>
  <c r="L1327" i="7"/>
  <c r="L1326" i="7"/>
  <c r="L1325" i="7"/>
  <c r="L1324" i="7"/>
  <c r="L1323" i="7"/>
  <c r="L1322" i="7"/>
  <c r="L1321" i="7"/>
  <c r="L1320" i="7"/>
  <c r="L1319" i="7"/>
  <c r="L1318" i="7"/>
  <c r="L1317" i="7"/>
  <c r="L1316" i="7"/>
  <c r="L1315" i="7"/>
  <c r="L1314" i="7"/>
  <c r="L1313" i="7"/>
  <c r="L1312" i="7"/>
  <c r="L1311" i="7"/>
  <c r="L1310" i="7"/>
  <c r="L1309" i="7"/>
  <c r="L1308" i="7"/>
  <c r="L1307" i="7"/>
  <c r="L1306" i="7"/>
  <c r="L1305" i="7"/>
  <c r="L1304" i="7"/>
  <c r="L1303" i="7"/>
  <c r="L1302" i="7"/>
  <c r="L1301" i="7"/>
  <c r="L1300" i="7"/>
  <c r="L1299" i="7"/>
  <c r="L1298" i="7"/>
  <c r="L1297" i="7"/>
  <c r="L1296" i="7"/>
  <c r="L1295" i="7"/>
  <c r="L1294" i="7"/>
  <c r="L1293" i="7"/>
  <c r="L1292" i="7"/>
  <c r="L1291" i="7"/>
  <c r="L1290" i="7"/>
  <c r="L1289" i="7"/>
  <c r="L1288" i="7"/>
  <c r="L1287" i="7"/>
  <c r="L1286" i="7"/>
  <c r="L1285" i="7"/>
  <c r="L1284" i="7"/>
  <c r="L1283" i="7"/>
  <c r="L1282" i="7"/>
  <c r="L1281" i="7"/>
  <c r="L1280" i="7"/>
  <c r="L1279" i="7"/>
  <c r="L1278" i="7"/>
  <c r="L1277" i="7"/>
  <c r="L1276" i="7"/>
  <c r="L1275" i="7"/>
  <c r="L1274" i="7"/>
  <c r="L1273" i="7"/>
  <c r="L1272" i="7"/>
  <c r="L1271" i="7"/>
  <c r="L1270" i="7"/>
  <c r="L1269" i="7"/>
  <c r="L1268" i="7"/>
  <c r="L1267" i="7"/>
  <c r="L1266" i="7"/>
  <c r="L1265" i="7"/>
  <c r="L1264" i="7"/>
  <c r="L1263" i="7"/>
  <c r="L1262" i="7"/>
  <c r="L1261" i="7"/>
  <c r="L1260" i="7"/>
  <c r="L1259" i="7"/>
  <c r="L1258" i="7"/>
  <c r="L1257" i="7"/>
  <c r="L1256" i="7"/>
  <c r="L1255" i="7"/>
  <c r="L1254" i="7"/>
  <c r="L1253" i="7"/>
  <c r="L1252" i="7"/>
  <c r="L1251" i="7"/>
  <c r="L1250" i="7"/>
  <c r="L1249" i="7"/>
  <c r="L1248" i="7"/>
  <c r="L1247" i="7"/>
  <c r="L1246" i="7"/>
  <c r="L1245" i="7"/>
  <c r="L1244" i="7"/>
  <c r="L1243" i="7"/>
  <c r="L1242" i="7"/>
  <c r="L1241" i="7"/>
  <c r="L1240" i="7"/>
  <c r="L1239" i="7"/>
  <c r="L1238" i="7"/>
  <c r="L1237" i="7"/>
  <c r="L1236" i="7"/>
  <c r="L1235" i="7"/>
  <c r="L1234" i="7"/>
  <c r="L1233" i="7"/>
  <c r="L1232" i="7"/>
  <c r="L1231" i="7"/>
  <c r="L1230" i="7"/>
  <c r="L1229" i="7"/>
  <c r="L1228" i="7"/>
  <c r="L1227" i="7"/>
  <c r="L1226" i="7"/>
  <c r="L1225" i="7"/>
  <c r="L1224" i="7"/>
  <c r="L1223" i="7"/>
  <c r="L1222" i="7"/>
  <c r="L1221" i="7"/>
  <c r="L1220" i="7"/>
  <c r="L1219" i="7"/>
  <c r="L1218" i="7"/>
  <c r="L1217" i="7"/>
  <c r="L1216" i="7"/>
  <c r="L1215" i="7"/>
  <c r="L1214" i="7"/>
  <c r="L1213" i="7"/>
  <c r="L1212" i="7"/>
  <c r="L1211" i="7"/>
  <c r="L1210" i="7"/>
  <c r="L1209" i="7"/>
  <c r="L1208" i="7"/>
  <c r="L1207" i="7"/>
  <c r="L1206" i="7"/>
  <c r="L1205" i="7"/>
  <c r="L1204" i="7"/>
  <c r="L1203" i="7"/>
  <c r="L1202" i="7"/>
  <c r="L1201" i="7"/>
  <c r="L1200" i="7"/>
  <c r="L1199" i="7"/>
  <c r="L1198" i="7"/>
  <c r="L1197" i="7"/>
  <c r="L1196" i="7"/>
  <c r="L1195" i="7"/>
  <c r="L1194" i="7"/>
  <c r="L1193" i="7"/>
  <c r="L1192" i="7"/>
  <c r="L1191" i="7"/>
  <c r="L1190" i="7"/>
  <c r="L1189" i="7"/>
  <c r="L1188" i="7"/>
  <c r="L1187" i="7"/>
  <c r="L1186" i="7"/>
  <c r="L1185" i="7"/>
  <c r="L1184" i="7"/>
  <c r="L1183" i="7"/>
  <c r="L1182" i="7"/>
  <c r="L1181" i="7"/>
  <c r="L1180" i="7"/>
  <c r="L1179" i="7"/>
  <c r="L1178" i="7"/>
  <c r="L1177" i="7"/>
  <c r="L1176" i="7"/>
  <c r="L1175" i="7"/>
  <c r="L1174" i="7"/>
  <c r="L1173" i="7"/>
  <c r="L1172" i="7"/>
  <c r="L1171" i="7"/>
  <c r="L1170" i="7"/>
  <c r="L1169" i="7"/>
  <c r="L1168" i="7"/>
  <c r="L1167" i="7"/>
  <c r="L1166" i="7"/>
  <c r="L1165" i="7"/>
  <c r="L1164" i="7"/>
  <c r="L1163" i="7"/>
  <c r="L1162" i="7"/>
  <c r="L1161" i="7"/>
  <c r="L1160" i="7"/>
  <c r="L1159" i="7"/>
  <c r="L1158" i="7"/>
  <c r="L1157" i="7"/>
  <c r="L1156" i="7"/>
  <c r="L1155" i="7"/>
  <c r="L1154" i="7"/>
  <c r="L1153" i="7"/>
  <c r="L1152" i="7"/>
  <c r="L1151" i="7"/>
  <c r="L1150" i="7"/>
  <c r="L1149" i="7"/>
  <c r="L1148" i="7"/>
  <c r="L1147" i="7"/>
  <c r="L1146" i="7"/>
  <c r="L1145" i="7"/>
  <c r="L1144" i="7"/>
  <c r="L1143" i="7"/>
  <c r="L1142" i="7"/>
  <c r="L1141" i="7"/>
  <c r="L1140" i="7"/>
  <c r="L1139" i="7"/>
  <c r="L1138" i="7"/>
  <c r="L1137" i="7"/>
  <c r="L1136" i="7"/>
  <c r="L1135" i="7"/>
  <c r="L1134" i="7"/>
  <c r="L1133" i="7"/>
  <c r="L1132" i="7"/>
  <c r="L1131" i="7"/>
  <c r="L1130" i="7"/>
  <c r="L1129" i="7"/>
  <c r="L1128" i="7"/>
  <c r="L1127" i="7"/>
  <c r="L1126" i="7"/>
  <c r="L1125" i="7"/>
  <c r="L1124" i="7"/>
  <c r="L1123" i="7"/>
  <c r="L1122" i="7"/>
  <c r="L1121" i="7"/>
  <c r="L1120" i="7"/>
  <c r="L1119" i="7"/>
  <c r="L1118" i="7"/>
  <c r="L1117" i="7"/>
  <c r="L1116" i="7"/>
  <c r="L1115" i="7"/>
  <c r="L1114" i="7"/>
  <c r="L1113" i="7"/>
  <c r="L1112" i="7"/>
  <c r="L1111" i="7"/>
  <c r="L1110" i="7"/>
  <c r="L1110" i="8"/>
  <c r="L1111" i="8"/>
  <c r="L1112" i="8"/>
  <c r="L1113" i="8"/>
  <c r="L1114" i="8"/>
  <c r="L1115" i="8"/>
  <c r="L1116" i="8"/>
  <c r="L1117" i="8"/>
  <c r="L1118" i="8"/>
  <c r="L1119" i="8"/>
  <c r="L1120" i="8"/>
  <c r="L1121" i="8"/>
  <c r="L1122" i="8"/>
  <c r="L1123" i="8"/>
  <c r="L1124" i="8"/>
  <c r="L1125" i="8"/>
  <c r="L1126" i="8"/>
  <c r="L1127" i="8"/>
  <c r="L1128" i="8"/>
  <c r="L1129" i="8"/>
  <c r="L1130" i="8"/>
  <c r="L1131" i="8"/>
  <c r="L1132" i="8"/>
  <c r="L1133" i="8"/>
  <c r="L1134" i="8"/>
  <c r="L1135" i="8"/>
  <c r="L1136" i="8"/>
  <c r="L1137" i="8"/>
  <c r="L1138" i="8"/>
  <c r="L1139" i="8"/>
  <c r="L1140" i="8"/>
  <c r="L1141" i="8"/>
  <c r="L1142" i="8"/>
  <c r="L1143" i="8"/>
  <c r="L1144" i="8"/>
  <c r="L1145" i="8"/>
  <c r="L1146" i="8"/>
  <c r="L1147" i="8"/>
  <c r="L1148" i="8"/>
  <c r="L1149" i="8"/>
  <c r="L1150" i="8"/>
  <c r="L1151" i="8"/>
  <c r="L1152" i="8"/>
  <c r="L1153" i="8"/>
  <c r="L1154" i="8"/>
  <c r="L1155" i="8"/>
  <c r="L1156" i="8"/>
  <c r="L1157" i="8"/>
  <c r="L1158" i="8"/>
  <c r="L1159" i="8"/>
  <c r="L1160" i="8"/>
  <c r="L1161" i="8"/>
  <c r="L1162" i="8"/>
  <c r="L1163" i="8"/>
  <c r="L1164" i="8"/>
  <c r="L1165" i="8"/>
  <c r="L1166" i="8"/>
  <c r="L1167" i="8"/>
  <c r="L1168" i="8"/>
  <c r="L1169" i="8"/>
  <c r="L1170" i="8"/>
  <c r="L1171" i="8"/>
  <c r="L1172" i="8"/>
  <c r="L1173" i="8"/>
  <c r="L1174" i="8"/>
  <c r="L1175" i="8"/>
  <c r="L1176" i="8"/>
  <c r="L1177" i="8"/>
  <c r="L1178" i="8"/>
  <c r="L1179" i="8"/>
  <c r="L1180" i="8"/>
  <c r="L1181" i="8"/>
  <c r="L1182" i="8"/>
  <c r="L1183" i="8"/>
  <c r="L1184" i="8"/>
  <c r="L1185" i="8"/>
  <c r="L1186" i="8"/>
  <c r="L1187" i="8"/>
  <c r="L1188" i="8"/>
  <c r="L1189" i="8"/>
  <c r="L1190" i="8"/>
  <c r="L1191" i="8"/>
  <c r="L1192" i="8"/>
  <c r="L1193" i="8"/>
  <c r="L1194" i="8"/>
  <c r="L1195" i="8"/>
  <c r="L1196" i="8"/>
  <c r="L1197" i="8"/>
  <c r="L1198" i="8"/>
  <c r="L1199" i="8"/>
  <c r="L1200" i="8"/>
  <c r="L1201" i="8"/>
  <c r="L1202" i="8"/>
  <c r="L1203" i="8"/>
  <c r="L1204" i="8"/>
  <c r="L1205" i="8"/>
  <c r="L1206" i="8"/>
  <c r="L1207" i="8"/>
  <c r="L1208" i="8"/>
  <c r="L1209" i="8"/>
  <c r="L1210" i="8"/>
  <c r="L1211" i="8"/>
  <c r="L1212" i="8"/>
  <c r="L1213" i="8"/>
  <c r="L1214" i="8"/>
  <c r="L1215" i="8"/>
  <c r="L1216" i="8"/>
  <c r="L1217" i="8"/>
  <c r="L1218" i="8"/>
  <c r="L1219" i="8"/>
  <c r="L1220" i="8"/>
  <c r="L1221" i="8"/>
  <c r="L1222" i="8"/>
  <c r="L1223" i="8"/>
  <c r="L1224" i="8"/>
  <c r="L1225" i="8"/>
  <c r="L1226" i="8"/>
  <c r="L1227" i="8"/>
  <c r="L1228" i="8"/>
  <c r="L1229" i="8"/>
  <c r="L1230" i="8"/>
  <c r="L1231" i="8"/>
  <c r="L1232" i="8"/>
  <c r="L1233" i="8"/>
  <c r="L1234" i="8"/>
  <c r="L1235" i="8"/>
  <c r="L1236" i="8"/>
  <c r="L1237" i="8"/>
  <c r="L1238" i="8"/>
  <c r="L1239" i="8"/>
  <c r="L1240" i="8"/>
  <c r="L1241" i="8"/>
  <c r="L1242" i="8"/>
  <c r="L1243" i="8"/>
  <c r="L1244" i="8"/>
  <c r="L1245" i="8"/>
  <c r="L1246" i="8"/>
  <c r="L1247" i="8"/>
  <c r="L1248" i="8"/>
  <c r="L1249" i="8"/>
  <c r="L1250" i="8"/>
  <c r="L1251" i="8"/>
  <c r="L1252" i="8"/>
  <c r="L1253" i="8"/>
  <c r="L1254" i="8"/>
  <c r="L1255" i="8"/>
  <c r="L1256" i="8"/>
  <c r="L1257" i="8"/>
  <c r="L1258" i="8"/>
  <c r="L1259" i="8"/>
  <c r="L1260" i="8"/>
  <c r="L1261" i="8"/>
  <c r="L1262" i="8"/>
  <c r="L1263" i="8"/>
  <c r="L1264" i="8"/>
  <c r="L1265" i="8"/>
  <c r="L1266" i="8"/>
  <c r="L1267" i="8"/>
  <c r="L1268" i="8"/>
  <c r="L1269" i="8"/>
  <c r="L1270" i="8"/>
  <c r="L1271" i="8"/>
  <c r="L1272" i="8"/>
  <c r="L1273" i="8"/>
  <c r="L1274" i="8"/>
  <c r="L1275" i="8"/>
  <c r="L1276" i="8"/>
  <c r="L1277" i="8"/>
  <c r="L1278" i="8"/>
  <c r="L1279" i="8"/>
  <c r="L1280" i="8"/>
  <c r="L1281" i="8"/>
  <c r="L1282" i="8"/>
  <c r="L1283" i="8"/>
  <c r="L1284" i="8"/>
  <c r="L1285" i="8"/>
  <c r="L1286" i="8"/>
  <c r="L1287" i="8"/>
  <c r="L1288" i="8"/>
  <c r="L1289" i="8"/>
  <c r="L1290" i="8"/>
  <c r="L1291" i="8"/>
  <c r="L1292" i="8"/>
  <c r="L1293" i="8"/>
  <c r="L1294" i="8"/>
  <c r="L1295" i="8"/>
  <c r="L1296" i="8"/>
  <c r="L1297" i="8"/>
  <c r="L1298" i="8"/>
  <c r="L1299" i="8"/>
  <c r="L1300" i="8"/>
  <c r="L1301" i="8"/>
  <c r="L1302" i="8"/>
  <c r="L1303" i="8"/>
  <c r="L1304" i="8"/>
  <c r="L1305" i="8"/>
  <c r="L1306" i="8"/>
  <c r="L1307" i="8"/>
  <c r="L1308" i="8"/>
  <c r="L1309" i="8"/>
  <c r="L1310" i="8"/>
  <c r="L1311" i="8"/>
  <c r="L1312" i="8"/>
  <c r="L1313" i="8"/>
  <c r="L1314" i="8"/>
  <c r="L1315" i="8"/>
  <c r="L1316" i="8"/>
  <c r="L1317" i="8"/>
  <c r="L1318" i="8"/>
  <c r="L1319" i="8"/>
  <c r="L1320" i="8"/>
  <c r="L1321" i="8"/>
  <c r="L1322" i="8"/>
  <c r="L1323" i="8"/>
  <c r="L1324" i="8"/>
  <c r="L1325" i="8"/>
  <c r="L1326" i="8"/>
  <c r="L1327" i="8"/>
  <c r="L1328" i="8"/>
  <c r="L1329" i="8"/>
  <c r="L1330" i="8"/>
  <c r="L1331" i="8"/>
  <c r="L1332" i="8"/>
  <c r="L1333" i="8"/>
  <c r="L1334" i="8"/>
  <c r="L1335" i="8"/>
  <c r="L1336" i="8"/>
  <c r="L1337" i="8"/>
  <c r="L1338" i="8"/>
  <c r="L1339" i="8"/>
  <c r="L1340" i="8"/>
  <c r="L1341" i="8"/>
  <c r="L1342" i="8"/>
  <c r="L1343" i="8"/>
  <c r="L1344" i="8"/>
  <c r="L1345" i="8"/>
  <c r="L1346" i="8"/>
  <c r="L1347" i="8"/>
  <c r="L1348" i="8"/>
  <c r="L1349" i="8"/>
  <c r="L1350" i="8"/>
  <c r="L1351" i="8"/>
  <c r="L1352" i="8"/>
  <c r="L1353" i="8"/>
  <c r="L1354" i="8"/>
  <c r="L1355" i="8"/>
  <c r="L1356" i="8"/>
  <c r="L1357" i="8"/>
  <c r="L1358" i="8"/>
  <c r="L1359" i="8"/>
  <c r="L1360" i="8"/>
  <c r="L1361" i="8"/>
  <c r="L1362" i="8"/>
  <c r="L1363" i="8"/>
  <c r="L1364" i="8"/>
  <c r="L1365" i="8"/>
  <c r="L1366" i="8"/>
  <c r="L1367" i="8"/>
  <c r="L1368" i="8"/>
  <c r="L1369" i="8"/>
  <c r="L1370" i="8"/>
  <c r="L1371" i="8"/>
  <c r="L1372" i="8"/>
  <c r="L1373" i="8"/>
  <c r="L1374" i="8"/>
  <c r="L1375" i="8"/>
  <c r="L1376" i="8"/>
  <c r="L1377" i="8"/>
  <c r="L1378" i="8"/>
  <c r="L1379" i="8"/>
  <c r="L1380" i="8"/>
  <c r="L1381" i="8"/>
  <c r="L1382" i="8"/>
  <c r="L1383" i="8"/>
  <c r="L1384" i="8"/>
  <c r="L1385" i="8"/>
  <c r="L1386" i="8"/>
  <c r="L1387" i="8"/>
  <c r="L1388" i="8"/>
  <c r="L1389" i="8"/>
  <c r="L1390" i="8"/>
  <c r="L1391" i="8"/>
  <c r="L1392" i="8"/>
  <c r="L1393" i="8"/>
  <c r="L1394" i="8"/>
  <c r="L1395" i="8"/>
  <c r="L1396" i="8"/>
  <c r="L1397" i="8"/>
  <c r="L1398" i="8"/>
  <c r="L1399" i="8"/>
  <c r="L1400" i="8"/>
  <c r="L1401" i="8"/>
  <c r="L1402" i="8"/>
  <c r="L1403" i="8"/>
  <c r="L1404" i="8"/>
  <c r="L1405" i="8"/>
  <c r="L1406" i="8"/>
  <c r="L1407" i="8"/>
  <c r="L1408" i="8"/>
  <c r="L1409" i="8"/>
  <c r="L1410" i="8"/>
  <c r="L1411" i="8"/>
  <c r="L1412" i="8"/>
  <c r="L1413" i="8"/>
  <c r="L1414" i="8"/>
  <c r="L1415" i="8"/>
  <c r="L1416" i="8"/>
  <c r="L1417" i="8"/>
  <c r="L1418" i="8"/>
  <c r="L1419" i="8"/>
  <c r="L1420" i="8"/>
  <c r="L1421" i="8"/>
  <c r="L1422" i="8"/>
  <c r="L1423" i="8"/>
  <c r="L1424" i="8"/>
  <c r="L1425" i="8"/>
  <c r="L1426" i="8"/>
  <c r="L1427" i="8"/>
  <c r="L1428" i="8"/>
  <c r="L1429" i="8"/>
  <c r="L1430" i="8"/>
  <c r="L1431" i="8"/>
  <c r="L1432" i="8"/>
  <c r="L1433" i="8"/>
  <c r="L1434" i="8"/>
  <c r="L1435" i="8"/>
  <c r="L1436" i="8"/>
  <c r="L1437" i="8"/>
  <c r="L1438" i="8"/>
  <c r="L1439" i="8"/>
  <c r="L1440" i="8"/>
  <c r="L1441" i="8"/>
  <c r="L1442" i="8"/>
  <c r="L1443" i="8"/>
  <c r="L1444" i="8"/>
  <c r="L1445" i="8"/>
  <c r="L1446" i="8"/>
  <c r="L1447" i="8"/>
  <c r="L1448" i="8"/>
  <c r="L1449" i="8"/>
  <c r="L1450" i="8"/>
  <c r="L1451" i="8"/>
  <c r="L1452" i="8"/>
  <c r="L1453" i="8"/>
  <c r="L1454" i="8"/>
  <c r="L1455" i="8"/>
  <c r="L1456" i="8"/>
  <c r="L1457" i="8"/>
  <c r="L1458" i="8"/>
  <c r="L1459" i="8"/>
  <c r="L1460" i="8"/>
  <c r="L1461" i="8"/>
  <c r="L1462" i="8"/>
  <c r="L1463" i="8"/>
  <c r="L1464" i="8"/>
  <c r="L1465" i="8"/>
  <c r="L1466" i="8"/>
  <c r="L1467" i="8"/>
  <c r="L1468" i="8"/>
  <c r="L1469" i="8"/>
  <c r="L1470" i="8"/>
  <c r="L1471" i="8"/>
  <c r="L1472" i="8"/>
  <c r="L1473" i="8"/>
  <c r="L1474" i="8"/>
  <c r="L1475" i="8"/>
  <c r="L1476" i="8"/>
  <c r="L1477" i="8"/>
  <c r="L1478" i="8"/>
  <c r="L1479" i="8"/>
  <c r="L1480" i="8"/>
  <c r="L1481" i="8"/>
  <c r="L1482" i="8"/>
  <c r="L1483" i="8"/>
  <c r="L1484" i="8"/>
  <c r="L1485" i="8"/>
  <c r="L1486" i="8"/>
  <c r="L1487" i="8"/>
  <c r="L1488" i="8"/>
  <c r="L1489" i="8"/>
  <c r="L1490" i="8"/>
  <c r="L1491" i="8"/>
  <c r="L1492" i="8"/>
  <c r="L1493" i="8"/>
  <c r="L1494" i="8"/>
  <c r="L1495" i="8"/>
  <c r="L1496" i="8"/>
  <c r="L1497" i="8"/>
  <c r="L1498" i="8"/>
  <c r="L1499" i="8"/>
  <c r="L1500" i="8"/>
  <c r="L1501" i="8"/>
  <c r="L1502" i="8"/>
  <c r="L1503" i="8"/>
  <c r="L1504" i="8"/>
  <c r="L1505" i="8"/>
  <c r="L1506" i="8"/>
  <c r="L1507" i="8"/>
  <c r="L1508" i="8"/>
  <c r="L1509" i="8"/>
  <c r="L1510" i="8"/>
  <c r="L1511" i="8"/>
  <c r="L1512" i="8"/>
  <c r="L1513" i="8"/>
  <c r="L1514" i="8"/>
  <c r="L1515" i="8"/>
  <c r="L1516" i="8"/>
  <c r="L1517" i="8"/>
  <c r="L1518" i="8"/>
  <c r="L1519" i="8"/>
  <c r="L1520" i="8"/>
  <c r="L1521" i="8"/>
  <c r="L1522" i="8"/>
  <c r="L1523" i="8"/>
  <c r="L1524" i="8"/>
  <c r="L1525" i="8"/>
  <c r="L1526" i="8"/>
  <c r="L1527" i="8"/>
  <c r="L1528" i="8"/>
  <c r="L1529" i="8"/>
  <c r="L1530" i="8"/>
  <c r="L1531" i="8"/>
  <c r="L1532" i="8"/>
  <c r="L1533" i="8"/>
  <c r="L1534" i="8"/>
  <c r="L1535" i="8"/>
  <c r="L1536" i="8"/>
  <c r="L1537" i="8"/>
  <c r="L1538" i="8"/>
  <c r="L1539" i="8"/>
  <c r="L1540" i="8"/>
  <c r="L1541" i="8"/>
  <c r="L1542" i="8"/>
  <c r="L1543" i="8"/>
  <c r="L1544" i="8"/>
  <c r="L1545" i="8"/>
  <c r="L1546" i="8"/>
  <c r="L1547" i="8"/>
  <c r="L1548" i="8"/>
  <c r="L1549" i="8"/>
  <c r="L1550" i="8"/>
  <c r="L1551" i="8"/>
  <c r="L1552" i="8"/>
  <c r="L1553" i="8"/>
  <c r="L1554" i="8"/>
  <c r="L1555" i="8"/>
  <c r="L1556" i="8"/>
  <c r="L1557" i="8"/>
  <c r="L1558" i="8"/>
  <c r="L1559" i="8"/>
  <c r="L1560" i="8"/>
  <c r="L1561" i="8"/>
  <c r="L1562" i="8"/>
  <c r="L1563" i="8"/>
  <c r="L1564" i="8"/>
  <c r="L1565" i="8"/>
  <c r="L1566" i="8"/>
  <c r="L1567" i="8"/>
  <c r="L1568" i="8"/>
  <c r="L1569" i="8"/>
  <c r="L1570" i="8"/>
  <c r="L1571" i="8"/>
  <c r="L1572" i="8"/>
  <c r="L1573" i="8"/>
  <c r="L1574" i="8"/>
  <c r="L1575" i="8"/>
  <c r="L1576" i="8"/>
  <c r="L1577" i="8"/>
  <c r="L1578" i="8"/>
  <c r="L1579" i="8"/>
  <c r="L1580" i="8"/>
  <c r="L1581" i="8"/>
  <c r="L1582" i="8"/>
  <c r="L1583" i="8"/>
  <c r="L1584" i="8"/>
  <c r="L1585" i="8"/>
  <c r="L1586" i="8"/>
  <c r="L1587" i="8"/>
  <c r="L1588" i="8"/>
  <c r="L1589" i="8"/>
  <c r="L1590" i="8"/>
  <c r="L1591" i="8"/>
  <c r="L1592" i="8"/>
  <c r="L1593" i="8"/>
  <c r="L1594" i="8"/>
  <c r="L1595" i="8"/>
  <c r="L1596" i="8"/>
  <c r="L1597" i="8"/>
  <c r="L1598" i="8"/>
  <c r="L1599" i="8"/>
  <c r="L1600" i="8"/>
  <c r="L1601" i="8"/>
  <c r="L1602" i="8"/>
  <c r="L1603" i="8"/>
  <c r="L1604" i="8"/>
  <c r="L1605" i="8"/>
  <c r="L1606" i="8"/>
  <c r="H1" i="10" l="1"/>
  <c r="L5" i="10"/>
  <c r="O312" i="13"/>
  <c r="M312" i="13"/>
  <c r="K312" i="13"/>
  <c r="J312" i="13"/>
  <c r="O311" i="13"/>
  <c r="M311" i="13"/>
  <c r="K311" i="13"/>
  <c r="Q311" i="13" s="1"/>
  <c r="J311" i="13"/>
  <c r="O310" i="13"/>
  <c r="M310" i="13"/>
  <c r="K310" i="13"/>
  <c r="J310" i="13"/>
  <c r="O309" i="13"/>
  <c r="M309" i="13"/>
  <c r="K309" i="13"/>
  <c r="Q309" i="13" s="1"/>
  <c r="J309" i="13"/>
  <c r="O308" i="13"/>
  <c r="M308" i="13"/>
  <c r="K308" i="13"/>
  <c r="Q308" i="13" s="1"/>
  <c r="J308" i="13"/>
  <c r="O307" i="13"/>
  <c r="M307" i="13"/>
  <c r="K307" i="13"/>
  <c r="J307" i="13"/>
  <c r="O306" i="13"/>
  <c r="M306" i="13"/>
  <c r="K306" i="13"/>
  <c r="Q306" i="13" s="1"/>
  <c r="J306" i="13"/>
  <c r="O305" i="13"/>
  <c r="M305" i="13"/>
  <c r="K305" i="13"/>
  <c r="Q305" i="13" s="1"/>
  <c r="J305" i="13"/>
  <c r="O304" i="13"/>
  <c r="M304" i="13"/>
  <c r="K304" i="13"/>
  <c r="Q304" i="13" s="1"/>
  <c r="J304" i="13"/>
  <c r="O303" i="13"/>
  <c r="M303" i="13"/>
  <c r="K303" i="13"/>
  <c r="J303" i="13"/>
  <c r="O302" i="13"/>
  <c r="M302" i="13"/>
  <c r="K302" i="13"/>
  <c r="J302" i="13"/>
  <c r="O301" i="13"/>
  <c r="M301" i="13"/>
  <c r="K301" i="13"/>
  <c r="J301" i="13"/>
  <c r="O300" i="13"/>
  <c r="M300" i="13"/>
  <c r="K300" i="13"/>
  <c r="J300" i="13"/>
  <c r="O299" i="13"/>
  <c r="M299" i="13"/>
  <c r="K299" i="13"/>
  <c r="Q299" i="13" s="1"/>
  <c r="R299" i="13" s="1"/>
  <c r="J299" i="13"/>
  <c r="O298" i="13"/>
  <c r="M298" i="13"/>
  <c r="K298" i="13"/>
  <c r="P298" i="13" s="1"/>
  <c r="J298" i="13"/>
  <c r="O297" i="13"/>
  <c r="M297" i="13"/>
  <c r="K297" i="13"/>
  <c r="Q297" i="13" s="1"/>
  <c r="J297" i="13"/>
  <c r="O296" i="13"/>
  <c r="M296" i="13"/>
  <c r="K296" i="13"/>
  <c r="Q296" i="13" s="1"/>
  <c r="J296" i="13"/>
  <c r="O295" i="13"/>
  <c r="M295" i="13"/>
  <c r="K295" i="13"/>
  <c r="Q295" i="13" s="1"/>
  <c r="J295" i="13"/>
  <c r="O294" i="13"/>
  <c r="M294" i="13"/>
  <c r="K294" i="13"/>
  <c r="J294" i="13"/>
  <c r="O293" i="13"/>
  <c r="M293" i="13"/>
  <c r="K293" i="13"/>
  <c r="J293" i="13"/>
  <c r="O292" i="13"/>
  <c r="M292" i="13"/>
  <c r="K292" i="13"/>
  <c r="J292" i="13"/>
  <c r="O291" i="13"/>
  <c r="M291" i="13"/>
  <c r="K291" i="13"/>
  <c r="Q291" i="13" s="1"/>
  <c r="J291" i="13"/>
  <c r="O290" i="13"/>
  <c r="M290" i="13"/>
  <c r="K290" i="13"/>
  <c r="Q290" i="13" s="1"/>
  <c r="J290" i="13"/>
  <c r="O289" i="13"/>
  <c r="M289" i="13"/>
  <c r="K289" i="13"/>
  <c r="J289" i="13"/>
  <c r="O288" i="13"/>
  <c r="M288" i="13"/>
  <c r="K288" i="13"/>
  <c r="Q288" i="13" s="1"/>
  <c r="R288" i="13" s="1"/>
  <c r="J288" i="13"/>
  <c r="O287" i="13"/>
  <c r="M287" i="13"/>
  <c r="K287" i="13"/>
  <c r="Q287" i="13" s="1"/>
  <c r="J287" i="13"/>
  <c r="O286" i="13"/>
  <c r="M286" i="13"/>
  <c r="K286" i="13"/>
  <c r="J286" i="13"/>
  <c r="O285" i="13"/>
  <c r="M285" i="13"/>
  <c r="K285" i="13"/>
  <c r="J285" i="13"/>
  <c r="O284" i="13"/>
  <c r="M284" i="13"/>
  <c r="K284" i="13"/>
  <c r="Q284" i="13" s="1"/>
  <c r="J284" i="13"/>
  <c r="O283" i="13"/>
  <c r="M283" i="13"/>
  <c r="K283" i="13"/>
  <c r="Q283" i="13" s="1"/>
  <c r="J283" i="13"/>
  <c r="O282" i="13"/>
  <c r="M282" i="13"/>
  <c r="K282" i="13"/>
  <c r="J282" i="13"/>
  <c r="O281" i="13"/>
  <c r="M281" i="13"/>
  <c r="K281" i="13"/>
  <c r="J281" i="13"/>
  <c r="O280" i="13"/>
  <c r="M280" i="13"/>
  <c r="K280" i="13"/>
  <c r="J280" i="13"/>
  <c r="O279" i="13"/>
  <c r="M279" i="13"/>
  <c r="K279" i="13"/>
  <c r="J279" i="13"/>
  <c r="O278" i="13"/>
  <c r="M278" i="13"/>
  <c r="K278" i="13"/>
  <c r="Q278" i="13" s="1"/>
  <c r="R278" i="13" s="1"/>
  <c r="J278" i="13"/>
  <c r="O277" i="13"/>
  <c r="M277" i="13"/>
  <c r="K277" i="13"/>
  <c r="Q277" i="13" s="1"/>
  <c r="R277" i="13" s="1"/>
  <c r="J277" i="13"/>
  <c r="O276" i="13"/>
  <c r="M276" i="13"/>
  <c r="K276" i="13"/>
  <c r="Q276" i="13" s="1"/>
  <c r="R276" i="13" s="1"/>
  <c r="J276" i="13"/>
  <c r="O275" i="13"/>
  <c r="M275" i="13"/>
  <c r="K275" i="13"/>
  <c r="Q275" i="13" s="1"/>
  <c r="R275" i="13" s="1"/>
  <c r="J275" i="13"/>
  <c r="O274" i="13"/>
  <c r="M274" i="13"/>
  <c r="K274" i="13"/>
  <c r="J274" i="13"/>
  <c r="O273" i="13"/>
  <c r="M273" i="13"/>
  <c r="K273" i="13"/>
  <c r="Q273" i="13" s="1"/>
  <c r="R273" i="13" s="1"/>
  <c r="J273" i="13"/>
  <c r="O272" i="13"/>
  <c r="M272" i="13"/>
  <c r="K272" i="13"/>
  <c r="J272" i="13"/>
  <c r="O271" i="13"/>
  <c r="M271" i="13"/>
  <c r="K271" i="13"/>
  <c r="Q271" i="13" s="1"/>
  <c r="R271" i="13" s="1"/>
  <c r="J271" i="13"/>
  <c r="O270" i="13"/>
  <c r="M270" i="13"/>
  <c r="K270" i="13"/>
  <c r="J270" i="13"/>
  <c r="O269" i="13"/>
  <c r="M269" i="13"/>
  <c r="K269" i="13"/>
  <c r="Q269" i="13" s="1"/>
  <c r="J269" i="13"/>
  <c r="O268" i="13"/>
  <c r="M268" i="13"/>
  <c r="K268" i="13"/>
  <c r="Q268" i="13" s="1"/>
  <c r="J268" i="13"/>
  <c r="O267" i="13"/>
  <c r="M267" i="13"/>
  <c r="K267" i="13"/>
  <c r="Q267" i="13" s="1"/>
  <c r="J267" i="13"/>
  <c r="O266" i="13"/>
  <c r="M266" i="13"/>
  <c r="K266" i="13"/>
  <c r="Q266" i="13" s="1"/>
  <c r="J266" i="13"/>
  <c r="O265" i="13"/>
  <c r="M265" i="13"/>
  <c r="K265" i="13"/>
  <c r="J265" i="13"/>
  <c r="O264" i="13"/>
  <c r="M264" i="13"/>
  <c r="K264" i="13"/>
  <c r="P264" i="13" s="1"/>
  <c r="J264" i="13"/>
  <c r="O263" i="13"/>
  <c r="M263" i="13"/>
  <c r="K263" i="13"/>
  <c r="J263" i="13"/>
  <c r="O262" i="13"/>
  <c r="M262" i="13"/>
  <c r="K262" i="13"/>
  <c r="Q262" i="13" s="1"/>
  <c r="R262" i="13" s="1"/>
  <c r="J262" i="13"/>
  <c r="O261" i="13"/>
  <c r="M261" i="13"/>
  <c r="K261" i="13"/>
  <c r="J261" i="13"/>
  <c r="O260" i="13"/>
  <c r="M260" i="13"/>
  <c r="K260" i="13"/>
  <c r="P260" i="13" s="1"/>
  <c r="J260" i="13"/>
  <c r="O259" i="13"/>
  <c r="M259" i="13"/>
  <c r="K259" i="13"/>
  <c r="Q259" i="13" s="1"/>
  <c r="R259" i="13" s="1"/>
  <c r="J259" i="13"/>
  <c r="O258" i="13"/>
  <c r="M258" i="13"/>
  <c r="K258" i="13"/>
  <c r="P258" i="13" s="1"/>
  <c r="J258" i="13"/>
  <c r="O257" i="13"/>
  <c r="M257" i="13"/>
  <c r="K257" i="13"/>
  <c r="Q257" i="13" s="1"/>
  <c r="R257" i="13" s="1"/>
  <c r="J257" i="13"/>
  <c r="O256" i="13"/>
  <c r="M256" i="13"/>
  <c r="K256" i="13"/>
  <c r="Q256" i="13" s="1"/>
  <c r="R256" i="13" s="1"/>
  <c r="J256" i="13"/>
  <c r="O255" i="13"/>
  <c r="M255" i="13"/>
  <c r="K255" i="13"/>
  <c r="Q255" i="13" s="1"/>
  <c r="R255" i="13" s="1"/>
  <c r="J255" i="13"/>
  <c r="O254" i="13"/>
  <c r="M254" i="13"/>
  <c r="K254" i="13"/>
  <c r="J254" i="13"/>
  <c r="O253" i="13"/>
  <c r="M253" i="13"/>
  <c r="K253" i="13"/>
  <c r="Q253" i="13" s="1"/>
  <c r="R253" i="13" s="1"/>
  <c r="J253" i="13"/>
  <c r="O252" i="13"/>
  <c r="M252" i="13"/>
  <c r="K252" i="13"/>
  <c r="J252" i="13"/>
  <c r="O251" i="13"/>
  <c r="M251" i="13"/>
  <c r="K251" i="13"/>
  <c r="P251" i="13" s="1"/>
  <c r="J251" i="13"/>
  <c r="O250" i="13"/>
  <c r="M250" i="13"/>
  <c r="K250" i="13"/>
  <c r="Q250" i="13" s="1"/>
  <c r="R250" i="13" s="1"/>
  <c r="J250" i="13"/>
  <c r="O249" i="13"/>
  <c r="M249" i="13"/>
  <c r="K249" i="13"/>
  <c r="J249" i="13"/>
  <c r="O248" i="13"/>
  <c r="M248" i="13"/>
  <c r="K248" i="13"/>
  <c r="Q248" i="13" s="1"/>
  <c r="R248" i="13" s="1"/>
  <c r="J248" i="13"/>
  <c r="O247" i="13"/>
  <c r="M247" i="13"/>
  <c r="K247" i="13"/>
  <c r="Q247" i="13" s="1"/>
  <c r="R247" i="13" s="1"/>
  <c r="J247" i="13"/>
  <c r="O246" i="13"/>
  <c r="M246" i="13"/>
  <c r="K246" i="13"/>
  <c r="Q246" i="13" s="1"/>
  <c r="R246" i="13" s="1"/>
  <c r="J246" i="13"/>
  <c r="O245" i="13"/>
  <c r="M245" i="13"/>
  <c r="K245" i="13"/>
  <c r="J245" i="13"/>
  <c r="O244" i="13"/>
  <c r="M244" i="13"/>
  <c r="K244" i="13"/>
  <c r="P244" i="13" s="1"/>
  <c r="J244" i="13"/>
  <c r="O243" i="13"/>
  <c r="M243" i="13"/>
  <c r="K243" i="13"/>
  <c r="J243" i="13"/>
  <c r="O242" i="13"/>
  <c r="M242" i="13"/>
  <c r="K242" i="13"/>
  <c r="P242" i="13" s="1"/>
  <c r="J242" i="13"/>
  <c r="O241" i="13"/>
  <c r="M241" i="13"/>
  <c r="K241" i="13"/>
  <c r="Q241" i="13" s="1"/>
  <c r="R241" i="13" s="1"/>
  <c r="J241" i="13"/>
  <c r="O240" i="13"/>
  <c r="M240" i="13"/>
  <c r="K240" i="13"/>
  <c r="P240" i="13" s="1"/>
  <c r="J240" i="13"/>
  <c r="O239" i="13"/>
  <c r="M239" i="13"/>
  <c r="K239" i="13"/>
  <c r="Q239" i="13" s="1"/>
  <c r="R239" i="13" s="1"/>
  <c r="J239" i="13"/>
  <c r="O238" i="13"/>
  <c r="M238" i="13"/>
  <c r="K238" i="13"/>
  <c r="Q238" i="13" s="1"/>
  <c r="R238" i="13" s="1"/>
  <c r="J238" i="13"/>
  <c r="O237" i="13"/>
  <c r="M237" i="13"/>
  <c r="K237" i="13"/>
  <c r="P237" i="13" s="1"/>
  <c r="J237" i="13"/>
  <c r="O236" i="13"/>
  <c r="M236" i="13"/>
  <c r="K236" i="13"/>
  <c r="P236" i="13" s="1"/>
  <c r="J236" i="13"/>
  <c r="O235" i="13"/>
  <c r="M235" i="13"/>
  <c r="K235" i="13"/>
  <c r="Q235" i="13" s="1"/>
  <c r="R235" i="13" s="1"/>
  <c r="J235" i="13"/>
  <c r="O234" i="13"/>
  <c r="M234" i="13"/>
  <c r="K234" i="13"/>
  <c r="Q234" i="13" s="1"/>
  <c r="R234" i="13" s="1"/>
  <c r="J234" i="13"/>
  <c r="O233" i="13"/>
  <c r="M233" i="13"/>
  <c r="K233" i="13"/>
  <c r="Q233" i="13" s="1"/>
  <c r="R233" i="13" s="1"/>
  <c r="J233" i="13"/>
  <c r="O232" i="13"/>
  <c r="M232" i="13"/>
  <c r="K232" i="13"/>
  <c r="J232" i="13"/>
  <c r="O231" i="13"/>
  <c r="M231" i="13"/>
  <c r="K231" i="13"/>
  <c r="P231" i="13" s="1"/>
  <c r="J231" i="13"/>
  <c r="O230" i="13"/>
  <c r="M230" i="13"/>
  <c r="K230" i="13"/>
  <c r="P230" i="13" s="1"/>
  <c r="J230" i="13"/>
  <c r="O229" i="13"/>
  <c r="M229" i="13"/>
  <c r="K229" i="13"/>
  <c r="Q229" i="13" s="1"/>
  <c r="R229" i="13" s="1"/>
  <c r="J229" i="13"/>
  <c r="O228" i="13"/>
  <c r="M228" i="13"/>
  <c r="K228" i="13"/>
  <c r="P228" i="13" s="1"/>
  <c r="J228" i="13"/>
  <c r="O227" i="13"/>
  <c r="M227" i="13"/>
  <c r="K227" i="13"/>
  <c r="Q227" i="13" s="1"/>
  <c r="R227" i="13" s="1"/>
  <c r="J227" i="13"/>
  <c r="O226" i="13"/>
  <c r="M226" i="13"/>
  <c r="K226" i="13"/>
  <c r="Q226" i="13" s="1"/>
  <c r="R226" i="13" s="1"/>
  <c r="J226" i="13"/>
  <c r="O225" i="13"/>
  <c r="M225" i="13"/>
  <c r="K225" i="13"/>
  <c r="J225" i="13"/>
  <c r="O224" i="13"/>
  <c r="M224" i="13"/>
  <c r="K224" i="13"/>
  <c r="Q224" i="13" s="1"/>
  <c r="R224" i="13" s="1"/>
  <c r="J224" i="13"/>
  <c r="O223" i="13"/>
  <c r="M223" i="13"/>
  <c r="K223" i="13"/>
  <c r="J223" i="13"/>
  <c r="O222" i="13"/>
  <c r="M222" i="13"/>
  <c r="K222" i="13"/>
  <c r="Q222" i="13" s="1"/>
  <c r="R222" i="13" s="1"/>
  <c r="J222" i="13"/>
  <c r="O221" i="13"/>
  <c r="M221" i="13"/>
  <c r="K221" i="13"/>
  <c r="J221" i="13"/>
  <c r="O220" i="13"/>
  <c r="M220" i="13"/>
  <c r="K220" i="13"/>
  <c r="Q220" i="13" s="1"/>
  <c r="J220" i="13"/>
  <c r="O219" i="13"/>
  <c r="M219" i="13"/>
  <c r="K219" i="13"/>
  <c r="Q219" i="13" s="1"/>
  <c r="R219" i="13" s="1"/>
  <c r="J219" i="13"/>
  <c r="O218" i="13"/>
  <c r="M218" i="13"/>
  <c r="K218" i="13"/>
  <c r="Q218" i="13" s="1"/>
  <c r="R218" i="13" s="1"/>
  <c r="J218" i="13"/>
  <c r="O217" i="13"/>
  <c r="M217" i="13"/>
  <c r="K217" i="13"/>
  <c r="Q217" i="13" s="1"/>
  <c r="J217" i="13"/>
  <c r="O216" i="13"/>
  <c r="M216" i="13"/>
  <c r="K216" i="13"/>
  <c r="J216" i="13"/>
  <c r="O215" i="13"/>
  <c r="M215" i="13"/>
  <c r="K215" i="13"/>
  <c r="Q215" i="13" s="1"/>
  <c r="R215" i="13" s="1"/>
  <c r="J215" i="13"/>
  <c r="O214" i="13"/>
  <c r="M214" i="13"/>
  <c r="K214" i="13"/>
  <c r="J214" i="13"/>
  <c r="O213" i="13"/>
  <c r="M213" i="13"/>
  <c r="K213" i="13"/>
  <c r="Q213" i="13" s="1"/>
  <c r="R213" i="13" s="1"/>
  <c r="J213" i="13"/>
  <c r="O212" i="13"/>
  <c r="M212" i="13"/>
  <c r="K212" i="13"/>
  <c r="J212" i="13"/>
  <c r="O211" i="13"/>
  <c r="M211" i="13"/>
  <c r="K211" i="13"/>
  <c r="P211" i="13" s="1"/>
  <c r="J211" i="13"/>
  <c r="O210" i="13"/>
  <c r="M210" i="13"/>
  <c r="K210" i="13"/>
  <c r="P210" i="13" s="1"/>
  <c r="J210" i="13"/>
  <c r="O209" i="13"/>
  <c r="M209" i="13"/>
  <c r="K209" i="13"/>
  <c r="P209" i="13" s="1"/>
  <c r="J209" i="13"/>
  <c r="O208" i="13"/>
  <c r="M208" i="13"/>
  <c r="K208" i="13"/>
  <c r="P208" i="13" s="1"/>
  <c r="J208" i="13"/>
  <c r="O207" i="13"/>
  <c r="M207" i="13"/>
  <c r="K207" i="13"/>
  <c r="Q207" i="13" s="1"/>
  <c r="R207" i="13" s="1"/>
  <c r="J207" i="13"/>
  <c r="O206" i="13"/>
  <c r="M206" i="13"/>
  <c r="K206" i="13"/>
  <c r="Q206" i="13" s="1"/>
  <c r="R206" i="13" s="1"/>
  <c r="J206" i="13"/>
  <c r="O205" i="13"/>
  <c r="M205" i="13"/>
  <c r="K205" i="13"/>
  <c r="J205" i="13"/>
  <c r="O204" i="13"/>
  <c r="M204" i="13"/>
  <c r="K204" i="13"/>
  <c r="Q204" i="13" s="1"/>
  <c r="R204" i="13" s="1"/>
  <c r="J204" i="13"/>
  <c r="O203" i="13"/>
  <c r="M203" i="13"/>
  <c r="K203" i="13"/>
  <c r="J203" i="13"/>
  <c r="O202" i="13"/>
  <c r="M202" i="13"/>
  <c r="K202" i="13"/>
  <c r="P202" i="13" s="1"/>
  <c r="J202" i="13"/>
  <c r="O201" i="13"/>
  <c r="M201" i="13"/>
  <c r="K201" i="13"/>
  <c r="Q201" i="13" s="1"/>
  <c r="R201" i="13" s="1"/>
  <c r="J201" i="13"/>
  <c r="O200" i="13"/>
  <c r="M200" i="13"/>
  <c r="K200" i="13"/>
  <c r="P200" i="13" s="1"/>
  <c r="J200" i="13"/>
  <c r="O199" i="13"/>
  <c r="M199" i="13"/>
  <c r="K199" i="13"/>
  <c r="Q199" i="13" s="1"/>
  <c r="R199" i="13" s="1"/>
  <c r="J199" i="13"/>
  <c r="O198" i="13"/>
  <c r="M198" i="13"/>
  <c r="K198" i="13"/>
  <c r="Q198" i="13" s="1"/>
  <c r="R198" i="13" s="1"/>
  <c r="J198" i="13"/>
  <c r="O197" i="13"/>
  <c r="M197" i="13"/>
  <c r="K197" i="13"/>
  <c r="Q197" i="13" s="1"/>
  <c r="R197" i="13" s="1"/>
  <c r="J197" i="13"/>
  <c r="O196" i="13"/>
  <c r="M196" i="13"/>
  <c r="K196" i="13"/>
  <c r="J196" i="13"/>
  <c r="O195" i="13"/>
  <c r="M195" i="13"/>
  <c r="K195" i="13"/>
  <c r="P195" i="13" s="1"/>
  <c r="J195" i="13"/>
  <c r="O194" i="13"/>
  <c r="M194" i="13"/>
  <c r="K194" i="13"/>
  <c r="J194" i="13"/>
  <c r="O193" i="13"/>
  <c r="M193" i="13"/>
  <c r="K193" i="13"/>
  <c r="Q193" i="13" s="1"/>
  <c r="R193" i="13" s="1"/>
  <c r="J193" i="13"/>
  <c r="O192" i="13"/>
  <c r="M192" i="13"/>
  <c r="K192" i="13"/>
  <c r="Q192" i="13" s="1"/>
  <c r="R192" i="13" s="1"/>
  <c r="J192" i="13"/>
  <c r="O191" i="13"/>
  <c r="M191" i="13"/>
  <c r="K191" i="13"/>
  <c r="P191" i="13" s="1"/>
  <c r="J191" i="13"/>
  <c r="O190" i="13"/>
  <c r="M190" i="13"/>
  <c r="K190" i="13"/>
  <c r="Q190" i="13" s="1"/>
  <c r="R190" i="13" s="1"/>
  <c r="J190" i="13"/>
  <c r="O189" i="13"/>
  <c r="M189" i="13"/>
  <c r="K189" i="13"/>
  <c r="Q189" i="13" s="1"/>
  <c r="R189" i="13" s="1"/>
  <c r="J189" i="13"/>
  <c r="O188" i="13"/>
  <c r="M188" i="13"/>
  <c r="K188" i="13"/>
  <c r="P188" i="13" s="1"/>
  <c r="J188" i="13"/>
  <c r="O187" i="13"/>
  <c r="M187" i="13"/>
  <c r="K187" i="13"/>
  <c r="P187" i="13" s="1"/>
  <c r="J187" i="13"/>
  <c r="O186" i="13"/>
  <c r="M186" i="13"/>
  <c r="K186" i="13"/>
  <c r="P186" i="13" s="1"/>
  <c r="J186" i="13"/>
  <c r="O185" i="13"/>
  <c r="M185" i="13"/>
  <c r="K185" i="13"/>
  <c r="Q185" i="13" s="1"/>
  <c r="R185" i="13" s="1"/>
  <c r="J185" i="13"/>
  <c r="O184" i="13"/>
  <c r="M184" i="13"/>
  <c r="K184" i="13"/>
  <c r="P184" i="13" s="1"/>
  <c r="J184" i="13"/>
  <c r="O183" i="13"/>
  <c r="M183" i="13"/>
  <c r="K183" i="13"/>
  <c r="J183" i="13"/>
  <c r="O182" i="13"/>
  <c r="M182" i="13"/>
  <c r="K182" i="13"/>
  <c r="P182" i="13" s="1"/>
  <c r="J182" i="13"/>
  <c r="O181" i="13"/>
  <c r="M181" i="13"/>
  <c r="K181" i="13"/>
  <c r="P181" i="13" s="1"/>
  <c r="J181" i="13"/>
  <c r="O180" i="13"/>
  <c r="M180" i="13"/>
  <c r="K180" i="13"/>
  <c r="Q180" i="13" s="1"/>
  <c r="R180" i="13" s="1"/>
  <c r="J180" i="13"/>
  <c r="O179" i="13"/>
  <c r="M179" i="13"/>
  <c r="K179" i="13"/>
  <c r="P179" i="13" s="1"/>
  <c r="J179" i="13"/>
  <c r="O178" i="13"/>
  <c r="M178" i="13"/>
  <c r="K178" i="13"/>
  <c r="J178" i="13"/>
  <c r="O177" i="13"/>
  <c r="M177" i="13"/>
  <c r="K177" i="13"/>
  <c r="Q177" i="13" s="1"/>
  <c r="R177" i="13" s="1"/>
  <c r="J177" i="13"/>
  <c r="O176" i="13"/>
  <c r="M176" i="13"/>
  <c r="K176" i="13"/>
  <c r="J176" i="13"/>
  <c r="O175" i="13"/>
  <c r="M175" i="13"/>
  <c r="K175" i="13"/>
  <c r="Q175" i="13" s="1"/>
  <c r="J175" i="13"/>
  <c r="O174" i="13"/>
  <c r="M174" i="13"/>
  <c r="K174" i="13"/>
  <c r="J174" i="13"/>
  <c r="O173" i="13"/>
  <c r="M173" i="13"/>
  <c r="K173" i="13"/>
  <c r="Q173" i="13" s="1"/>
  <c r="R173" i="13" s="1"/>
  <c r="J173" i="13"/>
  <c r="O172" i="13"/>
  <c r="M172" i="13"/>
  <c r="K172" i="13"/>
  <c r="J172" i="13"/>
  <c r="O171" i="13"/>
  <c r="M171" i="13"/>
  <c r="K171" i="13"/>
  <c r="P171" i="13" s="1"/>
  <c r="J171" i="13"/>
  <c r="O170" i="13"/>
  <c r="M170" i="13"/>
  <c r="K170" i="13"/>
  <c r="Q170" i="13" s="1"/>
  <c r="R170" i="13" s="1"/>
  <c r="J170" i="13"/>
  <c r="O169" i="13"/>
  <c r="M169" i="13"/>
  <c r="K169" i="13"/>
  <c r="Q169" i="13" s="1"/>
  <c r="R169" i="13" s="1"/>
  <c r="J169" i="13"/>
  <c r="O168" i="13"/>
  <c r="M168" i="13"/>
  <c r="K168" i="13"/>
  <c r="Q168" i="13" s="1"/>
  <c r="R168" i="13" s="1"/>
  <c r="J168" i="13"/>
  <c r="O167" i="13"/>
  <c r="M167" i="13"/>
  <c r="K167" i="13"/>
  <c r="J167" i="13"/>
  <c r="O166" i="13"/>
  <c r="M166" i="13"/>
  <c r="K166" i="13"/>
  <c r="P166" i="13" s="1"/>
  <c r="J166" i="13"/>
  <c r="O165" i="13"/>
  <c r="M165" i="13"/>
  <c r="K165" i="13"/>
  <c r="J165" i="13"/>
  <c r="O164" i="13"/>
  <c r="M164" i="13"/>
  <c r="K164" i="13"/>
  <c r="Q164" i="13" s="1"/>
  <c r="R164" i="13" s="1"/>
  <c r="J164" i="13"/>
  <c r="O163" i="13"/>
  <c r="M163" i="13"/>
  <c r="K163" i="13"/>
  <c r="J163" i="13"/>
  <c r="O162" i="13"/>
  <c r="M162" i="13"/>
  <c r="K162" i="13"/>
  <c r="P162" i="13" s="1"/>
  <c r="J162" i="13"/>
  <c r="O161" i="13"/>
  <c r="M161" i="13"/>
  <c r="K161" i="13"/>
  <c r="P161" i="13" s="1"/>
  <c r="J161" i="13"/>
  <c r="O160" i="13"/>
  <c r="M160" i="13"/>
  <c r="K160" i="13"/>
  <c r="P160" i="13" s="1"/>
  <c r="J160" i="13"/>
  <c r="O159" i="13"/>
  <c r="M159" i="13"/>
  <c r="K159" i="13"/>
  <c r="P159" i="13" s="1"/>
  <c r="J159" i="13"/>
  <c r="O158" i="13"/>
  <c r="M158" i="13"/>
  <c r="K158" i="13"/>
  <c r="Q158" i="13" s="1"/>
  <c r="R158" i="13" s="1"/>
  <c r="J158" i="13"/>
  <c r="O157" i="13"/>
  <c r="M157" i="13"/>
  <c r="K157" i="13"/>
  <c r="Q157" i="13" s="1"/>
  <c r="R157" i="13" s="1"/>
  <c r="J157" i="13"/>
  <c r="O156" i="13"/>
  <c r="M156" i="13"/>
  <c r="K156" i="13"/>
  <c r="J156" i="13"/>
  <c r="O155" i="13"/>
  <c r="M155" i="13"/>
  <c r="K155" i="13"/>
  <c r="Q155" i="13" s="1"/>
  <c r="R155" i="13" s="1"/>
  <c r="J155" i="13"/>
  <c r="O154" i="13"/>
  <c r="M154" i="13"/>
  <c r="K154" i="13"/>
  <c r="J154" i="13"/>
  <c r="O153" i="13"/>
  <c r="M153" i="13"/>
  <c r="K153" i="13"/>
  <c r="P153" i="13" s="1"/>
  <c r="J153" i="13"/>
  <c r="O152" i="13"/>
  <c r="M152" i="13"/>
  <c r="K152" i="13"/>
  <c r="Q152" i="13" s="1"/>
  <c r="R152" i="13" s="1"/>
  <c r="J152" i="13"/>
  <c r="O151" i="13"/>
  <c r="M151" i="13"/>
  <c r="K151" i="13"/>
  <c r="P151" i="13" s="1"/>
  <c r="J151" i="13"/>
  <c r="O150" i="13"/>
  <c r="M150" i="13"/>
  <c r="K150" i="13"/>
  <c r="Q150" i="13" s="1"/>
  <c r="R150" i="13" s="1"/>
  <c r="J150" i="13"/>
  <c r="O149" i="13"/>
  <c r="M149" i="13"/>
  <c r="K149" i="13"/>
  <c r="Q149" i="13" s="1"/>
  <c r="R149" i="13" s="1"/>
  <c r="J149" i="13"/>
  <c r="O148" i="13"/>
  <c r="M148" i="13"/>
  <c r="K148" i="13"/>
  <c r="Q148" i="13" s="1"/>
  <c r="R148" i="13" s="1"/>
  <c r="J148" i="13"/>
  <c r="O147" i="13"/>
  <c r="M147" i="13"/>
  <c r="K147" i="13"/>
  <c r="J147" i="13"/>
  <c r="O146" i="13"/>
  <c r="M146" i="13"/>
  <c r="K146" i="13"/>
  <c r="P146" i="13" s="1"/>
  <c r="J146" i="13"/>
  <c r="O145" i="13"/>
  <c r="M145" i="13"/>
  <c r="K145" i="13"/>
  <c r="J145" i="13"/>
  <c r="O144" i="13"/>
  <c r="M144" i="13"/>
  <c r="K144" i="13"/>
  <c r="Q144" i="13" s="1"/>
  <c r="R144" i="13" s="1"/>
  <c r="J144" i="13"/>
  <c r="O143" i="13"/>
  <c r="M143" i="13"/>
  <c r="K143" i="13"/>
  <c r="Q143" i="13" s="1"/>
  <c r="R143" i="13" s="1"/>
  <c r="J143" i="13"/>
  <c r="O142" i="13"/>
  <c r="M142" i="13"/>
  <c r="K142" i="13"/>
  <c r="P142" i="13" s="1"/>
  <c r="J142" i="13"/>
  <c r="O141" i="13"/>
  <c r="M141" i="13"/>
  <c r="K141" i="13"/>
  <c r="Q141" i="13" s="1"/>
  <c r="R141" i="13" s="1"/>
  <c r="J141" i="13"/>
  <c r="O140" i="13"/>
  <c r="M140" i="13"/>
  <c r="K140" i="13"/>
  <c r="Q140" i="13" s="1"/>
  <c r="R140" i="13" s="1"/>
  <c r="J140" i="13"/>
  <c r="O139" i="13"/>
  <c r="M139" i="13"/>
  <c r="K139" i="13"/>
  <c r="P139" i="13" s="1"/>
  <c r="J139" i="13"/>
  <c r="O138" i="13"/>
  <c r="M138" i="13"/>
  <c r="K138" i="13"/>
  <c r="P138" i="13" s="1"/>
  <c r="J138" i="13"/>
  <c r="O137" i="13"/>
  <c r="M137" i="13"/>
  <c r="K137" i="13"/>
  <c r="Q137" i="13" s="1"/>
  <c r="R137" i="13" s="1"/>
  <c r="J137" i="13"/>
  <c r="O136" i="13"/>
  <c r="M136" i="13"/>
  <c r="K136" i="13"/>
  <c r="Q136" i="13" s="1"/>
  <c r="R136" i="13" s="1"/>
  <c r="J136" i="13"/>
  <c r="O135" i="13"/>
  <c r="M135" i="13"/>
  <c r="K135" i="13"/>
  <c r="P135" i="13" s="1"/>
  <c r="J135" i="13"/>
  <c r="O134" i="13"/>
  <c r="M134" i="13"/>
  <c r="K134" i="13"/>
  <c r="J134" i="13"/>
  <c r="O133" i="13"/>
  <c r="M133" i="13"/>
  <c r="K133" i="13"/>
  <c r="P133" i="13" s="1"/>
  <c r="J133" i="13"/>
  <c r="O132" i="13"/>
  <c r="M132" i="13"/>
  <c r="K132" i="13"/>
  <c r="P132" i="13" s="1"/>
  <c r="J132" i="13"/>
  <c r="O131" i="13"/>
  <c r="M131" i="13"/>
  <c r="K131" i="13"/>
  <c r="Q131" i="13" s="1"/>
  <c r="R131" i="13" s="1"/>
  <c r="J131" i="13"/>
  <c r="O130" i="13"/>
  <c r="M130" i="13"/>
  <c r="K130" i="13"/>
  <c r="Q130" i="13" s="1"/>
  <c r="J130" i="13"/>
  <c r="O129" i="13"/>
  <c r="M129" i="13"/>
  <c r="K129" i="13"/>
  <c r="Q129" i="13" s="1"/>
  <c r="R129" i="13" s="1"/>
  <c r="J129" i="13"/>
  <c r="O128" i="13"/>
  <c r="M128" i="13"/>
  <c r="K128" i="13"/>
  <c r="Q128" i="13" s="1"/>
  <c r="J128" i="13"/>
  <c r="O127" i="13"/>
  <c r="M127" i="13"/>
  <c r="K127" i="13"/>
  <c r="J127" i="13"/>
  <c r="O126" i="13"/>
  <c r="M126" i="13"/>
  <c r="K126" i="13"/>
  <c r="P126" i="13" s="1"/>
  <c r="J126" i="13"/>
  <c r="O125" i="13"/>
  <c r="M125" i="13"/>
  <c r="K125" i="13"/>
  <c r="J125" i="13"/>
  <c r="O124" i="13"/>
  <c r="M124" i="13"/>
  <c r="K124" i="13"/>
  <c r="Q124" i="13" s="1"/>
  <c r="R124" i="13" s="1"/>
  <c r="J124" i="13"/>
  <c r="O123" i="13"/>
  <c r="M123" i="13"/>
  <c r="K123" i="13"/>
  <c r="J123" i="13"/>
  <c r="O122" i="13"/>
  <c r="M122" i="13"/>
  <c r="K122" i="13"/>
  <c r="Q122" i="13" s="1"/>
  <c r="R122" i="13" s="1"/>
  <c r="J122" i="13"/>
  <c r="O121" i="13"/>
  <c r="M121" i="13"/>
  <c r="K121" i="13"/>
  <c r="J121" i="13"/>
  <c r="O120" i="13"/>
  <c r="M120" i="13"/>
  <c r="K120" i="13"/>
  <c r="Q120" i="13" s="1"/>
  <c r="R120" i="13" s="1"/>
  <c r="J120" i="13"/>
  <c r="O119" i="13"/>
  <c r="M119" i="13"/>
  <c r="K119" i="13"/>
  <c r="P119" i="13" s="1"/>
  <c r="J119" i="13"/>
  <c r="O118" i="13"/>
  <c r="M118" i="13"/>
  <c r="K118" i="13"/>
  <c r="J118" i="13"/>
  <c r="O117" i="13"/>
  <c r="M117" i="13"/>
  <c r="K117" i="13"/>
  <c r="Q117" i="13" s="1"/>
  <c r="R117" i="13" s="1"/>
  <c r="J117" i="13"/>
  <c r="O116" i="13"/>
  <c r="M116" i="13"/>
  <c r="K116" i="13"/>
  <c r="J116" i="13"/>
  <c r="O115" i="13"/>
  <c r="M115" i="13"/>
  <c r="K115" i="13"/>
  <c r="Q115" i="13" s="1"/>
  <c r="R115" i="13" s="1"/>
  <c r="J115" i="13"/>
  <c r="O114" i="13"/>
  <c r="M114" i="13"/>
  <c r="K114" i="13"/>
  <c r="J114" i="13"/>
  <c r="O113" i="13"/>
  <c r="M113" i="13"/>
  <c r="K113" i="13"/>
  <c r="P113" i="13" s="1"/>
  <c r="J113" i="13"/>
  <c r="O112" i="13"/>
  <c r="M112" i="13"/>
  <c r="K112" i="13"/>
  <c r="Q112" i="13" s="1"/>
  <c r="R112" i="13" s="1"/>
  <c r="J112" i="13"/>
  <c r="O111" i="13"/>
  <c r="M111" i="13"/>
  <c r="K111" i="13"/>
  <c r="P111" i="13" s="1"/>
  <c r="J111" i="13"/>
  <c r="O110" i="13"/>
  <c r="M110" i="13"/>
  <c r="K110" i="13"/>
  <c r="Q110" i="13" s="1"/>
  <c r="R110" i="13" s="1"/>
  <c r="J110" i="13"/>
  <c r="O109" i="13"/>
  <c r="M109" i="13"/>
  <c r="K109" i="13"/>
  <c r="Q109" i="13" s="1"/>
  <c r="R109" i="13" s="1"/>
  <c r="J109" i="13"/>
  <c r="O108" i="13"/>
  <c r="M108" i="13"/>
  <c r="K108" i="13"/>
  <c r="P108" i="13" s="1"/>
  <c r="J108" i="13"/>
  <c r="O107" i="13"/>
  <c r="M107" i="13"/>
  <c r="K107" i="13"/>
  <c r="J107" i="13"/>
  <c r="O106" i="13"/>
  <c r="M106" i="13"/>
  <c r="K106" i="13"/>
  <c r="P106" i="13" s="1"/>
  <c r="J106" i="13"/>
  <c r="O105" i="13"/>
  <c r="M105" i="13"/>
  <c r="K105" i="13"/>
  <c r="J105" i="13"/>
  <c r="O104" i="13"/>
  <c r="M104" i="13"/>
  <c r="K104" i="13"/>
  <c r="P104" i="13" s="1"/>
  <c r="J104" i="13"/>
  <c r="O103" i="13"/>
  <c r="M103" i="13"/>
  <c r="K103" i="13"/>
  <c r="Q103" i="13" s="1"/>
  <c r="R103" i="13" s="1"/>
  <c r="J103" i="13"/>
  <c r="O102" i="13"/>
  <c r="M102" i="13"/>
  <c r="K102" i="13"/>
  <c r="P102" i="13" s="1"/>
  <c r="J102" i="13"/>
  <c r="O101" i="13"/>
  <c r="M101" i="13"/>
  <c r="K101" i="13"/>
  <c r="Q101" i="13" s="1"/>
  <c r="R101" i="13" s="1"/>
  <c r="J101" i="13"/>
  <c r="O100" i="13"/>
  <c r="M100" i="13"/>
  <c r="K100" i="13"/>
  <c r="Q100" i="13" s="1"/>
  <c r="R100" i="13" s="1"/>
  <c r="J100" i="13"/>
  <c r="O99" i="13"/>
  <c r="M99" i="13"/>
  <c r="K99" i="13"/>
  <c r="Q99" i="13" s="1"/>
  <c r="R99" i="13" s="1"/>
  <c r="J99" i="13"/>
  <c r="O98" i="13"/>
  <c r="M98" i="13"/>
  <c r="K98" i="13"/>
  <c r="J98" i="13"/>
  <c r="O97" i="13"/>
  <c r="M97" i="13"/>
  <c r="K97" i="13"/>
  <c r="P97" i="13" s="1"/>
  <c r="J97" i="13"/>
  <c r="O96" i="13"/>
  <c r="M96" i="13"/>
  <c r="K96" i="13"/>
  <c r="J96" i="13"/>
  <c r="O95" i="13"/>
  <c r="M95" i="13"/>
  <c r="K95" i="13"/>
  <c r="Q95" i="13" s="1"/>
  <c r="R95" i="13" s="1"/>
  <c r="J95" i="13"/>
  <c r="O94" i="13"/>
  <c r="M94" i="13"/>
  <c r="K94" i="13"/>
  <c r="Q94" i="13" s="1"/>
  <c r="R94" i="13" s="1"/>
  <c r="J94" i="13"/>
  <c r="O93" i="13"/>
  <c r="M93" i="13"/>
  <c r="K93" i="13"/>
  <c r="P93" i="13" s="1"/>
  <c r="J93" i="13"/>
  <c r="O92" i="13"/>
  <c r="M92" i="13"/>
  <c r="K92" i="13"/>
  <c r="Q92" i="13" s="1"/>
  <c r="R92" i="13" s="1"/>
  <c r="J92" i="13"/>
  <c r="O91" i="13"/>
  <c r="M91" i="13"/>
  <c r="K91" i="13"/>
  <c r="Q91" i="13" s="1"/>
  <c r="R91" i="13" s="1"/>
  <c r="J91" i="13"/>
  <c r="O90" i="13"/>
  <c r="M90" i="13"/>
  <c r="K90" i="13"/>
  <c r="P90" i="13" s="1"/>
  <c r="J90" i="13"/>
  <c r="O89" i="13"/>
  <c r="M89" i="13"/>
  <c r="K89" i="13"/>
  <c r="P89" i="13" s="1"/>
  <c r="J89" i="13"/>
  <c r="O88" i="13"/>
  <c r="M88" i="13"/>
  <c r="K88" i="13"/>
  <c r="Q88" i="13" s="1"/>
  <c r="R88" i="13" s="1"/>
  <c r="J88" i="13"/>
  <c r="O87" i="13"/>
  <c r="M87" i="13"/>
  <c r="K87" i="13"/>
  <c r="Q87" i="13" s="1"/>
  <c r="R87" i="13" s="1"/>
  <c r="J87" i="13"/>
  <c r="O86" i="13"/>
  <c r="M86" i="13"/>
  <c r="K86" i="13"/>
  <c r="Q86" i="13" s="1"/>
  <c r="R86" i="13" s="1"/>
  <c r="J86" i="13"/>
  <c r="O85" i="13"/>
  <c r="M85" i="13"/>
  <c r="K85" i="13"/>
  <c r="J85" i="13"/>
  <c r="O84" i="13"/>
  <c r="M84" i="13"/>
  <c r="K84" i="13"/>
  <c r="P84" i="13" s="1"/>
  <c r="J84" i="13"/>
  <c r="O83" i="13"/>
  <c r="M83" i="13"/>
  <c r="K83" i="13"/>
  <c r="P83" i="13" s="1"/>
  <c r="J83" i="13"/>
  <c r="O82" i="13"/>
  <c r="M82" i="13"/>
  <c r="K82" i="13"/>
  <c r="Q82" i="13" s="1"/>
  <c r="R82" i="13" s="1"/>
  <c r="J82" i="13"/>
  <c r="O81" i="13"/>
  <c r="M81" i="13"/>
  <c r="K81" i="13"/>
  <c r="Q81" i="13" s="1"/>
  <c r="J81" i="13"/>
  <c r="O80" i="13"/>
  <c r="M80" i="13"/>
  <c r="K80" i="13"/>
  <c r="P80" i="13" s="1"/>
  <c r="J80" i="13"/>
  <c r="O79" i="13"/>
  <c r="M79" i="13"/>
  <c r="K79" i="13"/>
  <c r="Q79" i="13" s="1"/>
  <c r="R79" i="13" s="1"/>
  <c r="J79" i="13"/>
  <c r="O78" i="13"/>
  <c r="M78" i="13"/>
  <c r="K78" i="13"/>
  <c r="J78" i="13"/>
  <c r="O77" i="13"/>
  <c r="M77" i="13"/>
  <c r="K77" i="13"/>
  <c r="Q77" i="13" s="1"/>
  <c r="R77" i="13" s="1"/>
  <c r="J77" i="13"/>
  <c r="O76" i="13"/>
  <c r="M76" i="13"/>
  <c r="K76" i="13"/>
  <c r="J76" i="13"/>
  <c r="O75" i="13"/>
  <c r="M75" i="13"/>
  <c r="K75" i="13"/>
  <c r="P75" i="13" s="1"/>
  <c r="J75" i="13"/>
  <c r="O74" i="13"/>
  <c r="M74" i="13"/>
  <c r="K74" i="13"/>
  <c r="Q74" i="13" s="1"/>
  <c r="R74" i="13" s="1"/>
  <c r="J74" i="13"/>
  <c r="O73" i="13"/>
  <c r="M73" i="13"/>
  <c r="K73" i="13"/>
  <c r="Q73" i="13" s="1"/>
  <c r="R73" i="13" s="1"/>
  <c r="J73" i="13"/>
  <c r="O72" i="13"/>
  <c r="M72" i="13"/>
  <c r="K72" i="13"/>
  <c r="Q72" i="13" s="1"/>
  <c r="R72" i="13" s="1"/>
  <c r="J72" i="13"/>
  <c r="O71" i="13"/>
  <c r="M71" i="13"/>
  <c r="K71" i="13"/>
  <c r="Q71" i="13" s="1"/>
  <c r="R71" i="13" s="1"/>
  <c r="J71" i="13"/>
  <c r="O70" i="13"/>
  <c r="M70" i="13"/>
  <c r="K70" i="13"/>
  <c r="Q70" i="13" s="1"/>
  <c r="R70" i="13" s="1"/>
  <c r="J70" i="13"/>
  <c r="O69" i="13"/>
  <c r="M69" i="13"/>
  <c r="K69" i="13"/>
  <c r="J69" i="13"/>
  <c r="O68" i="13"/>
  <c r="M68" i="13"/>
  <c r="K68" i="13"/>
  <c r="Q68" i="13" s="1"/>
  <c r="R68" i="13" s="1"/>
  <c r="J68" i="13"/>
  <c r="O67" i="13"/>
  <c r="M67" i="13"/>
  <c r="K67" i="13"/>
  <c r="J67" i="13"/>
  <c r="O66" i="13"/>
  <c r="M66" i="13"/>
  <c r="K66" i="13"/>
  <c r="Q66" i="13" s="1"/>
  <c r="R66" i="13" s="1"/>
  <c r="J66" i="13"/>
  <c r="O65" i="13"/>
  <c r="M65" i="13"/>
  <c r="K65" i="13"/>
  <c r="Q65" i="13" s="1"/>
  <c r="R65" i="13" s="1"/>
  <c r="J65" i="13"/>
  <c r="O64" i="13"/>
  <c r="M64" i="13"/>
  <c r="K64" i="13"/>
  <c r="P64" i="13" s="1"/>
  <c r="J64" i="13"/>
  <c r="O63" i="13"/>
  <c r="M63" i="13"/>
  <c r="K63" i="13"/>
  <c r="Q63" i="13" s="1"/>
  <c r="R63" i="13" s="1"/>
  <c r="J63" i="13"/>
  <c r="O62" i="13"/>
  <c r="M62" i="13"/>
  <c r="K62" i="13"/>
  <c r="P62" i="13" s="1"/>
  <c r="J62" i="13"/>
  <c r="O61" i="13"/>
  <c r="M61" i="13"/>
  <c r="K61" i="13"/>
  <c r="Q61" i="13" s="1"/>
  <c r="R61" i="13" s="1"/>
  <c r="J61" i="13"/>
  <c r="O60" i="13"/>
  <c r="M60" i="13"/>
  <c r="K60" i="13"/>
  <c r="Q60" i="13" s="1"/>
  <c r="R60" i="13" s="1"/>
  <c r="J60" i="13"/>
  <c r="O59" i="13"/>
  <c r="M59" i="13"/>
  <c r="K59" i="13"/>
  <c r="Q59" i="13" s="1"/>
  <c r="R59" i="13" s="1"/>
  <c r="J59" i="13"/>
  <c r="O58" i="13"/>
  <c r="M58" i="13"/>
  <c r="K58" i="13"/>
  <c r="J58" i="13"/>
  <c r="O57" i="13"/>
  <c r="M57" i="13"/>
  <c r="K57" i="13"/>
  <c r="P57" i="13" s="1"/>
  <c r="J57" i="13"/>
  <c r="O56" i="13"/>
  <c r="M56" i="13"/>
  <c r="K56" i="13"/>
  <c r="Q56" i="13" s="1"/>
  <c r="R56" i="13" s="1"/>
  <c r="J56" i="13"/>
  <c r="O55" i="13"/>
  <c r="M55" i="13"/>
  <c r="K55" i="13"/>
  <c r="P55" i="13" s="1"/>
  <c r="J55" i="13"/>
  <c r="O54" i="13"/>
  <c r="M54" i="13"/>
  <c r="K54" i="13"/>
  <c r="Q54" i="13" s="1"/>
  <c r="R54" i="13" s="1"/>
  <c r="J54" i="13"/>
  <c r="O53" i="13"/>
  <c r="M53" i="13"/>
  <c r="K53" i="13"/>
  <c r="P53" i="13" s="1"/>
  <c r="J53" i="13"/>
  <c r="O52" i="13"/>
  <c r="M52" i="13"/>
  <c r="K52" i="13"/>
  <c r="P52" i="13" s="1"/>
  <c r="J52" i="13"/>
  <c r="O51" i="13"/>
  <c r="M51" i="13"/>
  <c r="K51" i="13"/>
  <c r="Q51" i="13" s="1"/>
  <c r="R51" i="13" s="1"/>
  <c r="J51" i="13"/>
  <c r="O50" i="13"/>
  <c r="M50" i="13"/>
  <c r="K50" i="13"/>
  <c r="Q50" i="13" s="1"/>
  <c r="R50" i="13" s="1"/>
  <c r="J50" i="13"/>
  <c r="O49" i="13"/>
  <c r="M49" i="13"/>
  <c r="K49" i="13"/>
  <c r="J49" i="13"/>
  <c r="O48" i="13"/>
  <c r="M48" i="13"/>
  <c r="K48" i="13"/>
  <c r="P48" i="13" s="1"/>
  <c r="J48" i="13"/>
  <c r="O47" i="13"/>
  <c r="M47" i="13"/>
  <c r="K47" i="13"/>
  <c r="J47" i="13"/>
  <c r="O46" i="13"/>
  <c r="M46" i="13"/>
  <c r="K46" i="13"/>
  <c r="Q46" i="13" s="1"/>
  <c r="R46" i="13" s="1"/>
  <c r="J46" i="13"/>
  <c r="O45" i="13"/>
  <c r="M45" i="13"/>
  <c r="K45" i="13"/>
  <c r="Q45" i="13" s="1"/>
  <c r="R45" i="13" s="1"/>
  <c r="J45" i="13"/>
  <c r="O44" i="13"/>
  <c r="M44" i="13"/>
  <c r="K44" i="13"/>
  <c r="P44" i="13" s="1"/>
  <c r="J44" i="13"/>
  <c r="O43" i="13"/>
  <c r="M43" i="13"/>
  <c r="K43" i="13"/>
  <c r="Q43" i="13" s="1"/>
  <c r="R43" i="13" s="1"/>
  <c r="J43" i="13"/>
  <c r="O42" i="13"/>
  <c r="M42" i="13"/>
  <c r="K42" i="13"/>
  <c r="P42" i="13" s="1"/>
  <c r="J42" i="13"/>
  <c r="O41" i="13"/>
  <c r="M41" i="13"/>
  <c r="K41" i="13"/>
  <c r="P41" i="13" s="1"/>
  <c r="J41" i="13"/>
  <c r="O40" i="13"/>
  <c r="M40" i="13"/>
  <c r="K40" i="13"/>
  <c r="P40" i="13" s="1"/>
  <c r="J40" i="13"/>
  <c r="O39" i="13"/>
  <c r="M39" i="13"/>
  <c r="K39" i="13"/>
  <c r="Q39" i="13" s="1"/>
  <c r="R39" i="13" s="1"/>
  <c r="J39" i="13"/>
  <c r="O38" i="13"/>
  <c r="M38" i="13"/>
  <c r="K38" i="13"/>
  <c r="P38" i="13" s="1"/>
  <c r="J38" i="13"/>
  <c r="O37" i="13"/>
  <c r="M37" i="13"/>
  <c r="K37" i="13"/>
  <c r="Q37" i="13" s="1"/>
  <c r="R37" i="13" s="1"/>
  <c r="J37" i="13"/>
  <c r="O36" i="13"/>
  <c r="M36" i="13"/>
  <c r="K36" i="13"/>
  <c r="Q36" i="13" s="1"/>
  <c r="R36" i="13" s="1"/>
  <c r="J36" i="13"/>
  <c r="O35" i="13"/>
  <c r="M35" i="13"/>
  <c r="K35" i="13"/>
  <c r="P35" i="13" s="1"/>
  <c r="J35" i="13"/>
  <c r="O34" i="13"/>
  <c r="M34" i="13"/>
  <c r="K34" i="13"/>
  <c r="P34" i="13" s="1"/>
  <c r="J34" i="13"/>
  <c r="O33" i="13"/>
  <c r="M33" i="13"/>
  <c r="K33" i="13"/>
  <c r="Q33" i="13" s="1"/>
  <c r="R33" i="13" s="1"/>
  <c r="J33" i="13"/>
  <c r="O32" i="13"/>
  <c r="M32" i="13"/>
  <c r="K32" i="13"/>
  <c r="Q32" i="13" s="1"/>
  <c r="R32" i="13" s="1"/>
  <c r="J32" i="13"/>
  <c r="O31" i="13"/>
  <c r="M31" i="13"/>
  <c r="K31" i="13"/>
  <c r="P31" i="13" s="1"/>
  <c r="J31" i="13"/>
  <c r="O30" i="13"/>
  <c r="M30" i="13"/>
  <c r="K30" i="13"/>
  <c r="Q30" i="13" s="1"/>
  <c r="J30" i="13"/>
  <c r="O29" i="13"/>
  <c r="M29" i="13"/>
  <c r="K29" i="13"/>
  <c r="J29" i="13"/>
  <c r="O28" i="13"/>
  <c r="M28" i="13"/>
  <c r="K28" i="13"/>
  <c r="Q28" i="13" s="1"/>
  <c r="R28" i="13" s="1"/>
  <c r="J28" i="13"/>
  <c r="O27" i="13"/>
  <c r="M27" i="13"/>
  <c r="K27" i="13"/>
  <c r="J27" i="13"/>
  <c r="O26" i="13"/>
  <c r="M26" i="13"/>
  <c r="K26" i="13"/>
  <c r="Q26" i="13" s="1"/>
  <c r="R26" i="13" s="1"/>
  <c r="J26" i="13"/>
  <c r="O25" i="13"/>
  <c r="M25" i="13"/>
  <c r="K25" i="13"/>
  <c r="Q25" i="13" s="1"/>
  <c r="R25" i="13" s="1"/>
  <c r="J25" i="13"/>
  <c r="O24" i="13"/>
  <c r="M24" i="13"/>
  <c r="K24" i="13"/>
  <c r="Q24" i="13" s="1"/>
  <c r="R24" i="13" s="1"/>
  <c r="J24" i="13"/>
  <c r="O23" i="13"/>
  <c r="M23" i="13"/>
  <c r="K23" i="13"/>
  <c r="Q23" i="13" s="1"/>
  <c r="R23" i="13" s="1"/>
  <c r="J23" i="13"/>
  <c r="O22" i="13"/>
  <c r="M22" i="13"/>
  <c r="K22" i="13"/>
  <c r="Q22" i="13" s="1"/>
  <c r="R22" i="13" s="1"/>
  <c r="J22" i="13"/>
  <c r="O21" i="13"/>
  <c r="M21" i="13"/>
  <c r="K21" i="13"/>
  <c r="Q21" i="13" s="1"/>
  <c r="R21" i="13" s="1"/>
  <c r="J21" i="13"/>
  <c r="O20" i="13"/>
  <c r="M20" i="13"/>
  <c r="K20" i="13"/>
  <c r="J20" i="13"/>
  <c r="O19" i="13"/>
  <c r="M19" i="13"/>
  <c r="K19" i="13"/>
  <c r="Q19" i="13" s="1"/>
  <c r="J19" i="13"/>
  <c r="O18" i="13"/>
  <c r="M18" i="13"/>
  <c r="K18" i="13"/>
  <c r="J18" i="13"/>
  <c r="O17" i="13"/>
  <c r="M17" i="13"/>
  <c r="K17" i="13"/>
  <c r="Q17" i="13" s="1"/>
  <c r="R17" i="13" s="1"/>
  <c r="J17" i="13"/>
  <c r="O16" i="13"/>
  <c r="M16" i="13"/>
  <c r="K16" i="13"/>
  <c r="Q16" i="13" s="1"/>
  <c r="J16" i="13"/>
  <c r="O15" i="13"/>
  <c r="M15" i="13"/>
  <c r="K15" i="13"/>
  <c r="P15" i="13" s="1"/>
  <c r="J15" i="13"/>
  <c r="O14" i="13"/>
  <c r="M14" i="13"/>
  <c r="K14" i="13"/>
  <c r="Q14" i="13" s="1"/>
  <c r="R14" i="13" s="1"/>
  <c r="J14" i="13"/>
  <c r="O13" i="13"/>
  <c r="M13" i="13"/>
  <c r="K13" i="13"/>
  <c r="Q13" i="13" s="1"/>
  <c r="R13" i="13" s="1"/>
  <c r="J13" i="13"/>
  <c r="O12" i="13"/>
  <c r="M12" i="13"/>
  <c r="K12" i="13"/>
  <c r="Q12" i="13" s="1"/>
  <c r="J12" i="13"/>
  <c r="O11" i="13"/>
  <c r="M11" i="13"/>
  <c r="K11" i="13"/>
  <c r="J11" i="13"/>
  <c r="O10" i="13"/>
  <c r="M10" i="13"/>
  <c r="K10" i="13"/>
  <c r="P10" i="13" s="1"/>
  <c r="J10" i="13"/>
  <c r="O9" i="13"/>
  <c r="M9" i="13"/>
  <c r="K9" i="13"/>
  <c r="Q9" i="13" s="1"/>
  <c r="J9" i="13"/>
  <c r="O8" i="13"/>
  <c r="M8" i="13"/>
  <c r="K8" i="13"/>
  <c r="P8" i="13" s="1"/>
  <c r="J8" i="13"/>
  <c r="O7" i="13"/>
  <c r="M7" i="13"/>
  <c r="K7" i="13"/>
  <c r="P7" i="13" s="1"/>
  <c r="J7" i="13"/>
  <c r="O6" i="13"/>
  <c r="M6" i="13"/>
  <c r="K6" i="13"/>
  <c r="Q6" i="13" s="1"/>
  <c r="J6" i="13"/>
  <c r="O5" i="13"/>
  <c r="M5" i="13"/>
  <c r="K5" i="13"/>
  <c r="Q5" i="13" s="1"/>
  <c r="R5" i="13" s="1"/>
  <c r="J5" i="13"/>
  <c r="O4" i="13"/>
  <c r="M4" i="13"/>
  <c r="K4" i="13"/>
  <c r="J4" i="13"/>
  <c r="H1" i="13"/>
  <c r="G1" i="13"/>
  <c r="H1" i="9"/>
  <c r="G1" i="9"/>
  <c r="J1" i="9" s="1"/>
  <c r="H1" i="8"/>
  <c r="G1" i="8"/>
  <c r="H1" i="7"/>
  <c r="G1" i="7"/>
  <c r="I1" i="7" s="1"/>
  <c r="H1" i="6"/>
  <c r="G1" i="6"/>
  <c r="I1" i="6" s="1"/>
  <c r="H1" i="5"/>
  <c r="G1" i="5"/>
  <c r="H1" i="2"/>
  <c r="G1" i="2"/>
  <c r="O312" i="12"/>
  <c r="M312" i="12"/>
  <c r="K312" i="12"/>
  <c r="J312" i="12"/>
  <c r="O311" i="12"/>
  <c r="M311" i="12"/>
  <c r="K311" i="12"/>
  <c r="Q311" i="12" s="1"/>
  <c r="J311" i="12"/>
  <c r="O310" i="12"/>
  <c r="M310" i="12"/>
  <c r="K310" i="12"/>
  <c r="Q310" i="12" s="1"/>
  <c r="J310" i="12"/>
  <c r="O309" i="12"/>
  <c r="M309" i="12"/>
  <c r="K309" i="12"/>
  <c r="Q309" i="12" s="1"/>
  <c r="J309" i="12"/>
  <c r="O308" i="12"/>
  <c r="M308" i="12"/>
  <c r="K308" i="12"/>
  <c r="J308" i="12"/>
  <c r="O307" i="12"/>
  <c r="M307" i="12"/>
  <c r="K307" i="12"/>
  <c r="Q307" i="12" s="1"/>
  <c r="J307" i="12"/>
  <c r="O306" i="12"/>
  <c r="M306" i="12"/>
  <c r="K306" i="12"/>
  <c r="Q306" i="12" s="1"/>
  <c r="J306" i="12"/>
  <c r="O305" i="12"/>
  <c r="M305" i="12"/>
  <c r="K305" i="12"/>
  <c r="Q305" i="12" s="1"/>
  <c r="J305" i="12"/>
  <c r="O304" i="12"/>
  <c r="M304" i="12"/>
  <c r="K304" i="12"/>
  <c r="Q304" i="12" s="1"/>
  <c r="J304" i="12"/>
  <c r="O303" i="12"/>
  <c r="M303" i="12"/>
  <c r="K303" i="12"/>
  <c r="J303" i="12"/>
  <c r="O302" i="12"/>
  <c r="M302" i="12"/>
  <c r="K302" i="12"/>
  <c r="Q302" i="12" s="1"/>
  <c r="J302" i="12"/>
  <c r="O301" i="12"/>
  <c r="M301" i="12"/>
  <c r="K301" i="12"/>
  <c r="Q301" i="12" s="1"/>
  <c r="J301" i="12"/>
  <c r="O300" i="12"/>
  <c r="M300" i="12"/>
  <c r="K300" i="12"/>
  <c r="J300" i="12"/>
  <c r="O299" i="12"/>
  <c r="M299" i="12"/>
  <c r="K299" i="12"/>
  <c r="J299" i="12"/>
  <c r="O298" i="12"/>
  <c r="M298" i="12"/>
  <c r="K298" i="12"/>
  <c r="J298" i="12"/>
  <c r="O297" i="12"/>
  <c r="M297" i="12"/>
  <c r="K297" i="12"/>
  <c r="Q297" i="12" s="1"/>
  <c r="J297" i="12"/>
  <c r="O296" i="12"/>
  <c r="M296" i="12"/>
  <c r="K296" i="12"/>
  <c r="Q296" i="12" s="1"/>
  <c r="J296" i="12"/>
  <c r="O295" i="12"/>
  <c r="M295" i="12"/>
  <c r="K295" i="12"/>
  <c r="Q295" i="12" s="1"/>
  <c r="J295" i="12"/>
  <c r="O294" i="12"/>
  <c r="M294" i="12"/>
  <c r="K294" i="12"/>
  <c r="Q294" i="12" s="1"/>
  <c r="J294" i="12"/>
  <c r="O293" i="12"/>
  <c r="M293" i="12"/>
  <c r="K293" i="12"/>
  <c r="J293" i="12"/>
  <c r="O292" i="12"/>
  <c r="M292" i="12"/>
  <c r="K292" i="12"/>
  <c r="Q292" i="12" s="1"/>
  <c r="J292" i="12"/>
  <c r="O291" i="12"/>
  <c r="M291" i="12"/>
  <c r="K291" i="12"/>
  <c r="J291" i="12"/>
  <c r="O290" i="12"/>
  <c r="M290" i="12"/>
  <c r="K290" i="12"/>
  <c r="Q290" i="12" s="1"/>
  <c r="R290" i="12" s="1"/>
  <c r="J290" i="12"/>
  <c r="O289" i="12"/>
  <c r="M289" i="12"/>
  <c r="K289" i="12"/>
  <c r="J289" i="12"/>
  <c r="O288" i="12"/>
  <c r="M288" i="12"/>
  <c r="K288" i="12"/>
  <c r="Q288" i="12" s="1"/>
  <c r="J288" i="12"/>
  <c r="O287" i="12"/>
  <c r="M287" i="12"/>
  <c r="K287" i="12"/>
  <c r="J287" i="12"/>
  <c r="O286" i="12"/>
  <c r="M286" i="12"/>
  <c r="K286" i="12"/>
  <c r="Q286" i="12" s="1"/>
  <c r="J286" i="12"/>
  <c r="O285" i="12"/>
  <c r="M285" i="12"/>
  <c r="K285" i="12"/>
  <c r="J285" i="12"/>
  <c r="O284" i="12"/>
  <c r="M284" i="12"/>
  <c r="K284" i="12"/>
  <c r="Q284" i="12" s="1"/>
  <c r="J284" i="12"/>
  <c r="O283" i="12"/>
  <c r="M283" i="12"/>
  <c r="K283" i="12"/>
  <c r="Q283" i="12" s="1"/>
  <c r="J283" i="12"/>
  <c r="O282" i="12"/>
  <c r="M282" i="12"/>
  <c r="K282" i="12"/>
  <c r="Q282" i="12" s="1"/>
  <c r="J282" i="12"/>
  <c r="O281" i="12"/>
  <c r="M281" i="12"/>
  <c r="K281" i="12"/>
  <c r="J281" i="12"/>
  <c r="O280" i="12"/>
  <c r="M280" i="12"/>
  <c r="K280" i="12"/>
  <c r="P280" i="12" s="1"/>
  <c r="J280" i="12"/>
  <c r="O279" i="12"/>
  <c r="M279" i="12"/>
  <c r="K279" i="12"/>
  <c r="J279" i="12"/>
  <c r="O278" i="12"/>
  <c r="M278" i="12"/>
  <c r="K278" i="12"/>
  <c r="P278" i="12" s="1"/>
  <c r="J278" i="12"/>
  <c r="O277" i="12"/>
  <c r="M277" i="12"/>
  <c r="K277" i="12"/>
  <c r="J277" i="12"/>
  <c r="O276" i="12"/>
  <c r="M276" i="12"/>
  <c r="K276" i="12"/>
  <c r="P276" i="12" s="1"/>
  <c r="J276" i="12"/>
  <c r="O275" i="12"/>
  <c r="M275" i="12"/>
  <c r="K275" i="12"/>
  <c r="J275" i="12"/>
  <c r="O274" i="12"/>
  <c r="M274" i="12"/>
  <c r="K274" i="12"/>
  <c r="Q274" i="12" s="1"/>
  <c r="R274" i="12" s="1"/>
  <c r="J274" i="12"/>
  <c r="O273" i="12"/>
  <c r="M273" i="12"/>
  <c r="K273" i="12"/>
  <c r="Q273" i="12" s="1"/>
  <c r="J273" i="12"/>
  <c r="O272" i="12"/>
  <c r="M272" i="12"/>
  <c r="K272" i="12"/>
  <c r="Q272" i="12" s="1"/>
  <c r="J272" i="12"/>
  <c r="O271" i="12"/>
  <c r="M271" i="12"/>
  <c r="K271" i="12"/>
  <c r="Q271" i="12" s="1"/>
  <c r="J271" i="12"/>
  <c r="O270" i="12"/>
  <c r="M270" i="12"/>
  <c r="K270" i="12"/>
  <c r="Q270" i="12" s="1"/>
  <c r="J270" i="12"/>
  <c r="O269" i="12"/>
  <c r="M269" i="12"/>
  <c r="K269" i="12"/>
  <c r="Q269" i="12" s="1"/>
  <c r="J269" i="12"/>
  <c r="O268" i="12"/>
  <c r="M268" i="12"/>
  <c r="K268" i="12"/>
  <c r="Q268" i="12" s="1"/>
  <c r="J268" i="12"/>
  <c r="O267" i="12"/>
  <c r="M267" i="12"/>
  <c r="K267" i="12"/>
  <c r="Q267" i="12" s="1"/>
  <c r="J267" i="12"/>
  <c r="O266" i="12"/>
  <c r="M266" i="12"/>
  <c r="K266" i="12"/>
  <c r="Q266" i="12" s="1"/>
  <c r="J266" i="12"/>
  <c r="O265" i="12"/>
  <c r="M265" i="12"/>
  <c r="K265" i="12"/>
  <c r="J265" i="12"/>
  <c r="O264" i="12"/>
  <c r="M264" i="12"/>
  <c r="K264" i="12"/>
  <c r="Q264" i="12" s="1"/>
  <c r="R264" i="12" s="1"/>
  <c r="J264" i="12"/>
  <c r="O263" i="12"/>
  <c r="M263" i="12"/>
  <c r="K263" i="12"/>
  <c r="J263" i="12"/>
  <c r="O262" i="12"/>
  <c r="M262" i="12"/>
  <c r="K262" i="12"/>
  <c r="Q262" i="12" s="1"/>
  <c r="R262" i="12" s="1"/>
  <c r="J262" i="12"/>
  <c r="O261" i="12"/>
  <c r="M261" i="12"/>
  <c r="K261" i="12"/>
  <c r="Q261" i="12" s="1"/>
  <c r="R261" i="12" s="1"/>
  <c r="J261" i="12"/>
  <c r="O260" i="12"/>
  <c r="M260" i="12"/>
  <c r="K260" i="12"/>
  <c r="Q260" i="12" s="1"/>
  <c r="R260" i="12" s="1"/>
  <c r="J260" i="12"/>
  <c r="O259" i="12"/>
  <c r="M259" i="12"/>
  <c r="K259" i="12"/>
  <c r="J259" i="12"/>
  <c r="O258" i="12"/>
  <c r="M258" i="12"/>
  <c r="K258" i="12"/>
  <c r="J258" i="12"/>
  <c r="O257" i="12"/>
  <c r="M257" i="12"/>
  <c r="K257" i="12"/>
  <c r="Q257" i="12" s="1"/>
  <c r="R257" i="12" s="1"/>
  <c r="J257" i="12"/>
  <c r="O256" i="12"/>
  <c r="M256" i="12"/>
  <c r="K256" i="12"/>
  <c r="J256" i="12"/>
  <c r="O255" i="12"/>
  <c r="M255" i="12"/>
  <c r="K255" i="12"/>
  <c r="P255" i="12" s="1"/>
  <c r="J255" i="12"/>
  <c r="O254" i="12"/>
  <c r="M254" i="12"/>
  <c r="K254" i="12"/>
  <c r="J254" i="12"/>
  <c r="O253" i="12"/>
  <c r="M253" i="12"/>
  <c r="K253" i="12"/>
  <c r="Q253" i="12" s="1"/>
  <c r="R253" i="12" s="1"/>
  <c r="J253" i="12"/>
  <c r="O252" i="12"/>
  <c r="M252" i="12"/>
  <c r="K252" i="12"/>
  <c r="Q252" i="12" s="1"/>
  <c r="R252" i="12" s="1"/>
  <c r="J252" i="12"/>
  <c r="O251" i="12"/>
  <c r="M251" i="12"/>
  <c r="K251" i="12"/>
  <c r="J251" i="12"/>
  <c r="O250" i="12"/>
  <c r="M250" i="12"/>
  <c r="K250" i="12"/>
  <c r="J250" i="12"/>
  <c r="O249" i="12"/>
  <c r="M249" i="12"/>
  <c r="K249" i="12"/>
  <c r="J249" i="12"/>
  <c r="O248" i="12"/>
  <c r="M248" i="12"/>
  <c r="K248" i="12"/>
  <c r="Q248" i="12" s="1"/>
  <c r="R248" i="12" s="1"/>
  <c r="J248" i="12"/>
  <c r="O247" i="12"/>
  <c r="M247" i="12"/>
  <c r="K247" i="12"/>
  <c r="Q247" i="12" s="1"/>
  <c r="R247" i="12" s="1"/>
  <c r="J247" i="12"/>
  <c r="O246" i="12"/>
  <c r="M246" i="12"/>
  <c r="K246" i="12"/>
  <c r="Q246" i="12" s="1"/>
  <c r="R246" i="12" s="1"/>
  <c r="J246" i="12"/>
  <c r="O245" i="12"/>
  <c r="M245" i="12"/>
  <c r="K245" i="12"/>
  <c r="Q245" i="12" s="1"/>
  <c r="J245" i="12"/>
  <c r="O244" i="12"/>
  <c r="M244" i="12"/>
  <c r="K244" i="12"/>
  <c r="J244" i="12"/>
  <c r="O243" i="12"/>
  <c r="M243" i="12"/>
  <c r="K243" i="12"/>
  <c r="Q243" i="12" s="1"/>
  <c r="R243" i="12" s="1"/>
  <c r="J243" i="12"/>
  <c r="O242" i="12"/>
  <c r="M242" i="12"/>
  <c r="K242" i="12"/>
  <c r="P242" i="12" s="1"/>
  <c r="J242" i="12"/>
  <c r="O241" i="12"/>
  <c r="M241" i="12"/>
  <c r="K241" i="12"/>
  <c r="Q241" i="12" s="1"/>
  <c r="R241" i="12" s="1"/>
  <c r="J241" i="12"/>
  <c r="O240" i="12"/>
  <c r="M240" i="12"/>
  <c r="K240" i="12"/>
  <c r="J240" i="12"/>
  <c r="O239" i="12"/>
  <c r="M239" i="12"/>
  <c r="K239" i="12"/>
  <c r="Q239" i="12" s="1"/>
  <c r="R239" i="12" s="1"/>
  <c r="J239" i="12"/>
  <c r="O238" i="12"/>
  <c r="M238" i="12"/>
  <c r="K238" i="12"/>
  <c r="J238" i="12"/>
  <c r="O237" i="12"/>
  <c r="M237" i="12"/>
  <c r="K237" i="12"/>
  <c r="J237" i="12"/>
  <c r="O236" i="12"/>
  <c r="M236" i="12"/>
  <c r="K236" i="12"/>
  <c r="J236" i="12"/>
  <c r="O235" i="12"/>
  <c r="M235" i="12"/>
  <c r="K235" i="12"/>
  <c r="J235" i="12"/>
  <c r="O234" i="12"/>
  <c r="M234" i="12"/>
  <c r="K234" i="12"/>
  <c r="Q234" i="12" s="1"/>
  <c r="R234" i="12" s="1"/>
  <c r="J234" i="12"/>
  <c r="O233" i="12"/>
  <c r="M233" i="12"/>
  <c r="K233" i="12"/>
  <c r="Q233" i="12" s="1"/>
  <c r="R233" i="12" s="1"/>
  <c r="J233" i="12"/>
  <c r="O232" i="12"/>
  <c r="M232" i="12"/>
  <c r="K232" i="12"/>
  <c r="Q232" i="12" s="1"/>
  <c r="R232" i="12" s="1"/>
  <c r="J232" i="12"/>
  <c r="O231" i="12"/>
  <c r="M231" i="12"/>
  <c r="K231" i="12"/>
  <c r="Q231" i="12" s="1"/>
  <c r="R231" i="12" s="1"/>
  <c r="J231" i="12"/>
  <c r="O230" i="12"/>
  <c r="M230" i="12"/>
  <c r="K230" i="12"/>
  <c r="P230" i="12" s="1"/>
  <c r="J230" i="12"/>
  <c r="O229" i="12"/>
  <c r="M229" i="12"/>
  <c r="K229" i="12"/>
  <c r="P229" i="12" s="1"/>
  <c r="J229" i="12"/>
  <c r="O228" i="12"/>
  <c r="M228" i="12"/>
  <c r="K228" i="12"/>
  <c r="P228" i="12" s="1"/>
  <c r="J228" i="12"/>
  <c r="O227" i="12"/>
  <c r="M227" i="12"/>
  <c r="K227" i="12"/>
  <c r="J227" i="12"/>
  <c r="O226" i="12"/>
  <c r="M226" i="12"/>
  <c r="K226" i="12"/>
  <c r="J226" i="12"/>
  <c r="O225" i="12"/>
  <c r="M225" i="12"/>
  <c r="K225" i="12"/>
  <c r="J225" i="12"/>
  <c r="O224" i="12"/>
  <c r="M224" i="12"/>
  <c r="K224" i="12"/>
  <c r="J224" i="12"/>
  <c r="O223" i="12"/>
  <c r="M223" i="12"/>
  <c r="K223" i="12"/>
  <c r="P223" i="12" s="1"/>
  <c r="J223" i="12"/>
  <c r="O222" i="12"/>
  <c r="M222" i="12"/>
  <c r="K222" i="12"/>
  <c r="P222" i="12" s="1"/>
  <c r="J222" i="12"/>
  <c r="O221" i="12"/>
  <c r="M221" i="12"/>
  <c r="K221" i="12"/>
  <c r="P221" i="12" s="1"/>
  <c r="J221" i="12"/>
  <c r="O220" i="12"/>
  <c r="M220" i="12"/>
  <c r="K220" i="12"/>
  <c r="P220" i="12" s="1"/>
  <c r="J220" i="12"/>
  <c r="O219" i="12"/>
  <c r="M219" i="12"/>
  <c r="K219" i="12"/>
  <c r="P219" i="12" s="1"/>
  <c r="J219" i="12"/>
  <c r="O218" i="12"/>
  <c r="M218" i="12"/>
  <c r="K218" i="12"/>
  <c r="P218" i="12" s="1"/>
  <c r="J218" i="12"/>
  <c r="O217" i="12"/>
  <c r="M217" i="12"/>
  <c r="K217" i="12"/>
  <c r="Q217" i="12" s="1"/>
  <c r="R217" i="12" s="1"/>
  <c r="J217" i="12"/>
  <c r="O216" i="12"/>
  <c r="M216" i="12"/>
  <c r="K216" i="12"/>
  <c r="J216" i="12"/>
  <c r="O215" i="12"/>
  <c r="M215" i="12"/>
  <c r="K215" i="12"/>
  <c r="Q215" i="12" s="1"/>
  <c r="R215" i="12" s="1"/>
  <c r="J215" i="12"/>
  <c r="O214" i="12"/>
  <c r="M214" i="12"/>
  <c r="K214" i="12"/>
  <c r="P214" i="12" s="1"/>
  <c r="J214" i="12"/>
  <c r="O213" i="12"/>
  <c r="M213" i="12"/>
  <c r="K213" i="12"/>
  <c r="J213" i="12"/>
  <c r="O212" i="12"/>
  <c r="M212" i="12"/>
  <c r="K212" i="12"/>
  <c r="P212" i="12" s="1"/>
  <c r="J212" i="12"/>
  <c r="O211" i="12"/>
  <c r="M211" i="12"/>
  <c r="K211" i="12"/>
  <c r="J211" i="12"/>
  <c r="O210" i="12"/>
  <c r="M210" i="12"/>
  <c r="K210" i="12"/>
  <c r="J210" i="12"/>
  <c r="O209" i="12"/>
  <c r="M209" i="12"/>
  <c r="K209" i="12"/>
  <c r="P209" i="12" s="1"/>
  <c r="J209" i="12"/>
  <c r="O208" i="12"/>
  <c r="M208" i="12"/>
  <c r="K208" i="12"/>
  <c r="Q208" i="12" s="1"/>
  <c r="R208" i="12" s="1"/>
  <c r="J208" i="12"/>
  <c r="O207" i="12"/>
  <c r="M207" i="12"/>
  <c r="K207" i="12"/>
  <c r="P207" i="12" s="1"/>
  <c r="J207" i="12"/>
  <c r="O206" i="12"/>
  <c r="M206" i="12"/>
  <c r="K206" i="12"/>
  <c r="P206" i="12" s="1"/>
  <c r="J206" i="12"/>
  <c r="O205" i="12"/>
  <c r="M205" i="12"/>
  <c r="K205" i="12"/>
  <c r="Q205" i="12" s="1"/>
  <c r="R205" i="12" s="1"/>
  <c r="J205" i="12"/>
  <c r="O204" i="12"/>
  <c r="M204" i="12"/>
  <c r="K204" i="12"/>
  <c r="J204" i="12"/>
  <c r="O203" i="12"/>
  <c r="M203" i="12"/>
  <c r="K203" i="12"/>
  <c r="Q203" i="12" s="1"/>
  <c r="R203" i="12" s="1"/>
  <c r="J203" i="12"/>
  <c r="O202" i="12"/>
  <c r="M202" i="12"/>
  <c r="K202" i="12"/>
  <c r="J202" i="12"/>
  <c r="O201" i="12"/>
  <c r="M201" i="12"/>
  <c r="K201" i="12"/>
  <c r="Q201" i="12" s="1"/>
  <c r="R201" i="12" s="1"/>
  <c r="J201" i="12"/>
  <c r="O200" i="12"/>
  <c r="M200" i="12"/>
  <c r="K200" i="12"/>
  <c r="J200" i="12"/>
  <c r="O199" i="12"/>
  <c r="M199" i="12"/>
  <c r="K199" i="12"/>
  <c r="P199" i="12" s="1"/>
  <c r="J199" i="12"/>
  <c r="O198" i="12"/>
  <c r="M198" i="12"/>
  <c r="K198" i="12"/>
  <c r="Q198" i="12" s="1"/>
  <c r="R198" i="12" s="1"/>
  <c r="J198" i="12"/>
  <c r="O197" i="12"/>
  <c r="M197" i="12"/>
  <c r="K197" i="12"/>
  <c r="J197" i="12"/>
  <c r="O196" i="12"/>
  <c r="M196" i="12"/>
  <c r="K196" i="12"/>
  <c r="Q196" i="12" s="1"/>
  <c r="R196" i="12" s="1"/>
  <c r="J196" i="12"/>
  <c r="O195" i="12"/>
  <c r="M195" i="12"/>
  <c r="K195" i="12"/>
  <c r="P195" i="12" s="1"/>
  <c r="J195" i="12"/>
  <c r="O194" i="12"/>
  <c r="M194" i="12"/>
  <c r="K194" i="12"/>
  <c r="Q194" i="12" s="1"/>
  <c r="R194" i="12" s="1"/>
  <c r="J194" i="12"/>
  <c r="O193" i="12"/>
  <c r="M193" i="12"/>
  <c r="K193" i="12"/>
  <c r="P193" i="12" s="1"/>
  <c r="J193" i="12"/>
  <c r="O192" i="12"/>
  <c r="M192" i="12"/>
  <c r="K192" i="12"/>
  <c r="J192" i="12"/>
  <c r="O191" i="12"/>
  <c r="M191" i="12"/>
  <c r="K191" i="12"/>
  <c r="J191" i="12"/>
  <c r="O190" i="12"/>
  <c r="M190" i="12"/>
  <c r="K190" i="12"/>
  <c r="P190" i="12" s="1"/>
  <c r="J190" i="12"/>
  <c r="O189" i="12"/>
  <c r="M189" i="12"/>
  <c r="K189" i="12"/>
  <c r="J189" i="12"/>
  <c r="O188" i="12"/>
  <c r="M188" i="12"/>
  <c r="K188" i="12"/>
  <c r="P188" i="12" s="1"/>
  <c r="J188" i="12"/>
  <c r="O187" i="12"/>
  <c r="M187" i="12"/>
  <c r="K187" i="12"/>
  <c r="J187" i="12"/>
  <c r="O186" i="12"/>
  <c r="M186" i="12"/>
  <c r="K186" i="12"/>
  <c r="P186" i="12" s="1"/>
  <c r="J186" i="12"/>
  <c r="O185" i="12"/>
  <c r="M185" i="12"/>
  <c r="K185" i="12"/>
  <c r="Q185" i="12" s="1"/>
  <c r="R185" i="12" s="1"/>
  <c r="J185" i="12"/>
  <c r="O184" i="12"/>
  <c r="M184" i="12"/>
  <c r="K184" i="12"/>
  <c r="J184" i="12"/>
  <c r="O183" i="12"/>
  <c r="M183" i="12"/>
  <c r="K183" i="12"/>
  <c r="Q183" i="12" s="1"/>
  <c r="R183" i="12" s="1"/>
  <c r="J183" i="12"/>
  <c r="O182" i="12"/>
  <c r="M182" i="12"/>
  <c r="K182" i="12"/>
  <c r="J182" i="12"/>
  <c r="O181" i="12"/>
  <c r="M181" i="12"/>
  <c r="K181" i="12"/>
  <c r="J181" i="12"/>
  <c r="O180" i="12"/>
  <c r="M180" i="12"/>
  <c r="K180" i="12"/>
  <c r="P180" i="12" s="1"/>
  <c r="J180" i="12"/>
  <c r="O179" i="12"/>
  <c r="M179" i="12"/>
  <c r="K179" i="12"/>
  <c r="J179" i="12"/>
  <c r="O178" i="12"/>
  <c r="M178" i="12"/>
  <c r="K178" i="12"/>
  <c r="Q178" i="12" s="1"/>
  <c r="R178" i="12" s="1"/>
  <c r="J178" i="12"/>
  <c r="O177" i="12"/>
  <c r="M177" i="12"/>
  <c r="K177" i="12"/>
  <c r="J177" i="12"/>
  <c r="O176" i="12"/>
  <c r="M176" i="12"/>
  <c r="K176" i="12"/>
  <c r="Q176" i="12" s="1"/>
  <c r="R176" i="12" s="1"/>
  <c r="J176" i="12"/>
  <c r="O175" i="12"/>
  <c r="M175" i="12"/>
  <c r="K175" i="12"/>
  <c r="J175" i="12"/>
  <c r="O174" i="12"/>
  <c r="M174" i="12"/>
  <c r="K174" i="12"/>
  <c r="J174" i="12"/>
  <c r="O173" i="12"/>
  <c r="M173" i="12"/>
  <c r="K173" i="12"/>
  <c r="Q173" i="12" s="1"/>
  <c r="R173" i="12" s="1"/>
  <c r="J173" i="12"/>
  <c r="O172" i="12"/>
  <c r="M172" i="12"/>
  <c r="K172" i="12"/>
  <c r="P172" i="12" s="1"/>
  <c r="J172" i="12"/>
  <c r="O171" i="12"/>
  <c r="M171" i="12"/>
  <c r="K171" i="12"/>
  <c r="P171" i="12" s="1"/>
  <c r="J171" i="12"/>
  <c r="O170" i="12"/>
  <c r="M170" i="12"/>
  <c r="K170" i="12"/>
  <c r="J170" i="12"/>
  <c r="O169" i="12"/>
  <c r="M169" i="12"/>
  <c r="K169" i="12"/>
  <c r="Q169" i="12" s="1"/>
  <c r="R169" i="12" s="1"/>
  <c r="J169" i="12"/>
  <c r="O168" i="12"/>
  <c r="M168" i="12"/>
  <c r="K168" i="12"/>
  <c r="Q168" i="12" s="1"/>
  <c r="R168" i="12" s="1"/>
  <c r="J168" i="12"/>
  <c r="O167" i="12"/>
  <c r="M167" i="12"/>
  <c r="K167" i="12"/>
  <c r="J167" i="12"/>
  <c r="O166" i="12"/>
  <c r="M166" i="12"/>
  <c r="K166" i="12"/>
  <c r="J166" i="12"/>
  <c r="O165" i="12"/>
  <c r="M165" i="12"/>
  <c r="K165" i="12"/>
  <c r="J165" i="12"/>
  <c r="O164" i="12"/>
  <c r="M164" i="12"/>
  <c r="K164" i="12"/>
  <c r="Q164" i="12" s="1"/>
  <c r="R164" i="12" s="1"/>
  <c r="J164" i="12"/>
  <c r="O163" i="12"/>
  <c r="M163" i="12"/>
  <c r="K163" i="12"/>
  <c r="P163" i="12" s="1"/>
  <c r="J163" i="12"/>
  <c r="O162" i="12"/>
  <c r="M162" i="12"/>
  <c r="K162" i="12"/>
  <c r="Q162" i="12" s="1"/>
  <c r="J162" i="12"/>
  <c r="O161" i="12"/>
  <c r="M161" i="12"/>
  <c r="K161" i="12"/>
  <c r="J161" i="12"/>
  <c r="O160" i="12"/>
  <c r="M160" i="12"/>
  <c r="K160" i="12"/>
  <c r="P160" i="12" s="1"/>
  <c r="J160" i="12"/>
  <c r="O159" i="12"/>
  <c r="M159" i="12"/>
  <c r="K159" i="12"/>
  <c r="J159" i="12"/>
  <c r="O158" i="12"/>
  <c r="M158" i="12"/>
  <c r="K158" i="12"/>
  <c r="J158" i="12"/>
  <c r="O157" i="12"/>
  <c r="M157" i="12"/>
  <c r="K157" i="12"/>
  <c r="P157" i="12" s="1"/>
  <c r="J157" i="12"/>
  <c r="O156" i="12"/>
  <c r="M156" i="12"/>
  <c r="K156" i="12"/>
  <c r="J156" i="12"/>
  <c r="O155" i="12"/>
  <c r="M155" i="12"/>
  <c r="K155" i="12"/>
  <c r="P155" i="12" s="1"/>
  <c r="J155" i="12"/>
  <c r="O154" i="12"/>
  <c r="M154" i="12"/>
  <c r="K154" i="12"/>
  <c r="J154" i="12"/>
  <c r="O153" i="12"/>
  <c r="M153" i="12"/>
  <c r="K153" i="12"/>
  <c r="J153" i="12"/>
  <c r="O152" i="12"/>
  <c r="M152" i="12"/>
  <c r="K152" i="12"/>
  <c r="Q152" i="12" s="1"/>
  <c r="R152" i="12" s="1"/>
  <c r="J152" i="12"/>
  <c r="O151" i="12"/>
  <c r="M151" i="12"/>
  <c r="K151" i="12"/>
  <c r="J151" i="12"/>
  <c r="O150" i="12"/>
  <c r="M150" i="12"/>
  <c r="K150" i="12"/>
  <c r="Q150" i="12" s="1"/>
  <c r="R150" i="12" s="1"/>
  <c r="J150" i="12"/>
  <c r="O149" i="12"/>
  <c r="M149" i="12"/>
  <c r="K149" i="12"/>
  <c r="J149" i="12"/>
  <c r="O148" i="12"/>
  <c r="M148" i="12"/>
  <c r="K148" i="12"/>
  <c r="J148" i="12"/>
  <c r="O147" i="12"/>
  <c r="M147" i="12"/>
  <c r="K147" i="12"/>
  <c r="J147" i="12"/>
  <c r="O146" i="12"/>
  <c r="M146" i="12"/>
  <c r="K146" i="12"/>
  <c r="P146" i="12" s="1"/>
  <c r="J146" i="12"/>
  <c r="O145" i="12"/>
  <c r="M145" i="12"/>
  <c r="K145" i="12"/>
  <c r="J145" i="12"/>
  <c r="O144" i="12"/>
  <c r="M144" i="12"/>
  <c r="K144" i="12"/>
  <c r="P144" i="12" s="1"/>
  <c r="J144" i="12"/>
  <c r="O143" i="12"/>
  <c r="M143" i="12"/>
  <c r="K143" i="12"/>
  <c r="J143" i="12"/>
  <c r="O142" i="12"/>
  <c r="M142" i="12"/>
  <c r="K142" i="12"/>
  <c r="J142" i="12"/>
  <c r="O141" i="12"/>
  <c r="M141" i="12"/>
  <c r="K141" i="12"/>
  <c r="J141" i="12"/>
  <c r="O140" i="12"/>
  <c r="M140" i="12"/>
  <c r="K140" i="12"/>
  <c r="P140" i="12" s="1"/>
  <c r="J140" i="12"/>
  <c r="O139" i="12"/>
  <c r="M139" i="12"/>
  <c r="K139" i="12"/>
  <c r="P139" i="12" s="1"/>
  <c r="J139" i="12"/>
  <c r="O138" i="12"/>
  <c r="M138" i="12"/>
  <c r="K138" i="12"/>
  <c r="J138" i="12"/>
  <c r="O137" i="12"/>
  <c r="M137" i="12"/>
  <c r="K137" i="12"/>
  <c r="P137" i="12" s="1"/>
  <c r="J137" i="12"/>
  <c r="O136" i="12"/>
  <c r="M136" i="12"/>
  <c r="K136" i="12"/>
  <c r="Q136" i="12" s="1"/>
  <c r="R136" i="12" s="1"/>
  <c r="J136" i="12"/>
  <c r="O135" i="12"/>
  <c r="M135" i="12"/>
  <c r="K135" i="12"/>
  <c r="J135" i="12"/>
  <c r="O134" i="12"/>
  <c r="M134" i="12"/>
  <c r="K134" i="12"/>
  <c r="J134" i="12"/>
  <c r="O133" i="12"/>
  <c r="M133" i="12"/>
  <c r="K133" i="12"/>
  <c r="Q133" i="12" s="1"/>
  <c r="R133" i="12" s="1"/>
  <c r="J133" i="12"/>
  <c r="O132" i="12"/>
  <c r="M132" i="12"/>
  <c r="K132" i="12"/>
  <c r="P132" i="12" s="1"/>
  <c r="J132" i="12"/>
  <c r="O131" i="12"/>
  <c r="M131" i="12"/>
  <c r="K131" i="12"/>
  <c r="P131" i="12" s="1"/>
  <c r="J131" i="12"/>
  <c r="O130" i="12"/>
  <c r="M130" i="12"/>
  <c r="K130" i="12"/>
  <c r="P130" i="12" s="1"/>
  <c r="J130" i="12"/>
  <c r="O129" i="12"/>
  <c r="M129" i="12"/>
  <c r="K129" i="12"/>
  <c r="Q129" i="12" s="1"/>
  <c r="R129" i="12" s="1"/>
  <c r="J129" i="12"/>
  <c r="O128" i="12"/>
  <c r="M128" i="12"/>
  <c r="K128" i="12"/>
  <c r="J128" i="12"/>
  <c r="O127" i="12"/>
  <c r="M127" i="12"/>
  <c r="K127" i="12"/>
  <c r="Q127" i="12" s="1"/>
  <c r="R127" i="12" s="1"/>
  <c r="J127" i="12"/>
  <c r="O126" i="12"/>
  <c r="M126" i="12"/>
  <c r="K126" i="12"/>
  <c r="Q126" i="12" s="1"/>
  <c r="R126" i="12" s="1"/>
  <c r="J126" i="12"/>
  <c r="O125" i="12"/>
  <c r="M125" i="12"/>
  <c r="K125" i="12"/>
  <c r="P125" i="12" s="1"/>
  <c r="J125" i="12"/>
  <c r="O124" i="12"/>
  <c r="M124" i="12"/>
  <c r="K124" i="12"/>
  <c r="Q124" i="12" s="1"/>
  <c r="R124" i="12" s="1"/>
  <c r="J124" i="12"/>
  <c r="O123" i="12"/>
  <c r="M123" i="12"/>
  <c r="K123" i="12"/>
  <c r="P123" i="12" s="1"/>
  <c r="J123" i="12"/>
  <c r="O122" i="12"/>
  <c r="M122" i="12"/>
  <c r="K122" i="12"/>
  <c r="J122" i="12"/>
  <c r="O121" i="12"/>
  <c r="M121" i="12"/>
  <c r="K121" i="12"/>
  <c r="P121" i="12" s="1"/>
  <c r="J121" i="12"/>
  <c r="O120" i="12"/>
  <c r="M120" i="12"/>
  <c r="K120" i="12"/>
  <c r="P120" i="12" s="1"/>
  <c r="J120" i="12"/>
  <c r="O119" i="12"/>
  <c r="M119" i="12"/>
  <c r="K119" i="12"/>
  <c r="Q119" i="12" s="1"/>
  <c r="R119" i="12" s="1"/>
  <c r="J119" i="12"/>
  <c r="O118" i="12"/>
  <c r="M118" i="12"/>
  <c r="K118" i="12"/>
  <c r="P118" i="12" s="1"/>
  <c r="J118" i="12"/>
  <c r="O117" i="12"/>
  <c r="M117" i="12"/>
  <c r="K117" i="12"/>
  <c r="Q117" i="12" s="1"/>
  <c r="R117" i="12" s="1"/>
  <c r="J117" i="12"/>
  <c r="O116" i="12"/>
  <c r="M116" i="12"/>
  <c r="K116" i="12"/>
  <c r="P116" i="12" s="1"/>
  <c r="J116" i="12"/>
  <c r="O115" i="12"/>
  <c r="M115" i="12"/>
  <c r="K115" i="12"/>
  <c r="Q115" i="12" s="1"/>
  <c r="R115" i="12" s="1"/>
  <c r="J115" i="12"/>
  <c r="O114" i="12"/>
  <c r="M114" i="12"/>
  <c r="K114" i="12"/>
  <c r="Q114" i="12" s="1"/>
  <c r="R114" i="12" s="1"/>
  <c r="J114" i="12"/>
  <c r="O113" i="12"/>
  <c r="M113" i="12"/>
  <c r="K113" i="12"/>
  <c r="Q113" i="12" s="1"/>
  <c r="R113" i="12" s="1"/>
  <c r="J113" i="12"/>
  <c r="O112" i="12"/>
  <c r="M112" i="12"/>
  <c r="K112" i="12"/>
  <c r="Q112" i="12" s="1"/>
  <c r="R112" i="12" s="1"/>
  <c r="J112" i="12"/>
  <c r="O111" i="12"/>
  <c r="M111" i="12"/>
  <c r="K111" i="12"/>
  <c r="P111" i="12" s="1"/>
  <c r="J111" i="12"/>
  <c r="O110" i="12"/>
  <c r="M110" i="12"/>
  <c r="K110" i="12"/>
  <c r="J110" i="12"/>
  <c r="O109" i="12"/>
  <c r="M109" i="12"/>
  <c r="K109" i="12"/>
  <c r="J109" i="12"/>
  <c r="O108" i="12"/>
  <c r="M108" i="12"/>
  <c r="K108" i="12"/>
  <c r="Q108" i="12" s="1"/>
  <c r="R108" i="12" s="1"/>
  <c r="J108" i="12"/>
  <c r="O107" i="12"/>
  <c r="M107" i="12"/>
  <c r="K107" i="12"/>
  <c r="J107" i="12"/>
  <c r="O106" i="12"/>
  <c r="M106" i="12"/>
  <c r="K106" i="12"/>
  <c r="Q106" i="12" s="1"/>
  <c r="R106" i="12" s="1"/>
  <c r="J106" i="12"/>
  <c r="O105" i="12"/>
  <c r="M105" i="12"/>
  <c r="K105" i="12"/>
  <c r="P105" i="12" s="1"/>
  <c r="J105" i="12"/>
  <c r="O104" i="12"/>
  <c r="M104" i="12"/>
  <c r="K104" i="12"/>
  <c r="J104" i="12"/>
  <c r="O103" i="12"/>
  <c r="M103" i="12"/>
  <c r="K103" i="12"/>
  <c r="J103" i="12"/>
  <c r="O102" i="12"/>
  <c r="M102" i="12"/>
  <c r="K102" i="12"/>
  <c r="J102" i="12"/>
  <c r="O101" i="12"/>
  <c r="M101" i="12"/>
  <c r="K101" i="12"/>
  <c r="Q101" i="12" s="1"/>
  <c r="R101" i="12" s="1"/>
  <c r="J101" i="12"/>
  <c r="O100" i="12"/>
  <c r="M100" i="12"/>
  <c r="K100" i="12"/>
  <c r="Q100" i="12" s="1"/>
  <c r="R100" i="12" s="1"/>
  <c r="J100" i="12"/>
  <c r="O99" i="12"/>
  <c r="M99" i="12"/>
  <c r="K99" i="12"/>
  <c r="Q99" i="12" s="1"/>
  <c r="R99" i="12" s="1"/>
  <c r="J99" i="12"/>
  <c r="O98" i="12"/>
  <c r="M98" i="12"/>
  <c r="K98" i="12"/>
  <c r="Q98" i="12" s="1"/>
  <c r="R98" i="12" s="1"/>
  <c r="J98" i="12"/>
  <c r="O97" i="12"/>
  <c r="M97" i="12"/>
  <c r="K97" i="12"/>
  <c r="J97" i="12"/>
  <c r="O96" i="12"/>
  <c r="M96" i="12"/>
  <c r="K96" i="12"/>
  <c r="Q96" i="12" s="1"/>
  <c r="R96" i="12" s="1"/>
  <c r="J96" i="12"/>
  <c r="O95" i="12"/>
  <c r="M95" i="12"/>
  <c r="K95" i="12"/>
  <c r="P95" i="12" s="1"/>
  <c r="J95" i="12"/>
  <c r="O94" i="12"/>
  <c r="M94" i="12"/>
  <c r="K94" i="12"/>
  <c r="Q94" i="12" s="1"/>
  <c r="R94" i="12" s="1"/>
  <c r="J94" i="12"/>
  <c r="O93" i="12"/>
  <c r="M93" i="12"/>
  <c r="K93" i="12"/>
  <c r="J93" i="12"/>
  <c r="O92" i="12"/>
  <c r="M92" i="12"/>
  <c r="K92" i="12"/>
  <c r="P92" i="12" s="1"/>
  <c r="J92" i="12"/>
  <c r="O91" i="12"/>
  <c r="M91" i="12"/>
  <c r="K91" i="12"/>
  <c r="J91" i="12"/>
  <c r="O90" i="12"/>
  <c r="M90" i="12"/>
  <c r="K90" i="12"/>
  <c r="P90" i="12" s="1"/>
  <c r="J90" i="12"/>
  <c r="O89" i="12"/>
  <c r="M89" i="12"/>
  <c r="K89" i="12"/>
  <c r="J89" i="12"/>
  <c r="O88" i="12"/>
  <c r="M88" i="12"/>
  <c r="K88" i="12"/>
  <c r="P88" i="12" s="1"/>
  <c r="J88" i="12"/>
  <c r="O87" i="12"/>
  <c r="M87" i="12"/>
  <c r="K87" i="12"/>
  <c r="Q87" i="12" s="1"/>
  <c r="R87" i="12" s="1"/>
  <c r="J87" i="12"/>
  <c r="O86" i="12"/>
  <c r="M86" i="12"/>
  <c r="K86" i="12"/>
  <c r="J86" i="12"/>
  <c r="O85" i="12"/>
  <c r="M85" i="12"/>
  <c r="K85" i="12"/>
  <c r="Q85" i="12" s="1"/>
  <c r="R85" i="12" s="1"/>
  <c r="J85" i="12"/>
  <c r="O84" i="12"/>
  <c r="M84" i="12"/>
  <c r="K84" i="12"/>
  <c r="J84" i="12"/>
  <c r="O83" i="12"/>
  <c r="M83" i="12"/>
  <c r="K83" i="12"/>
  <c r="J83" i="12"/>
  <c r="O82" i="12"/>
  <c r="M82" i="12"/>
  <c r="K82" i="12"/>
  <c r="P82" i="12" s="1"/>
  <c r="J82" i="12"/>
  <c r="O81" i="12"/>
  <c r="M81" i="12"/>
  <c r="K81" i="12"/>
  <c r="J81" i="12"/>
  <c r="O80" i="12"/>
  <c r="M80" i="12"/>
  <c r="K80" i="12"/>
  <c r="Q80" i="12" s="1"/>
  <c r="R80" i="12" s="1"/>
  <c r="J80" i="12"/>
  <c r="O79" i="12"/>
  <c r="M79" i="12"/>
  <c r="K79" i="12"/>
  <c r="J79" i="12"/>
  <c r="O78" i="12"/>
  <c r="M78" i="12"/>
  <c r="K78" i="12"/>
  <c r="P78" i="12" s="1"/>
  <c r="J78" i="12"/>
  <c r="O77" i="12"/>
  <c r="M77" i="12"/>
  <c r="K77" i="12"/>
  <c r="Q77" i="12" s="1"/>
  <c r="R77" i="12" s="1"/>
  <c r="J77" i="12"/>
  <c r="O76" i="12"/>
  <c r="M76" i="12"/>
  <c r="K76" i="12"/>
  <c r="P76" i="12" s="1"/>
  <c r="J76" i="12"/>
  <c r="O75" i="12"/>
  <c r="M75" i="12"/>
  <c r="K75" i="12"/>
  <c r="Q75" i="12" s="1"/>
  <c r="R75" i="12" s="1"/>
  <c r="J75" i="12"/>
  <c r="O74" i="12"/>
  <c r="M74" i="12"/>
  <c r="K74" i="12"/>
  <c r="P74" i="12" s="1"/>
  <c r="J74" i="12"/>
  <c r="O73" i="12"/>
  <c r="M73" i="12"/>
  <c r="K73" i="12"/>
  <c r="Q73" i="12" s="1"/>
  <c r="R73" i="12" s="1"/>
  <c r="J73" i="12"/>
  <c r="O72" i="12"/>
  <c r="M72" i="12"/>
  <c r="K72" i="12"/>
  <c r="P72" i="12" s="1"/>
  <c r="J72" i="12"/>
  <c r="O71" i="12"/>
  <c r="M71" i="12"/>
  <c r="K71" i="12"/>
  <c r="Q71" i="12" s="1"/>
  <c r="R71" i="12" s="1"/>
  <c r="J71" i="12"/>
  <c r="O70" i="12"/>
  <c r="M70" i="12"/>
  <c r="K70" i="12"/>
  <c r="Q70" i="12" s="1"/>
  <c r="R70" i="12" s="1"/>
  <c r="J70" i="12"/>
  <c r="O69" i="12"/>
  <c r="M69" i="12"/>
  <c r="K69" i="12"/>
  <c r="P69" i="12" s="1"/>
  <c r="J69" i="12"/>
  <c r="O68" i="12"/>
  <c r="M68" i="12"/>
  <c r="K68" i="12"/>
  <c r="Q68" i="12" s="1"/>
  <c r="R68" i="12" s="1"/>
  <c r="J68" i="12"/>
  <c r="O67" i="12"/>
  <c r="M67" i="12"/>
  <c r="K67" i="12"/>
  <c r="J67" i="12"/>
  <c r="O66" i="12"/>
  <c r="M66" i="12"/>
  <c r="K66" i="12"/>
  <c r="Q66" i="12" s="1"/>
  <c r="R66" i="12" s="1"/>
  <c r="J66" i="12"/>
  <c r="O65" i="12"/>
  <c r="M65" i="12"/>
  <c r="K65" i="12"/>
  <c r="J65" i="12"/>
  <c r="O64" i="12"/>
  <c r="M64" i="12"/>
  <c r="K64" i="12"/>
  <c r="Q64" i="12" s="1"/>
  <c r="R64" i="12" s="1"/>
  <c r="J64" i="12"/>
  <c r="O63" i="12"/>
  <c r="M63" i="12"/>
  <c r="K63" i="12"/>
  <c r="J63" i="12"/>
  <c r="O62" i="12"/>
  <c r="M62" i="12"/>
  <c r="K62" i="12"/>
  <c r="P62" i="12" s="1"/>
  <c r="J62" i="12"/>
  <c r="O61" i="12"/>
  <c r="M61" i="12"/>
  <c r="K61" i="12"/>
  <c r="J61" i="12"/>
  <c r="O60" i="12"/>
  <c r="M60" i="12"/>
  <c r="K60" i="12"/>
  <c r="J60" i="12"/>
  <c r="O59" i="12"/>
  <c r="M59" i="12"/>
  <c r="K59" i="12"/>
  <c r="P59" i="12" s="1"/>
  <c r="J59" i="12"/>
  <c r="O58" i="12"/>
  <c r="M58" i="12"/>
  <c r="K58" i="12"/>
  <c r="J58" i="12"/>
  <c r="O57" i="12"/>
  <c r="M57" i="12"/>
  <c r="K57" i="12"/>
  <c r="P57" i="12" s="1"/>
  <c r="J57" i="12"/>
  <c r="O56" i="12"/>
  <c r="M56" i="12"/>
  <c r="K56" i="12"/>
  <c r="Q56" i="12" s="1"/>
  <c r="R56" i="12" s="1"/>
  <c r="J56" i="12"/>
  <c r="O55" i="12"/>
  <c r="M55" i="12"/>
  <c r="K55" i="12"/>
  <c r="J55" i="12"/>
  <c r="O54" i="12"/>
  <c r="M54" i="12"/>
  <c r="K54" i="12"/>
  <c r="P54" i="12" s="1"/>
  <c r="J54" i="12"/>
  <c r="O53" i="12"/>
  <c r="M53" i="12"/>
  <c r="K53" i="12"/>
  <c r="J53" i="12"/>
  <c r="O52" i="12"/>
  <c r="M52" i="12"/>
  <c r="K52" i="12"/>
  <c r="J52" i="12"/>
  <c r="O51" i="12"/>
  <c r="M51" i="12"/>
  <c r="K51" i="12"/>
  <c r="J51" i="12"/>
  <c r="O50" i="12"/>
  <c r="M50" i="12"/>
  <c r="K50" i="12"/>
  <c r="Q50" i="12" s="1"/>
  <c r="R50" i="12" s="1"/>
  <c r="J50" i="12"/>
  <c r="O49" i="12"/>
  <c r="M49" i="12"/>
  <c r="K49" i="12"/>
  <c r="Q49" i="12" s="1"/>
  <c r="R49" i="12" s="1"/>
  <c r="J49" i="12"/>
  <c r="O48" i="12"/>
  <c r="M48" i="12"/>
  <c r="K48" i="12"/>
  <c r="J48" i="12"/>
  <c r="O47" i="12"/>
  <c r="M47" i="12"/>
  <c r="K47" i="12"/>
  <c r="J47" i="12"/>
  <c r="O46" i="12"/>
  <c r="M46" i="12"/>
  <c r="K46" i="12"/>
  <c r="J46" i="12"/>
  <c r="O45" i="12"/>
  <c r="M45" i="12"/>
  <c r="K45" i="12"/>
  <c r="Q45" i="12" s="1"/>
  <c r="R45" i="12" s="1"/>
  <c r="J45" i="12"/>
  <c r="O44" i="12"/>
  <c r="M44" i="12"/>
  <c r="K44" i="12"/>
  <c r="Q44" i="12" s="1"/>
  <c r="R44" i="12" s="1"/>
  <c r="J44" i="12"/>
  <c r="O43" i="12"/>
  <c r="M43" i="12"/>
  <c r="K43" i="12"/>
  <c r="J43" i="12"/>
  <c r="O42" i="12"/>
  <c r="M42" i="12"/>
  <c r="K42" i="12"/>
  <c r="P42" i="12" s="1"/>
  <c r="J42" i="12"/>
  <c r="O41" i="12"/>
  <c r="M41" i="12"/>
  <c r="K41" i="12"/>
  <c r="P41" i="12" s="1"/>
  <c r="J41" i="12"/>
  <c r="O40" i="12"/>
  <c r="M40" i="12"/>
  <c r="K40" i="12"/>
  <c r="Q40" i="12" s="1"/>
  <c r="R40" i="12" s="1"/>
  <c r="J40" i="12"/>
  <c r="O39" i="12"/>
  <c r="M39" i="12"/>
  <c r="K39" i="12"/>
  <c r="P39" i="12" s="1"/>
  <c r="J39" i="12"/>
  <c r="O38" i="12"/>
  <c r="M38" i="12"/>
  <c r="K38" i="12"/>
  <c r="Q38" i="12" s="1"/>
  <c r="R38" i="12" s="1"/>
  <c r="J38" i="12"/>
  <c r="O37" i="12"/>
  <c r="M37" i="12"/>
  <c r="K37" i="12"/>
  <c r="Q37" i="12" s="1"/>
  <c r="R37" i="12" s="1"/>
  <c r="J37" i="12"/>
  <c r="O36" i="12"/>
  <c r="M36" i="12"/>
  <c r="K36" i="12"/>
  <c r="Q36" i="12" s="1"/>
  <c r="R36" i="12" s="1"/>
  <c r="J36" i="12"/>
  <c r="O35" i="12"/>
  <c r="M35" i="12"/>
  <c r="K35" i="12"/>
  <c r="J35" i="12"/>
  <c r="O34" i="12"/>
  <c r="M34" i="12"/>
  <c r="K34" i="12"/>
  <c r="P34" i="12" s="1"/>
  <c r="J34" i="12"/>
  <c r="O33" i="12"/>
  <c r="M33" i="12"/>
  <c r="K33" i="12"/>
  <c r="Q33" i="12" s="1"/>
  <c r="J33" i="12"/>
  <c r="O32" i="12"/>
  <c r="M32" i="12"/>
  <c r="K32" i="12"/>
  <c r="P32" i="12" s="1"/>
  <c r="J32" i="12"/>
  <c r="O31" i="12"/>
  <c r="M31" i="12"/>
  <c r="K31" i="12"/>
  <c r="Q31" i="12" s="1"/>
  <c r="R31" i="12" s="1"/>
  <c r="J31" i="12"/>
  <c r="O30" i="12"/>
  <c r="M30" i="12"/>
  <c r="K30" i="12"/>
  <c r="Q30" i="12" s="1"/>
  <c r="J30" i="12"/>
  <c r="O29" i="12"/>
  <c r="M29" i="12"/>
  <c r="K29" i="12"/>
  <c r="Q29" i="12" s="1"/>
  <c r="R29" i="12" s="1"/>
  <c r="J29" i="12"/>
  <c r="O28" i="12"/>
  <c r="M28" i="12"/>
  <c r="K28" i="12"/>
  <c r="P28" i="12" s="1"/>
  <c r="J28" i="12"/>
  <c r="O27" i="12"/>
  <c r="M27" i="12"/>
  <c r="K27" i="12"/>
  <c r="P27" i="12" s="1"/>
  <c r="J27" i="12"/>
  <c r="O26" i="12"/>
  <c r="M26" i="12"/>
  <c r="K26" i="12"/>
  <c r="J26" i="12"/>
  <c r="O25" i="12"/>
  <c r="M25" i="12"/>
  <c r="K25" i="12"/>
  <c r="P25" i="12" s="1"/>
  <c r="J25" i="12"/>
  <c r="O24" i="12"/>
  <c r="M24" i="12"/>
  <c r="K24" i="12"/>
  <c r="Q24" i="12" s="1"/>
  <c r="R24" i="12" s="1"/>
  <c r="J24" i="12"/>
  <c r="O23" i="12"/>
  <c r="M23" i="12"/>
  <c r="K23" i="12"/>
  <c r="P23" i="12" s="1"/>
  <c r="J23" i="12"/>
  <c r="O22" i="12"/>
  <c r="M22" i="12"/>
  <c r="K22" i="12"/>
  <c r="J22" i="12"/>
  <c r="O21" i="12"/>
  <c r="M21" i="12"/>
  <c r="K21" i="12"/>
  <c r="P21" i="12" s="1"/>
  <c r="J21" i="12"/>
  <c r="O20" i="12"/>
  <c r="M20" i="12"/>
  <c r="K20" i="12"/>
  <c r="J20" i="12"/>
  <c r="O19" i="12"/>
  <c r="M19" i="12"/>
  <c r="K19" i="12"/>
  <c r="J19" i="12"/>
  <c r="O18" i="12"/>
  <c r="M18" i="12"/>
  <c r="K18" i="12"/>
  <c r="Q18" i="12" s="1"/>
  <c r="J18" i="12"/>
  <c r="O17" i="12"/>
  <c r="M17" i="12"/>
  <c r="K17" i="12"/>
  <c r="Q17" i="12" s="1"/>
  <c r="R17" i="12" s="1"/>
  <c r="J17" i="12"/>
  <c r="O16" i="12"/>
  <c r="M16" i="12"/>
  <c r="K16" i="12"/>
  <c r="J16" i="12"/>
  <c r="O15" i="12"/>
  <c r="M15" i="12"/>
  <c r="K15" i="12"/>
  <c r="J15" i="12"/>
  <c r="O14" i="12"/>
  <c r="M14" i="12"/>
  <c r="K14" i="12"/>
  <c r="P14" i="12" s="1"/>
  <c r="J14" i="12"/>
  <c r="O13" i="12"/>
  <c r="M13" i="12"/>
  <c r="K13" i="12"/>
  <c r="P13" i="12" s="1"/>
  <c r="J13" i="12"/>
  <c r="O12" i="12"/>
  <c r="M12" i="12"/>
  <c r="K12" i="12"/>
  <c r="Q12" i="12" s="1"/>
  <c r="J12" i="12"/>
  <c r="O11" i="12"/>
  <c r="M11" i="12"/>
  <c r="K11" i="12"/>
  <c r="P11" i="12" s="1"/>
  <c r="J11" i="12"/>
  <c r="O10" i="12"/>
  <c r="M10" i="12"/>
  <c r="K10" i="12"/>
  <c r="P10" i="12" s="1"/>
  <c r="J10" i="12"/>
  <c r="O9" i="12"/>
  <c r="M9" i="12"/>
  <c r="K9" i="12"/>
  <c r="J9" i="12"/>
  <c r="O8" i="12"/>
  <c r="M8" i="12"/>
  <c r="K8" i="12"/>
  <c r="J8" i="12"/>
  <c r="O7" i="12"/>
  <c r="M7" i="12"/>
  <c r="K7" i="12"/>
  <c r="J7" i="12"/>
  <c r="O6" i="12"/>
  <c r="M6" i="12"/>
  <c r="K6" i="12"/>
  <c r="J6" i="12"/>
  <c r="O5" i="12"/>
  <c r="M5" i="12"/>
  <c r="K5" i="12"/>
  <c r="J5" i="12"/>
  <c r="O4" i="12"/>
  <c r="M4" i="12"/>
  <c r="K4" i="12"/>
  <c r="Q4" i="12" s="1"/>
  <c r="R4" i="12" s="1"/>
  <c r="J4" i="12"/>
  <c r="H1" i="12"/>
  <c r="G1" i="12"/>
  <c r="I1" i="12" s="1"/>
  <c r="G1" i="10"/>
  <c r="O312" i="10"/>
  <c r="M312" i="10"/>
  <c r="K312" i="10"/>
  <c r="J312" i="10"/>
  <c r="O311" i="10"/>
  <c r="M311" i="10"/>
  <c r="K311" i="10"/>
  <c r="Q311" i="10" s="1"/>
  <c r="J311" i="10"/>
  <c r="O310" i="10"/>
  <c r="M310" i="10"/>
  <c r="K310" i="10"/>
  <c r="J310" i="10"/>
  <c r="O309" i="10"/>
  <c r="M309" i="10"/>
  <c r="K309" i="10"/>
  <c r="Q309" i="10" s="1"/>
  <c r="J309" i="10"/>
  <c r="O308" i="10"/>
  <c r="M308" i="10"/>
  <c r="K308" i="10"/>
  <c r="Q308" i="10" s="1"/>
  <c r="J308" i="10"/>
  <c r="O307" i="10"/>
  <c r="M307" i="10"/>
  <c r="K307" i="10"/>
  <c r="J307" i="10"/>
  <c r="O306" i="10"/>
  <c r="M306" i="10"/>
  <c r="K306" i="10"/>
  <c r="J306" i="10"/>
  <c r="O305" i="10"/>
  <c r="M305" i="10"/>
  <c r="K305" i="10"/>
  <c r="J305" i="10"/>
  <c r="O304" i="10"/>
  <c r="M304" i="10"/>
  <c r="K304" i="10"/>
  <c r="J304" i="10"/>
  <c r="O303" i="10"/>
  <c r="M303" i="10"/>
  <c r="K303" i="10"/>
  <c r="J303" i="10"/>
  <c r="O302" i="10"/>
  <c r="M302" i="10"/>
  <c r="K302" i="10"/>
  <c r="Q302" i="10" s="1"/>
  <c r="J302" i="10"/>
  <c r="O301" i="10"/>
  <c r="M301" i="10"/>
  <c r="K301" i="10"/>
  <c r="J301" i="10"/>
  <c r="O300" i="10"/>
  <c r="M300" i="10"/>
  <c r="K300" i="10"/>
  <c r="J300" i="10"/>
  <c r="O299" i="10"/>
  <c r="M299" i="10"/>
  <c r="K299" i="10"/>
  <c r="J299" i="10"/>
  <c r="O298" i="10"/>
  <c r="M298" i="10"/>
  <c r="K298" i="10"/>
  <c r="J298" i="10"/>
  <c r="O297" i="10"/>
  <c r="M297" i="10"/>
  <c r="K297" i="10"/>
  <c r="Q297" i="10" s="1"/>
  <c r="J297" i="10"/>
  <c r="O296" i="10"/>
  <c r="M296" i="10"/>
  <c r="K296" i="10"/>
  <c r="J296" i="10"/>
  <c r="O295" i="10"/>
  <c r="M295" i="10"/>
  <c r="K295" i="10"/>
  <c r="Q295" i="10" s="1"/>
  <c r="J295" i="10"/>
  <c r="O294" i="10"/>
  <c r="M294" i="10"/>
  <c r="K294" i="10"/>
  <c r="Q294" i="10" s="1"/>
  <c r="J294" i="10"/>
  <c r="O293" i="10"/>
  <c r="M293" i="10"/>
  <c r="K293" i="10"/>
  <c r="J293" i="10"/>
  <c r="O292" i="10"/>
  <c r="M292" i="10"/>
  <c r="K292" i="10"/>
  <c r="J292" i="10"/>
  <c r="O291" i="10"/>
  <c r="M291" i="10"/>
  <c r="K291" i="10"/>
  <c r="J291" i="10"/>
  <c r="O290" i="10"/>
  <c r="M290" i="10"/>
  <c r="K290" i="10"/>
  <c r="Q290" i="10" s="1"/>
  <c r="R290" i="10" s="1"/>
  <c r="J290" i="10"/>
  <c r="O289" i="10"/>
  <c r="M289" i="10"/>
  <c r="K289" i="10"/>
  <c r="J289" i="10"/>
  <c r="O288" i="10"/>
  <c r="M288" i="10"/>
  <c r="K288" i="10"/>
  <c r="Q288" i="10" s="1"/>
  <c r="J288" i="10"/>
  <c r="O287" i="10"/>
  <c r="M287" i="10"/>
  <c r="K287" i="10"/>
  <c r="J287" i="10"/>
  <c r="O286" i="10"/>
  <c r="M286" i="10"/>
  <c r="K286" i="10"/>
  <c r="J286" i="10"/>
  <c r="O285" i="10"/>
  <c r="M285" i="10"/>
  <c r="K285" i="10"/>
  <c r="J285" i="10"/>
  <c r="O284" i="10"/>
  <c r="M284" i="10"/>
  <c r="K284" i="10"/>
  <c r="J284" i="10"/>
  <c r="O283" i="10"/>
  <c r="M283" i="10"/>
  <c r="K283" i="10"/>
  <c r="Q283" i="10" s="1"/>
  <c r="J283" i="10"/>
  <c r="O282" i="10"/>
  <c r="M282" i="10"/>
  <c r="K282" i="10"/>
  <c r="J282" i="10"/>
  <c r="O281" i="10"/>
  <c r="M281" i="10"/>
  <c r="K281" i="10"/>
  <c r="Q281" i="10" s="1"/>
  <c r="R281" i="10" s="1"/>
  <c r="J281" i="10"/>
  <c r="O280" i="10"/>
  <c r="M280" i="10"/>
  <c r="K280" i="10"/>
  <c r="Q280" i="10" s="1"/>
  <c r="R280" i="10" s="1"/>
  <c r="J280" i="10"/>
  <c r="O279" i="10"/>
  <c r="M279" i="10"/>
  <c r="K279" i="10"/>
  <c r="P279" i="10" s="1"/>
  <c r="J279" i="10"/>
  <c r="O278" i="10"/>
  <c r="M278" i="10"/>
  <c r="K278" i="10"/>
  <c r="P278" i="10" s="1"/>
  <c r="J278" i="10"/>
  <c r="O277" i="10"/>
  <c r="M277" i="10"/>
  <c r="K277" i="10"/>
  <c r="J277" i="10"/>
  <c r="O276" i="10"/>
  <c r="M276" i="10"/>
  <c r="K276" i="10"/>
  <c r="Q276" i="10" s="1"/>
  <c r="R276" i="10" s="1"/>
  <c r="J276" i="10"/>
  <c r="O275" i="10"/>
  <c r="M275" i="10"/>
  <c r="K275" i="10"/>
  <c r="J275" i="10"/>
  <c r="O274" i="10"/>
  <c r="M274" i="10"/>
  <c r="K274" i="10"/>
  <c r="Q274" i="10" s="1"/>
  <c r="R274" i="10" s="1"/>
  <c r="J274" i="10"/>
  <c r="O273" i="10"/>
  <c r="M273" i="10"/>
  <c r="K273" i="10"/>
  <c r="J273" i="10"/>
  <c r="O272" i="10"/>
  <c r="M272" i="10"/>
  <c r="K272" i="10"/>
  <c r="J272" i="10"/>
  <c r="O271" i="10"/>
  <c r="M271" i="10"/>
  <c r="K271" i="10"/>
  <c r="J271" i="10"/>
  <c r="O270" i="10"/>
  <c r="M270" i="10"/>
  <c r="K270" i="10"/>
  <c r="J270" i="10"/>
  <c r="O269" i="10"/>
  <c r="M269" i="10"/>
  <c r="K269" i="10"/>
  <c r="Q269" i="10" s="1"/>
  <c r="J269" i="10"/>
  <c r="O268" i="10"/>
  <c r="M268" i="10"/>
  <c r="K268" i="10"/>
  <c r="J268" i="10"/>
  <c r="O267" i="10"/>
  <c r="M267" i="10"/>
  <c r="K267" i="10"/>
  <c r="Q267" i="10" s="1"/>
  <c r="J267" i="10"/>
  <c r="O266" i="10"/>
  <c r="M266" i="10"/>
  <c r="K266" i="10"/>
  <c r="J266" i="10"/>
  <c r="O265" i="10"/>
  <c r="M265" i="10"/>
  <c r="K265" i="10"/>
  <c r="J265" i="10"/>
  <c r="O264" i="10"/>
  <c r="M264" i="10"/>
  <c r="K264" i="10"/>
  <c r="J264" i="10"/>
  <c r="O263" i="10"/>
  <c r="M263" i="10"/>
  <c r="K263" i="10"/>
  <c r="J263" i="10"/>
  <c r="O262" i="10"/>
  <c r="M262" i="10"/>
  <c r="K262" i="10"/>
  <c r="Q262" i="10" s="1"/>
  <c r="R262" i="10" s="1"/>
  <c r="J262" i="10"/>
  <c r="O261" i="10"/>
  <c r="M261" i="10"/>
  <c r="K261" i="10"/>
  <c r="J261" i="10"/>
  <c r="O260" i="10"/>
  <c r="M260" i="10"/>
  <c r="K260" i="10"/>
  <c r="Q260" i="10" s="1"/>
  <c r="R260" i="10" s="1"/>
  <c r="J260" i="10"/>
  <c r="O259" i="10"/>
  <c r="M259" i="10"/>
  <c r="K259" i="10"/>
  <c r="J259" i="10"/>
  <c r="O258" i="10"/>
  <c r="M258" i="10"/>
  <c r="K258" i="10"/>
  <c r="P258" i="10" s="1"/>
  <c r="J258" i="10"/>
  <c r="O257" i="10"/>
  <c r="M257" i="10"/>
  <c r="K257" i="10"/>
  <c r="J257" i="10"/>
  <c r="O256" i="10"/>
  <c r="M256" i="10"/>
  <c r="K256" i="10"/>
  <c r="P256" i="10" s="1"/>
  <c r="J256" i="10"/>
  <c r="O255" i="10"/>
  <c r="M255" i="10"/>
  <c r="K255" i="10"/>
  <c r="Q255" i="10" s="1"/>
  <c r="R255" i="10" s="1"/>
  <c r="J255" i="10"/>
  <c r="O254" i="10"/>
  <c r="M254" i="10"/>
  <c r="K254" i="10"/>
  <c r="J254" i="10"/>
  <c r="O253" i="10"/>
  <c r="M253" i="10"/>
  <c r="K253" i="10"/>
  <c r="Q253" i="10" s="1"/>
  <c r="R253" i="10" s="1"/>
  <c r="J253" i="10"/>
  <c r="O252" i="10"/>
  <c r="M252" i="10"/>
  <c r="K252" i="10"/>
  <c r="Q252" i="10" s="1"/>
  <c r="R252" i="10" s="1"/>
  <c r="J252" i="10"/>
  <c r="O251" i="10"/>
  <c r="M251" i="10"/>
  <c r="K251" i="10"/>
  <c r="J251" i="10"/>
  <c r="O250" i="10"/>
  <c r="M250" i="10"/>
  <c r="K250" i="10"/>
  <c r="J250" i="10"/>
  <c r="O249" i="10"/>
  <c r="M249" i="10"/>
  <c r="K249" i="10"/>
  <c r="J249" i="10"/>
  <c r="O248" i="10"/>
  <c r="M248" i="10"/>
  <c r="K248" i="10"/>
  <c r="Q248" i="10" s="1"/>
  <c r="R248" i="10" s="1"/>
  <c r="J248" i="10"/>
  <c r="O247" i="10"/>
  <c r="M247" i="10"/>
  <c r="K247" i="10"/>
  <c r="J247" i="10"/>
  <c r="O246" i="10"/>
  <c r="M246" i="10"/>
  <c r="K246" i="10"/>
  <c r="Q246" i="10" s="1"/>
  <c r="R246" i="10" s="1"/>
  <c r="J246" i="10"/>
  <c r="O245" i="10"/>
  <c r="M245" i="10"/>
  <c r="K245" i="10"/>
  <c r="Q245" i="10" s="1"/>
  <c r="J245" i="10"/>
  <c r="O244" i="10"/>
  <c r="M244" i="10"/>
  <c r="K244" i="10"/>
  <c r="J244" i="10"/>
  <c r="O243" i="10"/>
  <c r="M243" i="10"/>
  <c r="K243" i="10"/>
  <c r="P243" i="10" s="1"/>
  <c r="J243" i="10"/>
  <c r="O242" i="10"/>
  <c r="M242" i="10"/>
  <c r="K242" i="10"/>
  <c r="P242" i="10" s="1"/>
  <c r="J242" i="10"/>
  <c r="O241" i="10"/>
  <c r="M241" i="10"/>
  <c r="K241" i="10"/>
  <c r="Q241" i="10" s="1"/>
  <c r="R241" i="10" s="1"/>
  <c r="J241" i="10"/>
  <c r="O240" i="10"/>
  <c r="M240" i="10"/>
  <c r="K240" i="10"/>
  <c r="Q240" i="10" s="1"/>
  <c r="R240" i="10" s="1"/>
  <c r="J240" i="10"/>
  <c r="O239" i="10"/>
  <c r="M239" i="10"/>
  <c r="K239" i="10"/>
  <c r="Q239" i="10" s="1"/>
  <c r="R239" i="10" s="1"/>
  <c r="J239" i="10"/>
  <c r="O238" i="10"/>
  <c r="M238" i="10"/>
  <c r="K238" i="10"/>
  <c r="P238" i="10" s="1"/>
  <c r="J238" i="10"/>
  <c r="O237" i="10"/>
  <c r="M237" i="10"/>
  <c r="K237" i="10"/>
  <c r="P237" i="10" s="1"/>
  <c r="J237" i="10"/>
  <c r="O236" i="10"/>
  <c r="M236" i="10"/>
  <c r="K236" i="10"/>
  <c r="J236" i="10"/>
  <c r="O235" i="10"/>
  <c r="M235" i="10"/>
  <c r="K235" i="10"/>
  <c r="P235" i="10" s="1"/>
  <c r="J235" i="10"/>
  <c r="O234" i="10"/>
  <c r="M234" i="10"/>
  <c r="K234" i="10"/>
  <c r="Q234" i="10" s="1"/>
  <c r="R234" i="10" s="1"/>
  <c r="J234" i="10"/>
  <c r="O233" i="10"/>
  <c r="M233" i="10"/>
  <c r="K233" i="10"/>
  <c r="Q233" i="10" s="1"/>
  <c r="R233" i="10" s="1"/>
  <c r="J233" i="10"/>
  <c r="O232" i="10"/>
  <c r="M232" i="10"/>
  <c r="K232" i="10"/>
  <c r="P232" i="10" s="1"/>
  <c r="J232" i="10"/>
  <c r="O231" i="10"/>
  <c r="M231" i="10"/>
  <c r="K231" i="10"/>
  <c r="Q231" i="10" s="1"/>
  <c r="R231" i="10" s="1"/>
  <c r="J231" i="10"/>
  <c r="O230" i="10"/>
  <c r="M230" i="10"/>
  <c r="K230" i="10"/>
  <c r="P230" i="10" s="1"/>
  <c r="J230" i="10"/>
  <c r="O229" i="10"/>
  <c r="M229" i="10"/>
  <c r="K229" i="10"/>
  <c r="Q229" i="10" s="1"/>
  <c r="R229" i="10" s="1"/>
  <c r="J229" i="10"/>
  <c r="O228" i="10"/>
  <c r="M228" i="10"/>
  <c r="K228" i="10"/>
  <c r="J228" i="10"/>
  <c r="O227" i="10"/>
  <c r="M227" i="10"/>
  <c r="K227" i="10"/>
  <c r="Q227" i="10" s="1"/>
  <c r="R227" i="10" s="1"/>
  <c r="J227" i="10"/>
  <c r="O226" i="10"/>
  <c r="M226" i="10"/>
  <c r="K226" i="10"/>
  <c r="J226" i="10"/>
  <c r="O225" i="10"/>
  <c r="M225" i="10"/>
  <c r="K225" i="10"/>
  <c r="P225" i="10" s="1"/>
  <c r="J225" i="10"/>
  <c r="O224" i="10"/>
  <c r="M224" i="10"/>
  <c r="K224" i="10"/>
  <c r="Q224" i="10" s="1"/>
  <c r="R224" i="10" s="1"/>
  <c r="J224" i="10"/>
  <c r="O223" i="10"/>
  <c r="M223" i="10"/>
  <c r="K223" i="10"/>
  <c r="P223" i="10" s="1"/>
  <c r="J223" i="10"/>
  <c r="O222" i="10"/>
  <c r="M222" i="10"/>
  <c r="K222" i="10"/>
  <c r="Q222" i="10" s="1"/>
  <c r="R222" i="10" s="1"/>
  <c r="J222" i="10"/>
  <c r="O221" i="10"/>
  <c r="M221" i="10"/>
  <c r="K221" i="10"/>
  <c r="P221" i="10" s="1"/>
  <c r="J221" i="10"/>
  <c r="O220" i="10"/>
  <c r="M220" i="10"/>
  <c r="K220" i="10"/>
  <c r="Q220" i="10" s="1"/>
  <c r="J220" i="10"/>
  <c r="O219" i="10"/>
  <c r="M219" i="10"/>
  <c r="K219" i="10"/>
  <c r="J219" i="10"/>
  <c r="O218" i="10"/>
  <c r="M218" i="10"/>
  <c r="K218" i="10"/>
  <c r="Q218" i="10" s="1"/>
  <c r="R218" i="10" s="1"/>
  <c r="J218" i="10"/>
  <c r="O217" i="10"/>
  <c r="M217" i="10"/>
  <c r="K217" i="10"/>
  <c r="Q217" i="10" s="1"/>
  <c r="R217" i="10" s="1"/>
  <c r="J217" i="10"/>
  <c r="O216" i="10"/>
  <c r="M216" i="10"/>
  <c r="K216" i="10"/>
  <c r="P216" i="10" s="1"/>
  <c r="J216" i="10"/>
  <c r="O215" i="10"/>
  <c r="M215" i="10"/>
  <c r="K215" i="10"/>
  <c r="Q215" i="10" s="1"/>
  <c r="R215" i="10" s="1"/>
  <c r="J215" i="10"/>
  <c r="O214" i="10"/>
  <c r="M214" i="10"/>
  <c r="K214" i="10"/>
  <c r="Q214" i="10" s="1"/>
  <c r="R214" i="10" s="1"/>
  <c r="J214" i="10"/>
  <c r="O213" i="10"/>
  <c r="M213" i="10"/>
  <c r="K213" i="10"/>
  <c r="Q213" i="10" s="1"/>
  <c r="R213" i="10" s="1"/>
  <c r="J213" i="10"/>
  <c r="O212" i="10"/>
  <c r="M212" i="10"/>
  <c r="K212" i="10"/>
  <c r="P212" i="10" s="1"/>
  <c r="J212" i="10"/>
  <c r="O211" i="10"/>
  <c r="M211" i="10"/>
  <c r="K211" i="10"/>
  <c r="P211" i="10" s="1"/>
  <c r="J211" i="10"/>
  <c r="O210" i="10"/>
  <c r="M210" i="10"/>
  <c r="K210" i="10"/>
  <c r="J210" i="10"/>
  <c r="O209" i="10"/>
  <c r="M209" i="10"/>
  <c r="K209" i="10"/>
  <c r="J209" i="10"/>
  <c r="O208" i="10"/>
  <c r="M208" i="10"/>
  <c r="K208" i="10"/>
  <c r="J208" i="10"/>
  <c r="O207" i="10"/>
  <c r="M207" i="10"/>
  <c r="K207" i="10"/>
  <c r="Q207" i="10" s="1"/>
  <c r="R207" i="10" s="1"/>
  <c r="J207" i="10"/>
  <c r="O206" i="10"/>
  <c r="M206" i="10"/>
  <c r="K206" i="10"/>
  <c r="P206" i="10" s="1"/>
  <c r="J206" i="10"/>
  <c r="O205" i="10"/>
  <c r="M205" i="10"/>
  <c r="K205" i="10"/>
  <c r="Q205" i="10" s="1"/>
  <c r="R205" i="10" s="1"/>
  <c r="J205" i="10"/>
  <c r="O204" i="10"/>
  <c r="M204" i="10"/>
  <c r="K204" i="10"/>
  <c r="Q204" i="10" s="1"/>
  <c r="R204" i="10" s="1"/>
  <c r="J204" i="10"/>
  <c r="O203" i="10"/>
  <c r="M203" i="10"/>
  <c r="K203" i="10"/>
  <c r="P203" i="10" s="1"/>
  <c r="J203" i="10"/>
  <c r="O202" i="10"/>
  <c r="M202" i="10"/>
  <c r="K202" i="10"/>
  <c r="J202" i="10"/>
  <c r="O201" i="10"/>
  <c r="M201" i="10"/>
  <c r="K201" i="10"/>
  <c r="J201" i="10"/>
  <c r="O200" i="10"/>
  <c r="M200" i="10"/>
  <c r="K200" i="10"/>
  <c r="J200" i="10"/>
  <c r="O199" i="10"/>
  <c r="M199" i="10"/>
  <c r="K199" i="10"/>
  <c r="Q199" i="10" s="1"/>
  <c r="R199" i="10" s="1"/>
  <c r="J199" i="10"/>
  <c r="O198" i="10"/>
  <c r="M198" i="10"/>
  <c r="K198" i="10"/>
  <c r="Q198" i="10" s="1"/>
  <c r="R198" i="10" s="1"/>
  <c r="J198" i="10"/>
  <c r="O197" i="10"/>
  <c r="M197" i="10"/>
  <c r="K197" i="10"/>
  <c r="P197" i="10" s="1"/>
  <c r="J197" i="10"/>
  <c r="O196" i="10"/>
  <c r="M196" i="10"/>
  <c r="K196" i="10"/>
  <c r="Q196" i="10" s="1"/>
  <c r="R196" i="10" s="1"/>
  <c r="J196" i="10"/>
  <c r="O195" i="10"/>
  <c r="M195" i="10"/>
  <c r="K195" i="10"/>
  <c r="P195" i="10" s="1"/>
  <c r="J195" i="10"/>
  <c r="O194" i="10"/>
  <c r="M194" i="10"/>
  <c r="K194" i="10"/>
  <c r="Q194" i="10" s="1"/>
  <c r="R194" i="10" s="1"/>
  <c r="J194" i="10"/>
  <c r="O193" i="10"/>
  <c r="M193" i="10"/>
  <c r="K193" i="10"/>
  <c r="Q193" i="10" s="1"/>
  <c r="R193" i="10" s="1"/>
  <c r="J193" i="10"/>
  <c r="O192" i="10"/>
  <c r="M192" i="10"/>
  <c r="K192" i="10"/>
  <c r="Q192" i="10" s="1"/>
  <c r="R192" i="10" s="1"/>
  <c r="J192" i="10"/>
  <c r="O191" i="10"/>
  <c r="M191" i="10"/>
  <c r="K191" i="10"/>
  <c r="P191" i="10" s="1"/>
  <c r="J191" i="10"/>
  <c r="O190" i="10"/>
  <c r="M190" i="10"/>
  <c r="K190" i="10"/>
  <c r="J190" i="10"/>
  <c r="O189" i="10"/>
  <c r="M189" i="10"/>
  <c r="K189" i="10"/>
  <c r="P189" i="10" s="1"/>
  <c r="J189" i="10"/>
  <c r="O188" i="10"/>
  <c r="M188" i="10"/>
  <c r="K188" i="10"/>
  <c r="P188" i="10" s="1"/>
  <c r="J188" i="10"/>
  <c r="O187" i="10"/>
  <c r="M187" i="10"/>
  <c r="K187" i="10"/>
  <c r="P187" i="10" s="1"/>
  <c r="J187" i="10"/>
  <c r="O186" i="10"/>
  <c r="M186" i="10"/>
  <c r="K186" i="10"/>
  <c r="Q186" i="10" s="1"/>
  <c r="R186" i="10" s="1"/>
  <c r="J186" i="10"/>
  <c r="O185" i="10"/>
  <c r="M185" i="10"/>
  <c r="K185" i="10"/>
  <c r="Q185" i="10" s="1"/>
  <c r="R185" i="10" s="1"/>
  <c r="J185" i="10"/>
  <c r="O184" i="10"/>
  <c r="M184" i="10"/>
  <c r="K184" i="10"/>
  <c r="P184" i="10" s="1"/>
  <c r="J184" i="10"/>
  <c r="O183" i="10"/>
  <c r="M183" i="10"/>
  <c r="K183" i="10"/>
  <c r="P183" i="10" s="1"/>
  <c r="J183" i="10"/>
  <c r="O182" i="10"/>
  <c r="M182" i="10"/>
  <c r="K182" i="10"/>
  <c r="P182" i="10" s="1"/>
  <c r="J182" i="10"/>
  <c r="O181" i="10"/>
  <c r="M181" i="10"/>
  <c r="K181" i="10"/>
  <c r="J181" i="10"/>
  <c r="O180" i="10"/>
  <c r="M180" i="10"/>
  <c r="K180" i="10"/>
  <c r="P180" i="10" s="1"/>
  <c r="J180" i="10"/>
  <c r="O179" i="10"/>
  <c r="M179" i="10"/>
  <c r="K179" i="10"/>
  <c r="J179" i="10"/>
  <c r="O178" i="10"/>
  <c r="M178" i="10"/>
  <c r="K178" i="10"/>
  <c r="P178" i="10" s="1"/>
  <c r="J178" i="10"/>
  <c r="O177" i="10"/>
  <c r="M177" i="10"/>
  <c r="K177" i="10"/>
  <c r="Q177" i="10" s="1"/>
  <c r="R177" i="10" s="1"/>
  <c r="J177" i="10"/>
  <c r="O176" i="10"/>
  <c r="M176" i="10"/>
  <c r="K176" i="10"/>
  <c r="Q176" i="10" s="1"/>
  <c r="R176" i="10" s="1"/>
  <c r="J176" i="10"/>
  <c r="O175" i="10"/>
  <c r="M175" i="10"/>
  <c r="K175" i="10"/>
  <c r="Q175" i="10" s="1"/>
  <c r="R175" i="10" s="1"/>
  <c r="J175" i="10"/>
  <c r="O174" i="10"/>
  <c r="M174" i="10"/>
  <c r="K174" i="10"/>
  <c r="P174" i="10" s="1"/>
  <c r="J174" i="10"/>
  <c r="O173" i="10"/>
  <c r="M173" i="10"/>
  <c r="K173" i="10"/>
  <c r="P173" i="10" s="1"/>
  <c r="J173" i="10"/>
  <c r="O172" i="10"/>
  <c r="M172" i="10"/>
  <c r="K172" i="10"/>
  <c r="P172" i="10" s="1"/>
  <c r="J172" i="10"/>
  <c r="O171" i="10"/>
  <c r="M171" i="10"/>
  <c r="K171" i="10"/>
  <c r="Q171" i="10" s="1"/>
  <c r="R171" i="10" s="1"/>
  <c r="J171" i="10"/>
  <c r="O170" i="10"/>
  <c r="M170" i="10"/>
  <c r="K170" i="10"/>
  <c r="J170" i="10"/>
  <c r="O169" i="10"/>
  <c r="M169" i="10"/>
  <c r="K169" i="10"/>
  <c r="P169" i="10" s="1"/>
  <c r="J169" i="10"/>
  <c r="O168" i="10"/>
  <c r="M168" i="10"/>
  <c r="K168" i="10"/>
  <c r="Q168" i="10" s="1"/>
  <c r="R168" i="10" s="1"/>
  <c r="J168" i="10"/>
  <c r="O167" i="10"/>
  <c r="M167" i="10"/>
  <c r="K167" i="10"/>
  <c r="P167" i="10" s="1"/>
  <c r="J167" i="10"/>
  <c r="O166" i="10"/>
  <c r="M166" i="10"/>
  <c r="K166" i="10"/>
  <c r="Q166" i="10" s="1"/>
  <c r="R166" i="10" s="1"/>
  <c r="J166" i="10"/>
  <c r="O165" i="10"/>
  <c r="M165" i="10"/>
  <c r="K165" i="10"/>
  <c r="Q165" i="10" s="1"/>
  <c r="R165" i="10" s="1"/>
  <c r="J165" i="10"/>
  <c r="O164" i="10"/>
  <c r="M164" i="10"/>
  <c r="K164" i="10"/>
  <c r="Q164" i="10" s="1"/>
  <c r="R164" i="10" s="1"/>
  <c r="J164" i="10"/>
  <c r="O163" i="10"/>
  <c r="M163" i="10"/>
  <c r="K163" i="10"/>
  <c r="P163" i="10" s="1"/>
  <c r="J163" i="10"/>
  <c r="O162" i="10"/>
  <c r="M162" i="10"/>
  <c r="K162" i="10"/>
  <c r="Q162" i="10" s="1"/>
  <c r="J162" i="10"/>
  <c r="O161" i="10"/>
  <c r="M161" i="10"/>
  <c r="K161" i="10"/>
  <c r="J161" i="10"/>
  <c r="O160" i="10"/>
  <c r="M160" i="10"/>
  <c r="K160" i="10"/>
  <c r="J160" i="10"/>
  <c r="O159" i="10"/>
  <c r="M159" i="10"/>
  <c r="K159" i="10"/>
  <c r="Q159" i="10" s="1"/>
  <c r="R159" i="10" s="1"/>
  <c r="J159" i="10"/>
  <c r="O158" i="10"/>
  <c r="M158" i="10"/>
  <c r="K158" i="10"/>
  <c r="Q158" i="10" s="1"/>
  <c r="R158" i="10" s="1"/>
  <c r="J158" i="10"/>
  <c r="O157" i="10"/>
  <c r="M157" i="10"/>
  <c r="K157" i="10"/>
  <c r="Q157" i="10" s="1"/>
  <c r="R157" i="10" s="1"/>
  <c r="J157" i="10"/>
  <c r="O156" i="10"/>
  <c r="M156" i="10"/>
  <c r="K156" i="10"/>
  <c r="Q156" i="10" s="1"/>
  <c r="R156" i="10" s="1"/>
  <c r="J156" i="10"/>
  <c r="O155" i="10"/>
  <c r="M155" i="10"/>
  <c r="K155" i="10"/>
  <c r="Q155" i="10" s="1"/>
  <c r="R155" i="10" s="1"/>
  <c r="J155" i="10"/>
  <c r="O154" i="10"/>
  <c r="M154" i="10"/>
  <c r="K154" i="10"/>
  <c r="P154" i="10" s="1"/>
  <c r="J154" i="10"/>
  <c r="O153" i="10"/>
  <c r="M153" i="10"/>
  <c r="K153" i="10"/>
  <c r="P153" i="10" s="1"/>
  <c r="J153" i="10"/>
  <c r="O152" i="10"/>
  <c r="M152" i="10"/>
  <c r="K152" i="10"/>
  <c r="J152" i="10"/>
  <c r="O151" i="10"/>
  <c r="M151" i="10"/>
  <c r="K151" i="10"/>
  <c r="Q151" i="10" s="1"/>
  <c r="R151" i="10" s="1"/>
  <c r="J151" i="10"/>
  <c r="O150" i="10"/>
  <c r="M150" i="10"/>
  <c r="K150" i="10"/>
  <c r="Q150" i="10" s="1"/>
  <c r="R150" i="10" s="1"/>
  <c r="J150" i="10"/>
  <c r="O149" i="10"/>
  <c r="M149" i="10"/>
  <c r="K149" i="10"/>
  <c r="Q149" i="10" s="1"/>
  <c r="R149" i="10" s="1"/>
  <c r="J149" i="10"/>
  <c r="O148" i="10"/>
  <c r="M148" i="10"/>
  <c r="K148" i="10"/>
  <c r="P148" i="10" s="1"/>
  <c r="J148" i="10"/>
  <c r="O147" i="10"/>
  <c r="M147" i="10"/>
  <c r="K147" i="10"/>
  <c r="Q147" i="10" s="1"/>
  <c r="R147" i="10" s="1"/>
  <c r="J147" i="10"/>
  <c r="O146" i="10"/>
  <c r="M146" i="10"/>
  <c r="K146" i="10"/>
  <c r="P146" i="10" s="1"/>
  <c r="J146" i="10"/>
  <c r="O145" i="10"/>
  <c r="M145" i="10"/>
  <c r="K145" i="10"/>
  <c r="Q145" i="10" s="1"/>
  <c r="R145" i="10" s="1"/>
  <c r="J145" i="10"/>
  <c r="O144" i="10"/>
  <c r="M144" i="10"/>
  <c r="K144" i="10"/>
  <c r="Q144" i="10" s="1"/>
  <c r="R144" i="10" s="1"/>
  <c r="J144" i="10"/>
  <c r="O143" i="10"/>
  <c r="M143" i="10"/>
  <c r="K143" i="10"/>
  <c r="P143" i="10" s="1"/>
  <c r="J143" i="10"/>
  <c r="O142" i="10"/>
  <c r="M142" i="10"/>
  <c r="K142" i="10"/>
  <c r="Q142" i="10" s="1"/>
  <c r="R142" i="10" s="1"/>
  <c r="J142" i="10"/>
  <c r="O141" i="10"/>
  <c r="M141" i="10"/>
  <c r="K141" i="10"/>
  <c r="J141" i="10"/>
  <c r="O140" i="10"/>
  <c r="M140" i="10"/>
  <c r="K140" i="10"/>
  <c r="Q140" i="10" s="1"/>
  <c r="R140" i="10" s="1"/>
  <c r="J140" i="10"/>
  <c r="O139" i="10"/>
  <c r="M139" i="10"/>
  <c r="K139" i="10"/>
  <c r="P139" i="10" s="1"/>
  <c r="J139" i="10"/>
  <c r="O138" i="10"/>
  <c r="M138" i="10"/>
  <c r="K138" i="10"/>
  <c r="Q138" i="10" s="1"/>
  <c r="J138" i="10"/>
  <c r="O137" i="10"/>
  <c r="M137" i="10"/>
  <c r="K137" i="10"/>
  <c r="P137" i="10" s="1"/>
  <c r="J137" i="10"/>
  <c r="O136" i="10"/>
  <c r="M136" i="10"/>
  <c r="K136" i="10"/>
  <c r="Q136" i="10" s="1"/>
  <c r="R136" i="10" s="1"/>
  <c r="J136" i="10"/>
  <c r="O135" i="10"/>
  <c r="M135" i="10"/>
  <c r="K135" i="10"/>
  <c r="P135" i="10" s="1"/>
  <c r="J135" i="10"/>
  <c r="O134" i="10"/>
  <c r="M134" i="10"/>
  <c r="K134" i="10"/>
  <c r="P134" i="10" s="1"/>
  <c r="J134" i="10"/>
  <c r="O133" i="10"/>
  <c r="M133" i="10"/>
  <c r="K133" i="10"/>
  <c r="Q133" i="10" s="1"/>
  <c r="R133" i="10" s="1"/>
  <c r="J133" i="10"/>
  <c r="O132" i="10"/>
  <c r="M132" i="10"/>
  <c r="K132" i="10"/>
  <c r="J132" i="10"/>
  <c r="O131" i="10"/>
  <c r="M131" i="10"/>
  <c r="K131" i="10"/>
  <c r="P131" i="10" s="1"/>
  <c r="J131" i="10"/>
  <c r="O130" i="10"/>
  <c r="M130" i="10"/>
  <c r="K130" i="10"/>
  <c r="Q130" i="10" s="1"/>
  <c r="R130" i="10" s="1"/>
  <c r="J130" i="10"/>
  <c r="O129" i="10"/>
  <c r="M129" i="10"/>
  <c r="K129" i="10"/>
  <c r="Q129" i="10" s="1"/>
  <c r="R129" i="10" s="1"/>
  <c r="J129" i="10"/>
  <c r="O128" i="10"/>
  <c r="M128" i="10"/>
  <c r="K128" i="10"/>
  <c r="P128" i="10" s="1"/>
  <c r="J128" i="10"/>
  <c r="O127" i="10"/>
  <c r="M127" i="10"/>
  <c r="K127" i="10"/>
  <c r="Q127" i="10" s="1"/>
  <c r="R127" i="10" s="1"/>
  <c r="J127" i="10"/>
  <c r="O126" i="10"/>
  <c r="M126" i="10"/>
  <c r="K126" i="10"/>
  <c r="Q126" i="10" s="1"/>
  <c r="R126" i="10" s="1"/>
  <c r="J126" i="10"/>
  <c r="O125" i="10"/>
  <c r="M125" i="10"/>
  <c r="K125" i="10"/>
  <c r="P125" i="10" s="1"/>
  <c r="J125" i="10"/>
  <c r="O124" i="10"/>
  <c r="M124" i="10"/>
  <c r="K124" i="10"/>
  <c r="Q124" i="10" s="1"/>
  <c r="R124" i="10" s="1"/>
  <c r="J124" i="10"/>
  <c r="O123" i="10"/>
  <c r="M123" i="10"/>
  <c r="K123" i="10"/>
  <c r="P123" i="10" s="1"/>
  <c r="J123" i="10"/>
  <c r="O122" i="10"/>
  <c r="M122" i="10"/>
  <c r="K122" i="10"/>
  <c r="Q122" i="10" s="1"/>
  <c r="R122" i="10" s="1"/>
  <c r="J122" i="10"/>
  <c r="O121" i="10"/>
  <c r="M121" i="10"/>
  <c r="K121" i="10"/>
  <c r="Q121" i="10" s="1"/>
  <c r="R121" i="10" s="1"/>
  <c r="J121" i="10"/>
  <c r="O120" i="10"/>
  <c r="M120" i="10"/>
  <c r="K120" i="10"/>
  <c r="Q120" i="10" s="1"/>
  <c r="R120" i="10" s="1"/>
  <c r="J120" i="10"/>
  <c r="O119" i="10"/>
  <c r="M119" i="10"/>
  <c r="K119" i="10"/>
  <c r="J119" i="10"/>
  <c r="O118" i="10"/>
  <c r="M118" i="10"/>
  <c r="K118" i="10"/>
  <c r="P118" i="10" s="1"/>
  <c r="J118" i="10"/>
  <c r="O117" i="10"/>
  <c r="M117" i="10"/>
  <c r="K117" i="10"/>
  <c r="P117" i="10" s="1"/>
  <c r="J117" i="10"/>
  <c r="O116" i="10"/>
  <c r="M116" i="10"/>
  <c r="K116" i="10"/>
  <c r="Q116" i="10" s="1"/>
  <c r="R116" i="10" s="1"/>
  <c r="J116" i="10"/>
  <c r="O115" i="10"/>
  <c r="M115" i="10"/>
  <c r="K115" i="10"/>
  <c r="Q115" i="10" s="1"/>
  <c r="R115" i="10" s="1"/>
  <c r="J115" i="10"/>
  <c r="O114" i="10"/>
  <c r="M114" i="10"/>
  <c r="K114" i="10"/>
  <c r="P114" i="10" s="1"/>
  <c r="J114" i="10"/>
  <c r="O113" i="10"/>
  <c r="M113" i="10"/>
  <c r="K113" i="10"/>
  <c r="Q113" i="10" s="1"/>
  <c r="R113" i="10" s="1"/>
  <c r="J113" i="10"/>
  <c r="O112" i="10"/>
  <c r="M112" i="10"/>
  <c r="K112" i="10"/>
  <c r="Q112" i="10" s="1"/>
  <c r="R112" i="10" s="1"/>
  <c r="J112" i="10"/>
  <c r="O111" i="10"/>
  <c r="M111" i="10"/>
  <c r="K111" i="10"/>
  <c r="J111" i="10"/>
  <c r="O110" i="10"/>
  <c r="M110" i="10"/>
  <c r="K110" i="10"/>
  <c r="Q110" i="10" s="1"/>
  <c r="R110" i="10" s="1"/>
  <c r="J110" i="10"/>
  <c r="O109" i="10"/>
  <c r="M109" i="10"/>
  <c r="K109" i="10"/>
  <c r="Q109" i="10" s="1"/>
  <c r="R109" i="10" s="1"/>
  <c r="J109" i="10"/>
  <c r="O108" i="10"/>
  <c r="M108" i="10"/>
  <c r="K108" i="10"/>
  <c r="P108" i="10" s="1"/>
  <c r="J108" i="10"/>
  <c r="O107" i="10"/>
  <c r="M107" i="10"/>
  <c r="K107" i="10"/>
  <c r="Q107" i="10" s="1"/>
  <c r="R107" i="10" s="1"/>
  <c r="J107" i="10"/>
  <c r="O106" i="10"/>
  <c r="M106" i="10"/>
  <c r="K106" i="10"/>
  <c r="Q106" i="10" s="1"/>
  <c r="R106" i="10" s="1"/>
  <c r="J106" i="10"/>
  <c r="O105" i="10"/>
  <c r="M105" i="10"/>
  <c r="K105" i="10"/>
  <c r="P105" i="10" s="1"/>
  <c r="J105" i="10"/>
  <c r="O104" i="10"/>
  <c r="M104" i="10"/>
  <c r="K104" i="10"/>
  <c r="P104" i="10" s="1"/>
  <c r="J104" i="10"/>
  <c r="O103" i="10"/>
  <c r="M103" i="10"/>
  <c r="K103" i="10"/>
  <c r="J103" i="10"/>
  <c r="O102" i="10"/>
  <c r="M102" i="10"/>
  <c r="K102" i="10"/>
  <c r="Q102" i="10" s="1"/>
  <c r="R102" i="10" s="1"/>
  <c r="J102" i="10"/>
  <c r="O101" i="10"/>
  <c r="M101" i="10"/>
  <c r="K101" i="10"/>
  <c r="Q101" i="10" s="1"/>
  <c r="R101" i="10" s="1"/>
  <c r="J101" i="10"/>
  <c r="O100" i="10"/>
  <c r="M100" i="10"/>
  <c r="K100" i="10"/>
  <c r="Q100" i="10" s="1"/>
  <c r="R100" i="10" s="1"/>
  <c r="J100" i="10"/>
  <c r="O99" i="10"/>
  <c r="M99" i="10"/>
  <c r="K99" i="10"/>
  <c r="Q99" i="10" s="1"/>
  <c r="R99" i="10" s="1"/>
  <c r="J99" i="10"/>
  <c r="O98" i="10"/>
  <c r="M98" i="10"/>
  <c r="K98" i="10"/>
  <c r="P98" i="10" s="1"/>
  <c r="J98" i="10"/>
  <c r="O97" i="10"/>
  <c r="M97" i="10"/>
  <c r="K97" i="10"/>
  <c r="J97" i="10"/>
  <c r="O96" i="10"/>
  <c r="M96" i="10"/>
  <c r="K96" i="10"/>
  <c r="Q96" i="10" s="1"/>
  <c r="R96" i="10" s="1"/>
  <c r="J96" i="10"/>
  <c r="O95" i="10"/>
  <c r="M95" i="10"/>
  <c r="K95" i="10"/>
  <c r="P95" i="10" s="1"/>
  <c r="J95" i="10"/>
  <c r="O94" i="10"/>
  <c r="M94" i="10"/>
  <c r="K94" i="10"/>
  <c r="Q94" i="10" s="1"/>
  <c r="R94" i="10" s="1"/>
  <c r="J94" i="10"/>
  <c r="O93" i="10"/>
  <c r="M93" i="10"/>
  <c r="K93" i="10"/>
  <c r="Q93" i="10" s="1"/>
  <c r="R93" i="10" s="1"/>
  <c r="J93" i="10"/>
  <c r="O92" i="10"/>
  <c r="M92" i="10"/>
  <c r="K92" i="10"/>
  <c r="Q92" i="10" s="1"/>
  <c r="R92" i="10" s="1"/>
  <c r="J92" i="10"/>
  <c r="O91" i="10"/>
  <c r="M91" i="10"/>
  <c r="K91" i="10"/>
  <c r="P91" i="10" s="1"/>
  <c r="J91" i="10"/>
  <c r="O90" i="10"/>
  <c r="M90" i="10"/>
  <c r="K90" i="10"/>
  <c r="J90" i="10"/>
  <c r="O89" i="10"/>
  <c r="M89" i="10"/>
  <c r="K89" i="10"/>
  <c r="Q89" i="10" s="1"/>
  <c r="R89" i="10" s="1"/>
  <c r="J89" i="10"/>
  <c r="O88" i="10"/>
  <c r="M88" i="10"/>
  <c r="K88" i="10"/>
  <c r="J88" i="10"/>
  <c r="O87" i="10"/>
  <c r="M87" i="10"/>
  <c r="K87" i="10"/>
  <c r="P87" i="10" s="1"/>
  <c r="J87" i="10"/>
  <c r="O86" i="10"/>
  <c r="M86" i="10"/>
  <c r="K86" i="10"/>
  <c r="Q86" i="10" s="1"/>
  <c r="R86" i="10" s="1"/>
  <c r="J86" i="10"/>
  <c r="O85" i="10"/>
  <c r="M85" i="10"/>
  <c r="K85" i="10"/>
  <c r="P85" i="10" s="1"/>
  <c r="J85" i="10"/>
  <c r="O84" i="10"/>
  <c r="M84" i="10"/>
  <c r="K84" i="10"/>
  <c r="Q84" i="10" s="1"/>
  <c r="R84" i="10" s="1"/>
  <c r="J84" i="10"/>
  <c r="O83" i="10"/>
  <c r="M83" i="10"/>
  <c r="K83" i="10"/>
  <c r="J83" i="10"/>
  <c r="O82" i="10"/>
  <c r="M82" i="10"/>
  <c r="K82" i="10"/>
  <c r="J82" i="10"/>
  <c r="O81" i="10"/>
  <c r="M81" i="10"/>
  <c r="K81" i="10"/>
  <c r="Q81" i="10" s="1"/>
  <c r="R81" i="10" s="1"/>
  <c r="J81" i="10"/>
  <c r="O80" i="10"/>
  <c r="M80" i="10"/>
  <c r="K80" i="10"/>
  <c r="Q80" i="10" s="1"/>
  <c r="R80" i="10" s="1"/>
  <c r="J80" i="10"/>
  <c r="O79" i="10"/>
  <c r="M79" i="10"/>
  <c r="K79" i="10"/>
  <c r="Q79" i="10" s="1"/>
  <c r="R79" i="10" s="1"/>
  <c r="J79" i="10"/>
  <c r="O78" i="10"/>
  <c r="M78" i="10"/>
  <c r="K78" i="10"/>
  <c r="Q78" i="10" s="1"/>
  <c r="R78" i="10" s="1"/>
  <c r="J78" i="10"/>
  <c r="O77" i="10"/>
  <c r="M77" i="10"/>
  <c r="K77" i="10"/>
  <c r="Q77" i="10" s="1"/>
  <c r="R77" i="10" s="1"/>
  <c r="J77" i="10"/>
  <c r="O76" i="10"/>
  <c r="M76" i="10"/>
  <c r="K76" i="10"/>
  <c r="P76" i="10" s="1"/>
  <c r="J76" i="10"/>
  <c r="O75" i="10"/>
  <c r="M75" i="10"/>
  <c r="K75" i="10"/>
  <c r="P75" i="10" s="1"/>
  <c r="J75" i="10"/>
  <c r="O74" i="10"/>
  <c r="M74" i="10"/>
  <c r="K74" i="10"/>
  <c r="P74" i="10" s="1"/>
  <c r="J74" i="10"/>
  <c r="O73" i="10"/>
  <c r="M73" i="10"/>
  <c r="K73" i="10"/>
  <c r="Q73" i="10" s="1"/>
  <c r="R73" i="10" s="1"/>
  <c r="J73" i="10"/>
  <c r="O72" i="10"/>
  <c r="M72" i="10"/>
  <c r="K72" i="10"/>
  <c r="Q72" i="10" s="1"/>
  <c r="R72" i="10" s="1"/>
  <c r="J72" i="10"/>
  <c r="O71" i="10"/>
  <c r="M71" i="10"/>
  <c r="K71" i="10"/>
  <c r="Q71" i="10" s="1"/>
  <c r="R71" i="10" s="1"/>
  <c r="J71" i="10"/>
  <c r="O70" i="10"/>
  <c r="M70" i="10"/>
  <c r="K70" i="10"/>
  <c r="Q70" i="10" s="1"/>
  <c r="R70" i="10" s="1"/>
  <c r="J70" i="10"/>
  <c r="O69" i="10"/>
  <c r="M69" i="10"/>
  <c r="K69" i="10"/>
  <c r="P69" i="10" s="1"/>
  <c r="J69" i="10"/>
  <c r="O68" i="10"/>
  <c r="M68" i="10"/>
  <c r="K68" i="10"/>
  <c r="Q68" i="10" s="1"/>
  <c r="R68" i="10" s="1"/>
  <c r="J68" i="10"/>
  <c r="O67" i="10"/>
  <c r="M67" i="10"/>
  <c r="K67" i="10"/>
  <c r="Q67" i="10" s="1"/>
  <c r="R67" i="10" s="1"/>
  <c r="J67" i="10"/>
  <c r="O66" i="10"/>
  <c r="M66" i="10"/>
  <c r="K66" i="10"/>
  <c r="Q66" i="10" s="1"/>
  <c r="R66" i="10" s="1"/>
  <c r="J66" i="10"/>
  <c r="O65" i="10"/>
  <c r="M65" i="10"/>
  <c r="K65" i="10"/>
  <c r="J65" i="10"/>
  <c r="O64" i="10"/>
  <c r="M64" i="10"/>
  <c r="K64" i="10"/>
  <c r="Q64" i="10" s="1"/>
  <c r="R64" i="10" s="1"/>
  <c r="J64" i="10"/>
  <c r="O63" i="10"/>
  <c r="M63" i="10"/>
  <c r="K63" i="10"/>
  <c r="J63" i="10"/>
  <c r="O62" i="10"/>
  <c r="M62" i="10"/>
  <c r="K62" i="10"/>
  <c r="J62" i="10"/>
  <c r="O61" i="10"/>
  <c r="M61" i="10"/>
  <c r="K61" i="10"/>
  <c r="Q61" i="10" s="1"/>
  <c r="R61" i="10" s="1"/>
  <c r="J61" i="10"/>
  <c r="O60" i="10"/>
  <c r="M60" i="10"/>
  <c r="K60" i="10"/>
  <c r="Q60" i="10" s="1"/>
  <c r="R60" i="10" s="1"/>
  <c r="J60" i="10"/>
  <c r="O59" i="10"/>
  <c r="M59" i="10"/>
  <c r="K59" i="10"/>
  <c r="P59" i="10" s="1"/>
  <c r="J59" i="10"/>
  <c r="O58" i="10"/>
  <c r="M58" i="10"/>
  <c r="K58" i="10"/>
  <c r="P58" i="10" s="1"/>
  <c r="J58" i="10"/>
  <c r="O57" i="10"/>
  <c r="M57" i="10"/>
  <c r="K57" i="10"/>
  <c r="P57" i="10" s="1"/>
  <c r="J57" i="10"/>
  <c r="O56" i="10"/>
  <c r="M56" i="10"/>
  <c r="K56" i="10"/>
  <c r="P56" i="10" s="1"/>
  <c r="J56" i="10"/>
  <c r="O55" i="10"/>
  <c r="M55" i="10"/>
  <c r="K55" i="10"/>
  <c r="J55" i="10"/>
  <c r="O54" i="10"/>
  <c r="M54" i="10"/>
  <c r="K54" i="10"/>
  <c r="J54" i="10"/>
  <c r="O53" i="10"/>
  <c r="M53" i="10"/>
  <c r="K53" i="10"/>
  <c r="J53" i="10"/>
  <c r="O52" i="10"/>
  <c r="M52" i="10"/>
  <c r="K52" i="10"/>
  <c r="P52" i="10" s="1"/>
  <c r="J52" i="10"/>
  <c r="O51" i="10"/>
  <c r="M51" i="10"/>
  <c r="K51" i="10"/>
  <c r="P51" i="10" s="1"/>
  <c r="J51" i="10"/>
  <c r="O50" i="10"/>
  <c r="M50" i="10"/>
  <c r="K50" i="10"/>
  <c r="Q50" i="10" s="1"/>
  <c r="R50" i="10" s="1"/>
  <c r="J50" i="10"/>
  <c r="O49" i="10"/>
  <c r="M49" i="10"/>
  <c r="K49" i="10"/>
  <c r="J49" i="10"/>
  <c r="O48" i="10"/>
  <c r="M48" i="10"/>
  <c r="K48" i="10"/>
  <c r="P48" i="10" s="1"/>
  <c r="J48" i="10"/>
  <c r="O47" i="10"/>
  <c r="M47" i="10"/>
  <c r="K47" i="10"/>
  <c r="P47" i="10" s="1"/>
  <c r="J47" i="10"/>
  <c r="O46" i="10"/>
  <c r="M46" i="10"/>
  <c r="K46" i="10"/>
  <c r="Q46" i="10" s="1"/>
  <c r="R46" i="10" s="1"/>
  <c r="J46" i="10"/>
  <c r="O45" i="10"/>
  <c r="M45" i="10"/>
  <c r="K45" i="10"/>
  <c r="P45" i="10" s="1"/>
  <c r="J45" i="10"/>
  <c r="O44" i="10"/>
  <c r="M44" i="10"/>
  <c r="K44" i="10"/>
  <c r="P44" i="10" s="1"/>
  <c r="J44" i="10"/>
  <c r="O43" i="10"/>
  <c r="M43" i="10"/>
  <c r="K43" i="10"/>
  <c r="Q43" i="10" s="1"/>
  <c r="R43" i="10" s="1"/>
  <c r="J43" i="10"/>
  <c r="O42" i="10"/>
  <c r="M42" i="10"/>
  <c r="K42" i="10"/>
  <c r="Q42" i="10" s="1"/>
  <c r="R42" i="10" s="1"/>
  <c r="J42" i="10"/>
  <c r="O41" i="10"/>
  <c r="M41" i="10"/>
  <c r="K41" i="10"/>
  <c r="P41" i="10" s="1"/>
  <c r="J41" i="10"/>
  <c r="O40" i="10"/>
  <c r="M40" i="10"/>
  <c r="K40" i="10"/>
  <c r="Q40" i="10" s="1"/>
  <c r="R40" i="10" s="1"/>
  <c r="J40" i="10"/>
  <c r="O39" i="10"/>
  <c r="M39" i="10"/>
  <c r="K39" i="10"/>
  <c r="P39" i="10" s="1"/>
  <c r="J39" i="10"/>
  <c r="O38" i="10"/>
  <c r="M38" i="10"/>
  <c r="K38" i="10"/>
  <c r="Q38" i="10" s="1"/>
  <c r="R38" i="10" s="1"/>
  <c r="J38" i="10"/>
  <c r="O37" i="10"/>
  <c r="M37" i="10"/>
  <c r="K37" i="10"/>
  <c r="Q37" i="10" s="1"/>
  <c r="R37" i="10" s="1"/>
  <c r="J37" i="10"/>
  <c r="O36" i="10"/>
  <c r="M36" i="10"/>
  <c r="K36" i="10"/>
  <c r="J36" i="10"/>
  <c r="O35" i="10"/>
  <c r="M35" i="10"/>
  <c r="K35" i="10"/>
  <c r="Q35" i="10" s="1"/>
  <c r="R35" i="10" s="1"/>
  <c r="J35" i="10"/>
  <c r="O34" i="10"/>
  <c r="M34" i="10"/>
  <c r="K34" i="10"/>
  <c r="J34" i="10"/>
  <c r="O33" i="10"/>
  <c r="M33" i="10"/>
  <c r="K33" i="10"/>
  <c r="J33" i="10"/>
  <c r="O32" i="10"/>
  <c r="M32" i="10"/>
  <c r="K32" i="10"/>
  <c r="Q32" i="10" s="1"/>
  <c r="R32" i="10" s="1"/>
  <c r="J32" i="10"/>
  <c r="O31" i="10"/>
  <c r="M31" i="10"/>
  <c r="K31" i="10"/>
  <c r="Q31" i="10" s="1"/>
  <c r="R31" i="10" s="1"/>
  <c r="J31" i="10"/>
  <c r="O30" i="10"/>
  <c r="M30" i="10"/>
  <c r="K30" i="10"/>
  <c r="J30" i="10"/>
  <c r="O29" i="10"/>
  <c r="M29" i="10"/>
  <c r="K29" i="10"/>
  <c r="P29" i="10" s="1"/>
  <c r="J29" i="10"/>
  <c r="O28" i="10"/>
  <c r="M28" i="10"/>
  <c r="K28" i="10"/>
  <c r="Q28" i="10" s="1"/>
  <c r="R28" i="10" s="1"/>
  <c r="J28" i="10"/>
  <c r="O27" i="10"/>
  <c r="M27" i="10"/>
  <c r="K27" i="10"/>
  <c r="P27" i="10" s="1"/>
  <c r="J27" i="10"/>
  <c r="O26" i="10"/>
  <c r="M26" i="10"/>
  <c r="K26" i="10"/>
  <c r="J26" i="10"/>
  <c r="O25" i="10"/>
  <c r="M25" i="10"/>
  <c r="K25" i="10"/>
  <c r="P25" i="10" s="1"/>
  <c r="J25" i="10"/>
  <c r="O24" i="10"/>
  <c r="M24" i="10"/>
  <c r="K24" i="10"/>
  <c r="Q24" i="10" s="1"/>
  <c r="R24" i="10" s="1"/>
  <c r="J24" i="10"/>
  <c r="O23" i="10"/>
  <c r="M23" i="10"/>
  <c r="K23" i="10"/>
  <c r="Q23" i="10" s="1"/>
  <c r="R23" i="10" s="1"/>
  <c r="J23" i="10"/>
  <c r="O22" i="10"/>
  <c r="M22" i="10"/>
  <c r="K22" i="10"/>
  <c r="Q22" i="10" s="1"/>
  <c r="R22" i="10" s="1"/>
  <c r="J22" i="10"/>
  <c r="O21" i="10"/>
  <c r="M21" i="10"/>
  <c r="K21" i="10"/>
  <c r="Q21" i="10" s="1"/>
  <c r="R21" i="10" s="1"/>
  <c r="J21" i="10"/>
  <c r="O20" i="10"/>
  <c r="M20" i="10"/>
  <c r="K20" i="10"/>
  <c r="J20" i="10"/>
  <c r="O19" i="10"/>
  <c r="M19" i="10"/>
  <c r="K19" i="10"/>
  <c r="P19" i="10" s="1"/>
  <c r="J19" i="10"/>
  <c r="O18" i="10"/>
  <c r="M18" i="10"/>
  <c r="K18" i="10"/>
  <c r="Q18" i="10" s="1"/>
  <c r="J18" i="10"/>
  <c r="O17" i="10"/>
  <c r="M17" i="10"/>
  <c r="K17" i="10"/>
  <c r="P17" i="10" s="1"/>
  <c r="J17" i="10"/>
  <c r="O16" i="10"/>
  <c r="M16" i="10"/>
  <c r="K16" i="10"/>
  <c r="P16" i="10" s="1"/>
  <c r="J16" i="10"/>
  <c r="O15" i="10"/>
  <c r="M15" i="10"/>
  <c r="K15" i="10"/>
  <c r="P15" i="10" s="1"/>
  <c r="J15" i="10"/>
  <c r="O14" i="10"/>
  <c r="M14" i="10"/>
  <c r="K14" i="10"/>
  <c r="Q14" i="10" s="1"/>
  <c r="R14" i="10" s="1"/>
  <c r="J14" i="10"/>
  <c r="O13" i="10"/>
  <c r="M13" i="10"/>
  <c r="K13" i="10"/>
  <c r="Q13" i="10" s="1"/>
  <c r="R13" i="10" s="1"/>
  <c r="J13" i="10"/>
  <c r="O12" i="10"/>
  <c r="M12" i="10"/>
  <c r="K12" i="10"/>
  <c r="Q12" i="10" s="1"/>
  <c r="R12" i="10" s="1"/>
  <c r="J12" i="10"/>
  <c r="O11" i="10"/>
  <c r="M11" i="10"/>
  <c r="K11" i="10"/>
  <c r="Q11" i="10" s="1"/>
  <c r="R11" i="10" s="1"/>
  <c r="J11" i="10"/>
  <c r="O10" i="10"/>
  <c r="M10" i="10"/>
  <c r="K10" i="10"/>
  <c r="Q10" i="10" s="1"/>
  <c r="R10" i="10" s="1"/>
  <c r="J10" i="10"/>
  <c r="O9" i="10"/>
  <c r="M9" i="10"/>
  <c r="K9" i="10"/>
  <c r="J9" i="10"/>
  <c r="O8" i="10"/>
  <c r="M8" i="10"/>
  <c r="K8" i="10"/>
  <c r="Q8" i="10" s="1"/>
  <c r="R8" i="10" s="1"/>
  <c r="J8" i="10"/>
  <c r="O7" i="10"/>
  <c r="M7" i="10"/>
  <c r="L7" i="10"/>
  <c r="K7" i="10"/>
  <c r="J7" i="10"/>
  <c r="O6" i="10"/>
  <c r="M6" i="10"/>
  <c r="L6" i="10"/>
  <c r="K6" i="10"/>
  <c r="Q6" i="10" s="1"/>
  <c r="R6" i="10" s="1"/>
  <c r="J6" i="10"/>
  <c r="O5" i="10"/>
  <c r="M5" i="10"/>
  <c r="K5" i="10"/>
  <c r="J5" i="10"/>
  <c r="O4" i="10"/>
  <c r="M4" i="10"/>
  <c r="L4" i="10"/>
  <c r="K4" i="10"/>
  <c r="Q4" i="10" s="1"/>
  <c r="R4" i="10" s="1"/>
  <c r="J4" i="10"/>
  <c r="O312" i="9"/>
  <c r="M312" i="9"/>
  <c r="K312" i="9"/>
  <c r="J312" i="9"/>
  <c r="O311" i="9"/>
  <c r="M311" i="9"/>
  <c r="K311" i="9"/>
  <c r="J311" i="9"/>
  <c r="O310" i="9"/>
  <c r="M310" i="9"/>
  <c r="K310" i="9"/>
  <c r="P310" i="9" s="1"/>
  <c r="J310" i="9"/>
  <c r="O309" i="9"/>
  <c r="M309" i="9"/>
  <c r="K309" i="9"/>
  <c r="J309" i="9"/>
  <c r="O308" i="9"/>
  <c r="M308" i="9"/>
  <c r="K308" i="9"/>
  <c r="Q308" i="9" s="1"/>
  <c r="R308" i="9" s="1"/>
  <c r="J308" i="9"/>
  <c r="O307" i="9"/>
  <c r="M307" i="9"/>
  <c r="K307" i="9"/>
  <c r="P307" i="9" s="1"/>
  <c r="J307" i="9"/>
  <c r="O306" i="9"/>
  <c r="M306" i="9"/>
  <c r="K306" i="9"/>
  <c r="Q306" i="9" s="1"/>
  <c r="R306" i="9" s="1"/>
  <c r="J306" i="9"/>
  <c r="O305" i="9"/>
  <c r="M305" i="9"/>
  <c r="K305" i="9"/>
  <c r="P305" i="9" s="1"/>
  <c r="J305" i="9"/>
  <c r="O304" i="9"/>
  <c r="M304" i="9"/>
  <c r="K304" i="9"/>
  <c r="J304" i="9"/>
  <c r="O303" i="9"/>
  <c r="M303" i="9"/>
  <c r="K303" i="9"/>
  <c r="J303" i="9"/>
  <c r="O302" i="9"/>
  <c r="M302" i="9"/>
  <c r="K302" i="9"/>
  <c r="J302" i="9"/>
  <c r="O301" i="9"/>
  <c r="M301" i="9"/>
  <c r="K301" i="9"/>
  <c r="Q301" i="9" s="1"/>
  <c r="R301" i="9" s="1"/>
  <c r="J301" i="9"/>
  <c r="O300" i="9"/>
  <c r="M300" i="9"/>
  <c r="K300" i="9"/>
  <c r="P300" i="9" s="1"/>
  <c r="J300" i="9"/>
  <c r="O299" i="9"/>
  <c r="M299" i="9"/>
  <c r="K299" i="9"/>
  <c r="P299" i="9" s="1"/>
  <c r="J299" i="9"/>
  <c r="O298" i="9"/>
  <c r="M298" i="9"/>
  <c r="K298" i="9"/>
  <c r="P298" i="9" s="1"/>
  <c r="J298" i="9"/>
  <c r="O297" i="9"/>
  <c r="M297" i="9"/>
  <c r="K297" i="9"/>
  <c r="J297" i="9"/>
  <c r="O296" i="9"/>
  <c r="M296" i="9"/>
  <c r="K296" i="9"/>
  <c r="J296" i="9"/>
  <c r="O295" i="9"/>
  <c r="M295" i="9"/>
  <c r="K295" i="9"/>
  <c r="J295" i="9"/>
  <c r="O294" i="9"/>
  <c r="M294" i="9"/>
  <c r="K294" i="9"/>
  <c r="Q294" i="9" s="1"/>
  <c r="R294" i="9" s="1"/>
  <c r="J294" i="9"/>
  <c r="O293" i="9"/>
  <c r="M293" i="9"/>
  <c r="K293" i="9"/>
  <c r="P293" i="9" s="1"/>
  <c r="J293" i="9"/>
  <c r="O292" i="9"/>
  <c r="M292" i="9"/>
  <c r="K292" i="9"/>
  <c r="J292" i="9"/>
  <c r="O291" i="9"/>
  <c r="M291" i="9"/>
  <c r="K291" i="9"/>
  <c r="P291" i="9" s="1"/>
  <c r="J291" i="9"/>
  <c r="O290" i="9"/>
  <c r="M290" i="9"/>
  <c r="K290" i="9"/>
  <c r="J290" i="9"/>
  <c r="O289" i="9"/>
  <c r="M289" i="9"/>
  <c r="K289" i="9"/>
  <c r="Q289" i="9" s="1"/>
  <c r="R289" i="9" s="1"/>
  <c r="J289" i="9"/>
  <c r="O288" i="9"/>
  <c r="M288" i="9"/>
  <c r="K288" i="9"/>
  <c r="J288" i="9"/>
  <c r="O287" i="9"/>
  <c r="M287" i="9"/>
  <c r="K287" i="9"/>
  <c r="J287" i="9"/>
  <c r="O286" i="9"/>
  <c r="M286" i="9"/>
  <c r="K286" i="9"/>
  <c r="J286" i="9"/>
  <c r="O285" i="9"/>
  <c r="M285" i="9"/>
  <c r="K285" i="9"/>
  <c r="J285" i="9"/>
  <c r="O284" i="9"/>
  <c r="M284" i="9"/>
  <c r="K284" i="9"/>
  <c r="P284" i="9" s="1"/>
  <c r="J284" i="9"/>
  <c r="O283" i="9"/>
  <c r="M283" i="9"/>
  <c r="K283" i="9"/>
  <c r="P283" i="9" s="1"/>
  <c r="J283" i="9"/>
  <c r="O282" i="9"/>
  <c r="M282" i="9"/>
  <c r="K282" i="9"/>
  <c r="Q282" i="9" s="1"/>
  <c r="R282" i="9" s="1"/>
  <c r="J282" i="9"/>
  <c r="O281" i="9"/>
  <c r="M281" i="9"/>
  <c r="K281" i="9"/>
  <c r="Q281" i="9" s="1"/>
  <c r="R281" i="9" s="1"/>
  <c r="J281" i="9"/>
  <c r="O280" i="9"/>
  <c r="M280" i="9"/>
  <c r="K280" i="9"/>
  <c r="J280" i="9"/>
  <c r="O279" i="9"/>
  <c r="M279" i="9"/>
  <c r="K279" i="9"/>
  <c r="J279" i="9"/>
  <c r="O278" i="9"/>
  <c r="M278" i="9"/>
  <c r="K278" i="9"/>
  <c r="P278" i="9" s="1"/>
  <c r="J278" i="9"/>
  <c r="O277" i="9"/>
  <c r="M277" i="9"/>
  <c r="K277" i="9"/>
  <c r="J277" i="9"/>
  <c r="O276" i="9"/>
  <c r="M276" i="9"/>
  <c r="K276" i="9"/>
  <c r="Q276" i="9" s="1"/>
  <c r="R276" i="9" s="1"/>
  <c r="J276" i="9"/>
  <c r="O275" i="9"/>
  <c r="M275" i="9"/>
  <c r="K275" i="9"/>
  <c r="J275" i="9"/>
  <c r="O274" i="9"/>
  <c r="M274" i="9"/>
  <c r="K274" i="9"/>
  <c r="Q274" i="9" s="1"/>
  <c r="R274" i="9" s="1"/>
  <c r="J274" i="9"/>
  <c r="O273" i="9"/>
  <c r="M273" i="9"/>
  <c r="K273" i="9"/>
  <c r="Q273" i="9" s="1"/>
  <c r="R273" i="9" s="1"/>
  <c r="J273" i="9"/>
  <c r="O272" i="9"/>
  <c r="M272" i="9"/>
  <c r="K272" i="9"/>
  <c r="P272" i="9" s="1"/>
  <c r="J272" i="9"/>
  <c r="O271" i="9"/>
  <c r="M271" i="9"/>
  <c r="K271" i="9"/>
  <c r="P271" i="9" s="1"/>
  <c r="J271" i="9"/>
  <c r="O270" i="9"/>
  <c r="M270" i="9"/>
  <c r="K270" i="9"/>
  <c r="P270" i="9" s="1"/>
  <c r="J270" i="9"/>
  <c r="O269" i="9"/>
  <c r="M269" i="9"/>
  <c r="K269" i="9"/>
  <c r="Q269" i="9" s="1"/>
  <c r="R269" i="9" s="1"/>
  <c r="J269" i="9"/>
  <c r="O268" i="9"/>
  <c r="M268" i="9"/>
  <c r="K268" i="9"/>
  <c r="J268" i="9"/>
  <c r="O267" i="9"/>
  <c r="M267" i="9"/>
  <c r="K267" i="9"/>
  <c r="Q267" i="9" s="1"/>
  <c r="R267" i="9" s="1"/>
  <c r="J267" i="9"/>
  <c r="O266" i="9"/>
  <c r="M266" i="9"/>
  <c r="K266" i="9"/>
  <c r="J266" i="9"/>
  <c r="O265" i="9"/>
  <c r="M265" i="9"/>
  <c r="K265" i="9"/>
  <c r="P265" i="9" s="1"/>
  <c r="J265" i="9"/>
  <c r="O264" i="9"/>
  <c r="M264" i="9"/>
  <c r="K264" i="9"/>
  <c r="Q264" i="9" s="1"/>
  <c r="R264" i="9" s="1"/>
  <c r="J264" i="9"/>
  <c r="O263" i="9"/>
  <c r="M263" i="9"/>
  <c r="K263" i="9"/>
  <c r="Q263" i="9" s="1"/>
  <c r="R263" i="9" s="1"/>
  <c r="J263" i="9"/>
  <c r="O262" i="9"/>
  <c r="M262" i="9"/>
  <c r="K262" i="9"/>
  <c r="Q262" i="9" s="1"/>
  <c r="R262" i="9" s="1"/>
  <c r="J262" i="9"/>
  <c r="O261" i="9"/>
  <c r="M261" i="9"/>
  <c r="K261" i="9"/>
  <c r="J261" i="9"/>
  <c r="O260" i="9"/>
  <c r="M260" i="9"/>
  <c r="K260" i="9"/>
  <c r="Q260" i="9" s="1"/>
  <c r="R260" i="9" s="1"/>
  <c r="J260" i="9"/>
  <c r="O259" i="9"/>
  <c r="M259" i="9"/>
  <c r="K259" i="9"/>
  <c r="Q259" i="9" s="1"/>
  <c r="R259" i="9" s="1"/>
  <c r="J259" i="9"/>
  <c r="O258" i="9"/>
  <c r="M258" i="9"/>
  <c r="K258" i="9"/>
  <c r="P258" i="9" s="1"/>
  <c r="J258" i="9"/>
  <c r="O257" i="9"/>
  <c r="M257" i="9"/>
  <c r="K257" i="9"/>
  <c r="Q257" i="9" s="1"/>
  <c r="R257" i="9" s="1"/>
  <c r="J257" i="9"/>
  <c r="O256" i="9"/>
  <c r="M256" i="9"/>
  <c r="K256" i="9"/>
  <c r="P256" i="9" s="1"/>
  <c r="J256" i="9"/>
  <c r="O255" i="9"/>
  <c r="M255" i="9"/>
  <c r="K255" i="9"/>
  <c r="Q255" i="9" s="1"/>
  <c r="R255" i="9" s="1"/>
  <c r="J255" i="9"/>
  <c r="O254" i="9"/>
  <c r="M254" i="9"/>
  <c r="K254" i="9"/>
  <c r="Q254" i="9" s="1"/>
  <c r="R254" i="9" s="1"/>
  <c r="J254" i="9"/>
  <c r="O253" i="9"/>
  <c r="M253" i="9"/>
  <c r="K253" i="9"/>
  <c r="Q253" i="9" s="1"/>
  <c r="R253" i="9" s="1"/>
  <c r="J253" i="9"/>
  <c r="O252" i="9"/>
  <c r="M252" i="9"/>
  <c r="K252" i="9"/>
  <c r="J252" i="9"/>
  <c r="O251" i="9"/>
  <c r="M251" i="9"/>
  <c r="K251" i="9"/>
  <c r="P251" i="9" s="1"/>
  <c r="J251" i="9"/>
  <c r="O250" i="9"/>
  <c r="M250" i="9"/>
  <c r="K250" i="9"/>
  <c r="J250" i="9"/>
  <c r="O249" i="9"/>
  <c r="M249" i="9"/>
  <c r="K249" i="9"/>
  <c r="P249" i="9" s="1"/>
  <c r="J249" i="9"/>
  <c r="O248" i="9"/>
  <c r="M248" i="9"/>
  <c r="K248" i="9"/>
  <c r="J248" i="9"/>
  <c r="O247" i="9"/>
  <c r="M247" i="9"/>
  <c r="K247" i="9"/>
  <c r="P247" i="9" s="1"/>
  <c r="J247" i="9"/>
  <c r="O246" i="9"/>
  <c r="M246" i="9"/>
  <c r="K246" i="9"/>
  <c r="P246" i="9" s="1"/>
  <c r="J246" i="9"/>
  <c r="O245" i="9"/>
  <c r="M245" i="9"/>
  <c r="K245" i="9"/>
  <c r="Q245" i="9" s="1"/>
  <c r="R245" i="9" s="1"/>
  <c r="J245" i="9"/>
  <c r="O244" i="9"/>
  <c r="M244" i="9"/>
  <c r="K244" i="9"/>
  <c r="J244" i="9"/>
  <c r="O243" i="9"/>
  <c r="M243" i="9"/>
  <c r="K243" i="9"/>
  <c r="Q243" i="9" s="1"/>
  <c r="R243" i="9" s="1"/>
  <c r="J243" i="9"/>
  <c r="O242" i="9"/>
  <c r="M242" i="9"/>
  <c r="K242" i="9"/>
  <c r="Q242" i="9" s="1"/>
  <c r="R242" i="9" s="1"/>
  <c r="J242" i="9"/>
  <c r="O241" i="9"/>
  <c r="M241" i="9"/>
  <c r="K241" i="9"/>
  <c r="J241" i="9"/>
  <c r="O240" i="9"/>
  <c r="M240" i="9"/>
  <c r="K240" i="9"/>
  <c r="P240" i="9" s="1"/>
  <c r="J240" i="9"/>
  <c r="O239" i="9"/>
  <c r="M239" i="9"/>
  <c r="K239" i="9"/>
  <c r="P239" i="9" s="1"/>
  <c r="J239" i="9"/>
  <c r="O238" i="9"/>
  <c r="M238" i="9"/>
  <c r="K238" i="9"/>
  <c r="P238" i="9" s="1"/>
  <c r="J238" i="9"/>
  <c r="O237" i="9"/>
  <c r="M237" i="9"/>
  <c r="K237" i="9"/>
  <c r="P237" i="9" s="1"/>
  <c r="J237" i="9"/>
  <c r="O236" i="9"/>
  <c r="M236" i="9"/>
  <c r="K236" i="9"/>
  <c r="J236" i="9"/>
  <c r="O235" i="9"/>
  <c r="M235" i="9"/>
  <c r="K235" i="9"/>
  <c r="Q235" i="9" s="1"/>
  <c r="R235" i="9" s="1"/>
  <c r="J235" i="9"/>
  <c r="O234" i="9"/>
  <c r="M234" i="9"/>
  <c r="K234" i="9"/>
  <c r="J234" i="9"/>
  <c r="O233" i="9"/>
  <c r="M233" i="9"/>
  <c r="K233" i="9"/>
  <c r="Q233" i="9" s="1"/>
  <c r="R233" i="9" s="1"/>
  <c r="J233" i="9"/>
  <c r="O232" i="9"/>
  <c r="M232" i="9"/>
  <c r="K232" i="9"/>
  <c r="J232" i="9"/>
  <c r="O231" i="9"/>
  <c r="M231" i="9"/>
  <c r="K231" i="9"/>
  <c r="P231" i="9" s="1"/>
  <c r="J231" i="9"/>
  <c r="O230" i="9"/>
  <c r="M230" i="9"/>
  <c r="K230" i="9"/>
  <c r="P230" i="9" s="1"/>
  <c r="J230" i="9"/>
  <c r="O229" i="9"/>
  <c r="M229" i="9"/>
  <c r="K229" i="9"/>
  <c r="J229" i="9"/>
  <c r="O228" i="9"/>
  <c r="M228" i="9"/>
  <c r="K228" i="9"/>
  <c r="P228" i="9" s="1"/>
  <c r="J228" i="9"/>
  <c r="O227" i="9"/>
  <c r="M227" i="9"/>
  <c r="K227" i="9"/>
  <c r="J227" i="9"/>
  <c r="O226" i="9"/>
  <c r="M226" i="9"/>
  <c r="K226" i="9"/>
  <c r="Q226" i="9" s="1"/>
  <c r="R226" i="9" s="1"/>
  <c r="J226" i="9"/>
  <c r="O225" i="9"/>
  <c r="M225" i="9"/>
  <c r="K225" i="9"/>
  <c r="J225" i="9"/>
  <c r="O224" i="9"/>
  <c r="M224" i="9"/>
  <c r="K224" i="9"/>
  <c r="Q224" i="9" s="1"/>
  <c r="R224" i="9" s="1"/>
  <c r="J224" i="9"/>
  <c r="O223" i="9"/>
  <c r="M223" i="9"/>
  <c r="K223" i="9"/>
  <c r="P223" i="9" s="1"/>
  <c r="J223" i="9"/>
  <c r="O222" i="9"/>
  <c r="M222" i="9"/>
  <c r="K222" i="9"/>
  <c r="Q222" i="9" s="1"/>
  <c r="R222" i="9" s="1"/>
  <c r="J222" i="9"/>
  <c r="O221" i="9"/>
  <c r="M221" i="9"/>
  <c r="K221" i="9"/>
  <c r="Q221" i="9" s="1"/>
  <c r="R221" i="9" s="1"/>
  <c r="J221" i="9"/>
  <c r="O220" i="9"/>
  <c r="M220" i="9"/>
  <c r="K220" i="9"/>
  <c r="J220" i="9"/>
  <c r="O219" i="9"/>
  <c r="M219" i="9"/>
  <c r="K219" i="9"/>
  <c r="P219" i="9" s="1"/>
  <c r="J219" i="9"/>
  <c r="O218" i="9"/>
  <c r="M218" i="9"/>
  <c r="K218" i="9"/>
  <c r="J218" i="9"/>
  <c r="O217" i="9"/>
  <c r="M217" i="9"/>
  <c r="K217" i="9"/>
  <c r="Q217" i="9" s="1"/>
  <c r="R217" i="9" s="1"/>
  <c r="J217" i="9"/>
  <c r="O216" i="9"/>
  <c r="M216" i="9"/>
  <c r="K216" i="9"/>
  <c r="J216" i="9"/>
  <c r="O215" i="9"/>
  <c r="M215" i="9"/>
  <c r="K215" i="9"/>
  <c r="P215" i="9" s="1"/>
  <c r="J215" i="9"/>
  <c r="O214" i="9"/>
  <c r="M214" i="9"/>
  <c r="K214" i="9"/>
  <c r="Q214" i="9" s="1"/>
  <c r="R214" i="9" s="1"/>
  <c r="J214" i="9"/>
  <c r="O213" i="9"/>
  <c r="M213" i="9"/>
  <c r="K213" i="9"/>
  <c r="P213" i="9" s="1"/>
  <c r="J213" i="9"/>
  <c r="O212" i="9"/>
  <c r="M212" i="9"/>
  <c r="K212" i="9"/>
  <c r="Q212" i="9" s="1"/>
  <c r="R212" i="9" s="1"/>
  <c r="J212" i="9"/>
  <c r="O211" i="9"/>
  <c r="M211" i="9"/>
  <c r="K211" i="9"/>
  <c r="J211" i="9"/>
  <c r="O210" i="9"/>
  <c r="M210" i="9"/>
  <c r="K210" i="9"/>
  <c r="P210" i="9" s="1"/>
  <c r="J210" i="9"/>
  <c r="O209" i="9"/>
  <c r="M209" i="9"/>
  <c r="K209" i="9"/>
  <c r="J209" i="9"/>
  <c r="O208" i="9"/>
  <c r="M208" i="9"/>
  <c r="K208" i="9"/>
  <c r="Q208" i="9" s="1"/>
  <c r="R208" i="9" s="1"/>
  <c r="J208" i="9"/>
  <c r="O207" i="9"/>
  <c r="M207" i="9"/>
  <c r="K207" i="9"/>
  <c r="P207" i="9" s="1"/>
  <c r="J207" i="9"/>
  <c r="O206" i="9"/>
  <c r="M206" i="9"/>
  <c r="K206" i="9"/>
  <c r="P206" i="9" s="1"/>
  <c r="J206" i="9"/>
  <c r="O205" i="9"/>
  <c r="M205" i="9"/>
  <c r="K205" i="9"/>
  <c r="Q205" i="9" s="1"/>
  <c r="R205" i="9" s="1"/>
  <c r="J205" i="9"/>
  <c r="O204" i="9"/>
  <c r="M204" i="9"/>
  <c r="K204" i="9"/>
  <c r="Q204" i="9" s="1"/>
  <c r="R204" i="9" s="1"/>
  <c r="J204" i="9"/>
  <c r="O203" i="9"/>
  <c r="M203" i="9"/>
  <c r="K203" i="9"/>
  <c r="Q203" i="9" s="1"/>
  <c r="R203" i="9" s="1"/>
  <c r="J203" i="9"/>
  <c r="O202" i="9"/>
  <c r="M202" i="9"/>
  <c r="K202" i="9"/>
  <c r="J202" i="9"/>
  <c r="O201" i="9"/>
  <c r="M201" i="9"/>
  <c r="K201" i="9"/>
  <c r="Q201" i="9" s="1"/>
  <c r="R201" i="9" s="1"/>
  <c r="J201" i="9"/>
  <c r="O200" i="9"/>
  <c r="M200" i="9"/>
  <c r="K200" i="9"/>
  <c r="J200" i="9"/>
  <c r="O199" i="9"/>
  <c r="M199" i="9"/>
  <c r="K199" i="9"/>
  <c r="P199" i="9" s="1"/>
  <c r="J199" i="9"/>
  <c r="O198" i="9"/>
  <c r="M198" i="9"/>
  <c r="K198" i="9"/>
  <c r="P198" i="9" s="1"/>
  <c r="J198" i="9"/>
  <c r="O197" i="9"/>
  <c r="M197" i="9"/>
  <c r="K197" i="9"/>
  <c r="Q197" i="9" s="1"/>
  <c r="R197" i="9" s="1"/>
  <c r="J197" i="9"/>
  <c r="O196" i="9"/>
  <c r="M196" i="9"/>
  <c r="K196" i="9"/>
  <c r="J196" i="9"/>
  <c r="O195" i="9"/>
  <c r="M195" i="9"/>
  <c r="K195" i="9"/>
  <c r="J195" i="9"/>
  <c r="O194" i="9"/>
  <c r="M194" i="9"/>
  <c r="K194" i="9"/>
  <c r="Q194" i="9" s="1"/>
  <c r="R194" i="9" s="1"/>
  <c r="J194" i="9"/>
  <c r="O193" i="9"/>
  <c r="M193" i="9"/>
  <c r="K193" i="9"/>
  <c r="J193" i="9"/>
  <c r="O192" i="9"/>
  <c r="M192" i="9"/>
  <c r="K192" i="9"/>
  <c r="P192" i="9" s="1"/>
  <c r="J192" i="9"/>
  <c r="O191" i="9"/>
  <c r="M191" i="9"/>
  <c r="K191" i="9"/>
  <c r="J191" i="9"/>
  <c r="O190" i="9"/>
  <c r="M190" i="9"/>
  <c r="K190" i="9"/>
  <c r="P190" i="9" s="1"/>
  <c r="J190" i="9"/>
  <c r="O189" i="9"/>
  <c r="M189" i="9"/>
  <c r="K189" i="9"/>
  <c r="P189" i="9" s="1"/>
  <c r="J189" i="9"/>
  <c r="O188" i="9"/>
  <c r="M188" i="9"/>
  <c r="K188" i="9"/>
  <c r="P188" i="9" s="1"/>
  <c r="J188" i="9"/>
  <c r="O187" i="9"/>
  <c r="M187" i="9"/>
  <c r="K187" i="9"/>
  <c r="J187" i="9"/>
  <c r="O186" i="9"/>
  <c r="M186" i="9"/>
  <c r="K186" i="9"/>
  <c r="J186" i="9"/>
  <c r="O185" i="9"/>
  <c r="M185" i="9"/>
  <c r="K185" i="9"/>
  <c r="P185" i="9" s="1"/>
  <c r="J185" i="9"/>
  <c r="O184" i="9"/>
  <c r="M184" i="9"/>
  <c r="K184" i="9"/>
  <c r="J184" i="9"/>
  <c r="O183" i="9"/>
  <c r="M183" i="9"/>
  <c r="K183" i="9"/>
  <c r="Q183" i="9" s="1"/>
  <c r="R183" i="9" s="1"/>
  <c r="J183" i="9"/>
  <c r="O182" i="9"/>
  <c r="M182" i="9"/>
  <c r="K182" i="9"/>
  <c r="P182" i="9" s="1"/>
  <c r="J182" i="9"/>
  <c r="O181" i="9"/>
  <c r="M181" i="9"/>
  <c r="K181" i="9"/>
  <c r="P181" i="9" s="1"/>
  <c r="J181" i="9"/>
  <c r="O180" i="9"/>
  <c r="M180" i="9"/>
  <c r="K180" i="9"/>
  <c r="Q180" i="9" s="1"/>
  <c r="R180" i="9" s="1"/>
  <c r="J180" i="9"/>
  <c r="O179" i="9"/>
  <c r="M179" i="9"/>
  <c r="K179" i="9"/>
  <c r="J179" i="9"/>
  <c r="O178" i="9"/>
  <c r="M178" i="9"/>
  <c r="K178" i="9"/>
  <c r="P178" i="9" s="1"/>
  <c r="J178" i="9"/>
  <c r="O177" i="9"/>
  <c r="M177" i="9"/>
  <c r="K177" i="9"/>
  <c r="J177" i="9"/>
  <c r="O176" i="9"/>
  <c r="M176" i="9"/>
  <c r="K176" i="9"/>
  <c r="P176" i="9" s="1"/>
  <c r="J176" i="9"/>
  <c r="O175" i="9"/>
  <c r="M175" i="9"/>
  <c r="K175" i="9"/>
  <c r="J175" i="9"/>
  <c r="O174" i="9"/>
  <c r="M174" i="9"/>
  <c r="K174" i="9"/>
  <c r="P174" i="9" s="1"/>
  <c r="J174" i="9"/>
  <c r="O173" i="9"/>
  <c r="M173" i="9"/>
  <c r="K173" i="9"/>
  <c r="Q173" i="9" s="1"/>
  <c r="R173" i="9" s="1"/>
  <c r="J173" i="9"/>
  <c r="O172" i="9"/>
  <c r="M172" i="9"/>
  <c r="K172" i="9"/>
  <c r="Q172" i="9" s="1"/>
  <c r="R172" i="9" s="1"/>
  <c r="J172" i="9"/>
  <c r="O171" i="9"/>
  <c r="M171" i="9"/>
  <c r="K171" i="9"/>
  <c r="Q171" i="9" s="1"/>
  <c r="R171" i="9" s="1"/>
  <c r="J171" i="9"/>
  <c r="O170" i="9"/>
  <c r="M170" i="9"/>
  <c r="K170" i="9"/>
  <c r="J170" i="9"/>
  <c r="O169" i="9"/>
  <c r="M169" i="9"/>
  <c r="K169" i="9"/>
  <c r="P169" i="9" s="1"/>
  <c r="J169" i="9"/>
  <c r="O168" i="9"/>
  <c r="M168" i="9"/>
  <c r="K168" i="9"/>
  <c r="J168" i="9"/>
  <c r="O167" i="9"/>
  <c r="M167" i="9"/>
  <c r="K167" i="9"/>
  <c r="J167" i="9"/>
  <c r="O166" i="9"/>
  <c r="M166" i="9"/>
  <c r="K166" i="9"/>
  <c r="P166" i="9" s="1"/>
  <c r="J166" i="9"/>
  <c r="O165" i="9"/>
  <c r="M165" i="9"/>
  <c r="K165" i="9"/>
  <c r="Q165" i="9" s="1"/>
  <c r="R165" i="9" s="1"/>
  <c r="J165" i="9"/>
  <c r="O164" i="9"/>
  <c r="M164" i="9"/>
  <c r="K164" i="9"/>
  <c r="Q164" i="9" s="1"/>
  <c r="R164" i="9" s="1"/>
  <c r="J164" i="9"/>
  <c r="O163" i="9"/>
  <c r="M163" i="9"/>
  <c r="K163" i="9"/>
  <c r="Q163" i="9" s="1"/>
  <c r="R163" i="9" s="1"/>
  <c r="J163" i="9"/>
  <c r="O162" i="9"/>
  <c r="M162" i="9"/>
  <c r="K162" i="9"/>
  <c r="Q162" i="9" s="1"/>
  <c r="R162" i="9" s="1"/>
  <c r="J162" i="9"/>
  <c r="O161" i="9"/>
  <c r="M161" i="9"/>
  <c r="K161" i="9"/>
  <c r="J161" i="9"/>
  <c r="O160" i="9"/>
  <c r="M160" i="9"/>
  <c r="K160" i="9"/>
  <c r="P160" i="9" s="1"/>
  <c r="J160" i="9"/>
  <c r="O159" i="9"/>
  <c r="M159" i="9"/>
  <c r="K159" i="9"/>
  <c r="Q159" i="9" s="1"/>
  <c r="R159" i="9" s="1"/>
  <c r="J159" i="9"/>
  <c r="O158" i="9"/>
  <c r="M158" i="9"/>
  <c r="K158" i="9"/>
  <c r="J158" i="9"/>
  <c r="O157" i="9"/>
  <c r="M157" i="9"/>
  <c r="K157" i="9"/>
  <c r="Q157" i="9" s="1"/>
  <c r="R157" i="9" s="1"/>
  <c r="J157" i="9"/>
  <c r="O156" i="9"/>
  <c r="M156" i="9"/>
  <c r="K156" i="9"/>
  <c r="Q156" i="9" s="1"/>
  <c r="R156" i="9" s="1"/>
  <c r="J156" i="9"/>
  <c r="O155" i="9"/>
  <c r="M155" i="9"/>
  <c r="K155" i="9"/>
  <c r="Q155" i="9" s="1"/>
  <c r="R155" i="9" s="1"/>
  <c r="J155" i="9"/>
  <c r="O154" i="9"/>
  <c r="M154" i="9"/>
  <c r="K154" i="9"/>
  <c r="Q154" i="9" s="1"/>
  <c r="R154" i="9" s="1"/>
  <c r="J154" i="9"/>
  <c r="O153" i="9"/>
  <c r="M153" i="9"/>
  <c r="K153" i="9"/>
  <c r="P153" i="9" s="1"/>
  <c r="J153" i="9"/>
  <c r="O152" i="9"/>
  <c r="M152" i="9"/>
  <c r="K152" i="9"/>
  <c r="J152" i="9"/>
  <c r="O151" i="9"/>
  <c r="M151" i="9"/>
  <c r="K151" i="9"/>
  <c r="Q151" i="9" s="1"/>
  <c r="R151" i="9" s="1"/>
  <c r="J151" i="9"/>
  <c r="O150" i="9"/>
  <c r="M150" i="9"/>
  <c r="K150" i="9"/>
  <c r="J150" i="9"/>
  <c r="O149" i="9"/>
  <c r="M149" i="9"/>
  <c r="K149" i="9"/>
  <c r="P149" i="9" s="1"/>
  <c r="J149" i="9"/>
  <c r="O148" i="9"/>
  <c r="M148" i="9"/>
  <c r="K148" i="9"/>
  <c r="J148" i="9"/>
  <c r="O147" i="9"/>
  <c r="M147" i="9"/>
  <c r="K147" i="9"/>
  <c r="Q147" i="9" s="1"/>
  <c r="R147" i="9" s="1"/>
  <c r="J147" i="9"/>
  <c r="O146" i="9"/>
  <c r="M146" i="9"/>
  <c r="K146" i="9"/>
  <c r="J146" i="9"/>
  <c r="O145" i="9"/>
  <c r="M145" i="9"/>
  <c r="K145" i="9"/>
  <c r="Q145" i="9" s="1"/>
  <c r="R145" i="9" s="1"/>
  <c r="J145" i="9"/>
  <c r="O144" i="9"/>
  <c r="M144" i="9"/>
  <c r="K144" i="9"/>
  <c r="Q144" i="9" s="1"/>
  <c r="R144" i="9" s="1"/>
  <c r="J144" i="9"/>
  <c r="O143" i="9"/>
  <c r="M143" i="9"/>
  <c r="K143" i="9"/>
  <c r="J143" i="9"/>
  <c r="O142" i="9"/>
  <c r="M142" i="9"/>
  <c r="K142" i="9"/>
  <c r="Q142" i="9" s="1"/>
  <c r="R142" i="9" s="1"/>
  <c r="J142" i="9"/>
  <c r="O141" i="9"/>
  <c r="M141" i="9"/>
  <c r="K141" i="9"/>
  <c r="J141" i="9"/>
  <c r="O140" i="9"/>
  <c r="M140" i="9"/>
  <c r="K140" i="9"/>
  <c r="P140" i="9" s="1"/>
  <c r="J140" i="9"/>
  <c r="O139" i="9"/>
  <c r="M139" i="9"/>
  <c r="K139" i="9"/>
  <c r="P139" i="9" s="1"/>
  <c r="J139" i="9"/>
  <c r="O138" i="9"/>
  <c r="M138" i="9"/>
  <c r="K138" i="9"/>
  <c r="J138" i="9"/>
  <c r="O137" i="9"/>
  <c r="M137" i="9"/>
  <c r="K137" i="9"/>
  <c r="Q137" i="9" s="1"/>
  <c r="R137" i="9" s="1"/>
  <c r="J137" i="9"/>
  <c r="O136" i="9"/>
  <c r="M136" i="9"/>
  <c r="K136" i="9"/>
  <c r="J136" i="9"/>
  <c r="O135" i="9"/>
  <c r="M135" i="9"/>
  <c r="K135" i="9"/>
  <c r="Q135" i="9" s="1"/>
  <c r="R135" i="9" s="1"/>
  <c r="J135" i="9"/>
  <c r="O134" i="9"/>
  <c r="M134" i="9"/>
  <c r="K134" i="9"/>
  <c r="Q134" i="9" s="1"/>
  <c r="R134" i="9" s="1"/>
  <c r="J134" i="9"/>
  <c r="O133" i="9"/>
  <c r="M133" i="9"/>
  <c r="K133" i="9"/>
  <c r="P133" i="9" s="1"/>
  <c r="J133" i="9"/>
  <c r="O132" i="9"/>
  <c r="M132" i="9"/>
  <c r="K132" i="9"/>
  <c r="J132" i="9"/>
  <c r="O131" i="9"/>
  <c r="M131" i="9"/>
  <c r="K131" i="9"/>
  <c r="Q131" i="9" s="1"/>
  <c r="R131" i="9" s="1"/>
  <c r="J131" i="9"/>
  <c r="O130" i="9"/>
  <c r="M130" i="9"/>
  <c r="K130" i="9"/>
  <c r="P130" i="9" s="1"/>
  <c r="J130" i="9"/>
  <c r="O129" i="9"/>
  <c r="M129" i="9"/>
  <c r="K129" i="9"/>
  <c r="Q129" i="9" s="1"/>
  <c r="R129" i="9" s="1"/>
  <c r="J129" i="9"/>
  <c r="O128" i="9"/>
  <c r="M128" i="9"/>
  <c r="K128" i="9"/>
  <c r="Q128" i="9" s="1"/>
  <c r="R128" i="9" s="1"/>
  <c r="J128" i="9"/>
  <c r="O127" i="9"/>
  <c r="M127" i="9"/>
  <c r="K127" i="9"/>
  <c r="P127" i="9" s="1"/>
  <c r="J127" i="9"/>
  <c r="O126" i="9"/>
  <c r="M126" i="9"/>
  <c r="K126" i="9"/>
  <c r="J126" i="9"/>
  <c r="O125" i="9"/>
  <c r="M125" i="9"/>
  <c r="K125" i="9"/>
  <c r="P125" i="9" s="1"/>
  <c r="J125" i="9"/>
  <c r="O124" i="9"/>
  <c r="M124" i="9"/>
  <c r="K124" i="9"/>
  <c r="Q124" i="9" s="1"/>
  <c r="R124" i="9" s="1"/>
  <c r="J124" i="9"/>
  <c r="O123" i="9"/>
  <c r="M123" i="9"/>
  <c r="K123" i="9"/>
  <c r="J123" i="9"/>
  <c r="O122" i="9"/>
  <c r="M122" i="9"/>
  <c r="K122" i="9"/>
  <c r="Q122" i="9" s="1"/>
  <c r="R122" i="9" s="1"/>
  <c r="J122" i="9"/>
  <c r="O121" i="9"/>
  <c r="M121" i="9"/>
  <c r="K121" i="9"/>
  <c r="J121" i="9"/>
  <c r="O120" i="9"/>
  <c r="M120" i="9"/>
  <c r="K120" i="9"/>
  <c r="P120" i="9" s="1"/>
  <c r="J120" i="9"/>
  <c r="O119" i="9"/>
  <c r="M119" i="9"/>
  <c r="K119" i="9"/>
  <c r="J119" i="9"/>
  <c r="O118" i="9"/>
  <c r="M118" i="9"/>
  <c r="K118" i="9"/>
  <c r="J118" i="9"/>
  <c r="O117" i="9"/>
  <c r="M117" i="9"/>
  <c r="K117" i="9"/>
  <c r="P117" i="9" s="1"/>
  <c r="J117" i="9"/>
  <c r="O116" i="9"/>
  <c r="M116" i="9"/>
  <c r="K116" i="9"/>
  <c r="Q116" i="9" s="1"/>
  <c r="R116" i="9" s="1"/>
  <c r="J116" i="9"/>
  <c r="O115" i="9"/>
  <c r="M115" i="9"/>
  <c r="K115" i="9"/>
  <c r="Q115" i="9" s="1"/>
  <c r="J115" i="9"/>
  <c r="O114" i="9"/>
  <c r="M114" i="9"/>
  <c r="K114" i="9"/>
  <c r="Q114" i="9" s="1"/>
  <c r="R114" i="9" s="1"/>
  <c r="J114" i="9"/>
  <c r="O113" i="9"/>
  <c r="M113" i="9"/>
  <c r="K113" i="9"/>
  <c r="Q113" i="9" s="1"/>
  <c r="R113" i="9" s="1"/>
  <c r="J113" i="9"/>
  <c r="O112" i="9"/>
  <c r="M112" i="9"/>
  <c r="K112" i="9"/>
  <c r="P112" i="9" s="1"/>
  <c r="J112" i="9"/>
  <c r="O111" i="9"/>
  <c r="M111" i="9"/>
  <c r="K111" i="9"/>
  <c r="P111" i="9" s="1"/>
  <c r="J111" i="9"/>
  <c r="O110" i="9"/>
  <c r="M110" i="9"/>
  <c r="K110" i="9"/>
  <c r="J110" i="9"/>
  <c r="O109" i="9"/>
  <c r="M109" i="9"/>
  <c r="K109" i="9"/>
  <c r="P109" i="9" s="1"/>
  <c r="J109" i="9"/>
  <c r="O108" i="9"/>
  <c r="M108" i="9"/>
  <c r="K108" i="9"/>
  <c r="J108" i="9"/>
  <c r="O107" i="9"/>
  <c r="M107" i="9"/>
  <c r="K107" i="9"/>
  <c r="Q107" i="9" s="1"/>
  <c r="R107" i="9" s="1"/>
  <c r="J107" i="9"/>
  <c r="O106" i="9"/>
  <c r="M106" i="9"/>
  <c r="K106" i="9"/>
  <c r="J106" i="9"/>
  <c r="O105" i="9"/>
  <c r="M105" i="9"/>
  <c r="K105" i="9"/>
  <c r="Q105" i="9" s="1"/>
  <c r="R105" i="9" s="1"/>
  <c r="J105" i="9"/>
  <c r="O104" i="9"/>
  <c r="M104" i="9"/>
  <c r="K104" i="9"/>
  <c r="J104" i="9"/>
  <c r="O103" i="9"/>
  <c r="M103" i="9"/>
  <c r="K103" i="9"/>
  <c r="Q103" i="9" s="1"/>
  <c r="R103" i="9" s="1"/>
  <c r="J103" i="9"/>
  <c r="O102" i="9"/>
  <c r="M102" i="9"/>
  <c r="K102" i="9"/>
  <c r="J102" i="9"/>
  <c r="O101" i="9"/>
  <c r="M101" i="9"/>
  <c r="K101" i="9"/>
  <c r="P101" i="9" s="1"/>
  <c r="J101" i="9"/>
  <c r="O100" i="9"/>
  <c r="M100" i="9"/>
  <c r="K100" i="9"/>
  <c r="J100" i="9"/>
  <c r="O99" i="9"/>
  <c r="M99" i="9"/>
  <c r="K99" i="9"/>
  <c r="P99" i="9" s="1"/>
  <c r="J99" i="9"/>
  <c r="O98" i="9"/>
  <c r="M98" i="9"/>
  <c r="K98" i="9"/>
  <c r="J98" i="9"/>
  <c r="O97" i="9"/>
  <c r="M97" i="9"/>
  <c r="K97" i="9"/>
  <c r="J97" i="9"/>
  <c r="O96" i="9"/>
  <c r="M96" i="9"/>
  <c r="K96" i="9"/>
  <c r="Q96" i="9" s="1"/>
  <c r="J96" i="9"/>
  <c r="O95" i="9"/>
  <c r="M95" i="9"/>
  <c r="K95" i="9"/>
  <c r="J95" i="9"/>
  <c r="O94" i="9"/>
  <c r="M94" i="9"/>
  <c r="K94" i="9"/>
  <c r="Q94" i="9" s="1"/>
  <c r="R94" i="9" s="1"/>
  <c r="J94" i="9"/>
  <c r="O93" i="9"/>
  <c r="M93" i="9"/>
  <c r="K93" i="9"/>
  <c r="J93" i="9"/>
  <c r="O92" i="9"/>
  <c r="M92" i="9"/>
  <c r="K92" i="9"/>
  <c r="P92" i="9" s="1"/>
  <c r="J92" i="9"/>
  <c r="O91" i="9"/>
  <c r="M91" i="9"/>
  <c r="K91" i="9"/>
  <c r="J91" i="9"/>
  <c r="O90" i="9"/>
  <c r="M90" i="9"/>
  <c r="K90" i="9"/>
  <c r="P90" i="9" s="1"/>
  <c r="J90" i="9"/>
  <c r="O89" i="9"/>
  <c r="M89" i="9"/>
  <c r="K89" i="9"/>
  <c r="J89" i="9"/>
  <c r="O88" i="9"/>
  <c r="M88" i="9"/>
  <c r="K88" i="9"/>
  <c r="Q88" i="9" s="1"/>
  <c r="R88" i="9" s="1"/>
  <c r="J88" i="9"/>
  <c r="O87" i="9"/>
  <c r="M87" i="9"/>
  <c r="K87" i="9"/>
  <c r="Q87" i="9" s="1"/>
  <c r="R87" i="9" s="1"/>
  <c r="J87" i="9"/>
  <c r="O86" i="9"/>
  <c r="M86" i="9"/>
  <c r="K86" i="9"/>
  <c r="P86" i="9" s="1"/>
  <c r="J86" i="9"/>
  <c r="O85" i="9"/>
  <c r="M85" i="9"/>
  <c r="K85" i="9"/>
  <c r="Q85" i="9" s="1"/>
  <c r="R85" i="9" s="1"/>
  <c r="J85" i="9"/>
  <c r="O84" i="9"/>
  <c r="M84" i="9"/>
  <c r="K84" i="9"/>
  <c r="Q84" i="9" s="1"/>
  <c r="R84" i="9" s="1"/>
  <c r="J84" i="9"/>
  <c r="O83" i="9"/>
  <c r="M83" i="9"/>
  <c r="K83" i="9"/>
  <c r="P83" i="9" s="1"/>
  <c r="J83" i="9"/>
  <c r="O82" i="9"/>
  <c r="M82" i="9"/>
  <c r="K82" i="9"/>
  <c r="J82" i="9"/>
  <c r="O81" i="9"/>
  <c r="M81" i="9"/>
  <c r="K81" i="9"/>
  <c r="P81" i="9" s="1"/>
  <c r="J81" i="9"/>
  <c r="O80" i="9"/>
  <c r="M80" i="9"/>
  <c r="K80" i="9"/>
  <c r="J80" i="9"/>
  <c r="O79" i="9"/>
  <c r="M79" i="9"/>
  <c r="K79" i="9"/>
  <c r="Q79" i="9" s="1"/>
  <c r="R79" i="9" s="1"/>
  <c r="J79" i="9"/>
  <c r="O78" i="9"/>
  <c r="M78" i="9"/>
  <c r="K78" i="9"/>
  <c r="J78" i="9"/>
  <c r="O77" i="9"/>
  <c r="M77" i="9"/>
  <c r="K77" i="9"/>
  <c r="P77" i="9" s="1"/>
  <c r="J77" i="9"/>
  <c r="O76" i="9"/>
  <c r="M76" i="9"/>
  <c r="K76" i="9"/>
  <c r="P76" i="9" s="1"/>
  <c r="J76" i="9"/>
  <c r="O75" i="9"/>
  <c r="M75" i="9"/>
  <c r="K75" i="9"/>
  <c r="Q75" i="9" s="1"/>
  <c r="R75" i="9" s="1"/>
  <c r="J75" i="9"/>
  <c r="O74" i="9"/>
  <c r="M74" i="9"/>
  <c r="K74" i="9"/>
  <c r="Q74" i="9" s="1"/>
  <c r="R74" i="9" s="1"/>
  <c r="J74" i="9"/>
  <c r="O73" i="9"/>
  <c r="M73" i="9"/>
  <c r="K73" i="9"/>
  <c r="Q73" i="9" s="1"/>
  <c r="R73" i="9" s="1"/>
  <c r="J73" i="9"/>
  <c r="O72" i="9"/>
  <c r="M72" i="9"/>
  <c r="K72" i="9"/>
  <c r="P72" i="9" s="1"/>
  <c r="J72" i="9"/>
  <c r="O71" i="9"/>
  <c r="M71" i="9"/>
  <c r="K71" i="9"/>
  <c r="J71" i="9"/>
  <c r="O70" i="9"/>
  <c r="M70" i="9"/>
  <c r="K70" i="9"/>
  <c r="P70" i="9" s="1"/>
  <c r="J70" i="9"/>
  <c r="O69" i="9"/>
  <c r="M69" i="9"/>
  <c r="K69" i="9"/>
  <c r="J69" i="9"/>
  <c r="O68" i="9"/>
  <c r="M68" i="9"/>
  <c r="K68" i="9"/>
  <c r="P68" i="9" s="1"/>
  <c r="J68" i="9"/>
  <c r="O67" i="9"/>
  <c r="M67" i="9"/>
  <c r="K67" i="9"/>
  <c r="Q67" i="9" s="1"/>
  <c r="R67" i="9" s="1"/>
  <c r="J67" i="9"/>
  <c r="O66" i="9"/>
  <c r="M66" i="9"/>
  <c r="K66" i="9"/>
  <c r="Q66" i="9" s="1"/>
  <c r="R66" i="9" s="1"/>
  <c r="J66" i="9"/>
  <c r="O65" i="9"/>
  <c r="M65" i="9"/>
  <c r="K65" i="9"/>
  <c r="Q65" i="9" s="1"/>
  <c r="R65" i="9" s="1"/>
  <c r="J65" i="9"/>
  <c r="O64" i="9"/>
  <c r="M64" i="9"/>
  <c r="K64" i="9"/>
  <c r="Q64" i="9" s="1"/>
  <c r="R64" i="9" s="1"/>
  <c r="J64" i="9"/>
  <c r="O63" i="9"/>
  <c r="M63" i="9"/>
  <c r="K63" i="9"/>
  <c r="P63" i="9" s="1"/>
  <c r="J63" i="9"/>
  <c r="O62" i="9"/>
  <c r="M62" i="9"/>
  <c r="K62" i="9"/>
  <c r="J62" i="9"/>
  <c r="O61" i="9"/>
  <c r="M61" i="9"/>
  <c r="K61" i="9"/>
  <c r="Q61" i="9" s="1"/>
  <c r="R61" i="9" s="1"/>
  <c r="J61" i="9"/>
  <c r="O60" i="9"/>
  <c r="M60" i="9"/>
  <c r="K60" i="9"/>
  <c r="J60" i="9"/>
  <c r="O59" i="9"/>
  <c r="M59" i="9"/>
  <c r="K59" i="9"/>
  <c r="Q59" i="9" s="1"/>
  <c r="R59" i="9" s="1"/>
  <c r="J59" i="9"/>
  <c r="O58" i="9"/>
  <c r="M58" i="9"/>
  <c r="K58" i="9"/>
  <c r="J58" i="9"/>
  <c r="O57" i="9"/>
  <c r="M57" i="9"/>
  <c r="K57" i="9"/>
  <c r="Q57" i="9" s="1"/>
  <c r="R57" i="9" s="1"/>
  <c r="J57" i="9"/>
  <c r="O56" i="9"/>
  <c r="M56" i="9"/>
  <c r="K56" i="9"/>
  <c r="J56" i="9"/>
  <c r="O55" i="9"/>
  <c r="M55" i="9"/>
  <c r="K55" i="9"/>
  <c r="P55" i="9" s="1"/>
  <c r="J55" i="9"/>
  <c r="O54" i="9"/>
  <c r="M54" i="9"/>
  <c r="K54" i="9"/>
  <c r="J54" i="9"/>
  <c r="O53" i="9"/>
  <c r="M53" i="9"/>
  <c r="K53" i="9"/>
  <c r="P53" i="9" s="1"/>
  <c r="J53" i="9"/>
  <c r="O52" i="9"/>
  <c r="M52" i="9"/>
  <c r="K52" i="9"/>
  <c r="J52" i="9"/>
  <c r="O51" i="9"/>
  <c r="M51" i="9"/>
  <c r="K51" i="9"/>
  <c r="J51" i="9"/>
  <c r="O50" i="9"/>
  <c r="M50" i="9"/>
  <c r="K50" i="9"/>
  <c r="J50" i="9"/>
  <c r="O49" i="9"/>
  <c r="M49" i="9"/>
  <c r="K49" i="9"/>
  <c r="Q49" i="9" s="1"/>
  <c r="R49" i="9" s="1"/>
  <c r="J49" i="9"/>
  <c r="O48" i="9"/>
  <c r="M48" i="9"/>
  <c r="K48" i="9"/>
  <c r="J48" i="9"/>
  <c r="O47" i="9"/>
  <c r="M47" i="9"/>
  <c r="K47" i="9"/>
  <c r="Q47" i="9" s="1"/>
  <c r="R47" i="9" s="1"/>
  <c r="J47" i="9"/>
  <c r="O46" i="9"/>
  <c r="M46" i="9"/>
  <c r="K46" i="9"/>
  <c r="Q46" i="9" s="1"/>
  <c r="R46" i="9" s="1"/>
  <c r="J46" i="9"/>
  <c r="O45" i="9"/>
  <c r="M45" i="9"/>
  <c r="K45" i="9"/>
  <c r="J45" i="9"/>
  <c r="O44" i="9"/>
  <c r="M44" i="9"/>
  <c r="K44" i="9"/>
  <c r="Q44" i="9" s="1"/>
  <c r="R44" i="9" s="1"/>
  <c r="J44" i="9"/>
  <c r="O43" i="9"/>
  <c r="M43" i="9"/>
  <c r="K43" i="9"/>
  <c r="J43" i="9"/>
  <c r="O42" i="9"/>
  <c r="M42" i="9"/>
  <c r="K42" i="9"/>
  <c r="P42" i="9" s="1"/>
  <c r="J42" i="9"/>
  <c r="O41" i="9"/>
  <c r="M41" i="9"/>
  <c r="K41" i="9"/>
  <c r="P41" i="9" s="1"/>
  <c r="J41" i="9"/>
  <c r="O40" i="9"/>
  <c r="M40" i="9"/>
  <c r="K40" i="9"/>
  <c r="J40" i="9"/>
  <c r="O39" i="9"/>
  <c r="M39" i="9"/>
  <c r="K39" i="9"/>
  <c r="Q39" i="9" s="1"/>
  <c r="R39" i="9" s="1"/>
  <c r="J39" i="9"/>
  <c r="O38" i="9"/>
  <c r="M38" i="9"/>
  <c r="K38" i="9"/>
  <c r="J38" i="9"/>
  <c r="O37" i="9"/>
  <c r="M37" i="9"/>
  <c r="K37" i="9"/>
  <c r="Q37" i="9" s="1"/>
  <c r="R37" i="9" s="1"/>
  <c r="J37" i="9"/>
  <c r="O36" i="9"/>
  <c r="M36" i="9"/>
  <c r="K36" i="9"/>
  <c r="Q36" i="9" s="1"/>
  <c r="R36" i="9" s="1"/>
  <c r="J36" i="9"/>
  <c r="O35" i="9"/>
  <c r="M35" i="9"/>
  <c r="K35" i="9"/>
  <c r="Q35" i="9" s="1"/>
  <c r="R35" i="9" s="1"/>
  <c r="J35" i="9"/>
  <c r="O34" i="9"/>
  <c r="M34" i="9"/>
  <c r="K34" i="9"/>
  <c r="J34" i="9"/>
  <c r="O33" i="9"/>
  <c r="M33" i="9"/>
  <c r="K33" i="9"/>
  <c r="Q33" i="9" s="1"/>
  <c r="R33" i="9" s="1"/>
  <c r="J33" i="9"/>
  <c r="O32" i="9"/>
  <c r="M32" i="9"/>
  <c r="K32" i="9"/>
  <c r="J32" i="9"/>
  <c r="O31" i="9"/>
  <c r="M31" i="9"/>
  <c r="K31" i="9"/>
  <c r="P31" i="9" s="1"/>
  <c r="J31" i="9"/>
  <c r="O30" i="9"/>
  <c r="M30" i="9"/>
  <c r="K30" i="9"/>
  <c r="J30" i="9"/>
  <c r="O29" i="9"/>
  <c r="M29" i="9"/>
  <c r="K29" i="9"/>
  <c r="P29" i="9" s="1"/>
  <c r="J29" i="9"/>
  <c r="O28" i="9"/>
  <c r="M28" i="9"/>
  <c r="K28" i="9"/>
  <c r="J28" i="9"/>
  <c r="O27" i="9"/>
  <c r="M27" i="9"/>
  <c r="K27" i="9"/>
  <c r="P27" i="9" s="1"/>
  <c r="J27" i="9"/>
  <c r="O26" i="9"/>
  <c r="M26" i="9"/>
  <c r="K26" i="9"/>
  <c r="Q26" i="9" s="1"/>
  <c r="R26" i="9" s="1"/>
  <c r="J26" i="9"/>
  <c r="O25" i="9"/>
  <c r="M25" i="9"/>
  <c r="K25" i="9"/>
  <c r="Q25" i="9" s="1"/>
  <c r="R25" i="9" s="1"/>
  <c r="J25" i="9"/>
  <c r="O24" i="9"/>
  <c r="M24" i="9"/>
  <c r="K24" i="9"/>
  <c r="P24" i="9" s="1"/>
  <c r="J24" i="9"/>
  <c r="O23" i="9"/>
  <c r="M23" i="9"/>
  <c r="K23" i="9"/>
  <c r="J23" i="9"/>
  <c r="O22" i="9"/>
  <c r="M22" i="9"/>
  <c r="K22" i="9"/>
  <c r="P22" i="9" s="1"/>
  <c r="J22" i="9"/>
  <c r="O21" i="9"/>
  <c r="M21" i="9"/>
  <c r="K21" i="9"/>
  <c r="J21" i="9"/>
  <c r="O20" i="9"/>
  <c r="M20" i="9"/>
  <c r="K20" i="9"/>
  <c r="J20" i="9"/>
  <c r="O19" i="9"/>
  <c r="M19" i="9"/>
  <c r="K19" i="9"/>
  <c r="P19" i="9" s="1"/>
  <c r="J19" i="9"/>
  <c r="O18" i="9"/>
  <c r="M18" i="9"/>
  <c r="K18" i="9"/>
  <c r="J18" i="9"/>
  <c r="O17" i="9"/>
  <c r="M17" i="9"/>
  <c r="K17" i="9"/>
  <c r="Q17" i="9" s="1"/>
  <c r="R17" i="9" s="1"/>
  <c r="J17" i="9"/>
  <c r="O16" i="9"/>
  <c r="M16" i="9"/>
  <c r="K16" i="9"/>
  <c r="J16" i="9"/>
  <c r="O15" i="9"/>
  <c r="M15" i="9"/>
  <c r="K15" i="9"/>
  <c r="P15" i="9" s="1"/>
  <c r="J15" i="9"/>
  <c r="O14" i="9"/>
  <c r="M14" i="9"/>
  <c r="K14" i="9"/>
  <c r="J14" i="9"/>
  <c r="O13" i="9"/>
  <c r="M13" i="9"/>
  <c r="K13" i="9"/>
  <c r="P13" i="9" s="1"/>
  <c r="J13" i="9"/>
  <c r="O12" i="9"/>
  <c r="M12" i="9"/>
  <c r="K12" i="9"/>
  <c r="J12" i="9"/>
  <c r="O11" i="9"/>
  <c r="M11" i="9"/>
  <c r="K11" i="9"/>
  <c r="Q11" i="9" s="1"/>
  <c r="R11" i="9" s="1"/>
  <c r="J11" i="9"/>
  <c r="O10" i="9"/>
  <c r="M10" i="9"/>
  <c r="K10" i="9"/>
  <c r="J10" i="9"/>
  <c r="O9" i="9"/>
  <c r="M9" i="9"/>
  <c r="K9" i="9"/>
  <c r="Q9" i="9" s="1"/>
  <c r="R9" i="9" s="1"/>
  <c r="J9" i="9"/>
  <c r="O8" i="9"/>
  <c r="M8" i="9"/>
  <c r="K8" i="9"/>
  <c r="J8" i="9"/>
  <c r="O7" i="9"/>
  <c r="M7" i="9"/>
  <c r="K7" i="9"/>
  <c r="P7" i="9" s="1"/>
  <c r="J7" i="9"/>
  <c r="O6" i="9"/>
  <c r="M6" i="9"/>
  <c r="K6" i="9"/>
  <c r="P6" i="9" s="1"/>
  <c r="J6" i="9"/>
  <c r="O5" i="9"/>
  <c r="M5" i="9"/>
  <c r="K5" i="9"/>
  <c r="P5" i="9" s="1"/>
  <c r="J5" i="9"/>
  <c r="O4" i="9"/>
  <c r="M4" i="9"/>
  <c r="K4" i="9"/>
  <c r="Q4" i="9" s="1"/>
  <c r="R4" i="9" s="1"/>
  <c r="J4" i="9"/>
  <c r="O312" i="8"/>
  <c r="M312" i="8"/>
  <c r="K312" i="8"/>
  <c r="Q312" i="8" s="1"/>
  <c r="J312" i="8"/>
  <c r="O311" i="8"/>
  <c r="M311" i="8"/>
  <c r="K311" i="8"/>
  <c r="Q311" i="8" s="1"/>
  <c r="J311" i="8"/>
  <c r="O310" i="8"/>
  <c r="M310" i="8"/>
  <c r="K310" i="8"/>
  <c r="Q310" i="8" s="1"/>
  <c r="J310" i="8"/>
  <c r="O309" i="8"/>
  <c r="M309" i="8"/>
  <c r="K309" i="8"/>
  <c r="Q309" i="8" s="1"/>
  <c r="J309" i="8"/>
  <c r="O308" i="8"/>
  <c r="M308" i="8"/>
  <c r="K308" i="8"/>
  <c r="J308" i="8"/>
  <c r="O307" i="8"/>
  <c r="M307" i="8"/>
  <c r="K307" i="8"/>
  <c r="Q307" i="8" s="1"/>
  <c r="J307" i="8"/>
  <c r="O306" i="8"/>
  <c r="M306" i="8"/>
  <c r="K306" i="8"/>
  <c r="Q306" i="8" s="1"/>
  <c r="J306" i="8"/>
  <c r="O305" i="8"/>
  <c r="M305" i="8"/>
  <c r="K305" i="8"/>
  <c r="Q305" i="8" s="1"/>
  <c r="J305" i="8"/>
  <c r="O304" i="8"/>
  <c r="M304" i="8"/>
  <c r="K304" i="8"/>
  <c r="Q304" i="8" s="1"/>
  <c r="J304" i="8"/>
  <c r="O303" i="8"/>
  <c r="M303" i="8"/>
  <c r="K303" i="8"/>
  <c r="Q303" i="8" s="1"/>
  <c r="J303" i="8"/>
  <c r="O302" i="8"/>
  <c r="M302" i="8"/>
  <c r="K302" i="8"/>
  <c r="Q302" i="8" s="1"/>
  <c r="J302" i="8"/>
  <c r="O301" i="8"/>
  <c r="M301" i="8"/>
  <c r="K301" i="8"/>
  <c r="Q301" i="8" s="1"/>
  <c r="J301" i="8"/>
  <c r="O300" i="8"/>
  <c r="M300" i="8"/>
  <c r="K300" i="8"/>
  <c r="Q300" i="8" s="1"/>
  <c r="J300" i="8"/>
  <c r="O299" i="8"/>
  <c r="M299" i="8"/>
  <c r="K299" i="8"/>
  <c r="J299" i="8"/>
  <c r="O298" i="8"/>
  <c r="M298" i="8"/>
  <c r="K298" i="8"/>
  <c r="J298" i="8"/>
  <c r="O297" i="8"/>
  <c r="M297" i="8"/>
  <c r="K297" i="8"/>
  <c r="J297" i="8"/>
  <c r="O296" i="8"/>
  <c r="M296" i="8"/>
  <c r="K296" i="8"/>
  <c r="Q296" i="8" s="1"/>
  <c r="J296" i="8"/>
  <c r="O295" i="8"/>
  <c r="M295" i="8"/>
  <c r="K295" i="8"/>
  <c r="Q295" i="8" s="1"/>
  <c r="J295" i="8"/>
  <c r="O294" i="8"/>
  <c r="M294" i="8"/>
  <c r="K294" i="8"/>
  <c r="Q294" i="8" s="1"/>
  <c r="J294" i="8"/>
  <c r="O293" i="8"/>
  <c r="M293" i="8"/>
  <c r="K293" i="8"/>
  <c r="Q293" i="8" s="1"/>
  <c r="J293" i="8"/>
  <c r="O292" i="8"/>
  <c r="M292" i="8"/>
  <c r="K292" i="8"/>
  <c r="Q292" i="8" s="1"/>
  <c r="J292" i="8"/>
  <c r="O291" i="8"/>
  <c r="M291" i="8"/>
  <c r="K291" i="8"/>
  <c r="J291" i="8"/>
  <c r="O290" i="8"/>
  <c r="M290" i="8"/>
  <c r="K290" i="8"/>
  <c r="Q290" i="8" s="1"/>
  <c r="J290" i="8"/>
  <c r="O289" i="8"/>
  <c r="M289" i="8"/>
  <c r="K289" i="8"/>
  <c r="Q289" i="8" s="1"/>
  <c r="J289" i="8"/>
  <c r="O288" i="8"/>
  <c r="M288" i="8"/>
  <c r="K288" i="8"/>
  <c r="Q288" i="8" s="1"/>
  <c r="J288" i="8"/>
  <c r="O287" i="8"/>
  <c r="M287" i="8"/>
  <c r="K287" i="8"/>
  <c r="Q287" i="8" s="1"/>
  <c r="J287" i="8"/>
  <c r="O286" i="8"/>
  <c r="M286" i="8"/>
  <c r="K286" i="8"/>
  <c r="Q286" i="8" s="1"/>
  <c r="J286" i="8"/>
  <c r="O285" i="8"/>
  <c r="M285" i="8"/>
  <c r="K285" i="8"/>
  <c r="Q285" i="8" s="1"/>
  <c r="J285" i="8"/>
  <c r="O284" i="8"/>
  <c r="M284" i="8"/>
  <c r="K284" i="8"/>
  <c r="J284" i="8"/>
  <c r="O283" i="8"/>
  <c r="M283" i="8"/>
  <c r="K283" i="8"/>
  <c r="Q283" i="8" s="1"/>
  <c r="J283" i="8"/>
  <c r="O282" i="8"/>
  <c r="M282" i="8"/>
  <c r="K282" i="8"/>
  <c r="J282" i="8"/>
  <c r="O281" i="8"/>
  <c r="M281" i="8"/>
  <c r="K281" i="8"/>
  <c r="Q281" i="8" s="1"/>
  <c r="J281" i="8"/>
  <c r="O280" i="8"/>
  <c r="M280" i="8"/>
  <c r="K280" i="8"/>
  <c r="J280" i="8"/>
  <c r="O279" i="8"/>
  <c r="M279" i="8"/>
  <c r="K279" i="8"/>
  <c r="J279" i="8"/>
  <c r="O278" i="8"/>
  <c r="M278" i="8"/>
  <c r="K278" i="8"/>
  <c r="J278" i="8"/>
  <c r="O277" i="8"/>
  <c r="M277" i="8"/>
  <c r="K277" i="8"/>
  <c r="J277" i="8"/>
  <c r="O276" i="8"/>
  <c r="M276" i="8"/>
  <c r="K276" i="8"/>
  <c r="Q276" i="8" s="1"/>
  <c r="J276" i="8"/>
  <c r="O275" i="8"/>
  <c r="M275" i="8"/>
  <c r="K275" i="8"/>
  <c r="Q275" i="8" s="1"/>
  <c r="J275" i="8"/>
  <c r="O274" i="8"/>
  <c r="M274" i="8"/>
  <c r="K274" i="8"/>
  <c r="Q274" i="8" s="1"/>
  <c r="J274" i="8"/>
  <c r="O273" i="8"/>
  <c r="M273" i="8"/>
  <c r="K273" i="8"/>
  <c r="Q273" i="8" s="1"/>
  <c r="J273" i="8"/>
  <c r="O272" i="8"/>
  <c r="M272" i="8"/>
  <c r="K272" i="8"/>
  <c r="Q272" i="8" s="1"/>
  <c r="J272" i="8"/>
  <c r="O271" i="8"/>
  <c r="M271" i="8"/>
  <c r="K271" i="8"/>
  <c r="Q271" i="8" s="1"/>
  <c r="J271" i="8"/>
  <c r="O270" i="8"/>
  <c r="M270" i="8"/>
  <c r="K270" i="8"/>
  <c r="J270" i="8"/>
  <c r="O269" i="8"/>
  <c r="M269" i="8"/>
  <c r="K269" i="8"/>
  <c r="Q269" i="8" s="1"/>
  <c r="J269" i="8"/>
  <c r="O268" i="8"/>
  <c r="M268" i="8"/>
  <c r="K268" i="8"/>
  <c r="J268" i="8"/>
  <c r="O267" i="8"/>
  <c r="M267" i="8"/>
  <c r="K267" i="8"/>
  <c r="Q267" i="8" s="1"/>
  <c r="J267" i="8"/>
  <c r="O266" i="8"/>
  <c r="M266" i="8"/>
  <c r="K266" i="8"/>
  <c r="J266" i="8"/>
  <c r="O265" i="8"/>
  <c r="M265" i="8"/>
  <c r="K265" i="8"/>
  <c r="Q265" i="8" s="1"/>
  <c r="J265" i="8"/>
  <c r="O264" i="8"/>
  <c r="M264" i="8"/>
  <c r="K264" i="8"/>
  <c r="Q264" i="8" s="1"/>
  <c r="R264" i="8" s="1"/>
  <c r="J264" i="8"/>
  <c r="O263" i="8"/>
  <c r="M263" i="8"/>
  <c r="K263" i="8"/>
  <c r="P263" i="8" s="1"/>
  <c r="J263" i="8"/>
  <c r="O262" i="8"/>
  <c r="M262" i="8"/>
  <c r="K262" i="8"/>
  <c r="Q262" i="8" s="1"/>
  <c r="R262" i="8" s="1"/>
  <c r="J262" i="8"/>
  <c r="O261" i="8"/>
  <c r="M261" i="8"/>
  <c r="K261" i="8"/>
  <c r="P261" i="8" s="1"/>
  <c r="J261" i="8"/>
  <c r="O260" i="8"/>
  <c r="M260" i="8"/>
  <c r="K260" i="8"/>
  <c r="Q260" i="8" s="1"/>
  <c r="J260" i="8"/>
  <c r="O259" i="8"/>
  <c r="M259" i="8"/>
  <c r="K259" i="8"/>
  <c r="J259" i="8"/>
  <c r="O258" i="8"/>
  <c r="M258" i="8"/>
  <c r="K258" i="8"/>
  <c r="Q258" i="8" s="1"/>
  <c r="J258" i="8"/>
  <c r="O257" i="8"/>
  <c r="M257" i="8"/>
  <c r="K257" i="8"/>
  <c r="Q257" i="8" s="1"/>
  <c r="J257" i="8"/>
  <c r="O256" i="8"/>
  <c r="M256" i="8"/>
  <c r="K256" i="8"/>
  <c r="Q256" i="8" s="1"/>
  <c r="J256" i="8"/>
  <c r="O255" i="8"/>
  <c r="M255" i="8"/>
  <c r="K255" i="8"/>
  <c r="Q255" i="8" s="1"/>
  <c r="J255" i="8"/>
  <c r="O254" i="8"/>
  <c r="M254" i="8"/>
  <c r="K254" i="8"/>
  <c r="Q254" i="8" s="1"/>
  <c r="J254" i="8"/>
  <c r="O253" i="8"/>
  <c r="M253" i="8"/>
  <c r="K253" i="8"/>
  <c r="Q253" i="8" s="1"/>
  <c r="J253" i="8"/>
  <c r="O252" i="8"/>
  <c r="M252" i="8"/>
  <c r="K252" i="8"/>
  <c r="Q252" i="8" s="1"/>
  <c r="J252" i="8"/>
  <c r="O251" i="8"/>
  <c r="M251" i="8"/>
  <c r="K251" i="8"/>
  <c r="J251" i="8"/>
  <c r="O250" i="8"/>
  <c r="M250" i="8"/>
  <c r="K250" i="8"/>
  <c r="J250" i="8"/>
  <c r="O249" i="8"/>
  <c r="M249" i="8"/>
  <c r="K249" i="8"/>
  <c r="J249" i="8"/>
  <c r="O248" i="8"/>
  <c r="M248" i="8"/>
  <c r="K248" i="8"/>
  <c r="J248" i="8"/>
  <c r="O247" i="8"/>
  <c r="M247" i="8"/>
  <c r="K247" i="8"/>
  <c r="Q247" i="8" s="1"/>
  <c r="R247" i="8" s="1"/>
  <c r="J247" i="8"/>
  <c r="O246" i="8"/>
  <c r="M246" i="8"/>
  <c r="K246" i="8"/>
  <c r="Q246" i="8" s="1"/>
  <c r="R246" i="8" s="1"/>
  <c r="J246" i="8"/>
  <c r="O245" i="8"/>
  <c r="M245" i="8"/>
  <c r="K245" i="8"/>
  <c r="Q245" i="8" s="1"/>
  <c r="R245" i="8" s="1"/>
  <c r="J245" i="8"/>
  <c r="O244" i="8"/>
  <c r="M244" i="8"/>
  <c r="K244" i="8"/>
  <c r="P244" i="8" s="1"/>
  <c r="J244" i="8"/>
  <c r="O243" i="8"/>
  <c r="M243" i="8"/>
  <c r="K243" i="8"/>
  <c r="J243" i="8"/>
  <c r="O242" i="8"/>
  <c r="M242" i="8"/>
  <c r="K242" i="8"/>
  <c r="P242" i="8" s="1"/>
  <c r="J242" i="8"/>
  <c r="O241" i="8"/>
  <c r="M241" i="8"/>
  <c r="K241" i="8"/>
  <c r="J241" i="8"/>
  <c r="O240" i="8"/>
  <c r="M240" i="8"/>
  <c r="K240" i="8"/>
  <c r="Q240" i="8" s="1"/>
  <c r="R240" i="8" s="1"/>
  <c r="J240" i="8"/>
  <c r="O239" i="8"/>
  <c r="M239" i="8"/>
  <c r="K239" i="8"/>
  <c r="P239" i="8" s="1"/>
  <c r="J239" i="8"/>
  <c r="O238" i="8"/>
  <c r="M238" i="8"/>
  <c r="K238" i="8"/>
  <c r="P238" i="8" s="1"/>
  <c r="J238" i="8"/>
  <c r="O237" i="8"/>
  <c r="M237" i="8"/>
  <c r="K237" i="8"/>
  <c r="J237" i="8"/>
  <c r="O236" i="8"/>
  <c r="M236" i="8"/>
  <c r="K236" i="8"/>
  <c r="Q236" i="8" s="1"/>
  <c r="R236" i="8" s="1"/>
  <c r="J236" i="8"/>
  <c r="O235" i="8"/>
  <c r="M235" i="8"/>
  <c r="K235" i="8"/>
  <c r="P235" i="8" s="1"/>
  <c r="J235" i="8"/>
  <c r="O234" i="8"/>
  <c r="M234" i="8"/>
  <c r="K234" i="8"/>
  <c r="Q234" i="8" s="1"/>
  <c r="J234" i="8"/>
  <c r="O233" i="8"/>
  <c r="M233" i="8"/>
  <c r="K233" i="8"/>
  <c r="Q233" i="8" s="1"/>
  <c r="R233" i="8" s="1"/>
  <c r="J233" i="8"/>
  <c r="O232" i="8"/>
  <c r="M232" i="8"/>
  <c r="K232" i="8"/>
  <c r="Q232" i="8" s="1"/>
  <c r="J232" i="8"/>
  <c r="O231" i="8"/>
  <c r="M231" i="8"/>
  <c r="K231" i="8"/>
  <c r="Q231" i="8" s="1"/>
  <c r="R231" i="8" s="1"/>
  <c r="J231" i="8"/>
  <c r="O230" i="8"/>
  <c r="M230" i="8"/>
  <c r="K230" i="8"/>
  <c r="J230" i="8"/>
  <c r="O229" i="8"/>
  <c r="M229" i="8"/>
  <c r="K229" i="8"/>
  <c r="Q229" i="8" s="1"/>
  <c r="R229" i="8" s="1"/>
  <c r="J229" i="8"/>
  <c r="O228" i="8"/>
  <c r="M228" i="8"/>
  <c r="K228" i="8"/>
  <c r="J228" i="8"/>
  <c r="O227" i="8"/>
  <c r="M227" i="8"/>
  <c r="K227" i="8"/>
  <c r="P227" i="8" s="1"/>
  <c r="J227" i="8"/>
  <c r="O226" i="8"/>
  <c r="M226" i="8"/>
  <c r="K226" i="8"/>
  <c r="Q226" i="8" s="1"/>
  <c r="R226" i="8" s="1"/>
  <c r="J226" i="8"/>
  <c r="O225" i="8"/>
  <c r="M225" i="8"/>
  <c r="K225" i="8"/>
  <c r="Q225" i="8" s="1"/>
  <c r="R225" i="8" s="1"/>
  <c r="J225" i="8"/>
  <c r="O224" i="8"/>
  <c r="M224" i="8"/>
  <c r="K224" i="8"/>
  <c r="J224" i="8"/>
  <c r="O223" i="8"/>
  <c r="M223" i="8"/>
  <c r="K223" i="8"/>
  <c r="P223" i="8" s="1"/>
  <c r="J223" i="8"/>
  <c r="O222" i="8"/>
  <c r="M222" i="8"/>
  <c r="K222" i="8"/>
  <c r="J222" i="8"/>
  <c r="O221" i="8"/>
  <c r="M221" i="8"/>
  <c r="K221" i="8"/>
  <c r="J221" i="8"/>
  <c r="O220" i="8"/>
  <c r="M220" i="8"/>
  <c r="K220" i="8"/>
  <c r="J220" i="8"/>
  <c r="O219" i="8"/>
  <c r="M219" i="8"/>
  <c r="K219" i="8"/>
  <c r="J219" i="8"/>
  <c r="O218" i="8"/>
  <c r="M218" i="8"/>
  <c r="K218" i="8"/>
  <c r="Q218" i="8" s="1"/>
  <c r="J218" i="8"/>
  <c r="O217" i="8"/>
  <c r="M217" i="8"/>
  <c r="K217" i="8"/>
  <c r="Q217" i="8" s="1"/>
  <c r="R217" i="8" s="1"/>
  <c r="J217" i="8"/>
  <c r="O216" i="8"/>
  <c r="M216" i="8"/>
  <c r="K216" i="8"/>
  <c r="Q216" i="8" s="1"/>
  <c r="R216" i="8" s="1"/>
  <c r="J216" i="8"/>
  <c r="O215" i="8"/>
  <c r="M215" i="8"/>
  <c r="K215" i="8"/>
  <c r="P215" i="8" s="1"/>
  <c r="J215" i="8"/>
  <c r="O214" i="8"/>
  <c r="M214" i="8"/>
  <c r="K214" i="8"/>
  <c r="P214" i="8" s="1"/>
  <c r="J214" i="8"/>
  <c r="O213" i="8"/>
  <c r="M213" i="8"/>
  <c r="K213" i="8"/>
  <c r="Q213" i="8" s="1"/>
  <c r="R213" i="8" s="1"/>
  <c r="J213" i="8"/>
  <c r="O212" i="8"/>
  <c r="M212" i="8"/>
  <c r="K212" i="8"/>
  <c r="J212" i="8"/>
  <c r="O211" i="8"/>
  <c r="M211" i="8"/>
  <c r="K211" i="8"/>
  <c r="Q211" i="8" s="1"/>
  <c r="R211" i="8" s="1"/>
  <c r="J211" i="8"/>
  <c r="O210" i="8"/>
  <c r="M210" i="8"/>
  <c r="K210" i="8"/>
  <c r="J210" i="8"/>
  <c r="O209" i="8"/>
  <c r="M209" i="8"/>
  <c r="K209" i="8"/>
  <c r="P209" i="8" s="1"/>
  <c r="J209" i="8"/>
  <c r="O208" i="8"/>
  <c r="M208" i="8"/>
  <c r="K208" i="8"/>
  <c r="J208" i="8"/>
  <c r="O207" i="8"/>
  <c r="M207" i="8"/>
  <c r="K207" i="8"/>
  <c r="P207" i="8" s="1"/>
  <c r="J207" i="8"/>
  <c r="O206" i="8"/>
  <c r="M206" i="8"/>
  <c r="K206" i="8"/>
  <c r="J206" i="8"/>
  <c r="O205" i="8"/>
  <c r="M205" i="8"/>
  <c r="K205" i="8"/>
  <c r="Q205" i="8" s="1"/>
  <c r="R205" i="8" s="1"/>
  <c r="J205" i="8"/>
  <c r="O204" i="8"/>
  <c r="M204" i="8"/>
  <c r="K204" i="8"/>
  <c r="Q204" i="8" s="1"/>
  <c r="R204" i="8" s="1"/>
  <c r="J204" i="8"/>
  <c r="O203" i="8"/>
  <c r="M203" i="8"/>
  <c r="K203" i="8"/>
  <c r="Q203" i="8" s="1"/>
  <c r="R203" i="8" s="1"/>
  <c r="J203" i="8"/>
  <c r="O202" i="8"/>
  <c r="M202" i="8"/>
  <c r="K202" i="8"/>
  <c r="Q202" i="8" s="1"/>
  <c r="R202" i="8" s="1"/>
  <c r="J202" i="8"/>
  <c r="O201" i="8"/>
  <c r="M201" i="8"/>
  <c r="K201" i="8"/>
  <c r="J201" i="8"/>
  <c r="O200" i="8"/>
  <c r="M200" i="8"/>
  <c r="K200" i="8"/>
  <c r="P200" i="8" s="1"/>
  <c r="J200" i="8"/>
  <c r="O199" i="8"/>
  <c r="M199" i="8"/>
  <c r="K199" i="8"/>
  <c r="J199" i="8"/>
  <c r="O198" i="8"/>
  <c r="M198" i="8"/>
  <c r="K198" i="8"/>
  <c r="J198" i="8"/>
  <c r="O197" i="8"/>
  <c r="M197" i="8"/>
  <c r="K197" i="8"/>
  <c r="Q197" i="8" s="1"/>
  <c r="R197" i="8" s="1"/>
  <c r="J197" i="8"/>
  <c r="O196" i="8"/>
  <c r="M196" i="8"/>
  <c r="K196" i="8"/>
  <c r="Q196" i="8" s="1"/>
  <c r="R196" i="8" s="1"/>
  <c r="J196" i="8"/>
  <c r="O195" i="8"/>
  <c r="M195" i="8"/>
  <c r="K195" i="8"/>
  <c r="Q195" i="8" s="1"/>
  <c r="J195" i="8"/>
  <c r="O194" i="8"/>
  <c r="M194" i="8"/>
  <c r="K194" i="8"/>
  <c r="Q194" i="8" s="1"/>
  <c r="J194" i="8"/>
  <c r="O193" i="8"/>
  <c r="M193" i="8"/>
  <c r="K193" i="8"/>
  <c r="P193" i="8" s="1"/>
  <c r="J193" i="8"/>
  <c r="O192" i="8"/>
  <c r="M192" i="8"/>
  <c r="K192" i="8"/>
  <c r="P192" i="8" s="1"/>
  <c r="J192" i="8"/>
  <c r="O191" i="8"/>
  <c r="M191" i="8"/>
  <c r="K191" i="8"/>
  <c r="P191" i="8" s="1"/>
  <c r="J191" i="8"/>
  <c r="O190" i="8"/>
  <c r="M190" i="8"/>
  <c r="K190" i="8"/>
  <c r="Q190" i="8" s="1"/>
  <c r="R190" i="8" s="1"/>
  <c r="J190" i="8"/>
  <c r="O189" i="8"/>
  <c r="M189" i="8"/>
  <c r="K189" i="8"/>
  <c r="J189" i="8"/>
  <c r="O188" i="8"/>
  <c r="M188" i="8"/>
  <c r="K188" i="8"/>
  <c r="Q188" i="8" s="1"/>
  <c r="R188" i="8" s="1"/>
  <c r="J188" i="8"/>
  <c r="O187" i="8"/>
  <c r="M187" i="8"/>
  <c r="K187" i="8"/>
  <c r="P187" i="8" s="1"/>
  <c r="J187" i="8"/>
  <c r="O186" i="8"/>
  <c r="M186" i="8"/>
  <c r="K186" i="8"/>
  <c r="P186" i="8" s="1"/>
  <c r="J186" i="8"/>
  <c r="O185" i="8"/>
  <c r="M185" i="8"/>
  <c r="K185" i="8"/>
  <c r="P185" i="8" s="1"/>
  <c r="J185" i="8"/>
  <c r="O184" i="8"/>
  <c r="M184" i="8"/>
  <c r="K184" i="8"/>
  <c r="Q184" i="8" s="1"/>
  <c r="R184" i="8" s="1"/>
  <c r="J184" i="8"/>
  <c r="O183" i="8"/>
  <c r="M183" i="8"/>
  <c r="K183" i="8"/>
  <c r="P183" i="8" s="1"/>
  <c r="J183" i="8"/>
  <c r="O182" i="8"/>
  <c r="M182" i="8"/>
  <c r="K182" i="8"/>
  <c r="P182" i="8" s="1"/>
  <c r="J182" i="8"/>
  <c r="O181" i="8"/>
  <c r="M181" i="8"/>
  <c r="K181" i="8"/>
  <c r="J181" i="8"/>
  <c r="O180" i="8"/>
  <c r="M180" i="8"/>
  <c r="K180" i="8"/>
  <c r="P180" i="8" s="1"/>
  <c r="J180" i="8"/>
  <c r="O179" i="8"/>
  <c r="M179" i="8"/>
  <c r="K179" i="8"/>
  <c r="J179" i="8"/>
  <c r="O178" i="8"/>
  <c r="M178" i="8"/>
  <c r="K178" i="8"/>
  <c r="Q178" i="8" s="1"/>
  <c r="R178" i="8" s="1"/>
  <c r="J178" i="8"/>
  <c r="O177" i="8"/>
  <c r="M177" i="8"/>
  <c r="K177" i="8"/>
  <c r="J177" i="8"/>
  <c r="O176" i="8"/>
  <c r="M176" i="8"/>
  <c r="K176" i="8"/>
  <c r="Q176" i="8" s="1"/>
  <c r="R176" i="8" s="1"/>
  <c r="J176" i="8"/>
  <c r="O175" i="8"/>
  <c r="M175" i="8"/>
  <c r="K175" i="8"/>
  <c r="J175" i="8"/>
  <c r="O174" i="8"/>
  <c r="M174" i="8"/>
  <c r="K174" i="8"/>
  <c r="Q174" i="8" s="1"/>
  <c r="R174" i="8" s="1"/>
  <c r="J174" i="8"/>
  <c r="O173" i="8"/>
  <c r="M173" i="8"/>
  <c r="K173" i="8"/>
  <c r="J173" i="8"/>
  <c r="O172" i="8"/>
  <c r="M172" i="8"/>
  <c r="K172" i="8"/>
  <c r="J172" i="8"/>
  <c r="O171" i="8"/>
  <c r="M171" i="8"/>
  <c r="K171" i="8"/>
  <c r="Q171" i="8" s="1"/>
  <c r="R171" i="8" s="1"/>
  <c r="J171" i="8"/>
  <c r="O170" i="8"/>
  <c r="M170" i="8"/>
  <c r="K170" i="8"/>
  <c r="J170" i="8"/>
  <c r="O169" i="8"/>
  <c r="M169" i="8"/>
  <c r="K169" i="8"/>
  <c r="Q169" i="8" s="1"/>
  <c r="R169" i="8" s="1"/>
  <c r="J169" i="8"/>
  <c r="O168" i="8"/>
  <c r="M168" i="8"/>
  <c r="K168" i="8"/>
  <c r="Q168" i="8" s="1"/>
  <c r="R168" i="8" s="1"/>
  <c r="J168" i="8"/>
  <c r="O167" i="8"/>
  <c r="M167" i="8"/>
  <c r="K167" i="8"/>
  <c r="Q167" i="8" s="1"/>
  <c r="R167" i="8" s="1"/>
  <c r="J167" i="8"/>
  <c r="O166" i="8"/>
  <c r="M166" i="8"/>
  <c r="K166" i="8"/>
  <c r="P166" i="8" s="1"/>
  <c r="J166" i="8"/>
  <c r="O165" i="8"/>
  <c r="M165" i="8"/>
  <c r="K165" i="8"/>
  <c r="P165" i="8" s="1"/>
  <c r="J165" i="8"/>
  <c r="O164" i="8"/>
  <c r="M164" i="8"/>
  <c r="K164" i="8"/>
  <c r="J164" i="8"/>
  <c r="O163" i="8"/>
  <c r="M163" i="8"/>
  <c r="K163" i="8"/>
  <c r="P163" i="8" s="1"/>
  <c r="J163" i="8"/>
  <c r="O162" i="8"/>
  <c r="M162" i="8"/>
  <c r="K162" i="8"/>
  <c r="Q162" i="8" s="1"/>
  <c r="R162" i="8" s="1"/>
  <c r="J162" i="8"/>
  <c r="O161" i="8"/>
  <c r="M161" i="8"/>
  <c r="K161" i="8"/>
  <c r="J161" i="8"/>
  <c r="O160" i="8"/>
  <c r="M160" i="8"/>
  <c r="K160" i="8"/>
  <c r="J160" i="8"/>
  <c r="O159" i="8"/>
  <c r="M159" i="8"/>
  <c r="K159" i="8"/>
  <c r="P159" i="8" s="1"/>
  <c r="J159" i="8"/>
  <c r="O158" i="8"/>
  <c r="M158" i="8"/>
  <c r="K158" i="8"/>
  <c r="P158" i="8" s="1"/>
  <c r="J158" i="8"/>
  <c r="O157" i="8"/>
  <c r="M157" i="8"/>
  <c r="K157" i="8"/>
  <c r="P157" i="8" s="1"/>
  <c r="J157" i="8"/>
  <c r="O156" i="8"/>
  <c r="M156" i="8"/>
  <c r="K156" i="8"/>
  <c r="Q156" i="8" s="1"/>
  <c r="R156" i="8" s="1"/>
  <c r="J156" i="8"/>
  <c r="O155" i="8"/>
  <c r="M155" i="8"/>
  <c r="K155" i="8"/>
  <c r="P155" i="8" s="1"/>
  <c r="J155" i="8"/>
  <c r="O154" i="8"/>
  <c r="M154" i="8"/>
  <c r="K154" i="8"/>
  <c r="Q154" i="8" s="1"/>
  <c r="R154" i="8" s="1"/>
  <c r="J154" i="8"/>
  <c r="O153" i="8"/>
  <c r="M153" i="8"/>
  <c r="K153" i="8"/>
  <c r="Q153" i="8" s="1"/>
  <c r="R153" i="8" s="1"/>
  <c r="J153" i="8"/>
  <c r="O152" i="8"/>
  <c r="M152" i="8"/>
  <c r="K152" i="8"/>
  <c r="J152" i="8"/>
  <c r="O151" i="8"/>
  <c r="M151" i="8"/>
  <c r="K151" i="8"/>
  <c r="P151" i="8" s="1"/>
  <c r="J151" i="8"/>
  <c r="O150" i="8"/>
  <c r="M150" i="8"/>
  <c r="K150" i="8"/>
  <c r="J150" i="8"/>
  <c r="O149" i="8"/>
  <c r="M149" i="8"/>
  <c r="K149" i="8"/>
  <c r="P149" i="8" s="1"/>
  <c r="J149" i="8"/>
  <c r="O148" i="8"/>
  <c r="M148" i="8"/>
  <c r="K148" i="8"/>
  <c r="Q148" i="8" s="1"/>
  <c r="R148" i="8" s="1"/>
  <c r="J148" i="8"/>
  <c r="O147" i="8"/>
  <c r="M147" i="8"/>
  <c r="K147" i="8"/>
  <c r="P147" i="8" s="1"/>
  <c r="J147" i="8"/>
  <c r="O146" i="8"/>
  <c r="M146" i="8"/>
  <c r="K146" i="8"/>
  <c r="P146" i="8" s="1"/>
  <c r="J146" i="8"/>
  <c r="O145" i="8"/>
  <c r="M145" i="8"/>
  <c r="K145" i="8"/>
  <c r="Q145" i="8" s="1"/>
  <c r="J145" i="8"/>
  <c r="O144" i="8"/>
  <c r="M144" i="8"/>
  <c r="K144" i="8"/>
  <c r="P144" i="8" s="1"/>
  <c r="J144" i="8"/>
  <c r="O143" i="8"/>
  <c r="M143" i="8"/>
  <c r="K143" i="8"/>
  <c r="P143" i="8" s="1"/>
  <c r="J143" i="8"/>
  <c r="O142" i="8"/>
  <c r="M142" i="8"/>
  <c r="K142" i="8"/>
  <c r="Q142" i="8" s="1"/>
  <c r="R142" i="8" s="1"/>
  <c r="J142" i="8"/>
  <c r="O141" i="8"/>
  <c r="M141" i="8"/>
  <c r="K141" i="8"/>
  <c r="P141" i="8" s="1"/>
  <c r="J141" i="8"/>
  <c r="O140" i="8"/>
  <c r="M140" i="8"/>
  <c r="K140" i="8"/>
  <c r="Q140" i="8" s="1"/>
  <c r="R140" i="8" s="1"/>
  <c r="J140" i="8"/>
  <c r="O139" i="8"/>
  <c r="M139" i="8"/>
  <c r="K139" i="8"/>
  <c r="J139" i="8"/>
  <c r="O138" i="8"/>
  <c r="M138" i="8"/>
  <c r="K138" i="8"/>
  <c r="P138" i="8" s="1"/>
  <c r="J138" i="8"/>
  <c r="O137" i="8"/>
  <c r="M137" i="8"/>
  <c r="K137" i="8"/>
  <c r="J137" i="8"/>
  <c r="O136" i="8"/>
  <c r="M136" i="8"/>
  <c r="K136" i="8"/>
  <c r="Q136" i="8" s="1"/>
  <c r="R136" i="8" s="1"/>
  <c r="J136" i="8"/>
  <c r="O135" i="8"/>
  <c r="M135" i="8"/>
  <c r="K135" i="8"/>
  <c r="J135" i="8"/>
  <c r="O134" i="8"/>
  <c r="M134" i="8"/>
  <c r="K134" i="8"/>
  <c r="Q134" i="8" s="1"/>
  <c r="R134" i="8" s="1"/>
  <c r="J134" i="8"/>
  <c r="O133" i="8"/>
  <c r="M133" i="8"/>
  <c r="K133" i="8"/>
  <c r="Q133" i="8" s="1"/>
  <c r="R133" i="8" s="1"/>
  <c r="J133" i="8"/>
  <c r="O132" i="8"/>
  <c r="M132" i="8"/>
  <c r="K132" i="8"/>
  <c r="J132" i="8"/>
  <c r="O131" i="8"/>
  <c r="M131" i="8"/>
  <c r="K131" i="8"/>
  <c r="P131" i="8" s="1"/>
  <c r="J131" i="8"/>
  <c r="O130" i="8"/>
  <c r="M130" i="8"/>
  <c r="K130" i="8"/>
  <c r="P130" i="8" s="1"/>
  <c r="J130" i="8"/>
  <c r="O129" i="8"/>
  <c r="M129" i="8"/>
  <c r="K129" i="8"/>
  <c r="P129" i="8" s="1"/>
  <c r="J129" i="8"/>
  <c r="O128" i="8"/>
  <c r="M128" i="8"/>
  <c r="K128" i="8"/>
  <c r="Q128" i="8" s="1"/>
  <c r="R128" i="8" s="1"/>
  <c r="J128" i="8"/>
  <c r="O127" i="8"/>
  <c r="M127" i="8"/>
  <c r="K127" i="8"/>
  <c r="Q127" i="8" s="1"/>
  <c r="R127" i="8" s="1"/>
  <c r="J127" i="8"/>
  <c r="O126" i="8"/>
  <c r="M126" i="8"/>
  <c r="K126" i="8"/>
  <c r="J126" i="8"/>
  <c r="O125" i="8"/>
  <c r="M125" i="8"/>
  <c r="K125" i="8"/>
  <c r="Q125" i="8" s="1"/>
  <c r="R125" i="8" s="1"/>
  <c r="J125" i="8"/>
  <c r="O124" i="8"/>
  <c r="M124" i="8"/>
  <c r="K124" i="8"/>
  <c r="J124" i="8"/>
  <c r="O123" i="8"/>
  <c r="M123" i="8"/>
  <c r="K123" i="8"/>
  <c r="J123" i="8"/>
  <c r="O122" i="8"/>
  <c r="M122" i="8"/>
  <c r="K122" i="8"/>
  <c r="J122" i="8"/>
  <c r="O121" i="8"/>
  <c r="M121" i="8"/>
  <c r="K121" i="8"/>
  <c r="J121" i="8"/>
  <c r="O120" i="8"/>
  <c r="M120" i="8"/>
  <c r="K120" i="8"/>
  <c r="Q120" i="8" s="1"/>
  <c r="R120" i="8" s="1"/>
  <c r="J120" i="8"/>
  <c r="O119" i="8"/>
  <c r="M119" i="8"/>
  <c r="K119" i="8"/>
  <c r="Q119" i="8" s="1"/>
  <c r="R119" i="8" s="1"/>
  <c r="J119" i="8"/>
  <c r="O118" i="8"/>
  <c r="M118" i="8"/>
  <c r="K118" i="8"/>
  <c r="Q118" i="8" s="1"/>
  <c r="R118" i="8" s="1"/>
  <c r="J118" i="8"/>
  <c r="O117" i="8"/>
  <c r="M117" i="8"/>
  <c r="K117" i="8"/>
  <c r="Q117" i="8" s="1"/>
  <c r="R117" i="8" s="1"/>
  <c r="J117" i="8"/>
  <c r="O116" i="8"/>
  <c r="M116" i="8"/>
  <c r="K116" i="8"/>
  <c r="J116" i="8"/>
  <c r="O115" i="8"/>
  <c r="M115" i="8"/>
  <c r="K115" i="8"/>
  <c r="P115" i="8" s="1"/>
  <c r="J115" i="8"/>
  <c r="O114" i="8"/>
  <c r="M114" i="8"/>
  <c r="K114" i="8"/>
  <c r="Q114" i="8" s="1"/>
  <c r="R114" i="8" s="1"/>
  <c r="J114" i="8"/>
  <c r="O113" i="8"/>
  <c r="M113" i="8"/>
  <c r="K113" i="8"/>
  <c r="Q113" i="8" s="1"/>
  <c r="J113" i="8"/>
  <c r="O112" i="8"/>
  <c r="M112" i="8"/>
  <c r="K112" i="8"/>
  <c r="J112" i="8"/>
  <c r="O111" i="8"/>
  <c r="M111" i="8"/>
  <c r="K111" i="8"/>
  <c r="Q111" i="8" s="1"/>
  <c r="R111" i="8" s="1"/>
  <c r="J111" i="8"/>
  <c r="O110" i="8"/>
  <c r="M110" i="8"/>
  <c r="K110" i="8"/>
  <c r="Q110" i="8" s="1"/>
  <c r="R110" i="8" s="1"/>
  <c r="J110" i="8"/>
  <c r="O109" i="8"/>
  <c r="M109" i="8"/>
  <c r="K109" i="8"/>
  <c r="P109" i="8" s="1"/>
  <c r="J109" i="8"/>
  <c r="O108" i="8"/>
  <c r="M108" i="8"/>
  <c r="K108" i="8"/>
  <c r="Q108" i="8" s="1"/>
  <c r="R108" i="8" s="1"/>
  <c r="J108" i="8"/>
  <c r="O107" i="8"/>
  <c r="M107" i="8"/>
  <c r="K107" i="8"/>
  <c r="Q107" i="8" s="1"/>
  <c r="R107" i="8" s="1"/>
  <c r="J107" i="8"/>
  <c r="O106" i="8"/>
  <c r="M106" i="8"/>
  <c r="K106" i="8"/>
  <c r="Q106" i="8" s="1"/>
  <c r="J106" i="8"/>
  <c r="O105" i="8"/>
  <c r="M105" i="8"/>
  <c r="K105" i="8"/>
  <c r="J105" i="8"/>
  <c r="O104" i="8"/>
  <c r="M104" i="8"/>
  <c r="K104" i="8"/>
  <c r="P104" i="8" s="1"/>
  <c r="J104" i="8"/>
  <c r="O103" i="8"/>
  <c r="M103" i="8"/>
  <c r="K103" i="8"/>
  <c r="J103" i="8"/>
  <c r="O102" i="8"/>
  <c r="M102" i="8"/>
  <c r="K102" i="8"/>
  <c r="P102" i="8" s="1"/>
  <c r="J102" i="8"/>
  <c r="O101" i="8"/>
  <c r="M101" i="8"/>
  <c r="K101" i="8"/>
  <c r="J101" i="8"/>
  <c r="O100" i="8"/>
  <c r="M100" i="8"/>
  <c r="K100" i="8"/>
  <c r="Q100" i="8" s="1"/>
  <c r="R100" i="8" s="1"/>
  <c r="J100" i="8"/>
  <c r="O99" i="8"/>
  <c r="M99" i="8"/>
  <c r="K99" i="8"/>
  <c r="Q99" i="8" s="1"/>
  <c r="J99" i="8"/>
  <c r="O98" i="8"/>
  <c r="M98" i="8"/>
  <c r="K98" i="8"/>
  <c r="Q98" i="8" s="1"/>
  <c r="J98" i="8"/>
  <c r="O97" i="8"/>
  <c r="M97" i="8"/>
  <c r="K97" i="8"/>
  <c r="J97" i="8"/>
  <c r="O96" i="8"/>
  <c r="M96" i="8"/>
  <c r="K96" i="8"/>
  <c r="Q96" i="8" s="1"/>
  <c r="R96" i="8" s="1"/>
  <c r="J96" i="8"/>
  <c r="O95" i="8"/>
  <c r="M95" i="8"/>
  <c r="K95" i="8"/>
  <c r="J95" i="8"/>
  <c r="O94" i="8"/>
  <c r="M94" i="8"/>
  <c r="K94" i="8"/>
  <c r="P94" i="8" s="1"/>
  <c r="J94" i="8"/>
  <c r="O93" i="8"/>
  <c r="M93" i="8"/>
  <c r="K93" i="8"/>
  <c r="J93" i="8"/>
  <c r="O92" i="8"/>
  <c r="M92" i="8"/>
  <c r="K92" i="8"/>
  <c r="P92" i="8" s="1"/>
  <c r="J92" i="8"/>
  <c r="O91" i="8"/>
  <c r="M91" i="8"/>
  <c r="K91" i="8"/>
  <c r="P91" i="8" s="1"/>
  <c r="J91" i="8"/>
  <c r="O90" i="8"/>
  <c r="M90" i="8"/>
  <c r="K90" i="8"/>
  <c r="Q90" i="8" s="1"/>
  <c r="R90" i="8" s="1"/>
  <c r="J90" i="8"/>
  <c r="O89" i="8"/>
  <c r="M89" i="8"/>
  <c r="K89" i="8"/>
  <c r="P89" i="8" s="1"/>
  <c r="J89" i="8"/>
  <c r="O88" i="8"/>
  <c r="M88" i="8"/>
  <c r="K88" i="8"/>
  <c r="J88" i="8"/>
  <c r="O87" i="8"/>
  <c r="M87" i="8"/>
  <c r="K87" i="8"/>
  <c r="P87" i="8" s="1"/>
  <c r="J87" i="8"/>
  <c r="O86" i="8"/>
  <c r="M86" i="8"/>
  <c r="K86" i="8"/>
  <c r="J86" i="8"/>
  <c r="O85" i="8"/>
  <c r="M85" i="8"/>
  <c r="K85" i="8"/>
  <c r="Q85" i="8" s="1"/>
  <c r="R85" i="8" s="1"/>
  <c r="J85" i="8"/>
  <c r="O84" i="8"/>
  <c r="M84" i="8"/>
  <c r="K84" i="8"/>
  <c r="J84" i="8"/>
  <c r="O83" i="8"/>
  <c r="M83" i="8"/>
  <c r="K83" i="8"/>
  <c r="J83" i="8"/>
  <c r="O82" i="8"/>
  <c r="M82" i="8"/>
  <c r="K82" i="8"/>
  <c r="J82" i="8"/>
  <c r="O81" i="8"/>
  <c r="M81" i="8"/>
  <c r="K81" i="8"/>
  <c r="P81" i="8" s="1"/>
  <c r="J81" i="8"/>
  <c r="O80" i="8"/>
  <c r="M80" i="8"/>
  <c r="K80" i="8"/>
  <c r="Q80" i="8" s="1"/>
  <c r="R80" i="8" s="1"/>
  <c r="J80" i="8"/>
  <c r="O79" i="8"/>
  <c r="M79" i="8"/>
  <c r="K79" i="8"/>
  <c r="P79" i="8" s="1"/>
  <c r="J79" i="8"/>
  <c r="O78" i="8"/>
  <c r="M78" i="8"/>
  <c r="K78" i="8"/>
  <c r="P78" i="8" s="1"/>
  <c r="J78" i="8"/>
  <c r="O77" i="8"/>
  <c r="M77" i="8"/>
  <c r="K77" i="8"/>
  <c r="P77" i="8" s="1"/>
  <c r="J77" i="8"/>
  <c r="O76" i="8"/>
  <c r="M76" i="8"/>
  <c r="K76" i="8"/>
  <c r="Q76" i="8" s="1"/>
  <c r="R76" i="8" s="1"/>
  <c r="J76" i="8"/>
  <c r="O75" i="8"/>
  <c r="M75" i="8"/>
  <c r="K75" i="8"/>
  <c r="P75" i="8" s="1"/>
  <c r="J75" i="8"/>
  <c r="O74" i="8"/>
  <c r="M74" i="8"/>
  <c r="K74" i="8"/>
  <c r="J74" i="8"/>
  <c r="O73" i="8"/>
  <c r="M73" i="8"/>
  <c r="K73" i="8"/>
  <c r="P73" i="8" s="1"/>
  <c r="J73" i="8"/>
  <c r="O72" i="8"/>
  <c r="M72" i="8"/>
  <c r="K72" i="8"/>
  <c r="J72" i="8"/>
  <c r="O71" i="8"/>
  <c r="M71" i="8"/>
  <c r="K71" i="8"/>
  <c r="Q71" i="8" s="1"/>
  <c r="R71" i="8" s="1"/>
  <c r="J71" i="8"/>
  <c r="O70" i="8"/>
  <c r="M70" i="8"/>
  <c r="K70" i="8"/>
  <c r="Q70" i="8" s="1"/>
  <c r="J70" i="8"/>
  <c r="O69" i="8"/>
  <c r="M69" i="8"/>
  <c r="K69" i="8"/>
  <c r="P69" i="8" s="1"/>
  <c r="J69" i="8"/>
  <c r="O68" i="8"/>
  <c r="M68" i="8"/>
  <c r="K68" i="8"/>
  <c r="Q68" i="8" s="1"/>
  <c r="R68" i="8" s="1"/>
  <c r="J68" i="8"/>
  <c r="O67" i="8"/>
  <c r="M67" i="8"/>
  <c r="K67" i="8"/>
  <c r="J67" i="8"/>
  <c r="O66" i="8"/>
  <c r="M66" i="8"/>
  <c r="K66" i="8"/>
  <c r="P66" i="8" s="1"/>
  <c r="J66" i="8"/>
  <c r="O65" i="8"/>
  <c r="M65" i="8"/>
  <c r="K65" i="8"/>
  <c r="J65" i="8"/>
  <c r="O64" i="8"/>
  <c r="M64" i="8"/>
  <c r="K64" i="8"/>
  <c r="P64" i="8" s="1"/>
  <c r="J64" i="8"/>
  <c r="O63" i="8"/>
  <c r="M63" i="8"/>
  <c r="K63" i="8"/>
  <c r="J63" i="8"/>
  <c r="O62" i="8"/>
  <c r="M62" i="8"/>
  <c r="K62" i="8"/>
  <c r="Q62" i="8" s="1"/>
  <c r="R62" i="8" s="1"/>
  <c r="J62" i="8"/>
  <c r="O61" i="8"/>
  <c r="M61" i="8"/>
  <c r="K61" i="8"/>
  <c r="J61" i="8"/>
  <c r="O60" i="8"/>
  <c r="M60" i="8"/>
  <c r="K60" i="8"/>
  <c r="P60" i="8" s="1"/>
  <c r="J60" i="8"/>
  <c r="O59" i="8"/>
  <c r="M59" i="8"/>
  <c r="K59" i="8"/>
  <c r="J59" i="8"/>
  <c r="O58" i="8"/>
  <c r="M58" i="8"/>
  <c r="K58" i="8"/>
  <c r="Q58" i="8" s="1"/>
  <c r="R58" i="8" s="1"/>
  <c r="J58" i="8"/>
  <c r="O57" i="8"/>
  <c r="M57" i="8"/>
  <c r="K57" i="8"/>
  <c r="Q57" i="8" s="1"/>
  <c r="R57" i="8" s="1"/>
  <c r="J57" i="8"/>
  <c r="O56" i="8"/>
  <c r="M56" i="8"/>
  <c r="K56" i="8"/>
  <c r="Q56" i="8" s="1"/>
  <c r="J56" i="8"/>
  <c r="O55" i="8"/>
  <c r="M55" i="8"/>
  <c r="K55" i="8"/>
  <c r="Q55" i="8" s="1"/>
  <c r="R55" i="8" s="1"/>
  <c r="J55" i="8"/>
  <c r="O54" i="8"/>
  <c r="M54" i="8"/>
  <c r="K54" i="8"/>
  <c r="J54" i="8"/>
  <c r="O53" i="8"/>
  <c r="M53" i="8"/>
  <c r="K53" i="8"/>
  <c r="P53" i="8" s="1"/>
  <c r="J53" i="8"/>
  <c r="O52" i="8"/>
  <c r="M52" i="8"/>
  <c r="K52" i="8"/>
  <c r="Q52" i="8" s="1"/>
  <c r="R52" i="8" s="1"/>
  <c r="J52" i="8"/>
  <c r="O51" i="8"/>
  <c r="M51" i="8"/>
  <c r="K51" i="8"/>
  <c r="Q51" i="8" s="1"/>
  <c r="R51" i="8" s="1"/>
  <c r="J51" i="8"/>
  <c r="O50" i="8"/>
  <c r="M50" i="8"/>
  <c r="K50" i="8"/>
  <c r="Q50" i="8" s="1"/>
  <c r="R50" i="8" s="1"/>
  <c r="J50" i="8"/>
  <c r="O49" i="8"/>
  <c r="M49" i="8"/>
  <c r="K49" i="8"/>
  <c r="P49" i="8" s="1"/>
  <c r="J49" i="8"/>
  <c r="O48" i="8"/>
  <c r="M48" i="8"/>
  <c r="K48" i="8"/>
  <c r="Q48" i="8" s="1"/>
  <c r="R48" i="8" s="1"/>
  <c r="J48" i="8"/>
  <c r="O47" i="8"/>
  <c r="M47" i="8"/>
  <c r="K47" i="8"/>
  <c r="Q47" i="8" s="1"/>
  <c r="R47" i="8" s="1"/>
  <c r="J47" i="8"/>
  <c r="O46" i="8"/>
  <c r="M46" i="8"/>
  <c r="K46" i="8"/>
  <c r="J46" i="8"/>
  <c r="O45" i="8"/>
  <c r="M45" i="8"/>
  <c r="K45" i="8"/>
  <c r="P45" i="8" s="1"/>
  <c r="J45" i="8"/>
  <c r="O44" i="8"/>
  <c r="M44" i="8"/>
  <c r="K44" i="8"/>
  <c r="J44" i="8"/>
  <c r="O43" i="8"/>
  <c r="M43" i="8"/>
  <c r="K43" i="8"/>
  <c r="Q43" i="8" s="1"/>
  <c r="R43" i="8" s="1"/>
  <c r="J43" i="8"/>
  <c r="O42" i="8"/>
  <c r="M42" i="8"/>
  <c r="K42" i="8"/>
  <c r="J42" i="8"/>
  <c r="O41" i="8"/>
  <c r="M41" i="8"/>
  <c r="K41" i="8"/>
  <c r="Q41" i="8" s="1"/>
  <c r="R41" i="8" s="1"/>
  <c r="J41" i="8"/>
  <c r="O40" i="8"/>
  <c r="M40" i="8"/>
  <c r="K40" i="8"/>
  <c r="P40" i="8" s="1"/>
  <c r="J40" i="8"/>
  <c r="O39" i="8"/>
  <c r="M39" i="8"/>
  <c r="K39" i="8"/>
  <c r="P39" i="8" s="1"/>
  <c r="J39" i="8"/>
  <c r="O38" i="8"/>
  <c r="M38" i="8"/>
  <c r="K38" i="8"/>
  <c r="Q38" i="8" s="1"/>
  <c r="R38" i="8" s="1"/>
  <c r="J38" i="8"/>
  <c r="O37" i="8"/>
  <c r="M37" i="8"/>
  <c r="K37" i="8"/>
  <c r="P37" i="8" s="1"/>
  <c r="J37" i="8"/>
  <c r="O36" i="8"/>
  <c r="M36" i="8"/>
  <c r="K36" i="8"/>
  <c r="Q36" i="8" s="1"/>
  <c r="R36" i="8" s="1"/>
  <c r="J36" i="8"/>
  <c r="O35" i="8"/>
  <c r="M35" i="8"/>
  <c r="K35" i="8"/>
  <c r="J35" i="8"/>
  <c r="O34" i="8"/>
  <c r="M34" i="8"/>
  <c r="K34" i="8"/>
  <c r="J34" i="8"/>
  <c r="O33" i="8"/>
  <c r="M33" i="8"/>
  <c r="K33" i="8"/>
  <c r="Q33" i="8" s="1"/>
  <c r="J33" i="8"/>
  <c r="O32" i="8"/>
  <c r="M32" i="8"/>
  <c r="K32" i="8"/>
  <c r="P32" i="8" s="1"/>
  <c r="J32" i="8"/>
  <c r="O31" i="8"/>
  <c r="M31" i="8"/>
  <c r="K31" i="8"/>
  <c r="Q31" i="8" s="1"/>
  <c r="R31" i="8" s="1"/>
  <c r="J31" i="8"/>
  <c r="O30" i="8"/>
  <c r="M30" i="8"/>
  <c r="K30" i="8"/>
  <c r="Q30" i="8" s="1"/>
  <c r="R30" i="8" s="1"/>
  <c r="J30" i="8"/>
  <c r="O29" i="8"/>
  <c r="M29" i="8"/>
  <c r="K29" i="8"/>
  <c r="Q29" i="8" s="1"/>
  <c r="R29" i="8" s="1"/>
  <c r="J29" i="8"/>
  <c r="O28" i="8"/>
  <c r="M28" i="8"/>
  <c r="K28" i="8"/>
  <c r="Q28" i="8" s="1"/>
  <c r="R28" i="8" s="1"/>
  <c r="J28" i="8"/>
  <c r="O27" i="8"/>
  <c r="M27" i="8"/>
  <c r="K27" i="8"/>
  <c r="J27" i="8"/>
  <c r="O26" i="8"/>
  <c r="M26" i="8"/>
  <c r="K26" i="8"/>
  <c r="Q26" i="8" s="1"/>
  <c r="R26" i="8" s="1"/>
  <c r="J26" i="8"/>
  <c r="O25" i="8"/>
  <c r="M25" i="8"/>
  <c r="K25" i="8"/>
  <c r="J25" i="8"/>
  <c r="O24" i="8"/>
  <c r="M24" i="8"/>
  <c r="K24" i="8"/>
  <c r="Q24" i="8" s="1"/>
  <c r="R24" i="8" s="1"/>
  <c r="J24" i="8"/>
  <c r="O23" i="8"/>
  <c r="M23" i="8"/>
  <c r="K23" i="8"/>
  <c r="J23" i="8"/>
  <c r="O22" i="8"/>
  <c r="M22" i="8"/>
  <c r="K22" i="8"/>
  <c r="Q22" i="8" s="1"/>
  <c r="R22" i="8" s="1"/>
  <c r="J22" i="8"/>
  <c r="O21" i="8"/>
  <c r="M21" i="8"/>
  <c r="K21" i="8"/>
  <c r="J21" i="8"/>
  <c r="O20" i="8"/>
  <c r="M20" i="8"/>
  <c r="K20" i="8"/>
  <c r="Q20" i="8" s="1"/>
  <c r="J20" i="8"/>
  <c r="O19" i="8"/>
  <c r="M19" i="8"/>
  <c r="K19" i="8"/>
  <c r="Q19" i="8" s="1"/>
  <c r="R19" i="8" s="1"/>
  <c r="J19" i="8"/>
  <c r="O18" i="8"/>
  <c r="M18" i="8"/>
  <c r="K18" i="8"/>
  <c r="P18" i="8" s="1"/>
  <c r="J18" i="8"/>
  <c r="O17" i="8"/>
  <c r="M17" i="8"/>
  <c r="K17" i="8"/>
  <c r="Q17" i="8" s="1"/>
  <c r="R17" i="8" s="1"/>
  <c r="J17" i="8"/>
  <c r="O16" i="8"/>
  <c r="M16" i="8"/>
  <c r="K16" i="8"/>
  <c r="P16" i="8" s="1"/>
  <c r="J16" i="8"/>
  <c r="O15" i="8"/>
  <c r="M15" i="8"/>
  <c r="K15" i="8"/>
  <c r="P15" i="8" s="1"/>
  <c r="J15" i="8"/>
  <c r="O14" i="8"/>
  <c r="M14" i="8"/>
  <c r="K14" i="8"/>
  <c r="Q14" i="8" s="1"/>
  <c r="J14" i="8"/>
  <c r="O13" i="8"/>
  <c r="M13" i="8"/>
  <c r="K13" i="8"/>
  <c r="Q13" i="8" s="1"/>
  <c r="R13" i="8" s="1"/>
  <c r="J13" i="8"/>
  <c r="O12" i="8"/>
  <c r="M12" i="8"/>
  <c r="K12" i="8"/>
  <c r="J12" i="8"/>
  <c r="O11" i="8"/>
  <c r="M11" i="8"/>
  <c r="K11" i="8"/>
  <c r="P11" i="8" s="1"/>
  <c r="J11" i="8"/>
  <c r="O10" i="8"/>
  <c r="M10" i="8"/>
  <c r="K10" i="8"/>
  <c r="J10" i="8"/>
  <c r="O9" i="8"/>
  <c r="M9" i="8"/>
  <c r="K9" i="8"/>
  <c r="P9" i="8" s="1"/>
  <c r="J9" i="8"/>
  <c r="O8" i="8"/>
  <c r="M8" i="8"/>
  <c r="K8" i="8"/>
  <c r="J8" i="8"/>
  <c r="O7" i="8"/>
  <c r="M7" i="8"/>
  <c r="K7" i="8"/>
  <c r="Q7" i="8" s="1"/>
  <c r="R7" i="8" s="1"/>
  <c r="J7" i="8"/>
  <c r="O6" i="8"/>
  <c r="M6" i="8"/>
  <c r="K6" i="8"/>
  <c r="Q6" i="8" s="1"/>
  <c r="R6" i="8" s="1"/>
  <c r="J6" i="8"/>
  <c r="O5" i="8"/>
  <c r="M5" i="8"/>
  <c r="K5" i="8"/>
  <c r="P5" i="8" s="1"/>
  <c r="J5" i="8"/>
  <c r="O4" i="8"/>
  <c r="M4" i="8"/>
  <c r="K4" i="8"/>
  <c r="J4" i="8"/>
  <c r="O312" i="7"/>
  <c r="M312" i="7"/>
  <c r="K312" i="7"/>
  <c r="J312" i="7"/>
  <c r="O311" i="7"/>
  <c r="M311" i="7"/>
  <c r="K311" i="7"/>
  <c r="Q311" i="7" s="1"/>
  <c r="J311" i="7"/>
  <c r="O310" i="7"/>
  <c r="M310" i="7"/>
  <c r="K310" i="7"/>
  <c r="Q310" i="7" s="1"/>
  <c r="J310" i="7"/>
  <c r="O309" i="7"/>
  <c r="M309" i="7"/>
  <c r="K309" i="7"/>
  <c r="Q309" i="7" s="1"/>
  <c r="J309" i="7"/>
  <c r="O308" i="7"/>
  <c r="M308" i="7"/>
  <c r="K308" i="7"/>
  <c r="J308" i="7"/>
  <c r="O307" i="7"/>
  <c r="M307" i="7"/>
  <c r="K307" i="7"/>
  <c r="J307" i="7"/>
  <c r="O306" i="7"/>
  <c r="M306" i="7"/>
  <c r="K306" i="7"/>
  <c r="J306" i="7"/>
  <c r="O305" i="7"/>
  <c r="M305" i="7"/>
  <c r="K305" i="7"/>
  <c r="J305" i="7"/>
  <c r="O304" i="7"/>
  <c r="M304" i="7"/>
  <c r="K304" i="7"/>
  <c r="Q304" i="7" s="1"/>
  <c r="J304" i="7"/>
  <c r="O303" i="7"/>
  <c r="M303" i="7"/>
  <c r="K303" i="7"/>
  <c r="Q303" i="7" s="1"/>
  <c r="J303" i="7"/>
  <c r="O302" i="7"/>
  <c r="M302" i="7"/>
  <c r="K302" i="7"/>
  <c r="Q302" i="7" s="1"/>
  <c r="J302" i="7"/>
  <c r="O301" i="7"/>
  <c r="M301" i="7"/>
  <c r="K301" i="7"/>
  <c r="J301" i="7"/>
  <c r="O300" i="7"/>
  <c r="M300" i="7"/>
  <c r="K300" i="7"/>
  <c r="J300" i="7"/>
  <c r="O299" i="7"/>
  <c r="M299" i="7"/>
  <c r="K299" i="7"/>
  <c r="Q299" i="7" s="1"/>
  <c r="J299" i="7"/>
  <c r="O298" i="7"/>
  <c r="M298" i="7"/>
  <c r="K298" i="7"/>
  <c r="J298" i="7"/>
  <c r="O297" i="7"/>
  <c r="M297" i="7"/>
  <c r="K297" i="7"/>
  <c r="Q297" i="7" s="1"/>
  <c r="J297" i="7"/>
  <c r="O296" i="7"/>
  <c r="M296" i="7"/>
  <c r="K296" i="7"/>
  <c r="J296" i="7"/>
  <c r="O295" i="7"/>
  <c r="M295" i="7"/>
  <c r="K295" i="7"/>
  <c r="Q295" i="7" s="1"/>
  <c r="J295" i="7"/>
  <c r="O294" i="7"/>
  <c r="M294" i="7"/>
  <c r="K294" i="7"/>
  <c r="Q294" i="7" s="1"/>
  <c r="J294" i="7"/>
  <c r="O293" i="7"/>
  <c r="M293" i="7"/>
  <c r="K293" i="7"/>
  <c r="J293" i="7"/>
  <c r="O292" i="7"/>
  <c r="M292" i="7"/>
  <c r="K292" i="7"/>
  <c r="J292" i="7"/>
  <c r="O291" i="7"/>
  <c r="M291" i="7"/>
  <c r="K291" i="7"/>
  <c r="J291" i="7"/>
  <c r="O290" i="7"/>
  <c r="M290" i="7"/>
  <c r="K290" i="7"/>
  <c r="Q290" i="7" s="1"/>
  <c r="J290" i="7"/>
  <c r="O289" i="7"/>
  <c r="M289" i="7"/>
  <c r="K289" i="7"/>
  <c r="Q289" i="7" s="1"/>
  <c r="J289" i="7"/>
  <c r="O288" i="7"/>
  <c r="M288" i="7"/>
  <c r="K288" i="7"/>
  <c r="Q288" i="7" s="1"/>
  <c r="J288" i="7"/>
  <c r="O287" i="7"/>
  <c r="M287" i="7"/>
  <c r="K287" i="7"/>
  <c r="Q287" i="7" s="1"/>
  <c r="J287" i="7"/>
  <c r="O286" i="7"/>
  <c r="M286" i="7"/>
  <c r="K286" i="7"/>
  <c r="J286" i="7"/>
  <c r="O285" i="7"/>
  <c r="M285" i="7"/>
  <c r="K285" i="7"/>
  <c r="J285" i="7"/>
  <c r="O284" i="7"/>
  <c r="M284" i="7"/>
  <c r="K284" i="7"/>
  <c r="J284" i="7"/>
  <c r="O283" i="7"/>
  <c r="M283" i="7"/>
  <c r="K283" i="7"/>
  <c r="Q283" i="7" s="1"/>
  <c r="J283" i="7"/>
  <c r="O282" i="7"/>
  <c r="M282" i="7"/>
  <c r="K282" i="7"/>
  <c r="Q282" i="7" s="1"/>
  <c r="J282" i="7"/>
  <c r="O281" i="7"/>
  <c r="M281" i="7"/>
  <c r="K281" i="7"/>
  <c r="J281" i="7"/>
  <c r="O280" i="7"/>
  <c r="M280" i="7"/>
  <c r="K280" i="7"/>
  <c r="J280" i="7"/>
  <c r="O279" i="7"/>
  <c r="M279" i="7"/>
  <c r="K279" i="7"/>
  <c r="J279" i="7"/>
  <c r="O278" i="7"/>
  <c r="M278" i="7"/>
  <c r="K278" i="7"/>
  <c r="Q278" i="7" s="1"/>
  <c r="J278" i="7"/>
  <c r="O277" i="7"/>
  <c r="M277" i="7"/>
  <c r="K277" i="7"/>
  <c r="J277" i="7"/>
  <c r="O276" i="7"/>
  <c r="M276" i="7"/>
  <c r="K276" i="7"/>
  <c r="Q276" i="7" s="1"/>
  <c r="J276" i="7"/>
  <c r="O275" i="7"/>
  <c r="M275" i="7"/>
  <c r="K275" i="7"/>
  <c r="J275" i="7"/>
  <c r="O274" i="7"/>
  <c r="M274" i="7"/>
  <c r="K274" i="7"/>
  <c r="Q274" i="7" s="1"/>
  <c r="J274" i="7"/>
  <c r="O273" i="7"/>
  <c r="M273" i="7"/>
  <c r="K273" i="7"/>
  <c r="Q273" i="7" s="1"/>
  <c r="J273" i="7"/>
  <c r="O272" i="7"/>
  <c r="M272" i="7"/>
  <c r="K272" i="7"/>
  <c r="J272" i="7"/>
  <c r="O271" i="7"/>
  <c r="M271" i="7"/>
  <c r="K271" i="7"/>
  <c r="Q271" i="7" s="1"/>
  <c r="J271" i="7"/>
  <c r="O270" i="7"/>
  <c r="M270" i="7"/>
  <c r="K270" i="7"/>
  <c r="J270" i="7"/>
  <c r="O269" i="7"/>
  <c r="M269" i="7"/>
  <c r="K269" i="7"/>
  <c r="Q269" i="7" s="1"/>
  <c r="J269" i="7"/>
  <c r="O268" i="7"/>
  <c r="M268" i="7"/>
  <c r="K268" i="7"/>
  <c r="Q268" i="7" s="1"/>
  <c r="J268" i="7"/>
  <c r="O267" i="7"/>
  <c r="M267" i="7"/>
  <c r="K267" i="7"/>
  <c r="Q267" i="7" s="1"/>
  <c r="J267" i="7"/>
  <c r="O266" i="7"/>
  <c r="M266" i="7"/>
  <c r="K266" i="7"/>
  <c r="J266" i="7"/>
  <c r="O265" i="7"/>
  <c r="M265" i="7"/>
  <c r="K265" i="7"/>
  <c r="J265" i="7"/>
  <c r="O264" i="7"/>
  <c r="M264" i="7"/>
  <c r="K264" i="7"/>
  <c r="Q264" i="7" s="1"/>
  <c r="R264" i="7" s="1"/>
  <c r="J264" i="7"/>
  <c r="O263" i="7"/>
  <c r="M263" i="7"/>
  <c r="K263" i="7"/>
  <c r="P263" i="7" s="1"/>
  <c r="J263" i="7"/>
  <c r="O262" i="7"/>
  <c r="M262" i="7"/>
  <c r="K262" i="7"/>
  <c r="Q262" i="7" s="1"/>
  <c r="R262" i="7" s="1"/>
  <c r="J262" i="7"/>
  <c r="O261" i="7"/>
  <c r="M261" i="7"/>
  <c r="K261" i="7"/>
  <c r="Q261" i="7" s="1"/>
  <c r="R261" i="7" s="1"/>
  <c r="J261" i="7"/>
  <c r="O260" i="7"/>
  <c r="M260" i="7"/>
  <c r="K260" i="7"/>
  <c r="Q260" i="7" s="1"/>
  <c r="J260" i="7"/>
  <c r="O259" i="7"/>
  <c r="M259" i="7"/>
  <c r="K259" i="7"/>
  <c r="J259" i="7"/>
  <c r="O258" i="7"/>
  <c r="M258" i="7"/>
  <c r="K258" i="7"/>
  <c r="J258" i="7"/>
  <c r="O257" i="7"/>
  <c r="M257" i="7"/>
  <c r="K257" i="7"/>
  <c r="J257" i="7"/>
  <c r="O256" i="7"/>
  <c r="M256" i="7"/>
  <c r="K256" i="7"/>
  <c r="J256" i="7"/>
  <c r="O255" i="7"/>
  <c r="M255" i="7"/>
  <c r="K255" i="7"/>
  <c r="Q255" i="7" s="1"/>
  <c r="J255" i="7"/>
  <c r="O254" i="7"/>
  <c r="M254" i="7"/>
  <c r="K254" i="7"/>
  <c r="J254" i="7"/>
  <c r="O253" i="7"/>
  <c r="M253" i="7"/>
  <c r="K253" i="7"/>
  <c r="Q253" i="7" s="1"/>
  <c r="J253" i="7"/>
  <c r="O252" i="7"/>
  <c r="M252" i="7"/>
  <c r="K252" i="7"/>
  <c r="J252" i="7"/>
  <c r="O251" i="7"/>
  <c r="M251" i="7"/>
  <c r="K251" i="7"/>
  <c r="J251" i="7"/>
  <c r="O250" i="7"/>
  <c r="M250" i="7"/>
  <c r="K250" i="7"/>
  <c r="Q250" i="7" s="1"/>
  <c r="J250" i="7"/>
  <c r="O249" i="7"/>
  <c r="M249" i="7"/>
  <c r="K249" i="7"/>
  <c r="P249" i="7" s="1"/>
  <c r="J249" i="7"/>
  <c r="O248" i="7"/>
  <c r="M248" i="7"/>
  <c r="K248" i="7"/>
  <c r="Q248" i="7" s="1"/>
  <c r="R248" i="7" s="1"/>
  <c r="J248" i="7"/>
  <c r="O247" i="7"/>
  <c r="M247" i="7"/>
  <c r="K247" i="7"/>
  <c r="Q247" i="7" s="1"/>
  <c r="R247" i="7" s="1"/>
  <c r="J247" i="7"/>
  <c r="O246" i="7"/>
  <c r="M246" i="7"/>
  <c r="K246" i="7"/>
  <c r="Q246" i="7" s="1"/>
  <c r="R246" i="7" s="1"/>
  <c r="J246" i="7"/>
  <c r="O245" i="7"/>
  <c r="M245" i="7"/>
  <c r="K245" i="7"/>
  <c r="P245" i="7" s="1"/>
  <c r="J245" i="7"/>
  <c r="O244" i="7"/>
  <c r="M244" i="7"/>
  <c r="K244" i="7"/>
  <c r="P244" i="7" s="1"/>
  <c r="J244" i="7"/>
  <c r="O243" i="7"/>
  <c r="M243" i="7"/>
  <c r="K243" i="7"/>
  <c r="J243" i="7"/>
  <c r="O242" i="7"/>
  <c r="M242" i="7"/>
  <c r="K242" i="7"/>
  <c r="J242" i="7"/>
  <c r="O241" i="7"/>
  <c r="M241" i="7"/>
  <c r="K241" i="7"/>
  <c r="Q241" i="7" s="1"/>
  <c r="R241" i="7" s="1"/>
  <c r="J241" i="7"/>
  <c r="O240" i="7"/>
  <c r="M240" i="7"/>
  <c r="K240" i="7"/>
  <c r="Q240" i="7" s="1"/>
  <c r="R240" i="7" s="1"/>
  <c r="J240" i="7"/>
  <c r="O239" i="7"/>
  <c r="M239" i="7"/>
  <c r="K239" i="7"/>
  <c r="P239" i="7" s="1"/>
  <c r="J239" i="7"/>
  <c r="O238" i="7"/>
  <c r="M238" i="7"/>
  <c r="K238" i="7"/>
  <c r="Q238" i="7" s="1"/>
  <c r="R238" i="7" s="1"/>
  <c r="J238" i="7"/>
  <c r="O237" i="7"/>
  <c r="M237" i="7"/>
  <c r="K237" i="7"/>
  <c r="J237" i="7"/>
  <c r="O236" i="7"/>
  <c r="M236" i="7"/>
  <c r="K236" i="7"/>
  <c r="P236" i="7" s="1"/>
  <c r="J236" i="7"/>
  <c r="O235" i="7"/>
  <c r="M235" i="7"/>
  <c r="K235" i="7"/>
  <c r="J235" i="7"/>
  <c r="O234" i="7"/>
  <c r="M234" i="7"/>
  <c r="K234" i="7"/>
  <c r="Q234" i="7" s="1"/>
  <c r="J234" i="7"/>
  <c r="O233" i="7"/>
  <c r="M233" i="7"/>
  <c r="K233" i="7"/>
  <c r="J233" i="7"/>
  <c r="O232" i="7"/>
  <c r="M232" i="7"/>
  <c r="K232" i="7"/>
  <c r="J232" i="7"/>
  <c r="O231" i="7"/>
  <c r="M231" i="7"/>
  <c r="K231" i="7"/>
  <c r="Q231" i="7" s="1"/>
  <c r="J231" i="7"/>
  <c r="O230" i="7"/>
  <c r="M230" i="7"/>
  <c r="K230" i="7"/>
  <c r="P230" i="7" s="1"/>
  <c r="J230" i="7"/>
  <c r="O229" i="7"/>
  <c r="M229" i="7"/>
  <c r="K229" i="7"/>
  <c r="Q229" i="7" s="1"/>
  <c r="R229" i="7" s="1"/>
  <c r="J229" i="7"/>
  <c r="O228" i="7"/>
  <c r="M228" i="7"/>
  <c r="K228" i="7"/>
  <c r="P228" i="7" s="1"/>
  <c r="J228" i="7"/>
  <c r="O227" i="7"/>
  <c r="M227" i="7"/>
  <c r="K227" i="7"/>
  <c r="Q227" i="7" s="1"/>
  <c r="R227" i="7" s="1"/>
  <c r="J227" i="7"/>
  <c r="O226" i="7"/>
  <c r="M226" i="7"/>
  <c r="K226" i="7"/>
  <c r="P226" i="7" s="1"/>
  <c r="J226" i="7"/>
  <c r="O225" i="7"/>
  <c r="M225" i="7"/>
  <c r="K225" i="7"/>
  <c r="Q225" i="7" s="1"/>
  <c r="R225" i="7" s="1"/>
  <c r="J225" i="7"/>
  <c r="O224" i="7"/>
  <c r="M224" i="7"/>
  <c r="K224" i="7"/>
  <c r="J224" i="7"/>
  <c r="O223" i="7"/>
  <c r="M223" i="7"/>
  <c r="K223" i="7"/>
  <c r="P223" i="7" s="1"/>
  <c r="J223" i="7"/>
  <c r="O222" i="7"/>
  <c r="M222" i="7"/>
  <c r="K222" i="7"/>
  <c r="P222" i="7" s="1"/>
  <c r="J222" i="7"/>
  <c r="O221" i="7"/>
  <c r="M221" i="7"/>
  <c r="K221" i="7"/>
  <c r="P221" i="7" s="1"/>
  <c r="J221" i="7"/>
  <c r="O220" i="7"/>
  <c r="M220" i="7"/>
  <c r="K220" i="7"/>
  <c r="P220" i="7" s="1"/>
  <c r="J220" i="7"/>
  <c r="O219" i="7"/>
  <c r="M219" i="7"/>
  <c r="K219" i="7"/>
  <c r="P219" i="7" s="1"/>
  <c r="J219" i="7"/>
  <c r="O218" i="7"/>
  <c r="M218" i="7"/>
  <c r="K218" i="7"/>
  <c r="Q218" i="7" s="1"/>
  <c r="J218" i="7"/>
  <c r="O217" i="7"/>
  <c r="M217" i="7"/>
  <c r="K217" i="7"/>
  <c r="Q217" i="7" s="1"/>
  <c r="J217" i="7"/>
  <c r="O216" i="7"/>
  <c r="M216" i="7"/>
  <c r="K216" i="7"/>
  <c r="J216" i="7"/>
  <c r="O215" i="7"/>
  <c r="M215" i="7"/>
  <c r="K215" i="7"/>
  <c r="P215" i="7" s="1"/>
  <c r="J215" i="7"/>
  <c r="O214" i="7"/>
  <c r="M214" i="7"/>
  <c r="K214" i="7"/>
  <c r="J214" i="7"/>
  <c r="O213" i="7"/>
  <c r="M213" i="7"/>
  <c r="K213" i="7"/>
  <c r="Q213" i="7" s="1"/>
  <c r="R213" i="7" s="1"/>
  <c r="J213" i="7"/>
  <c r="O212" i="7"/>
  <c r="M212" i="7"/>
  <c r="K212" i="7"/>
  <c r="Q212" i="7" s="1"/>
  <c r="R212" i="7" s="1"/>
  <c r="J212" i="7"/>
  <c r="O211" i="7"/>
  <c r="M211" i="7"/>
  <c r="K211" i="7"/>
  <c r="P211" i="7" s="1"/>
  <c r="J211" i="7"/>
  <c r="O210" i="7"/>
  <c r="M210" i="7"/>
  <c r="K210" i="7"/>
  <c r="J210" i="7"/>
  <c r="O209" i="7"/>
  <c r="M209" i="7"/>
  <c r="K209" i="7"/>
  <c r="P209" i="7" s="1"/>
  <c r="J209" i="7"/>
  <c r="O208" i="7"/>
  <c r="M208" i="7"/>
  <c r="K208" i="7"/>
  <c r="J208" i="7"/>
  <c r="O207" i="7"/>
  <c r="M207" i="7"/>
  <c r="K207" i="7"/>
  <c r="P207" i="7" s="1"/>
  <c r="J207" i="7"/>
  <c r="O206" i="7"/>
  <c r="M206" i="7"/>
  <c r="K206" i="7"/>
  <c r="P206" i="7" s="1"/>
  <c r="J206" i="7"/>
  <c r="O205" i="7"/>
  <c r="M205" i="7"/>
  <c r="K205" i="7"/>
  <c r="Q205" i="7" s="1"/>
  <c r="R205" i="7" s="1"/>
  <c r="J205" i="7"/>
  <c r="O204" i="7"/>
  <c r="M204" i="7"/>
  <c r="K204" i="7"/>
  <c r="Q204" i="7" s="1"/>
  <c r="R204" i="7" s="1"/>
  <c r="J204" i="7"/>
  <c r="O203" i="7"/>
  <c r="M203" i="7"/>
  <c r="K203" i="7"/>
  <c r="J203" i="7"/>
  <c r="O202" i="7"/>
  <c r="M202" i="7"/>
  <c r="K202" i="7"/>
  <c r="P202" i="7" s="1"/>
  <c r="J202" i="7"/>
  <c r="O201" i="7"/>
  <c r="M201" i="7"/>
  <c r="K201" i="7"/>
  <c r="J201" i="7"/>
  <c r="O200" i="7"/>
  <c r="M200" i="7"/>
  <c r="K200" i="7"/>
  <c r="P200" i="7" s="1"/>
  <c r="J200" i="7"/>
  <c r="O199" i="7"/>
  <c r="M199" i="7"/>
  <c r="K199" i="7"/>
  <c r="Q199" i="7" s="1"/>
  <c r="R199" i="7" s="1"/>
  <c r="J199" i="7"/>
  <c r="O198" i="7"/>
  <c r="M198" i="7"/>
  <c r="K198" i="7"/>
  <c r="Q198" i="7" s="1"/>
  <c r="R198" i="7" s="1"/>
  <c r="J198" i="7"/>
  <c r="O197" i="7"/>
  <c r="M197" i="7"/>
  <c r="K197" i="7"/>
  <c r="Q197" i="7" s="1"/>
  <c r="R197" i="7" s="1"/>
  <c r="J197" i="7"/>
  <c r="O196" i="7"/>
  <c r="M196" i="7"/>
  <c r="K196" i="7"/>
  <c r="Q196" i="7" s="1"/>
  <c r="R196" i="7" s="1"/>
  <c r="J196" i="7"/>
  <c r="O195" i="7"/>
  <c r="M195" i="7"/>
  <c r="K195" i="7"/>
  <c r="J195" i="7"/>
  <c r="O194" i="7"/>
  <c r="M194" i="7"/>
  <c r="K194" i="7"/>
  <c r="J194" i="7"/>
  <c r="O193" i="7"/>
  <c r="M193" i="7"/>
  <c r="K193" i="7"/>
  <c r="J193" i="7"/>
  <c r="O192" i="7"/>
  <c r="M192" i="7"/>
  <c r="K192" i="7"/>
  <c r="Q192" i="7" s="1"/>
  <c r="R192" i="7" s="1"/>
  <c r="J192" i="7"/>
  <c r="O191" i="7"/>
  <c r="M191" i="7"/>
  <c r="K191" i="7"/>
  <c r="P191" i="7" s="1"/>
  <c r="J191" i="7"/>
  <c r="O190" i="7"/>
  <c r="M190" i="7"/>
  <c r="K190" i="7"/>
  <c r="P190" i="7" s="1"/>
  <c r="J190" i="7"/>
  <c r="O189" i="7"/>
  <c r="M189" i="7"/>
  <c r="K189" i="7"/>
  <c r="P189" i="7" s="1"/>
  <c r="J189" i="7"/>
  <c r="O188" i="7"/>
  <c r="M188" i="7"/>
  <c r="K188" i="7"/>
  <c r="J188" i="7"/>
  <c r="O187" i="7"/>
  <c r="M187" i="7"/>
  <c r="K187" i="7"/>
  <c r="Q187" i="7" s="1"/>
  <c r="R187" i="7" s="1"/>
  <c r="J187" i="7"/>
  <c r="O186" i="7"/>
  <c r="M186" i="7"/>
  <c r="K186" i="7"/>
  <c r="J186" i="7"/>
  <c r="O185" i="7"/>
  <c r="M185" i="7"/>
  <c r="K185" i="7"/>
  <c r="Q185" i="7" s="1"/>
  <c r="R185" i="7" s="1"/>
  <c r="J185" i="7"/>
  <c r="O184" i="7"/>
  <c r="M184" i="7"/>
  <c r="K184" i="7"/>
  <c r="J184" i="7"/>
  <c r="O183" i="7"/>
  <c r="M183" i="7"/>
  <c r="K183" i="7"/>
  <c r="Q183" i="7" s="1"/>
  <c r="R183" i="7" s="1"/>
  <c r="J183" i="7"/>
  <c r="O182" i="7"/>
  <c r="M182" i="7"/>
  <c r="K182" i="7"/>
  <c r="Q182" i="7" s="1"/>
  <c r="R182" i="7" s="1"/>
  <c r="J182" i="7"/>
  <c r="O181" i="7"/>
  <c r="M181" i="7"/>
  <c r="K181" i="7"/>
  <c r="P181" i="7" s="1"/>
  <c r="J181" i="7"/>
  <c r="O180" i="7"/>
  <c r="M180" i="7"/>
  <c r="K180" i="7"/>
  <c r="Q180" i="7" s="1"/>
  <c r="R180" i="7" s="1"/>
  <c r="J180" i="7"/>
  <c r="O179" i="7"/>
  <c r="M179" i="7"/>
  <c r="K179" i="7"/>
  <c r="P179" i="7" s="1"/>
  <c r="J179" i="7"/>
  <c r="O178" i="7"/>
  <c r="M178" i="7"/>
  <c r="K178" i="7"/>
  <c r="P178" i="7" s="1"/>
  <c r="J178" i="7"/>
  <c r="O177" i="7"/>
  <c r="M177" i="7"/>
  <c r="K177" i="7"/>
  <c r="Q177" i="7" s="1"/>
  <c r="R177" i="7" s="1"/>
  <c r="J177" i="7"/>
  <c r="O176" i="7"/>
  <c r="M176" i="7"/>
  <c r="K176" i="7"/>
  <c r="P176" i="7" s="1"/>
  <c r="J176" i="7"/>
  <c r="O175" i="7"/>
  <c r="M175" i="7"/>
  <c r="K175" i="7"/>
  <c r="Q175" i="7" s="1"/>
  <c r="R175" i="7" s="1"/>
  <c r="J175" i="7"/>
  <c r="O174" i="7"/>
  <c r="M174" i="7"/>
  <c r="K174" i="7"/>
  <c r="P174" i="7" s="1"/>
  <c r="J174" i="7"/>
  <c r="O173" i="7"/>
  <c r="M173" i="7"/>
  <c r="K173" i="7"/>
  <c r="P173" i="7" s="1"/>
  <c r="J173" i="7"/>
  <c r="O172" i="7"/>
  <c r="M172" i="7"/>
  <c r="K172" i="7"/>
  <c r="J172" i="7"/>
  <c r="O171" i="7"/>
  <c r="M171" i="7"/>
  <c r="K171" i="7"/>
  <c r="Q171" i="7" s="1"/>
  <c r="R171" i="7" s="1"/>
  <c r="J171" i="7"/>
  <c r="O170" i="7"/>
  <c r="M170" i="7"/>
  <c r="K170" i="7"/>
  <c r="P170" i="7" s="1"/>
  <c r="J170" i="7"/>
  <c r="O169" i="7"/>
  <c r="M169" i="7"/>
  <c r="K169" i="7"/>
  <c r="Q169" i="7" s="1"/>
  <c r="R169" i="7" s="1"/>
  <c r="J169" i="7"/>
  <c r="O168" i="7"/>
  <c r="M168" i="7"/>
  <c r="K168" i="7"/>
  <c r="Q168" i="7" s="1"/>
  <c r="R168" i="7" s="1"/>
  <c r="J168" i="7"/>
  <c r="O167" i="7"/>
  <c r="M167" i="7"/>
  <c r="K167" i="7"/>
  <c r="J167" i="7"/>
  <c r="O166" i="7"/>
  <c r="M166" i="7"/>
  <c r="K166" i="7"/>
  <c r="Q166" i="7" s="1"/>
  <c r="R166" i="7" s="1"/>
  <c r="J166" i="7"/>
  <c r="O165" i="7"/>
  <c r="M165" i="7"/>
  <c r="K165" i="7"/>
  <c r="J165" i="7"/>
  <c r="O164" i="7"/>
  <c r="M164" i="7"/>
  <c r="K164" i="7"/>
  <c r="Q164" i="7" s="1"/>
  <c r="R164" i="7" s="1"/>
  <c r="J164" i="7"/>
  <c r="O163" i="7"/>
  <c r="M163" i="7"/>
  <c r="K163" i="7"/>
  <c r="J163" i="7"/>
  <c r="O162" i="7"/>
  <c r="M162" i="7"/>
  <c r="K162" i="7"/>
  <c r="Q162" i="7" s="1"/>
  <c r="R162" i="7" s="1"/>
  <c r="J162" i="7"/>
  <c r="O161" i="7"/>
  <c r="M161" i="7"/>
  <c r="K161" i="7"/>
  <c r="P161" i="7" s="1"/>
  <c r="J161" i="7"/>
  <c r="O160" i="7"/>
  <c r="M160" i="7"/>
  <c r="K160" i="7"/>
  <c r="P160" i="7" s="1"/>
  <c r="J160" i="7"/>
  <c r="O159" i="7"/>
  <c r="M159" i="7"/>
  <c r="K159" i="7"/>
  <c r="Q159" i="7" s="1"/>
  <c r="R159" i="7" s="1"/>
  <c r="J159" i="7"/>
  <c r="O158" i="7"/>
  <c r="M158" i="7"/>
  <c r="K158" i="7"/>
  <c r="P158" i="7" s="1"/>
  <c r="J158" i="7"/>
  <c r="O157" i="7"/>
  <c r="M157" i="7"/>
  <c r="K157" i="7"/>
  <c r="Q157" i="7" s="1"/>
  <c r="R157" i="7" s="1"/>
  <c r="J157" i="7"/>
  <c r="O156" i="7"/>
  <c r="M156" i="7"/>
  <c r="K156" i="7"/>
  <c r="Q156" i="7" s="1"/>
  <c r="R156" i="7" s="1"/>
  <c r="J156" i="7"/>
  <c r="O155" i="7"/>
  <c r="M155" i="7"/>
  <c r="K155" i="7"/>
  <c r="Q155" i="7" s="1"/>
  <c r="R155" i="7" s="1"/>
  <c r="J155" i="7"/>
  <c r="O154" i="7"/>
  <c r="M154" i="7"/>
  <c r="K154" i="7"/>
  <c r="J154" i="7"/>
  <c r="O153" i="7"/>
  <c r="M153" i="7"/>
  <c r="K153" i="7"/>
  <c r="P153" i="7" s="1"/>
  <c r="J153" i="7"/>
  <c r="O152" i="7"/>
  <c r="M152" i="7"/>
  <c r="K152" i="7"/>
  <c r="J152" i="7"/>
  <c r="O151" i="7"/>
  <c r="M151" i="7"/>
  <c r="K151" i="7"/>
  <c r="P151" i="7" s="1"/>
  <c r="J151" i="7"/>
  <c r="O150" i="7"/>
  <c r="M150" i="7"/>
  <c r="K150" i="7"/>
  <c r="Q150" i="7" s="1"/>
  <c r="R150" i="7" s="1"/>
  <c r="J150" i="7"/>
  <c r="O149" i="7"/>
  <c r="M149" i="7"/>
  <c r="K149" i="7"/>
  <c r="Q149" i="7" s="1"/>
  <c r="R149" i="7" s="1"/>
  <c r="J149" i="7"/>
  <c r="O148" i="7"/>
  <c r="M148" i="7"/>
  <c r="K148" i="7"/>
  <c r="P148" i="7" s="1"/>
  <c r="J148" i="7"/>
  <c r="O147" i="7"/>
  <c r="M147" i="7"/>
  <c r="K147" i="7"/>
  <c r="Q147" i="7" s="1"/>
  <c r="R147" i="7" s="1"/>
  <c r="J147" i="7"/>
  <c r="O146" i="7"/>
  <c r="M146" i="7"/>
  <c r="K146" i="7"/>
  <c r="P146" i="7" s="1"/>
  <c r="J146" i="7"/>
  <c r="O145" i="7"/>
  <c r="M145" i="7"/>
  <c r="K145" i="7"/>
  <c r="J145" i="7"/>
  <c r="O144" i="7"/>
  <c r="M144" i="7"/>
  <c r="K144" i="7"/>
  <c r="J144" i="7"/>
  <c r="O143" i="7"/>
  <c r="M143" i="7"/>
  <c r="K143" i="7"/>
  <c r="Q143" i="7" s="1"/>
  <c r="R143" i="7" s="1"/>
  <c r="J143" i="7"/>
  <c r="O142" i="7"/>
  <c r="M142" i="7"/>
  <c r="K142" i="7"/>
  <c r="P142" i="7" s="1"/>
  <c r="J142" i="7"/>
  <c r="O141" i="7"/>
  <c r="M141" i="7"/>
  <c r="K141" i="7"/>
  <c r="Q141" i="7" s="1"/>
  <c r="R141" i="7" s="1"/>
  <c r="J141" i="7"/>
  <c r="O140" i="7"/>
  <c r="M140" i="7"/>
  <c r="K140" i="7"/>
  <c r="P140" i="7" s="1"/>
  <c r="J140" i="7"/>
  <c r="O139" i="7"/>
  <c r="M139" i="7"/>
  <c r="K139" i="7"/>
  <c r="J139" i="7"/>
  <c r="O138" i="7"/>
  <c r="M138" i="7"/>
  <c r="K138" i="7"/>
  <c r="Q138" i="7" s="1"/>
  <c r="R138" i="7" s="1"/>
  <c r="J138" i="7"/>
  <c r="O137" i="7"/>
  <c r="M137" i="7"/>
  <c r="K137" i="7"/>
  <c r="J137" i="7"/>
  <c r="O136" i="7"/>
  <c r="M136" i="7"/>
  <c r="K136" i="7"/>
  <c r="P136" i="7" s="1"/>
  <c r="J136" i="7"/>
  <c r="O135" i="7"/>
  <c r="M135" i="7"/>
  <c r="K135" i="7"/>
  <c r="J135" i="7"/>
  <c r="O134" i="7"/>
  <c r="M134" i="7"/>
  <c r="K134" i="7"/>
  <c r="Q134" i="7" s="1"/>
  <c r="R134" i="7" s="1"/>
  <c r="J134" i="7"/>
  <c r="O133" i="7"/>
  <c r="M133" i="7"/>
  <c r="K133" i="7"/>
  <c r="Q133" i="7" s="1"/>
  <c r="R133" i="7" s="1"/>
  <c r="J133" i="7"/>
  <c r="O132" i="7"/>
  <c r="M132" i="7"/>
  <c r="K132" i="7"/>
  <c r="P132" i="7" s="1"/>
  <c r="J132" i="7"/>
  <c r="O131" i="7"/>
  <c r="M131" i="7"/>
  <c r="K131" i="7"/>
  <c r="Q131" i="7" s="1"/>
  <c r="R131" i="7" s="1"/>
  <c r="J131" i="7"/>
  <c r="O130" i="7"/>
  <c r="M130" i="7"/>
  <c r="K130" i="7"/>
  <c r="P130" i="7" s="1"/>
  <c r="J130" i="7"/>
  <c r="O129" i="7"/>
  <c r="M129" i="7"/>
  <c r="K129" i="7"/>
  <c r="Q129" i="7" s="1"/>
  <c r="R129" i="7" s="1"/>
  <c r="J129" i="7"/>
  <c r="O128" i="7"/>
  <c r="M128" i="7"/>
  <c r="K128" i="7"/>
  <c r="Q128" i="7" s="1"/>
  <c r="R128" i="7" s="1"/>
  <c r="J128" i="7"/>
  <c r="O127" i="7"/>
  <c r="M127" i="7"/>
  <c r="K127" i="7"/>
  <c r="P127" i="7" s="1"/>
  <c r="J127" i="7"/>
  <c r="O126" i="7"/>
  <c r="M126" i="7"/>
  <c r="K126" i="7"/>
  <c r="Q126" i="7" s="1"/>
  <c r="R126" i="7" s="1"/>
  <c r="J126" i="7"/>
  <c r="O125" i="7"/>
  <c r="M125" i="7"/>
  <c r="K125" i="7"/>
  <c r="P125" i="7" s="1"/>
  <c r="J125" i="7"/>
  <c r="O124" i="7"/>
  <c r="M124" i="7"/>
  <c r="K124" i="7"/>
  <c r="P124" i="7" s="1"/>
  <c r="J124" i="7"/>
  <c r="O123" i="7"/>
  <c r="M123" i="7"/>
  <c r="K123" i="7"/>
  <c r="P123" i="7" s="1"/>
  <c r="J123" i="7"/>
  <c r="O122" i="7"/>
  <c r="M122" i="7"/>
  <c r="K122" i="7"/>
  <c r="P122" i="7" s="1"/>
  <c r="J122" i="7"/>
  <c r="O121" i="7"/>
  <c r="M121" i="7"/>
  <c r="K121" i="7"/>
  <c r="Q121" i="7" s="1"/>
  <c r="R121" i="7" s="1"/>
  <c r="J121" i="7"/>
  <c r="O120" i="7"/>
  <c r="M120" i="7"/>
  <c r="K120" i="7"/>
  <c r="Q120" i="7" s="1"/>
  <c r="R120" i="7" s="1"/>
  <c r="J120" i="7"/>
  <c r="O119" i="7"/>
  <c r="M119" i="7"/>
  <c r="K119" i="7"/>
  <c r="Q119" i="7" s="1"/>
  <c r="R119" i="7" s="1"/>
  <c r="J119" i="7"/>
  <c r="O118" i="7"/>
  <c r="M118" i="7"/>
  <c r="K118" i="7"/>
  <c r="J118" i="7"/>
  <c r="O117" i="7"/>
  <c r="M117" i="7"/>
  <c r="K117" i="7"/>
  <c r="Q117" i="7" s="1"/>
  <c r="R117" i="7" s="1"/>
  <c r="J117" i="7"/>
  <c r="O116" i="7"/>
  <c r="M116" i="7"/>
  <c r="K116" i="7"/>
  <c r="J116" i="7"/>
  <c r="O115" i="7"/>
  <c r="M115" i="7"/>
  <c r="K115" i="7"/>
  <c r="Q115" i="7" s="1"/>
  <c r="R115" i="7" s="1"/>
  <c r="J115" i="7"/>
  <c r="O114" i="7"/>
  <c r="M114" i="7"/>
  <c r="K114" i="7"/>
  <c r="Q114" i="7" s="1"/>
  <c r="R114" i="7" s="1"/>
  <c r="J114" i="7"/>
  <c r="O113" i="7"/>
  <c r="M113" i="7"/>
  <c r="K113" i="7"/>
  <c r="J113" i="7"/>
  <c r="O112" i="7"/>
  <c r="M112" i="7"/>
  <c r="K112" i="7"/>
  <c r="Q112" i="7" s="1"/>
  <c r="J112" i="7"/>
  <c r="O111" i="7"/>
  <c r="M111" i="7"/>
  <c r="K111" i="7"/>
  <c r="P111" i="7" s="1"/>
  <c r="J111" i="7"/>
  <c r="O110" i="7"/>
  <c r="M110" i="7"/>
  <c r="K110" i="7"/>
  <c r="Q110" i="7" s="1"/>
  <c r="R110" i="7" s="1"/>
  <c r="J110" i="7"/>
  <c r="O109" i="7"/>
  <c r="M109" i="7"/>
  <c r="K109" i="7"/>
  <c r="P109" i="7" s="1"/>
  <c r="J109" i="7"/>
  <c r="O108" i="7"/>
  <c r="M108" i="7"/>
  <c r="K108" i="7"/>
  <c r="Q108" i="7" s="1"/>
  <c r="R108" i="7" s="1"/>
  <c r="J108" i="7"/>
  <c r="O107" i="7"/>
  <c r="M107" i="7"/>
  <c r="K107" i="7"/>
  <c r="Q107" i="7" s="1"/>
  <c r="R107" i="7" s="1"/>
  <c r="J107" i="7"/>
  <c r="O106" i="7"/>
  <c r="M106" i="7"/>
  <c r="K106" i="7"/>
  <c r="P106" i="7" s="1"/>
  <c r="J106" i="7"/>
  <c r="O105" i="7"/>
  <c r="M105" i="7"/>
  <c r="K105" i="7"/>
  <c r="J105" i="7"/>
  <c r="O104" i="7"/>
  <c r="M104" i="7"/>
  <c r="K104" i="7"/>
  <c r="P104" i="7" s="1"/>
  <c r="J104" i="7"/>
  <c r="O103" i="7"/>
  <c r="M103" i="7"/>
  <c r="K103" i="7"/>
  <c r="J103" i="7"/>
  <c r="O102" i="7"/>
  <c r="M102" i="7"/>
  <c r="K102" i="7"/>
  <c r="P102" i="7" s="1"/>
  <c r="J102" i="7"/>
  <c r="O101" i="7"/>
  <c r="M101" i="7"/>
  <c r="K101" i="7"/>
  <c r="Q101" i="7" s="1"/>
  <c r="R101" i="7" s="1"/>
  <c r="J101" i="7"/>
  <c r="O100" i="7"/>
  <c r="M100" i="7"/>
  <c r="K100" i="7"/>
  <c r="J100" i="7"/>
  <c r="O99" i="7"/>
  <c r="M99" i="7"/>
  <c r="K99" i="7"/>
  <c r="P99" i="7" s="1"/>
  <c r="J99" i="7"/>
  <c r="O98" i="7"/>
  <c r="M98" i="7"/>
  <c r="K98" i="7"/>
  <c r="Q98" i="7" s="1"/>
  <c r="R98" i="7" s="1"/>
  <c r="J98" i="7"/>
  <c r="O97" i="7"/>
  <c r="M97" i="7"/>
  <c r="K97" i="7"/>
  <c r="P97" i="7" s="1"/>
  <c r="J97" i="7"/>
  <c r="O96" i="7"/>
  <c r="M96" i="7"/>
  <c r="K96" i="7"/>
  <c r="P96" i="7" s="1"/>
  <c r="J96" i="7"/>
  <c r="O95" i="7"/>
  <c r="M95" i="7"/>
  <c r="K95" i="7"/>
  <c r="P95" i="7" s="1"/>
  <c r="J95" i="7"/>
  <c r="O94" i="7"/>
  <c r="M94" i="7"/>
  <c r="K94" i="7"/>
  <c r="P94" i="7" s="1"/>
  <c r="J94" i="7"/>
  <c r="O93" i="7"/>
  <c r="M93" i="7"/>
  <c r="K93" i="7"/>
  <c r="P93" i="7" s="1"/>
  <c r="J93" i="7"/>
  <c r="O92" i="7"/>
  <c r="M92" i="7"/>
  <c r="K92" i="7"/>
  <c r="P92" i="7" s="1"/>
  <c r="J92" i="7"/>
  <c r="O91" i="7"/>
  <c r="M91" i="7"/>
  <c r="K91" i="7"/>
  <c r="Q91" i="7" s="1"/>
  <c r="R91" i="7" s="1"/>
  <c r="J91" i="7"/>
  <c r="O90" i="7"/>
  <c r="M90" i="7"/>
  <c r="K90" i="7"/>
  <c r="J90" i="7"/>
  <c r="O89" i="7"/>
  <c r="M89" i="7"/>
  <c r="K89" i="7"/>
  <c r="P89" i="7" s="1"/>
  <c r="J89" i="7"/>
  <c r="O88" i="7"/>
  <c r="M88" i="7"/>
  <c r="K88" i="7"/>
  <c r="J88" i="7"/>
  <c r="O87" i="7"/>
  <c r="M87" i="7"/>
  <c r="K87" i="7"/>
  <c r="Q87" i="7" s="1"/>
  <c r="J87" i="7"/>
  <c r="O86" i="7"/>
  <c r="M86" i="7"/>
  <c r="K86" i="7"/>
  <c r="J86" i="7"/>
  <c r="O85" i="7"/>
  <c r="M85" i="7"/>
  <c r="K85" i="7"/>
  <c r="P85" i="7" s="1"/>
  <c r="J85" i="7"/>
  <c r="O84" i="7"/>
  <c r="M84" i="7"/>
  <c r="K84" i="7"/>
  <c r="J84" i="7"/>
  <c r="O83" i="7"/>
  <c r="M83" i="7"/>
  <c r="K83" i="7"/>
  <c r="P83" i="7" s="1"/>
  <c r="J83" i="7"/>
  <c r="O82" i="7"/>
  <c r="M82" i="7"/>
  <c r="K82" i="7"/>
  <c r="J82" i="7"/>
  <c r="O81" i="7"/>
  <c r="M81" i="7"/>
  <c r="K81" i="7"/>
  <c r="P81" i="7" s="1"/>
  <c r="J81" i="7"/>
  <c r="O80" i="7"/>
  <c r="M80" i="7"/>
  <c r="K80" i="7"/>
  <c r="Q80" i="7" s="1"/>
  <c r="R80" i="7" s="1"/>
  <c r="J80" i="7"/>
  <c r="O79" i="7"/>
  <c r="M79" i="7"/>
  <c r="K79" i="7"/>
  <c r="Q79" i="7" s="1"/>
  <c r="R79" i="7" s="1"/>
  <c r="J79" i="7"/>
  <c r="O78" i="7"/>
  <c r="M78" i="7"/>
  <c r="K78" i="7"/>
  <c r="Q78" i="7" s="1"/>
  <c r="R78" i="7" s="1"/>
  <c r="J78" i="7"/>
  <c r="O77" i="7"/>
  <c r="M77" i="7"/>
  <c r="K77" i="7"/>
  <c r="Q77" i="7" s="1"/>
  <c r="R77" i="7" s="1"/>
  <c r="J77" i="7"/>
  <c r="O76" i="7"/>
  <c r="M76" i="7"/>
  <c r="K76" i="7"/>
  <c r="J76" i="7"/>
  <c r="O75" i="7"/>
  <c r="M75" i="7"/>
  <c r="K75" i="7"/>
  <c r="P75" i="7" s="1"/>
  <c r="J75" i="7"/>
  <c r="O74" i="7"/>
  <c r="M74" i="7"/>
  <c r="K74" i="7"/>
  <c r="P74" i="7" s="1"/>
  <c r="J74" i="7"/>
  <c r="O73" i="7"/>
  <c r="M73" i="7"/>
  <c r="K73" i="7"/>
  <c r="Q73" i="7" s="1"/>
  <c r="R73" i="7" s="1"/>
  <c r="J73" i="7"/>
  <c r="O72" i="7"/>
  <c r="M72" i="7"/>
  <c r="K72" i="7"/>
  <c r="Q72" i="7" s="1"/>
  <c r="R72" i="7" s="1"/>
  <c r="J72" i="7"/>
  <c r="O71" i="7"/>
  <c r="M71" i="7"/>
  <c r="K71" i="7"/>
  <c r="P71" i="7" s="1"/>
  <c r="J71" i="7"/>
  <c r="O70" i="7"/>
  <c r="M70" i="7"/>
  <c r="K70" i="7"/>
  <c r="J70" i="7"/>
  <c r="O69" i="7"/>
  <c r="M69" i="7"/>
  <c r="K69" i="7"/>
  <c r="J69" i="7"/>
  <c r="O68" i="7"/>
  <c r="M68" i="7"/>
  <c r="K68" i="7"/>
  <c r="P68" i="7" s="1"/>
  <c r="J68" i="7"/>
  <c r="O67" i="7"/>
  <c r="M67" i="7"/>
  <c r="K67" i="7"/>
  <c r="J67" i="7"/>
  <c r="O66" i="7"/>
  <c r="M66" i="7"/>
  <c r="K66" i="7"/>
  <c r="Q66" i="7" s="1"/>
  <c r="J66" i="7"/>
  <c r="O65" i="7"/>
  <c r="M65" i="7"/>
  <c r="K65" i="7"/>
  <c r="Q65" i="7" s="1"/>
  <c r="J65" i="7"/>
  <c r="O64" i="7"/>
  <c r="M64" i="7"/>
  <c r="K64" i="7"/>
  <c r="P64" i="7" s="1"/>
  <c r="J64" i="7"/>
  <c r="O63" i="7"/>
  <c r="M63" i="7"/>
  <c r="K63" i="7"/>
  <c r="P63" i="7" s="1"/>
  <c r="J63" i="7"/>
  <c r="O62" i="7"/>
  <c r="M62" i="7"/>
  <c r="K62" i="7"/>
  <c r="P62" i="7" s="1"/>
  <c r="J62" i="7"/>
  <c r="O61" i="7"/>
  <c r="M61" i="7"/>
  <c r="K61" i="7"/>
  <c r="Q61" i="7" s="1"/>
  <c r="R61" i="7" s="1"/>
  <c r="J61" i="7"/>
  <c r="O60" i="7"/>
  <c r="M60" i="7"/>
  <c r="K60" i="7"/>
  <c r="P60" i="7" s="1"/>
  <c r="J60" i="7"/>
  <c r="O59" i="7"/>
  <c r="M59" i="7"/>
  <c r="K59" i="7"/>
  <c r="Q59" i="7" s="1"/>
  <c r="R59" i="7" s="1"/>
  <c r="J59" i="7"/>
  <c r="O58" i="7"/>
  <c r="M58" i="7"/>
  <c r="K58" i="7"/>
  <c r="J58" i="7"/>
  <c r="O57" i="7"/>
  <c r="M57" i="7"/>
  <c r="K57" i="7"/>
  <c r="Q57" i="7" s="1"/>
  <c r="R57" i="7" s="1"/>
  <c r="J57" i="7"/>
  <c r="O56" i="7"/>
  <c r="M56" i="7"/>
  <c r="K56" i="7"/>
  <c r="J56" i="7"/>
  <c r="O55" i="7"/>
  <c r="M55" i="7"/>
  <c r="K55" i="7"/>
  <c r="P55" i="7" s="1"/>
  <c r="J55" i="7"/>
  <c r="O54" i="7"/>
  <c r="M54" i="7"/>
  <c r="K54" i="7"/>
  <c r="J54" i="7"/>
  <c r="O53" i="7"/>
  <c r="M53" i="7"/>
  <c r="K53" i="7"/>
  <c r="P53" i="7" s="1"/>
  <c r="J53" i="7"/>
  <c r="O52" i="7"/>
  <c r="M52" i="7"/>
  <c r="K52" i="7"/>
  <c r="Q52" i="7" s="1"/>
  <c r="R52" i="7" s="1"/>
  <c r="J52" i="7"/>
  <c r="O51" i="7"/>
  <c r="M51" i="7"/>
  <c r="K51" i="7"/>
  <c r="Q51" i="7" s="1"/>
  <c r="R51" i="7" s="1"/>
  <c r="J51" i="7"/>
  <c r="O50" i="7"/>
  <c r="M50" i="7"/>
  <c r="K50" i="7"/>
  <c r="P50" i="7" s="1"/>
  <c r="J50" i="7"/>
  <c r="O49" i="7"/>
  <c r="M49" i="7"/>
  <c r="K49" i="7"/>
  <c r="Q49" i="7" s="1"/>
  <c r="R49" i="7" s="1"/>
  <c r="J49" i="7"/>
  <c r="O48" i="7"/>
  <c r="M48" i="7"/>
  <c r="K48" i="7"/>
  <c r="P48" i="7" s="1"/>
  <c r="J48" i="7"/>
  <c r="O47" i="7"/>
  <c r="M47" i="7"/>
  <c r="K47" i="7"/>
  <c r="Q47" i="7" s="1"/>
  <c r="R47" i="7" s="1"/>
  <c r="J47" i="7"/>
  <c r="O46" i="7"/>
  <c r="M46" i="7"/>
  <c r="K46" i="7"/>
  <c r="P46" i="7" s="1"/>
  <c r="J46" i="7"/>
  <c r="O45" i="7"/>
  <c r="M45" i="7"/>
  <c r="K45" i="7"/>
  <c r="Q45" i="7" s="1"/>
  <c r="J45" i="7"/>
  <c r="O44" i="7"/>
  <c r="M44" i="7"/>
  <c r="K44" i="7"/>
  <c r="J44" i="7"/>
  <c r="O43" i="7"/>
  <c r="M43" i="7"/>
  <c r="K43" i="7"/>
  <c r="Q43" i="7" s="1"/>
  <c r="J43" i="7"/>
  <c r="O42" i="7"/>
  <c r="M42" i="7"/>
  <c r="K42" i="7"/>
  <c r="Q42" i="7" s="1"/>
  <c r="J42" i="7"/>
  <c r="O41" i="7"/>
  <c r="M41" i="7"/>
  <c r="K41" i="7"/>
  <c r="J41" i="7"/>
  <c r="O40" i="7"/>
  <c r="M40" i="7"/>
  <c r="K40" i="7"/>
  <c r="Q40" i="7" s="1"/>
  <c r="R40" i="7" s="1"/>
  <c r="J40" i="7"/>
  <c r="O39" i="7"/>
  <c r="M39" i="7"/>
  <c r="K39" i="7"/>
  <c r="J39" i="7"/>
  <c r="O38" i="7"/>
  <c r="M38" i="7"/>
  <c r="K38" i="7"/>
  <c r="Q38" i="7" s="1"/>
  <c r="R38" i="7" s="1"/>
  <c r="J38" i="7"/>
  <c r="O37" i="7"/>
  <c r="M37" i="7"/>
  <c r="K37" i="7"/>
  <c r="J37" i="7"/>
  <c r="O36" i="7"/>
  <c r="M36" i="7"/>
  <c r="K36" i="7"/>
  <c r="Q36" i="7" s="1"/>
  <c r="J36" i="7"/>
  <c r="O35" i="7"/>
  <c r="M35" i="7"/>
  <c r="K35" i="7"/>
  <c r="Q35" i="7" s="1"/>
  <c r="J35" i="7"/>
  <c r="O34" i="7"/>
  <c r="M34" i="7"/>
  <c r="K34" i="7"/>
  <c r="J34" i="7"/>
  <c r="O33" i="7"/>
  <c r="M33" i="7"/>
  <c r="K33" i="7"/>
  <c r="Q33" i="7" s="1"/>
  <c r="J33" i="7"/>
  <c r="O32" i="7"/>
  <c r="M32" i="7"/>
  <c r="K32" i="7"/>
  <c r="Q32" i="7" s="1"/>
  <c r="J32" i="7"/>
  <c r="O31" i="7"/>
  <c r="M31" i="7"/>
  <c r="K31" i="7"/>
  <c r="Q31" i="7" s="1"/>
  <c r="J31" i="7"/>
  <c r="O30" i="7"/>
  <c r="M30" i="7"/>
  <c r="K30" i="7"/>
  <c r="Q30" i="7" s="1"/>
  <c r="J30" i="7"/>
  <c r="O29" i="7"/>
  <c r="M29" i="7"/>
  <c r="K29" i="7"/>
  <c r="Q29" i="7" s="1"/>
  <c r="R29" i="7" s="1"/>
  <c r="J29" i="7"/>
  <c r="O28" i="7"/>
  <c r="M28" i="7"/>
  <c r="K28" i="7"/>
  <c r="J28" i="7"/>
  <c r="O27" i="7"/>
  <c r="M27" i="7"/>
  <c r="K27" i="7"/>
  <c r="P27" i="7" s="1"/>
  <c r="J27" i="7"/>
  <c r="O26" i="7"/>
  <c r="M26" i="7"/>
  <c r="K26" i="7"/>
  <c r="J26" i="7"/>
  <c r="O25" i="7"/>
  <c r="M25" i="7"/>
  <c r="K25" i="7"/>
  <c r="Q25" i="7" s="1"/>
  <c r="J25" i="7"/>
  <c r="O24" i="7"/>
  <c r="M24" i="7"/>
  <c r="K24" i="7"/>
  <c r="Q24" i="7" s="1"/>
  <c r="J24" i="7"/>
  <c r="O23" i="7"/>
  <c r="M23" i="7"/>
  <c r="K23" i="7"/>
  <c r="Q23" i="7" s="1"/>
  <c r="R23" i="7" s="1"/>
  <c r="J23" i="7"/>
  <c r="O22" i="7"/>
  <c r="M22" i="7"/>
  <c r="K22" i="7"/>
  <c r="P22" i="7" s="1"/>
  <c r="J22" i="7"/>
  <c r="O21" i="7"/>
  <c r="M21" i="7"/>
  <c r="K21" i="7"/>
  <c r="Q21" i="7" s="1"/>
  <c r="R21" i="7" s="1"/>
  <c r="J21" i="7"/>
  <c r="O20" i="7"/>
  <c r="M20" i="7"/>
  <c r="K20" i="7"/>
  <c r="J20" i="7"/>
  <c r="O19" i="7"/>
  <c r="M19" i="7"/>
  <c r="K19" i="7"/>
  <c r="Q19" i="7" s="1"/>
  <c r="J19" i="7"/>
  <c r="O18" i="7"/>
  <c r="M18" i="7"/>
  <c r="K18" i="7"/>
  <c r="J18" i="7"/>
  <c r="O17" i="7"/>
  <c r="M17" i="7"/>
  <c r="K17" i="7"/>
  <c r="Q17" i="7" s="1"/>
  <c r="R17" i="7" s="1"/>
  <c r="J17" i="7"/>
  <c r="O16" i="7"/>
  <c r="M16" i="7"/>
  <c r="K16" i="7"/>
  <c r="J16" i="7"/>
  <c r="O15" i="7"/>
  <c r="M15" i="7"/>
  <c r="K15" i="7"/>
  <c r="Q15" i="7" s="1"/>
  <c r="R15" i="7" s="1"/>
  <c r="J15" i="7"/>
  <c r="O14" i="7"/>
  <c r="M14" i="7"/>
  <c r="K14" i="7"/>
  <c r="Q14" i="7" s="1"/>
  <c r="J14" i="7"/>
  <c r="O13" i="7"/>
  <c r="M13" i="7"/>
  <c r="K13" i="7"/>
  <c r="J13" i="7"/>
  <c r="O12" i="7"/>
  <c r="M12" i="7"/>
  <c r="K12" i="7"/>
  <c r="Q12" i="7" s="1"/>
  <c r="R12" i="7" s="1"/>
  <c r="J12" i="7"/>
  <c r="O11" i="7"/>
  <c r="M11" i="7"/>
  <c r="K11" i="7"/>
  <c r="J11" i="7"/>
  <c r="O10" i="7"/>
  <c r="M10" i="7"/>
  <c r="K10" i="7"/>
  <c r="Q10" i="7" s="1"/>
  <c r="R10" i="7" s="1"/>
  <c r="J10" i="7"/>
  <c r="O9" i="7"/>
  <c r="M9" i="7"/>
  <c r="K9" i="7"/>
  <c r="Q9" i="7" s="1"/>
  <c r="R9" i="7" s="1"/>
  <c r="J9" i="7"/>
  <c r="O8" i="7"/>
  <c r="M8" i="7"/>
  <c r="K8" i="7"/>
  <c r="Q8" i="7" s="1"/>
  <c r="J8" i="7"/>
  <c r="O7" i="7"/>
  <c r="M7" i="7"/>
  <c r="K7" i="7"/>
  <c r="Q7" i="7" s="1"/>
  <c r="J7" i="7"/>
  <c r="O6" i="7"/>
  <c r="M6" i="7"/>
  <c r="K6" i="7"/>
  <c r="P6" i="7" s="1"/>
  <c r="J6" i="7"/>
  <c r="O5" i="7"/>
  <c r="M5" i="7"/>
  <c r="K5" i="7"/>
  <c r="Q5" i="7" s="1"/>
  <c r="R5" i="7" s="1"/>
  <c r="J5" i="7"/>
  <c r="O4" i="7"/>
  <c r="M4" i="7"/>
  <c r="K4" i="7"/>
  <c r="J4" i="7"/>
  <c r="O312" i="6"/>
  <c r="M312" i="6"/>
  <c r="K312" i="6"/>
  <c r="J312" i="6"/>
  <c r="O311" i="6"/>
  <c r="M311" i="6"/>
  <c r="K311" i="6"/>
  <c r="Q311" i="6" s="1"/>
  <c r="R311" i="6" s="1"/>
  <c r="J311" i="6"/>
  <c r="O310" i="6"/>
  <c r="M310" i="6"/>
  <c r="K310" i="6"/>
  <c r="Q310" i="6" s="1"/>
  <c r="R310" i="6" s="1"/>
  <c r="J310" i="6"/>
  <c r="O309" i="6"/>
  <c r="M309" i="6"/>
  <c r="K309" i="6"/>
  <c r="Q309" i="6" s="1"/>
  <c r="R309" i="6" s="1"/>
  <c r="J309" i="6"/>
  <c r="O308" i="6"/>
  <c r="M308" i="6"/>
  <c r="K308" i="6"/>
  <c r="J308" i="6"/>
  <c r="O307" i="6"/>
  <c r="M307" i="6"/>
  <c r="K307" i="6"/>
  <c r="P307" i="6" s="1"/>
  <c r="J307" i="6"/>
  <c r="O306" i="6"/>
  <c r="M306" i="6"/>
  <c r="K306" i="6"/>
  <c r="J306" i="6"/>
  <c r="O305" i="6"/>
  <c r="M305" i="6"/>
  <c r="K305" i="6"/>
  <c r="J305" i="6"/>
  <c r="O304" i="6"/>
  <c r="M304" i="6"/>
  <c r="K304" i="6"/>
  <c r="Q304" i="6" s="1"/>
  <c r="R304" i="6" s="1"/>
  <c r="J304" i="6"/>
  <c r="O303" i="6"/>
  <c r="M303" i="6"/>
  <c r="K303" i="6"/>
  <c r="J303" i="6"/>
  <c r="O302" i="6"/>
  <c r="M302" i="6"/>
  <c r="K302" i="6"/>
  <c r="J302" i="6"/>
  <c r="O301" i="6"/>
  <c r="M301" i="6"/>
  <c r="K301" i="6"/>
  <c r="P301" i="6" s="1"/>
  <c r="J301" i="6"/>
  <c r="O300" i="6"/>
  <c r="M300" i="6"/>
  <c r="K300" i="6"/>
  <c r="J300" i="6"/>
  <c r="O299" i="6"/>
  <c r="M299" i="6"/>
  <c r="K299" i="6"/>
  <c r="Q299" i="6" s="1"/>
  <c r="R299" i="6" s="1"/>
  <c r="J299" i="6"/>
  <c r="O298" i="6"/>
  <c r="M298" i="6"/>
  <c r="K298" i="6"/>
  <c r="Q298" i="6" s="1"/>
  <c r="R298" i="6" s="1"/>
  <c r="J298" i="6"/>
  <c r="O297" i="6"/>
  <c r="M297" i="6"/>
  <c r="K297" i="6"/>
  <c r="Q297" i="6" s="1"/>
  <c r="R297" i="6" s="1"/>
  <c r="J297" i="6"/>
  <c r="O296" i="6"/>
  <c r="M296" i="6"/>
  <c r="K296" i="6"/>
  <c r="Q296" i="6" s="1"/>
  <c r="R296" i="6" s="1"/>
  <c r="J296" i="6"/>
  <c r="O295" i="6"/>
  <c r="M295" i="6"/>
  <c r="K295" i="6"/>
  <c r="J295" i="6"/>
  <c r="O294" i="6"/>
  <c r="M294" i="6"/>
  <c r="K294" i="6"/>
  <c r="Q294" i="6" s="1"/>
  <c r="R294" i="6" s="1"/>
  <c r="J294" i="6"/>
  <c r="O293" i="6"/>
  <c r="M293" i="6"/>
  <c r="K293" i="6"/>
  <c r="P293" i="6" s="1"/>
  <c r="J293" i="6"/>
  <c r="O292" i="6"/>
  <c r="M292" i="6"/>
  <c r="K292" i="6"/>
  <c r="J292" i="6"/>
  <c r="O291" i="6"/>
  <c r="M291" i="6"/>
  <c r="K291" i="6"/>
  <c r="Q291" i="6" s="1"/>
  <c r="R291" i="6" s="1"/>
  <c r="J291" i="6"/>
  <c r="O290" i="6"/>
  <c r="M290" i="6"/>
  <c r="K290" i="6"/>
  <c r="Q290" i="6" s="1"/>
  <c r="R290" i="6" s="1"/>
  <c r="J290" i="6"/>
  <c r="O289" i="6"/>
  <c r="M289" i="6"/>
  <c r="K289" i="6"/>
  <c r="J289" i="6"/>
  <c r="O288" i="6"/>
  <c r="M288" i="6"/>
  <c r="K288" i="6"/>
  <c r="Q288" i="6" s="1"/>
  <c r="R288" i="6" s="1"/>
  <c r="J288" i="6"/>
  <c r="O287" i="6"/>
  <c r="M287" i="6"/>
  <c r="K287" i="6"/>
  <c r="J287" i="6"/>
  <c r="O286" i="6"/>
  <c r="M286" i="6"/>
  <c r="K286" i="6"/>
  <c r="J286" i="6"/>
  <c r="O285" i="6"/>
  <c r="M285" i="6"/>
  <c r="K285" i="6"/>
  <c r="J285" i="6"/>
  <c r="O284" i="6"/>
  <c r="M284" i="6"/>
  <c r="K284" i="6"/>
  <c r="J284" i="6"/>
  <c r="O283" i="6"/>
  <c r="M283" i="6"/>
  <c r="K283" i="6"/>
  <c r="Q283" i="6" s="1"/>
  <c r="R283" i="6" s="1"/>
  <c r="J283" i="6"/>
  <c r="O282" i="6"/>
  <c r="M282" i="6"/>
  <c r="K282" i="6"/>
  <c r="Q282" i="6" s="1"/>
  <c r="R282" i="6" s="1"/>
  <c r="J282" i="6"/>
  <c r="O281" i="6"/>
  <c r="M281" i="6"/>
  <c r="K281" i="6"/>
  <c r="Q281" i="6" s="1"/>
  <c r="R281" i="6" s="1"/>
  <c r="J281" i="6"/>
  <c r="O280" i="6"/>
  <c r="M280" i="6"/>
  <c r="K280" i="6"/>
  <c r="Q280" i="6" s="1"/>
  <c r="R280" i="6" s="1"/>
  <c r="J280" i="6"/>
  <c r="O279" i="6"/>
  <c r="M279" i="6"/>
  <c r="K279" i="6"/>
  <c r="P279" i="6" s="1"/>
  <c r="J279" i="6"/>
  <c r="O278" i="6"/>
  <c r="M278" i="6"/>
  <c r="K278" i="6"/>
  <c r="P278" i="6" s="1"/>
  <c r="J278" i="6"/>
  <c r="O277" i="6"/>
  <c r="M277" i="6"/>
  <c r="K277" i="6"/>
  <c r="Q277" i="6" s="1"/>
  <c r="R277" i="6" s="1"/>
  <c r="J277" i="6"/>
  <c r="O276" i="6"/>
  <c r="M276" i="6"/>
  <c r="K276" i="6"/>
  <c r="J276" i="6"/>
  <c r="O275" i="6"/>
  <c r="M275" i="6"/>
  <c r="K275" i="6"/>
  <c r="J275" i="6"/>
  <c r="O274" i="6"/>
  <c r="M274" i="6"/>
  <c r="K274" i="6"/>
  <c r="Q274" i="6" s="1"/>
  <c r="R274" i="6" s="1"/>
  <c r="J274" i="6"/>
  <c r="O273" i="6"/>
  <c r="M273" i="6"/>
  <c r="K273" i="6"/>
  <c r="Q273" i="6" s="1"/>
  <c r="R273" i="6" s="1"/>
  <c r="J273" i="6"/>
  <c r="O272" i="6"/>
  <c r="M272" i="6"/>
  <c r="K272" i="6"/>
  <c r="P272" i="6" s="1"/>
  <c r="J272" i="6"/>
  <c r="O271" i="6"/>
  <c r="M271" i="6"/>
  <c r="K271" i="6"/>
  <c r="P271" i="6" s="1"/>
  <c r="J271" i="6"/>
  <c r="O270" i="6"/>
  <c r="M270" i="6"/>
  <c r="K270" i="6"/>
  <c r="P270" i="6" s="1"/>
  <c r="J270" i="6"/>
  <c r="O269" i="6"/>
  <c r="M269" i="6"/>
  <c r="K269" i="6"/>
  <c r="P269" i="6" s="1"/>
  <c r="J269" i="6"/>
  <c r="O268" i="6"/>
  <c r="M268" i="6"/>
  <c r="K268" i="6"/>
  <c r="J268" i="6"/>
  <c r="O267" i="6"/>
  <c r="M267" i="6"/>
  <c r="K267" i="6"/>
  <c r="J267" i="6"/>
  <c r="O266" i="6"/>
  <c r="M266" i="6"/>
  <c r="K266" i="6"/>
  <c r="J266" i="6"/>
  <c r="O265" i="6"/>
  <c r="M265" i="6"/>
  <c r="K265" i="6"/>
  <c r="P265" i="6" s="1"/>
  <c r="J265" i="6"/>
  <c r="O264" i="6"/>
  <c r="M264" i="6"/>
  <c r="K264" i="6"/>
  <c r="J264" i="6"/>
  <c r="O263" i="6"/>
  <c r="M263" i="6"/>
  <c r="K263" i="6"/>
  <c r="P263" i="6" s="1"/>
  <c r="J263" i="6"/>
  <c r="O262" i="6"/>
  <c r="M262" i="6"/>
  <c r="K262" i="6"/>
  <c r="Q262" i="6" s="1"/>
  <c r="R262" i="6" s="1"/>
  <c r="J262" i="6"/>
  <c r="O261" i="6"/>
  <c r="M261" i="6"/>
  <c r="K261" i="6"/>
  <c r="Q261" i="6" s="1"/>
  <c r="R261" i="6" s="1"/>
  <c r="J261" i="6"/>
  <c r="O260" i="6"/>
  <c r="M260" i="6"/>
  <c r="K260" i="6"/>
  <c r="J260" i="6"/>
  <c r="O259" i="6"/>
  <c r="M259" i="6"/>
  <c r="K259" i="6"/>
  <c r="Q259" i="6" s="1"/>
  <c r="R259" i="6" s="1"/>
  <c r="J259" i="6"/>
  <c r="O258" i="6"/>
  <c r="M258" i="6"/>
  <c r="K258" i="6"/>
  <c r="P258" i="6" s="1"/>
  <c r="J258" i="6"/>
  <c r="O257" i="6"/>
  <c r="M257" i="6"/>
  <c r="K257" i="6"/>
  <c r="P257" i="6" s="1"/>
  <c r="J257" i="6"/>
  <c r="O256" i="6"/>
  <c r="M256" i="6"/>
  <c r="K256" i="6"/>
  <c r="Q256" i="6" s="1"/>
  <c r="R256" i="6" s="1"/>
  <c r="J256" i="6"/>
  <c r="O255" i="6"/>
  <c r="M255" i="6"/>
  <c r="K255" i="6"/>
  <c r="Q255" i="6" s="1"/>
  <c r="R255" i="6" s="1"/>
  <c r="J255" i="6"/>
  <c r="O254" i="6"/>
  <c r="M254" i="6"/>
  <c r="K254" i="6"/>
  <c r="Q254" i="6" s="1"/>
  <c r="R254" i="6" s="1"/>
  <c r="J254" i="6"/>
  <c r="O253" i="6"/>
  <c r="M253" i="6"/>
  <c r="K253" i="6"/>
  <c r="Q253" i="6" s="1"/>
  <c r="R253" i="6" s="1"/>
  <c r="J253" i="6"/>
  <c r="O252" i="6"/>
  <c r="M252" i="6"/>
  <c r="K252" i="6"/>
  <c r="P252" i="6" s="1"/>
  <c r="J252" i="6"/>
  <c r="O251" i="6"/>
  <c r="M251" i="6"/>
  <c r="K251" i="6"/>
  <c r="J251" i="6"/>
  <c r="O250" i="6"/>
  <c r="M250" i="6"/>
  <c r="K250" i="6"/>
  <c r="Q250" i="6" s="1"/>
  <c r="R250" i="6" s="1"/>
  <c r="J250" i="6"/>
  <c r="O249" i="6"/>
  <c r="M249" i="6"/>
  <c r="K249" i="6"/>
  <c r="J249" i="6"/>
  <c r="O248" i="6"/>
  <c r="M248" i="6"/>
  <c r="K248" i="6"/>
  <c r="Q248" i="6" s="1"/>
  <c r="R248" i="6" s="1"/>
  <c r="J248" i="6"/>
  <c r="O247" i="6"/>
  <c r="M247" i="6"/>
  <c r="K247" i="6"/>
  <c r="J247" i="6"/>
  <c r="O246" i="6"/>
  <c r="M246" i="6"/>
  <c r="K246" i="6"/>
  <c r="J246" i="6"/>
  <c r="O245" i="6"/>
  <c r="M245" i="6"/>
  <c r="K245" i="6"/>
  <c r="J245" i="6"/>
  <c r="O244" i="6"/>
  <c r="M244" i="6"/>
  <c r="K244" i="6"/>
  <c r="J244" i="6"/>
  <c r="O243" i="6"/>
  <c r="M243" i="6"/>
  <c r="K243" i="6"/>
  <c r="Q243" i="6" s="1"/>
  <c r="R243" i="6" s="1"/>
  <c r="J243" i="6"/>
  <c r="O242" i="6"/>
  <c r="M242" i="6"/>
  <c r="K242" i="6"/>
  <c r="J242" i="6"/>
  <c r="O241" i="6"/>
  <c r="M241" i="6"/>
  <c r="K241" i="6"/>
  <c r="P241" i="6" s="1"/>
  <c r="J241" i="6"/>
  <c r="O240" i="6"/>
  <c r="M240" i="6"/>
  <c r="K240" i="6"/>
  <c r="J240" i="6"/>
  <c r="O239" i="6"/>
  <c r="M239" i="6"/>
  <c r="K239" i="6"/>
  <c r="Q239" i="6" s="1"/>
  <c r="R239" i="6" s="1"/>
  <c r="J239" i="6"/>
  <c r="O238" i="6"/>
  <c r="M238" i="6"/>
  <c r="K238" i="6"/>
  <c r="J238" i="6"/>
  <c r="O237" i="6"/>
  <c r="M237" i="6"/>
  <c r="K237" i="6"/>
  <c r="J237" i="6"/>
  <c r="O236" i="6"/>
  <c r="M236" i="6"/>
  <c r="K236" i="6"/>
  <c r="J236" i="6"/>
  <c r="O235" i="6"/>
  <c r="M235" i="6"/>
  <c r="K235" i="6"/>
  <c r="J235" i="6"/>
  <c r="O234" i="6"/>
  <c r="M234" i="6"/>
  <c r="K234" i="6"/>
  <c r="Q234" i="6" s="1"/>
  <c r="R234" i="6" s="1"/>
  <c r="J234" i="6"/>
  <c r="O233" i="6"/>
  <c r="M233" i="6"/>
  <c r="K233" i="6"/>
  <c r="J233" i="6"/>
  <c r="O232" i="6"/>
  <c r="M232" i="6"/>
  <c r="K232" i="6"/>
  <c r="Q232" i="6" s="1"/>
  <c r="R232" i="6" s="1"/>
  <c r="J232" i="6"/>
  <c r="O231" i="6"/>
  <c r="M231" i="6"/>
  <c r="K231" i="6"/>
  <c r="J231" i="6"/>
  <c r="O230" i="6"/>
  <c r="M230" i="6"/>
  <c r="K230" i="6"/>
  <c r="J230" i="6"/>
  <c r="O229" i="6"/>
  <c r="M229" i="6"/>
  <c r="K229" i="6"/>
  <c r="Q229" i="6" s="1"/>
  <c r="R229" i="6" s="1"/>
  <c r="J229" i="6"/>
  <c r="O228" i="6"/>
  <c r="M228" i="6"/>
  <c r="K228" i="6"/>
  <c r="J228" i="6"/>
  <c r="O227" i="6"/>
  <c r="M227" i="6"/>
  <c r="K227" i="6"/>
  <c r="Q227" i="6" s="1"/>
  <c r="R227" i="6" s="1"/>
  <c r="J227" i="6"/>
  <c r="O226" i="6"/>
  <c r="M226" i="6"/>
  <c r="K226" i="6"/>
  <c r="J226" i="6"/>
  <c r="O225" i="6"/>
  <c r="M225" i="6"/>
  <c r="K225" i="6"/>
  <c r="P225" i="6" s="1"/>
  <c r="J225" i="6"/>
  <c r="O224" i="6"/>
  <c r="M224" i="6"/>
  <c r="K224" i="6"/>
  <c r="J224" i="6"/>
  <c r="O223" i="6"/>
  <c r="M223" i="6"/>
  <c r="K223" i="6"/>
  <c r="P223" i="6" s="1"/>
  <c r="J223" i="6"/>
  <c r="O222" i="6"/>
  <c r="M222" i="6"/>
  <c r="K222" i="6"/>
  <c r="Q222" i="6" s="1"/>
  <c r="R222" i="6" s="1"/>
  <c r="J222" i="6"/>
  <c r="O221" i="6"/>
  <c r="M221" i="6"/>
  <c r="K221" i="6"/>
  <c r="P221" i="6" s="1"/>
  <c r="J221" i="6"/>
  <c r="O220" i="6"/>
  <c r="M220" i="6"/>
  <c r="K220" i="6"/>
  <c r="Q220" i="6" s="1"/>
  <c r="R220" i="6" s="1"/>
  <c r="J220" i="6"/>
  <c r="O219" i="6"/>
  <c r="M219" i="6"/>
  <c r="K219" i="6"/>
  <c r="Q219" i="6" s="1"/>
  <c r="R219" i="6" s="1"/>
  <c r="J219" i="6"/>
  <c r="O218" i="6"/>
  <c r="M218" i="6"/>
  <c r="K218" i="6"/>
  <c r="P218" i="6" s="1"/>
  <c r="J218" i="6"/>
  <c r="O217" i="6"/>
  <c r="M217" i="6"/>
  <c r="K217" i="6"/>
  <c r="J217" i="6"/>
  <c r="O216" i="6"/>
  <c r="M216" i="6"/>
  <c r="K216" i="6"/>
  <c r="P216" i="6" s="1"/>
  <c r="J216" i="6"/>
  <c r="O215" i="6"/>
  <c r="M215" i="6"/>
  <c r="K215" i="6"/>
  <c r="Q215" i="6" s="1"/>
  <c r="R215" i="6" s="1"/>
  <c r="J215" i="6"/>
  <c r="O214" i="6"/>
  <c r="M214" i="6"/>
  <c r="K214" i="6"/>
  <c r="Q214" i="6" s="1"/>
  <c r="R214" i="6" s="1"/>
  <c r="J214" i="6"/>
  <c r="O213" i="6"/>
  <c r="M213" i="6"/>
  <c r="K213" i="6"/>
  <c r="Q213" i="6" s="1"/>
  <c r="R213" i="6" s="1"/>
  <c r="J213" i="6"/>
  <c r="O212" i="6"/>
  <c r="M212" i="6"/>
  <c r="K212" i="6"/>
  <c r="Q212" i="6" s="1"/>
  <c r="R212" i="6" s="1"/>
  <c r="J212" i="6"/>
  <c r="O211" i="6"/>
  <c r="M211" i="6"/>
  <c r="K211" i="6"/>
  <c r="J211" i="6"/>
  <c r="O210" i="6"/>
  <c r="M210" i="6"/>
  <c r="K210" i="6"/>
  <c r="J210" i="6"/>
  <c r="O209" i="6"/>
  <c r="M209" i="6"/>
  <c r="K209" i="6"/>
  <c r="J209" i="6"/>
  <c r="O208" i="6"/>
  <c r="M208" i="6"/>
  <c r="K208" i="6"/>
  <c r="P208" i="6" s="1"/>
  <c r="J208" i="6"/>
  <c r="O207" i="6"/>
  <c r="M207" i="6"/>
  <c r="K207" i="6"/>
  <c r="J207" i="6"/>
  <c r="O206" i="6"/>
  <c r="M206" i="6"/>
  <c r="K206" i="6"/>
  <c r="Q206" i="6" s="1"/>
  <c r="R206" i="6" s="1"/>
  <c r="J206" i="6"/>
  <c r="O205" i="6"/>
  <c r="M205" i="6"/>
  <c r="K205" i="6"/>
  <c r="J205" i="6"/>
  <c r="O204" i="6"/>
  <c r="M204" i="6"/>
  <c r="K204" i="6"/>
  <c r="P204" i="6" s="1"/>
  <c r="J204" i="6"/>
  <c r="O203" i="6"/>
  <c r="M203" i="6"/>
  <c r="K203" i="6"/>
  <c r="J203" i="6"/>
  <c r="O202" i="6"/>
  <c r="M202" i="6"/>
  <c r="K202" i="6"/>
  <c r="P202" i="6" s="1"/>
  <c r="J202" i="6"/>
  <c r="O201" i="6"/>
  <c r="M201" i="6"/>
  <c r="K201" i="6"/>
  <c r="J201" i="6"/>
  <c r="O200" i="6"/>
  <c r="M200" i="6"/>
  <c r="K200" i="6"/>
  <c r="P200" i="6" s="1"/>
  <c r="J200" i="6"/>
  <c r="O199" i="6"/>
  <c r="M199" i="6"/>
  <c r="K199" i="6"/>
  <c r="P199" i="6" s="1"/>
  <c r="J199" i="6"/>
  <c r="O198" i="6"/>
  <c r="M198" i="6"/>
  <c r="K198" i="6"/>
  <c r="J198" i="6"/>
  <c r="O197" i="6"/>
  <c r="M197" i="6"/>
  <c r="K197" i="6"/>
  <c r="J197" i="6"/>
  <c r="O196" i="6"/>
  <c r="M196" i="6"/>
  <c r="K196" i="6"/>
  <c r="J196" i="6"/>
  <c r="O195" i="6"/>
  <c r="M195" i="6"/>
  <c r="K195" i="6"/>
  <c r="P195" i="6" s="1"/>
  <c r="J195" i="6"/>
  <c r="O194" i="6"/>
  <c r="M194" i="6"/>
  <c r="K194" i="6"/>
  <c r="P194" i="6" s="1"/>
  <c r="J194" i="6"/>
  <c r="O193" i="6"/>
  <c r="M193" i="6"/>
  <c r="K193" i="6"/>
  <c r="Q193" i="6" s="1"/>
  <c r="R193" i="6" s="1"/>
  <c r="J193" i="6"/>
  <c r="O192" i="6"/>
  <c r="M192" i="6"/>
  <c r="K192" i="6"/>
  <c r="Q192" i="6" s="1"/>
  <c r="R192" i="6" s="1"/>
  <c r="J192" i="6"/>
  <c r="O191" i="6"/>
  <c r="M191" i="6"/>
  <c r="K191" i="6"/>
  <c r="Q191" i="6" s="1"/>
  <c r="R191" i="6" s="1"/>
  <c r="J191" i="6"/>
  <c r="O190" i="6"/>
  <c r="M190" i="6"/>
  <c r="K190" i="6"/>
  <c r="J190" i="6"/>
  <c r="O189" i="6"/>
  <c r="M189" i="6"/>
  <c r="K189" i="6"/>
  <c r="Q189" i="6" s="1"/>
  <c r="R189" i="6" s="1"/>
  <c r="J189" i="6"/>
  <c r="O188" i="6"/>
  <c r="M188" i="6"/>
  <c r="K188" i="6"/>
  <c r="J188" i="6"/>
  <c r="O187" i="6"/>
  <c r="M187" i="6"/>
  <c r="K187" i="6"/>
  <c r="Q187" i="6" s="1"/>
  <c r="R187" i="6" s="1"/>
  <c r="J187" i="6"/>
  <c r="O186" i="6"/>
  <c r="M186" i="6"/>
  <c r="K186" i="6"/>
  <c r="J186" i="6"/>
  <c r="O185" i="6"/>
  <c r="M185" i="6"/>
  <c r="K185" i="6"/>
  <c r="J185" i="6"/>
  <c r="O184" i="6"/>
  <c r="M184" i="6"/>
  <c r="K184" i="6"/>
  <c r="J184" i="6"/>
  <c r="O183" i="6"/>
  <c r="M183" i="6"/>
  <c r="K183" i="6"/>
  <c r="P183" i="6" s="1"/>
  <c r="J183" i="6"/>
  <c r="O182" i="6"/>
  <c r="M182" i="6"/>
  <c r="K182" i="6"/>
  <c r="P182" i="6" s="1"/>
  <c r="J182" i="6"/>
  <c r="O181" i="6"/>
  <c r="M181" i="6"/>
  <c r="K181" i="6"/>
  <c r="P181" i="6" s="1"/>
  <c r="J181" i="6"/>
  <c r="O180" i="6"/>
  <c r="M180" i="6"/>
  <c r="K180" i="6"/>
  <c r="Q180" i="6" s="1"/>
  <c r="R180" i="6" s="1"/>
  <c r="J180" i="6"/>
  <c r="O179" i="6"/>
  <c r="M179" i="6"/>
  <c r="K179" i="6"/>
  <c r="Q179" i="6" s="1"/>
  <c r="R179" i="6" s="1"/>
  <c r="J179" i="6"/>
  <c r="O178" i="6"/>
  <c r="M178" i="6"/>
  <c r="K178" i="6"/>
  <c r="J178" i="6"/>
  <c r="O177" i="6"/>
  <c r="M177" i="6"/>
  <c r="K177" i="6"/>
  <c r="J177" i="6"/>
  <c r="O176" i="6"/>
  <c r="M176" i="6"/>
  <c r="K176" i="6"/>
  <c r="Q176" i="6" s="1"/>
  <c r="R176" i="6" s="1"/>
  <c r="J176" i="6"/>
  <c r="O175" i="6"/>
  <c r="M175" i="6"/>
  <c r="K175" i="6"/>
  <c r="J175" i="6"/>
  <c r="O174" i="6"/>
  <c r="M174" i="6"/>
  <c r="K174" i="6"/>
  <c r="P174" i="6" s="1"/>
  <c r="J174" i="6"/>
  <c r="O173" i="6"/>
  <c r="M173" i="6"/>
  <c r="K173" i="6"/>
  <c r="J173" i="6"/>
  <c r="O172" i="6"/>
  <c r="M172" i="6"/>
  <c r="K172" i="6"/>
  <c r="Q172" i="6" s="1"/>
  <c r="R172" i="6" s="1"/>
  <c r="J172" i="6"/>
  <c r="O171" i="6"/>
  <c r="M171" i="6"/>
  <c r="K171" i="6"/>
  <c r="J171" i="6"/>
  <c r="O170" i="6"/>
  <c r="M170" i="6"/>
  <c r="K170" i="6"/>
  <c r="P170" i="6" s="1"/>
  <c r="J170" i="6"/>
  <c r="O169" i="6"/>
  <c r="M169" i="6"/>
  <c r="K169" i="6"/>
  <c r="Q169" i="6" s="1"/>
  <c r="R169" i="6" s="1"/>
  <c r="J169" i="6"/>
  <c r="O168" i="6"/>
  <c r="M168" i="6"/>
  <c r="K168" i="6"/>
  <c r="J168" i="6"/>
  <c r="O167" i="6"/>
  <c r="M167" i="6"/>
  <c r="K167" i="6"/>
  <c r="J167" i="6"/>
  <c r="O166" i="6"/>
  <c r="M166" i="6"/>
  <c r="K166" i="6"/>
  <c r="J166" i="6"/>
  <c r="O165" i="6"/>
  <c r="M165" i="6"/>
  <c r="K165" i="6"/>
  <c r="J165" i="6"/>
  <c r="O164" i="6"/>
  <c r="M164" i="6"/>
  <c r="K164" i="6"/>
  <c r="P164" i="6" s="1"/>
  <c r="J164" i="6"/>
  <c r="O163" i="6"/>
  <c r="M163" i="6"/>
  <c r="K163" i="6"/>
  <c r="Q163" i="6" s="1"/>
  <c r="R163" i="6" s="1"/>
  <c r="J163" i="6"/>
  <c r="O162" i="6"/>
  <c r="M162" i="6"/>
  <c r="K162" i="6"/>
  <c r="J162" i="6"/>
  <c r="O161" i="6"/>
  <c r="M161" i="6"/>
  <c r="K161" i="6"/>
  <c r="P161" i="6" s="1"/>
  <c r="J161" i="6"/>
  <c r="O160" i="6"/>
  <c r="M160" i="6"/>
  <c r="K160" i="6"/>
  <c r="P160" i="6" s="1"/>
  <c r="J160" i="6"/>
  <c r="O159" i="6"/>
  <c r="M159" i="6"/>
  <c r="K159" i="6"/>
  <c r="P159" i="6" s="1"/>
  <c r="J159" i="6"/>
  <c r="O158" i="6"/>
  <c r="M158" i="6"/>
  <c r="K158" i="6"/>
  <c r="P158" i="6" s="1"/>
  <c r="J158" i="6"/>
  <c r="O157" i="6"/>
  <c r="M157" i="6"/>
  <c r="K157" i="6"/>
  <c r="Q157" i="6" s="1"/>
  <c r="R157" i="6" s="1"/>
  <c r="J157" i="6"/>
  <c r="O156" i="6"/>
  <c r="M156" i="6"/>
  <c r="K156" i="6"/>
  <c r="J156" i="6"/>
  <c r="O155" i="6"/>
  <c r="M155" i="6"/>
  <c r="K155" i="6"/>
  <c r="J155" i="6"/>
  <c r="O154" i="6"/>
  <c r="M154" i="6"/>
  <c r="K154" i="6"/>
  <c r="P154" i="6" s="1"/>
  <c r="J154" i="6"/>
  <c r="O153" i="6"/>
  <c r="M153" i="6"/>
  <c r="K153" i="6"/>
  <c r="J153" i="6"/>
  <c r="O152" i="6"/>
  <c r="M152" i="6"/>
  <c r="K152" i="6"/>
  <c r="J152" i="6"/>
  <c r="O151" i="6"/>
  <c r="M151" i="6"/>
  <c r="K151" i="6"/>
  <c r="P151" i="6" s="1"/>
  <c r="J151" i="6"/>
  <c r="O150" i="6"/>
  <c r="M150" i="6"/>
  <c r="K150" i="6"/>
  <c r="P150" i="6" s="1"/>
  <c r="J150" i="6"/>
  <c r="O149" i="6"/>
  <c r="M149" i="6"/>
  <c r="K149" i="6"/>
  <c r="J149" i="6"/>
  <c r="O148" i="6"/>
  <c r="M148" i="6"/>
  <c r="K148" i="6"/>
  <c r="J148" i="6"/>
  <c r="O147" i="6"/>
  <c r="M147" i="6"/>
  <c r="K147" i="6"/>
  <c r="P147" i="6" s="1"/>
  <c r="J147" i="6"/>
  <c r="O146" i="6"/>
  <c r="M146" i="6"/>
  <c r="K146" i="6"/>
  <c r="J146" i="6"/>
  <c r="O145" i="6"/>
  <c r="M145" i="6"/>
  <c r="K145" i="6"/>
  <c r="Q145" i="6" s="1"/>
  <c r="R145" i="6" s="1"/>
  <c r="J145" i="6"/>
  <c r="O144" i="6"/>
  <c r="M144" i="6"/>
  <c r="K144" i="6"/>
  <c r="Q144" i="6" s="1"/>
  <c r="R144" i="6" s="1"/>
  <c r="J144" i="6"/>
  <c r="O143" i="6"/>
  <c r="M143" i="6"/>
  <c r="K143" i="6"/>
  <c r="P143" i="6" s="1"/>
  <c r="J143" i="6"/>
  <c r="O142" i="6"/>
  <c r="M142" i="6"/>
  <c r="K142" i="6"/>
  <c r="Q142" i="6" s="1"/>
  <c r="R142" i="6" s="1"/>
  <c r="J142" i="6"/>
  <c r="O141" i="6"/>
  <c r="M141" i="6"/>
  <c r="K141" i="6"/>
  <c r="J141" i="6"/>
  <c r="O140" i="6"/>
  <c r="M140" i="6"/>
  <c r="K140" i="6"/>
  <c r="Q140" i="6" s="1"/>
  <c r="R140" i="6" s="1"/>
  <c r="J140" i="6"/>
  <c r="O139" i="6"/>
  <c r="M139" i="6"/>
  <c r="K139" i="6"/>
  <c r="J139" i="6"/>
  <c r="O138" i="6"/>
  <c r="M138" i="6"/>
  <c r="K138" i="6"/>
  <c r="J138" i="6"/>
  <c r="O137" i="6"/>
  <c r="M137" i="6"/>
  <c r="K137" i="6"/>
  <c r="J137" i="6"/>
  <c r="O136" i="6"/>
  <c r="M136" i="6"/>
  <c r="K136" i="6"/>
  <c r="P136" i="6" s="1"/>
  <c r="J136" i="6"/>
  <c r="O135" i="6"/>
  <c r="M135" i="6"/>
  <c r="K135" i="6"/>
  <c r="J135" i="6"/>
  <c r="O134" i="6"/>
  <c r="M134" i="6"/>
  <c r="K134" i="6"/>
  <c r="Q134" i="6" s="1"/>
  <c r="R134" i="6" s="1"/>
  <c r="J134" i="6"/>
  <c r="O133" i="6"/>
  <c r="M133" i="6"/>
  <c r="K133" i="6"/>
  <c r="J133" i="6"/>
  <c r="O132" i="6"/>
  <c r="M132" i="6"/>
  <c r="K132" i="6"/>
  <c r="P132" i="6" s="1"/>
  <c r="J132" i="6"/>
  <c r="O131" i="6"/>
  <c r="M131" i="6"/>
  <c r="K131" i="6"/>
  <c r="J131" i="6"/>
  <c r="O130" i="6"/>
  <c r="M130" i="6"/>
  <c r="K130" i="6"/>
  <c r="P130" i="6" s="1"/>
  <c r="J130" i="6"/>
  <c r="O129" i="6"/>
  <c r="M129" i="6"/>
  <c r="K129" i="6"/>
  <c r="Q129" i="6" s="1"/>
  <c r="R129" i="6" s="1"/>
  <c r="J129" i="6"/>
  <c r="O128" i="6"/>
  <c r="M128" i="6"/>
  <c r="K128" i="6"/>
  <c r="J128" i="6"/>
  <c r="O127" i="6"/>
  <c r="M127" i="6"/>
  <c r="K127" i="6"/>
  <c r="Q127" i="6" s="1"/>
  <c r="R127" i="6" s="1"/>
  <c r="J127" i="6"/>
  <c r="O126" i="6"/>
  <c r="M126" i="6"/>
  <c r="K126" i="6"/>
  <c r="Q126" i="6" s="1"/>
  <c r="R126" i="6" s="1"/>
  <c r="J126" i="6"/>
  <c r="O125" i="6"/>
  <c r="M125" i="6"/>
  <c r="K125" i="6"/>
  <c r="P125" i="6" s="1"/>
  <c r="J125" i="6"/>
  <c r="O124" i="6"/>
  <c r="M124" i="6"/>
  <c r="K124" i="6"/>
  <c r="J124" i="6"/>
  <c r="O123" i="6"/>
  <c r="M123" i="6"/>
  <c r="K123" i="6"/>
  <c r="Q123" i="6" s="1"/>
  <c r="R123" i="6" s="1"/>
  <c r="J123" i="6"/>
  <c r="O122" i="6"/>
  <c r="M122" i="6"/>
  <c r="K122" i="6"/>
  <c r="J122" i="6"/>
  <c r="O121" i="6"/>
  <c r="M121" i="6"/>
  <c r="K121" i="6"/>
  <c r="P121" i="6" s="1"/>
  <c r="J121" i="6"/>
  <c r="O120" i="6"/>
  <c r="M120" i="6"/>
  <c r="K120" i="6"/>
  <c r="J120" i="6"/>
  <c r="O119" i="6"/>
  <c r="M119" i="6"/>
  <c r="K119" i="6"/>
  <c r="J119" i="6"/>
  <c r="O118" i="6"/>
  <c r="M118" i="6"/>
  <c r="K118" i="6"/>
  <c r="J118" i="6"/>
  <c r="O117" i="6"/>
  <c r="M117" i="6"/>
  <c r="K117" i="6"/>
  <c r="J117" i="6"/>
  <c r="O116" i="6"/>
  <c r="M116" i="6"/>
  <c r="K116" i="6"/>
  <c r="Q116" i="6" s="1"/>
  <c r="R116" i="6" s="1"/>
  <c r="J116" i="6"/>
  <c r="O115" i="6"/>
  <c r="M115" i="6"/>
  <c r="K115" i="6"/>
  <c r="P115" i="6" s="1"/>
  <c r="J115" i="6"/>
  <c r="O114" i="6"/>
  <c r="M114" i="6"/>
  <c r="K114" i="6"/>
  <c r="P114" i="6" s="1"/>
  <c r="J114" i="6"/>
  <c r="O113" i="6"/>
  <c r="M113" i="6"/>
  <c r="K113" i="6"/>
  <c r="P113" i="6" s="1"/>
  <c r="J113" i="6"/>
  <c r="O112" i="6"/>
  <c r="M112" i="6"/>
  <c r="K112" i="6"/>
  <c r="J112" i="6"/>
  <c r="O111" i="6"/>
  <c r="M111" i="6"/>
  <c r="K111" i="6"/>
  <c r="P111" i="6" s="1"/>
  <c r="J111" i="6"/>
  <c r="O110" i="6"/>
  <c r="M110" i="6"/>
  <c r="K110" i="6"/>
  <c r="J110" i="6"/>
  <c r="O109" i="6"/>
  <c r="M109" i="6"/>
  <c r="K109" i="6"/>
  <c r="Q109" i="6" s="1"/>
  <c r="J109" i="6"/>
  <c r="O108" i="6"/>
  <c r="M108" i="6"/>
  <c r="K108" i="6"/>
  <c r="Q108" i="6" s="1"/>
  <c r="R108" i="6" s="1"/>
  <c r="J108" i="6"/>
  <c r="O107" i="6"/>
  <c r="M107" i="6"/>
  <c r="K107" i="6"/>
  <c r="Q107" i="6" s="1"/>
  <c r="R107" i="6" s="1"/>
  <c r="J107" i="6"/>
  <c r="O106" i="6"/>
  <c r="M106" i="6"/>
  <c r="K106" i="6"/>
  <c r="Q106" i="6" s="1"/>
  <c r="R106" i="6" s="1"/>
  <c r="J106" i="6"/>
  <c r="O105" i="6"/>
  <c r="M105" i="6"/>
  <c r="K105" i="6"/>
  <c r="Q105" i="6" s="1"/>
  <c r="R105" i="6" s="1"/>
  <c r="J105" i="6"/>
  <c r="O104" i="6"/>
  <c r="M104" i="6"/>
  <c r="K104" i="6"/>
  <c r="J104" i="6"/>
  <c r="O103" i="6"/>
  <c r="M103" i="6"/>
  <c r="K103" i="6"/>
  <c r="Q103" i="6" s="1"/>
  <c r="R103" i="6" s="1"/>
  <c r="J103" i="6"/>
  <c r="O102" i="6"/>
  <c r="M102" i="6"/>
  <c r="K102" i="6"/>
  <c r="J102" i="6"/>
  <c r="O101" i="6"/>
  <c r="M101" i="6"/>
  <c r="K101" i="6"/>
  <c r="Q101" i="6" s="1"/>
  <c r="R101" i="6" s="1"/>
  <c r="J101" i="6"/>
  <c r="O100" i="6"/>
  <c r="M100" i="6"/>
  <c r="K100" i="6"/>
  <c r="J100" i="6"/>
  <c r="O99" i="6"/>
  <c r="M99" i="6"/>
  <c r="K99" i="6"/>
  <c r="J99" i="6"/>
  <c r="O98" i="6"/>
  <c r="M98" i="6"/>
  <c r="K98" i="6"/>
  <c r="Q98" i="6" s="1"/>
  <c r="R98" i="6" s="1"/>
  <c r="J98" i="6"/>
  <c r="O97" i="6"/>
  <c r="M97" i="6"/>
  <c r="K97" i="6"/>
  <c r="J97" i="6"/>
  <c r="O96" i="6"/>
  <c r="M96" i="6"/>
  <c r="K96" i="6"/>
  <c r="P96" i="6" s="1"/>
  <c r="J96" i="6"/>
  <c r="O95" i="6"/>
  <c r="M95" i="6"/>
  <c r="K95" i="6"/>
  <c r="J95" i="6"/>
  <c r="O94" i="6"/>
  <c r="M94" i="6"/>
  <c r="K94" i="6"/>
  <c r="P94" i="6" s="1"/>
  <c r="J94" i="6"/>
  <c r="O93" i="6"/>
  <c r="M93" i="6"/>
  <c r="K93" i="6"/>
  <c r="J93" i="6"/>
  <c r="O92" i="6"/>
  <c r="M92" i="6"/>
  <c r="K92" i="6"/>
  <c r="Q92" i="6" s="1"/>
  <c r="R92" i="6" s="1"/>
  <c r="J92" i="6"/>
  <c r="O91" i="6"/>
  <c r="M91" i="6"/>
  <c r="K91" i="6"/>
  <c r="Q91" i="6" s="1"/>
  <c r="R91" i="6" s="1"/>
  <c r="J91" i="6"/>
  <c r="O90" i="6"/>
  <c r="M90" i="6"/>
  <c r="K90" i="6"/>
  <c r="J90" i="6"/>
  <c r="O89" i="6"/>
  <c r="M89" i="6"/>
  <c r="K89" i="6"/>
  <c r="Q89" i="6" s="1"/>
  <c r="R89" i="6" s="1"/>
  <c r="J89" i="6"/>
  <c r="O88" i="6"/>
  <c r="M88" i="6"/>
  <c r="K88" i="6"/>
  <c r="J88" i="6"/>
  <c r="O87" i="6"/>
  <c r="M87" i="6"/>
  <c r="K87" i="6"/>
  <c r="P87" i="6" s="1"/>
  <c r="J87" i="6"/>
  <c r="O86" i="6"/>
  <c r="M86" i="6"/>
  <c r="K86" i="6"/>
  <c r="P86" i="6" s="1"/>
  <c r="J86" i="6"/>
  <c r="O85" i="6"/>
  <c r="M85" i="6"/>
  <c r="K85" i="6"/>
  <c r="Q85" i="6" s="1"/>
  <c r="R85" i="6" s="1"/>
  <c r="J85" i="6"/>
  <c r="O84" i="6"/>
  <c r="M84" i="6"/>
  <c r="K84" i="6"/>
  <c r="J84" i="6"/>
  <c r="O83" i="6"/>
  <c r="M83" i="6"/>
  <c r="K83" i="6"/>
  <c r="P83" i="6" s="1"/>
  <c r="J83" i="6"/>
  <c r="O82" i="6"/>
  <c r="M82" i="6"/>
  <c r="K82" i="6"/>
  <c r="J82" i="6"/>
  <c r="O81" i="6"/>
  <c r="M81" i="6"/>
  <c r="K81" i="6"/>
  <c r="P81" i="6" s="1"/>
  <c r="J81" i="6"/>
  <c r="O80" i="6"/>
  <c r="M80" i="6"/>
  <c r="K80" i="6"/>
  <c r="Q80" i="6" s="1"/>
  <c r="R80" i="6" s="1"/>
  <c r="J80" i="6"/>
  <c r="O79" i="6"/>
  <c r="M79" i="6"/>
  <c r="K79" i="6"/>
  <c r="Q79" i="6" s="1"/>
  <c r="R79" i="6" s="1"/>
  <c r="J79" i="6"/>
  <c r="O78" i="6"/>
  <c r="M78" i="6"/>
  <c r="K78" i="6"/>
  <c r="J78" i="6"/>
  <c r="O77" i="6"/>
  <c r="M77" i="6"/>
  <c r="K77" i="6"/>
  <c r="Q77" i="6" s="1"/>
  <c r="R77" i="6" s="1"/>
  <c r="J77" i="6"/>
  <c r="O76" i="6"/>
  <c r="M76" i="6"/>
  <c r="K76" i="6"/>
  <c r="P76" i="6" s="1"/>
  <c r="J76" i="6"/>
  <c r="O75" i="6"/>
  <c r="M75" i="6"/>
  <c r="K75" i="6"/>
  <c r="J75" i="6"/>
  <c r="O74" i="6"/>
  <c r="M74" i="6"/>
  <c r="K74" i="6"/>
  <c r="Q74" i="6" s="1"/>
  <c r="R74" i="6" s="1"/>
  <c r="J74" i="6"/>
  <c r="O73" i="6"/>
  <c r="M73" i="6"/>
  <c r="K73" i="6"/>
  <c r="P73" i="6" s="1"/>
  <c r="J73" i="6"/>
  <c r="O72" i="6"/>
  <c r="M72" i="6"/>
  <c r="K72" i="6"/>
  <c r="Q72" i="6" s="1"/>
  <c r="R72" i="6" s="1"/>
  <c r="J72" i="6"/>
  <c r="O71" i="6"/>
  <c r="M71" i="6"/>
  <c r="K71" i="6"/>
  <c r="J71" i="6"/>
  <c r="O70" i="6"/>
  <c r="M70" i="6"/>
  <c r="K70" i="6"/>
  <c r="Q70" i="6" s="1"/>
  <c r="R70" i="6" s="1"/>
  <c r="J70" i="6"/>
  <c r="O69" i="6"/>
  <c r="M69" i="6"/>
  <c r="K69" i="6"/>
  <c r="J69" i="6"/>
  <c r="O68" i="6"/>
  <c r="M68" i="6"/>
  <c r="K68" i="6"/>
  <c r="Q68" i="6" s="1"/>
  <c r="R68" i="6" s="1"/>
  <c r="J68" i="6"/>
  <c r="O67" i="6"/>
  <c r="M67" i="6"/>
  <c r="K67" i="6"/>
  <c r="J67" i="6"/>
  <c r="O66" i="6"/>
  <c r="M66" i="6"/>
  <c r="K66" i="6"/>
  <c r="J66" i="6"/>
  <c r="O65" i="6"/>
  <c r="M65" i="6"/>
  <c r="K65" i="6"/>
  <c r="J65" i="6"/>
  <c r="O64" i="6"/>
  <c r="M64" i="6"/>
  <c r="K64" i="6"/>
  <c r="P64" i="6" s="1"/>
  <c r="J64" i="6"/>
  <c r="O63" i="6"/>
  <c r="M63" i="6"/>
  <c r="K63" i="6"/>
  <c r="Q63" i="6" s="1"/>
  <c r="R63" i="6" s="1"/>
  <c r="J63" i="6"/>
  <c r="O62" i="6"/>
  <c r="M62" i="6"/>
  <c r="K62" i="6"/>
  <c r="P62" i="6" s="1"/>
  <c r="J62" i="6"/>
  <c r="O61" i="6"/>
  <c r="M61" i="6"/>
  <c r="K61" i="6"/>
  <c r="P61" i="6" s="1"/>
  <c r="J61" i="6"/>
  <c r="O60" i="6"/>
  <c r="M60" i="6"/>
  <c r="K60" i="6"/>
  <c r="P60" i="6" s="1"/>
  <c r="J60" i="6"/>
  <c r="O59" i="6"/>
  <c r="M59" i="6"/>
  <c r="K59" i="6"/>
  <c r="Q59" i="6" s="1"/>
  <c r="R59" i="6" s="1"/>
  <c r="J59" i="6"/>
  <c r="O58" i="6"/>
  <c r="M58" i="6"/>
  <c r="K58" i="6"/>
  <c r="J58" i="6"/>
  <c r="O57" i="6"/>
  <c r="M57" i="6"/>
  <c r="K57" i="6"/>
  <c r="Q57" i="6" s="1"/>
  <c r="R57" i="6" s="1"/>
  <c r="J57" i="6"/>
  <c r="O56" i="6"/>
  <c r="M56" i="6"/>
  <c r="K56" i="6"/>
  <c r="J56" i="6"/>
  <c r="O55" i="6"/>
  <c r="M55" i="6"/>
  <c r="K55" i="6"/>
  <c r="P55" i="6" s="1"/>
  <c r="J55" i="6"/>
  <c r="O54" i="6"/>
  <c r="M54" i="6"/>
  <c r="K54" i="6"/>
  <c r="J54" i="6"/>
  <c r="O53" i="6"/>
  <c r="M53" i="6"/>
  <c r="K53" i="6"/>
  <c r="P53" i="6" s="1"/>
  <c r="J53" i="6"/>
  <c r="O52" i="6"/>
  <c r="M52" i="6"/>
  <c r="K52" i="6"/>
  <c r="Q52" i="6" s="1"/>
  <c r="R52" i="6" s="1"/>
  <c r="J52" i="6"/>
  <c r="O51" i="6"/>
  <c r="M51" i="6"/>
  <c r="K51" i="6"/>
  <c r="P51" i="6" s="1"/>
  <c r="J51" i="6"/>
  <c r="O50" i="6"/>
  <c r="M50" i="6"/>
  <c r="K50" i="6"/>
  <c r="Q50" i="6" s="1"/>
  <c r="R50" i="6" s="1"/>
  <c r="J50" i="6"/>
  <c r="O49" i="6"/>
  <c r="M49" i="6"/>
  <c r="K49" i="6"/>
  <c r="Q49" i="6" s="1"/>
  <c r="R49" i="6" s="1"/>
  <c r="J49" i="6"/>
  <c r="O48" i="6"/>
  <c r="M48" i="6"/>
  <c r="K48" i="6"/>
  <c r="P48" i="6" s="1"/>
  <c r="J48" i="6"/>
  <c r="O47" i="6"/>
  <c r="M47" i="6"/>
  <c r="K47" i="6"/>
  <c r="Q47" i="6" s="1"/>
  <c r="R47" i="6" s="1"/>
  <c r="J47" i="6"/>
  <c r="O46" i="6"/>
  <c r="M46" i="6"/>
  <c r="K46" i="6"/>
  <c r="Q46" i="6" s="1"/>
  <c r="R46" i="6" s="1"/>
  <c r="J46" i="6"/>
  <c r="O45" i="6"/>
  <c r="M45" i="6"/>
  <c r="K45" i="6"/>
  <c r="Q45" i="6" s="1"/>
  <c r="J45" i="6"/>
  <c r="O44" i="6"/>
  <c r="M44" i="6"/>
  <c r="K44" i="6"/>
  <c r="Q44" i="6" s="1"/>
  <c r="J44" i="6"/>
  <c r="O43" i="6"/>
  <c r="M43" i="6"/>
  <c r="K43" i="6"/>
  <c r="J43" i="6"/>
  <c r="O42" i="6"/>
  <c r="M42" i="6"/>
  <c r="K42" i="6"/>
  <c r="J42" i="6"/>
  <c r="O41" i="6"/>
  <c r="M41" i="6"/>
  <c r="K41" i="6"/>
  <c r="J41" i="6"/>
  <c r="O40" i="6"/>
  <c r="M40" i="6"/>
  <c r="K40" i="6"/>
  <c r="Q40" i="6" s="1"/>
  <c r="R40" i="6" s="1"/>
  <c r="J40" i="6"/>
  <c r="O39" i="6"/>
  <c r="M39" i="6"/>
  <c r="K39" i="6"/>
  <c r="J39" i="6"/>
  <c r="O38" i="6"/>
  <c r="M38" i="6"/>
  <c r="K38" i="6"/>
  <c r="Q38" i="6" s="1"/>
  <c r="R38" i="6" s="1"/>
  <c r="J38" i="6"/>
  <c r="O37" i="6"/>
  <c r="M37" i="6"/>
  <c r="K37" i="6"/>
  <c r="J37" i="6"/>
  <c r="O36" i="6"/>
  <c r="M36" i="6"/>
  <c r="K36" i="6"/>
  <c r="Q36" i="6" s="1"/>
  <c r="J36" i="6"/>
  <c r="O35" i="6"/>
  <c r="M35" i="6"/>
  <c r="K35" i="6"/>
  <c r="J35" i="6"/>
  <c r="O34" i="6"/>
  <c r="M34" i="6"/>
  <c r="K34" i="6"/>
  <c r="J34" i="6"/>
  <c r="O33" i="6"/>
  <c r="M33" i="6"/>
  <c r="K33" i="6"/>
  <c r="Q33" i="6" s="1"/>
  <c r="J33" i="6"/>
  <c r="O32" i="6"/>
  <c r="M32" i="6"/>
  <c r="K32" i="6"/>
  <c r="J32" i="6"/>
  <c r="O31" i="6"/>
  <c r="M31" i="6"/>
  <c r="K31" i="6"/>
  <c r="Q31" i="6" s="1"/>
  <c r="J31" i="6"/>
  <c r="O30" i="6"/>
  <c r="M30" i="6"/>
  <c r="K30" i="6"/>
  <c r="J30" i="6"/>
  <c r="O29" i="6"/>
  <c r="M29" i="6"/>
  <c r="K29" i="6"/>
  <c r="P29" i="6" s="1"/>
  <c r="J29" i="6"/>
  <c r="O28" i="6"/>
  <c r="M28" i="6"/>
  <c r="K28" i="6"/>
  <c r="Q28" i="6" s="1"/>
  <c r="R28" i="6" s="1"/>
  <c r="J28" i="6"/>
  <c r="O27" i="6"/>
  <c r="M27" i="6"/>
  <c r="K27" i="6"/>
  <c r="P27" i="6" s="1"/>
  <c r="J27" i="6"/>
  <c r="O26" i="6"/>
  <c r="M26" i="6"/>
  <c r="K26" i="6"/>
  <c r="Q26" i="6" s="1"/>
  <c r="J26" i="6"/>
  <c r="O25" i="6"/>
  <c r="M25" i="6"/>
  <c r="K25" i="6"/>
  <c r="J25" i="6"/>
  <c r="O24" i="6"/>
  <c r="M24" i="6"/>
  <c r="K24" i="6"/>
  <c r="Q24" i="6" s="1"/>
  <c r="R24" i="6" s="1"/>
  <c r="J24" i="6"/>
  <c r="O23" i="6"/>
  <c r="M23" i="6"/>
  <c r="K23" i="6"/>
  <c r="J23" i="6"/>
  <c r="O22" i="6"/>
  <c r="M22" i="6"/>
  <c r="K22" i="6"/>
  <c r="Q22" i="6" s="1"/>
  <c r="R22" i="6" s="1"/>
  <c r="J22" i="6"/>
  <c r="O21" i="6"/>
  <c r="M21" i="6"/>
  <c r="K21" i="6"/>
  <c r="J21" i="6"/>
  <c r="O20" i="6"/>
  <c r="M20" i="6"/>
  <c r="K20" i="6"/>
  <c r="P20" i="6" s="1"/>
  <c r="J20" i="6"/>
  <c r="O19" i="6"/>
  <c r="M19" i="6"/>
  <c r="K19" i="6"/>
  <c r="J19" i="6"/>
  <c r="O18" i="6"/>
  <c r="M18" i="6"/>
  <c r="K18" i="6"/>
  <c r="J18" i="6"/>
  <c r="O17" i="6"/>
  <c r="M17" i="6"/>
  <c r="K17" i="6"/>
  <c r="J17" i="6"/>
  <c r="O16" i="6"/>
  <c r="M16" i="6"/>
  <c r="K16" i="6"/>
  <c r="P16" i="6" s="1"/>
  <c r="J16" i="6"/>
  <c r="O15" i="6"/>
  <c r="M15" i="6"/>
  <c r="K15" i="6"/>
  <c r="Q15" i="6" s="1"/>
  <c r="R15" i="6" s="1"/>
  <c r="J15" i="6"/>
  <c r="O14" i="6"/>
  <c r="M14" i="6"/>
  <c r="K14" i="6"/>
  <c r="P14" i="6" s="1"/>
  <c r="J14" i="6"/>
  <c r="O13" i="6"/>
  <c r="M13" i="6"/>
  <c r="K13" i="6"/>
  <c r="Q13" i="6" s="1"/>
  <c r="R13" i="6" s="1"/>
  <c r="J13" i="6"/>
  <c r="O12" i="6"/>
  <c r="M12" i="6"/>
  <c r="K12" i="6"/>
  <c r="J12" i="6"/>
  <c r="O11" i="6"/>
  <c r="M11" i="6"/>
  <c r="K11" i="6"/>
  <c r="Q11" i="6" s="1"/>
  <c r="R11" i="6" s="1"/>
  <c r="J11" i="6"/>
  <c r="O10" i="6"/>
  <c r="M10" i="6"/>
  <c r="K10" i="6"/>
  <c r="J10" i="6"/>
  <c r="O9" i="6"/>
  <c r="M9" i="6"/>
  <c r="K9" i="6"/>
  <c r="Q9" i="6" s="1"/>
  <c r="R9" i="6" s="1"/>
  <c r="J9" i="6"/>
  <c r="O8" i="6"/>
  <c r="M8" i="6"/>
  <c r="K8" i="6"/>
  <c r="Q8" i="6" s="1"/>
  <c r="J8" i="6"/>
  <c r="O7" i="6"/>
  <c r="M7" i="6"/>
  <c r="K7" i="6"/>
  <c r="Q7" i="6" s="1"/>
  <c r="J7" i="6"/>
  <c r="O6" i="6"/>
  <c r="M6" i="6"/>
  <c r="K6" i="6"/>
  <c r="J6" i="6"/>
  <c r="O5" i="6"/>
  <c r="M5" i="6"/>
  <c r="K5" i="6"/>
  <c r="Q5" i="6" s="1"/>
  <c r="R5" i="6" s="1"/>
  <c r="J5" i="6"/>
  <c r="O4" i="6"/>
  <c r="M4" i="6"/>
  <c r="K4" i="6"/>
  <c r="Q4" i="6" s="1"/>
  <c r="R4" i="6" s="1"/>
  <c r="J4" i="6"/>
  <c r="J1" i="13" l="1"/>
  <c r="P121" i="13"/>
  <c r="P158" i="9"/>
  <c r="P178" i="13"/>
  <c r="P249" i="13"/>
  <c r="P172" i="7"/>
  <c r="P243" i="7"/>
  <c r="P51" i="9"/>
  <c r="I1" i="10"/>
  <c r="J1" i="8"/>
  <c r="I1" i="5"/>
  <c r="I1" i="2"/>
  <c r="P282" i="13"/>
  <c r="Q108" i="13"/>
  <c r="R108" i="13" s="1"/>
  <c r="P285" i="13"/>
  <c r="P302" i="13"/>
  <c r="P280" i="13"/>
  <c r="P286" i="13"/>
  <c r="P300" i="13"/>
  <c r="P289" i="13"/>
  <c r="P279" i="13"/>
  <c r="P293" i="13"/>
  <c r="P307" i="13"/>
  <c r="Q106" i="13"/>
  <c r="R106" i="13" s="1"/>
  <c r="P26" i="13"/>
  <c r="P305" i="13"/>
  <c r="P21" i="13"/>
  <c r="P43" i="13"/>
  <c r="P70" i="13"/>
  <c r="Q181" i="13"/>
  <c r="R181" i="13" s="1"/>
  <c r="P140" i="13"/>
  <c r="P148" i="13"/>
  <c r="P198" i="13"/>
  <c r="P206" i="13"/>
  <c r="P259" i="13"/>
  <c r="Q251" i="13"/>
  <c r="R251" i="13" s="1"/>
  <c r="P267" i="13"/>
  <c r="P91" i="13"/>
  <c r="P262" i="13"/>
  <c r="Q83" i="13"/>
  <c r="R83" i="13" s="1"/>
  <c r="P130" i="13"/>
  <c r="Q162" i="13"/>
  <c r="R162" i="13" s="1"/>
  <c r="Q208" i="13"/>
  <c r="R208" i="13" s="1"/>
  <c r="Q62" i="13"/>
  <c r="R62" i="13" s="1"/>
  <c r="P101" i="13"/>
  <c r="P239" i="13"/>
  <c r="P297" i="13"/>
  <c r="P128" i="13"/>
  <c r="Q160" i="13"/>
  <c r="R160" i="13" s="1"/>
  <c r="P193" i="13"/>
  <c r="Q231" i="13"/>
  <c r="R231" i="13" s="1"/>
  <c r="Q289" i="13"/>
  <c r="Q41" i="13"/>
  <c r="R41" i="13" s="1"/>
  <c r="P271" i="13"/>
  <c r="P276" i="13"/>
  <c r="P158" i="13"/>
  <c r="P287" i="13"/>
  <c r="P28" i="13"/>
  <c r="P115" i="13"/>
  <c r="P150" i="13"/>
  <c r="P269" i="13"/>
  <c r="P65" i="13"/>
  <c r="P86" i="13"/>
  <c r="P16" i="13"/>
  <c r="Q126" i="13"/>
  <c r="R126" i="13" s="1"/>
  <c r="Q179" i="13"/>
  <c r="R179" i="13" s="1"/>
  <c r="P79" i="13"/>
  <c r="P136" i="13"/>
  <c r="P308" i="13"/>
  <c r="P6" i="13"/>
  <c r="P14" i="13"/>
  <c r="Q34" i="13"/>
  <c r="R34" i="13" s="1"/>
  <c r="Q55" i="13"/>
  <c r="R55" i="13" s="1"/>
  <c r="P63" i="13"/>
  <c r="P124" i="13"/>
  <c r="P131" i="13"/>
  <c r="P169" i="13"/>
  <c r="P177" i="13"/>
  <c r="Q202" i="13"/>
  <c r="R202" i="13" s="1"/>
  <c r="P215" i="13"/>
  <c r="P235" i="13"/>
  <c r="P290" i="13"/>
  <c r="P36" i="13"/>
  <c r="P81" i="13"/>
  <c r="Q133" i="13"/>
  <c r="R133" i="13" s="1"/>
  <c r="P222" i="13"/>
  <c r="P94" i="13"/>
  <c r="P99" i="13"/>
  <c r="Q153" i="13"/>
  <c r="R153" i="13" s="1"/>
  <c r="P217" i="13"/>
  <c r="Q237" i="13"/>
  <c r="R237" i="13" s="1"/>
  <c r="P39" i="13"/>
  <c r="Q89" i="13"/>
  <c r="R89" i="13" s="1"/>
  <c r="Q260" i="13"/>
  <c r="R260" i="13" s="1"/>
  <c r="P129" i="13"/>
  <c r="Q151" i="13"/>
  <c r="R151" i="13" s="1"/>
  <c r="P192" i="13"/>
  <c r="Q258" i="13"/>
  <c r="R258" i="13" s="1"/>
  <c r="P311" i="13"/>
  <c r="P295" i="13"/>
  <c r="P32" i="13"/>
  <c r="P112" i="13"/>
  <c r="P122" i="13"/>
  <c r="Q139" i="13"/>
  <c r="R139" i="13" s="1"/>
  <c r="P149" i="13"/>
  <c r="P164" i="13"/>
  <c r="Q182" i="13"/>
  <c r="R182" i="13" s="1"/>
  <c r="Q210" i="13"/>
  <c r="R210" i="13" s="1"/>
  <c r="P233" i="13"/>
  <c r="P248" i="13"/>
  <c r="P253" i="13"/>
  <c r="P283" i="13"/>
  <c r="P306" i="13"/>
  <c r="Q53" i="13"/>
  <c r="R53" i="13" s="1"/>
  <c r="P82" i="13"/>
  <c r="P144" i="13"/>
  <c r="Q200" i="13"/>
  <c r="R200" i="13" s="1"/>
  <c r="Q228" i="13"/>
  <c r="R228" i="13" s="1"/>
  <c r="P278" i="13"/>
  <c r="P304" i="13"/>
  <c r="P110" i="13"/>
  <c r="P120" i="13"/>
  <c r="P180" i="13"/>
  <c r="P185" i="13"/>
  <c r="P190" i="13"/>
  <c r="P226" i="13"/>
  <c r="P246" i="13"/>
  <c r="P256" i="13"/>
  <c r="P51" i="13"/>
  <c r="Q142" i="13"/>
  <c r="R142" i="13" s="1"/>
  <c r="Q38" i="13"/>
  <c r="R38" i="13" s="1"/>
  <c r="P45" i="13"/>
  <c r="P50" i="13"/>
  <c r="Q52" i="13"/>
  <c r="R52" i="13" s="1"/>
  <c r="Q57" i="13"/>
  <c r="R57" i="13" s="1"/>
  <c r="P71" i="13"/>
  <c r="Q80" i="13"/>
  <c r="R80" i="13" s="1"/>
  <c r="P87" i="13"/>
  <c r="Q119" i="13"/>
  <c r="R119" i="13" s="1"/>
  <c r="Q135" i="13"/>
  <c r="R135" i="13" s="1"/>
  <c r="P137" i="13"/>
  <c r="Q171" i="13"/>
  <c r="R171" i="13" s="1"/>
  <c r="Q178" i="13"/>
  <c r="P189" i="13"/>
  <c r="Q191" i="13"/>
  <c r="R191" i="13" s="1"/>
  <c r="P207" i="13"/>
  <c r="P241" i="13"/>
  <c r="P255" i="13"/>
  <c r="P257" i="13"/>
  <c r="Q264" i="13"/>
  <c r="R264" i="13" s="1"/>
  <c r="Q280" i="13"/>
  <c r="P296" i="13"/>
  <c r="Q298" i="13"/>
  <c r="R298" i="13" s="1"/>
  <c r="Q35" i="13"/>
  <c r="R35" i="13" s="1"/>
  <c r="P68" i="13"/>
  <c r="P109" i="13"/>
  <c r="P220" i="13"/>
  <c r="P227" i="13"/>
  <c r="P309" i="13"/>
  <c r="P30" i="13"/>
  <c r="P5" i="13"/>
  <c r="P12" i="13"/>
  <c r="P24" i="13"/>
  <c r="Q44" i="13"/>
  <c r="R44" i="13" s="1"/>
  <c r="P88" i="13"/>
  <c r="Q104" i="13"/>
  <c r="R104" i="13" s="1"/>
  <c r="Q113" i="13"/>
  <c r="R113" i="13" s="1"/>
  <c r="P168" i="13"/>
  <c r="Q188" i="13"/>
  <c r="R188" i="13" s="1"/>
  <c r="P197" i="13"/>
  <c r="P199" i="13"/>
  <c r="P213" i="13"/>
  <c r="P229" i="13"/>
  <c r="P238" i="13"/>
  <c r="Q240" i="13"/>
  <c r="R240" i="13" s="1"/>
  <c r="Q242" i="13"/>
  <c r="R242" i="13" s="1"/>
  <c r="P247" i="13"/>
  <c r="Q249" i="13"/>
  <c r="P288" i="13"/>
  <c r="Q302" i="13"/>
  <c r="P33" i="13"/>
  <c r="Q286" i="13"/>
  <c r="P22" i="13"/>
  <c r="Q31" i="13"/>
  <c r="R31" i="13" s="1"/>
  <c r="Q132" i="13"/>
  <c r="R132" i="13" s="1"/>
  <c r="P157" i="13"/>
  <c r="Q184" i="13"/>
  <c r="R184" i="13" s="1"/>
  <c r="P234" i="13"/>
  <c r="Q10" i="13"/>
  <c r="R10" i="13" s="1"/>
  <c r="P59" i="13"/>
  <c r="P66" i="13"/>
  <c r="P73" i="13"/>
  <c r="Q75" i="13"/>
  <c r="R75" i="13" s="1"/>
  <c r="P100" i="13"/>
  <c r="Q102" i="13"/>
  <c r="R102" i="13" s="1"/>
  <c r="P141" i="13"/>
  <c r="P143" i="13"/>
  <c r="Q159" i="13"/>
  <c r="R159" i="13" s="1"/>
  <c r="Q166" i="13"/>
  <c r="R166" i="13" s="1"/>
  <c r="P173" i="13"/>
  <c r="Q186" i="13"/>
  <c r="R186" i="13" s="1"/>
  <c r="Q211" i="13"/>
  <c r="R211" i="13" s="1"/>
  <c r="P218" i="13"/>
  <c r="P266" i="13"/>
  <c r="P268" i="13"/>
  <c r="P275" i="13"/>
  <c r="Q282" i="13"/>
  <c r="P284" i="13"/>
  <c r="Q300" i="13"/>
  <c r="Q307" i="13"/>
  <c r="P77" i="13"/>
  <c r="Q111" i="13"/>
  <c r="R111" i="13" s="1"/>
  <c r="Q161" i="13"/>
  <c r="R161" i="13" s="1"/>
  <c r="P204" i="13"/>
  <c r="Q84" i="13"/>
  <c r="R84" i="13" s="1"/>
  <c r="P95" i="13"/>
  <c r="P61" i="13"/>
  <c r="Q93" i="13"/>
  <c r="R93" i="13" s="1"/>
  <c r="Q8" i="13"/>
  <c r="R8" i="13" s="1"/>
  <c r="Q15" i="13"/>
  <c r="R15" i="13" s="1"/>
  <c r="Q64" i="13"/>
  <c r="R64" i="13" s="1"/>
  <c r="P155" i="13"/>
  <c r="Q209" i="13"/>
  <c r="R209" i="13" s="1"/>
  <c r="P20" i="13"/>
  <c r="Q20" i="13"/>
  <c r="R20" i="13" s="1"/>
  <c r="Q245" i="13"/>
  <c r="R245" i="13" s="1"/>
  <c r="P245" i="13"/>
  <c r="Q18" i="13"/>
  <c r="R18" i="13" s="1"/>
  <c r="P18" i="13"/>
  <c r="Q147" i="13"/>
  <c r="R147" i="13" s="1"/>
  <c r="P147" i="13"/>
  <c r="Q196" i="13"/>
  <c r="R196" i="13" s="1"/>
  <c r="P196" i="13"/>
  <c r="Q274" i="13"/>
  <c r="R274" i="13" s="1"/>
  <c r="P274" i="13"/>
  <c r="Q292" i="13"/>
  <c r="P292" i="13"/>
  <c r="Q98" i="13"/>
  <c r="R98" i="13" s="1"/>
  <c r="P98" i="13"/>
  <c r="Q176" i="13"/>
  <c r="R176" i="13" s="1"/>
  <c r="P176" i="13"/>
  <c r="Q225" i="13"/>
  <c r="R225" i="13" s="1"/>
  <c r="P225" i="13"/>
  <c r="Q243" i="13"/>
  <c r="R243" i="13" s="1"/>
  <c r="P243" i="13"/>
  <c r="P272" i="13"/>
  <c r="Q272" i="13"/>
  <c r="R272" i="13" s="1"/>
  <c r="Q145" i="13"/>
  <c r="R145" i="13" s="1"/>
  <c r="P145" i="13"/>
  <c r="P174" i="13"/>
  <c r="Q174" i="13"/>
  <c r="R174" i="13" s="1"/>
  <c r="Q194" i="13"/>
  <c r="R194" i="13" s="1"/>
  <c r="P194" i="13"/>
  <c r="P223" i="13"/>
  <c r="Q223" i="13"/>
  <c r="R223" i="13" s="1"/>
  <c r="Q303" i="13"/>
  <c r="P303" i="13"/>
  <c r="Q172" i="13"/>
  <c r="R172" i="13" s="1"/>
  <c r="P172" i="13"/>
  <c r="Q254" i="13"/>
  <c r="R254" i="13" s="1"/>
  <c r="P254" i="13"/>
  <c r="Q301" i="13"/>
  <c r="P301" i="13"/>
  <c r="Q123" i="13"/>
  <c r="R123" i="13" s="1"/>
  <c r="P123" i="13"/>
  <c r="Q156" i="13"/>
  <c r="R156" i="13" s="1"/>
  <c r="P156" i="13"/>
  <c r="Q252" i="13"/>
  <c r="R252" i="13" s="1"/>
  <c r="P252" i="13"/>
  <c r="Q107" i="13"/>
  <c r="R107" i="13" s="1"/>
  <c r="P107" i="13"/>
  <c r="Q203" i="13"/>
  <c r="R203" i="13" s="1"/>
  <c r="P203" i="13"/>
  <c r="P219" i="13"/>
  <c r="Q281" i="13"/>
  <c r="P281" i="13"/>
  <c r="Q29" i="13"/>
  <c r="R29" i="13" s="1"/>
  <c r="P29" i="13"/>
  <c r="Q42" i="13"/>
  <c r="R42" i="13" s="1"/>
  <c r="P27" i="13"/>
  <c r="Q27" i="13"/>
  <c r="R27" i="13" s="1"/>
  <c r="P46" i="13"/>
  <c r="P74" i="13"/>
  <c r="Q121" i="13"/>
  <c r="P134" i="13"/>
  <c r="Q134" i="13"/>
  <c r="R134" i="13" s="1"/>
  <c r="P183" i="13"/>
  <c r="Q183" i="13"/>
  <c r="R183" i="13" s="1"/>
  <c r="P265" i="13"/>
  <c r="Q265" i="13"/>
  <c r="P19" i="13"/>
  <c r="P167" i="13"/>
  <c r="Q167" i="13"/>
  <c r="R167" i="13" s="1"/>
  <c r="P216" i="13"/>
  <c r="Q216" i="13"/>
  <c r="R216" i="13" s="1"/>
  <c r="Q263" i="13"/>
  <c r="R263" i="13" s="1"/>
  <c r="P263" i="13"/>
  <c r="Q293" i="13"/>
  <c r="Q312" i="13"/>
  <c r="R312" i="13" s="1"/>
  <c r="P312" i="13"/>
  <c r="Q7" i="13"/>
  <c r="R7" i="13" s="1"/>
  <c r="P9" i="13"/>
  <c r="P13" i="13"/>
  <c r="P17" i="13"/>
  <c r="P23" i="13"/>
  <c r="Q67" i="13"/>
  <c r="R67" i="13" s="1"/>
  <c r="P67" i="13"/>
  <c r="P118" i="13"/>
  <c r="Q118" i="13"/>
  <c r="R118" i="13" s="1"/>
  <c r="P152" i="13"/>
  <c r="Q165" i="13"/>
  <c r="R165" i="13" s="1"/>
  <c r="P165" i="13"/>
  <c r="P201" i="13"/>
  <c r="Q214" i="13"/>
  <c r="R214" i="13" s="1"/>
  <c r="P214" i="13"/>
  <c r="Q244" i="13"/>
  <c r="R244" i="13" s="1"/>
  <c r="Q261" i="13"/>
  <c r="R261" i="13" s="1"/>
  <c r="P261" i="13"/>
  <c r="P273" i="13"/>
  <c r="Q285" i="13"/>
  <c r="Q310" i="13"/>
  <c r="P310" i="13"/>
  <c r="Q78" i="13"/>
  <c r="R78" i="13" s="1"/>
  <c r="P78" i="13"/>
  <c r="Q40" i="13"/>
  <c r="R40" i="13" s="1"/>
  <c r="P60" i="13"/>
  <c r="Q49" i="13"/>
  <c r="R49" i="13" s="1"/>
  <c r="P49" i="13"/>
  <c r="P69" i="13"/>
  <c r="Q69" i="13"/>
  <c r="R69" i="13" s="1"/>
  <c r="Q85" i="13"/>
  <c r="R85" i="13" s="1"/>
  <c r="P85" i="13"/>
  <c r="Q195" i="13"/>
  <c r="R195" i="13" s="1"/>
  <c r="Q212" i="13"/>
  <c r="R212" i="13" s="1"/>
  <c r="P212" i="13"/>
  <c r="P224" i="13"/>
  <c r="Q236" i="13"/>
  <c r="R236" i="13" s="1"/>
  <c r="P277" i="13"/>
  <c r="Q279" i="13"/>
  <c r="P291" i="13"/>
  <c r="Q58" i="13"/>
  <c r="R58" i="13" s="1"/>
  <c r="P58" i="13"/>
  <c r="Q127" i="13"/>
  <c r="R127" i="13" s="1"/>
  <c r="P127" i="13"/>
  <c r="Q270" i="13"/>
  <c r="R270" i="13" s="1"/>
  <c r="P270" i="13"/>
  <c r="Q96" i="13"/>
  <c r="R96" i="13" s="1"/>
  <c r="P96" i="13"/>
  <c r="P125" i="13"/>
  <c r="Q125" i="13"/>
  <c r="P221" i="13"/>
  <c r="Q221" i="13"/>
  <c r="R221" i="13" s="1"/>
  <c r="P76" i="13"/>
  <c r="Q76" i="13"/>
  <c r="R76" i="13" s="1"/>
  <c r="Q205" i="13"/>
  <c r="R205" i="13" s="1"/>
  <c r="P205" i="13"/>
  <c r="Q154" i="13"/>
  <c r="R154" i="13" s="1"/>
  <c r="P154" i="13"/>
  <c r="Q11" i="13"/>
  <c r="R11" i="13" s="1"/>
  <c r="P11" i="13"/>
  <c r="Q48" i="13"/>
  <c r="R48" i="13" s="1"/>
  <c r="P54" i="13"/>
  <c r="P56" i="13"/>
  <c r="P72" i="13"/>
  <c r="Q90" i="13"/>
  <c r="R90" i="13" s="1"/>
  <c r="P92" i="13"/>
  <c r="Q105" i="13"/>
  <c r="R105" i="13" s="1"/>
  <c r="P105" i="13"/>
  <c r="P117" i="13"/>
  <c r="P170" i="13"/>
  <c r="Q232" i="13"/>
  <c r="R232" i="13" s="1"/>
  <c r="P232" i="13"/>
  <c r="P299" i="13"/>
  <c r="P250" i="13"/>
  <c r="P37" i="13"/>
  <c r="Q47" i="13"/>
  <c r="R47" i="13" s="1"/>
  <c r="P47" i="13"/>
  <c r="P103" i="13"/>
  <c r="Q116" i="13"/>
  <c r="R116" i="13" s="1"/>
  <c r="P116" i="13"/>
  <c r="Q146" i="13"/>
  <c r="R146" i="13" s="1"/>
  <c r="Q163" i="13"/>
  <c r="R163" i="13" s="1"/>
  <c r="P163" i="13"/>
  <c r="P175" i="13"/>
  <c r="Q4" i="13"/>
  <c r="R4" i="13" s="1"/>
  <c r="P4" i="13"/>
  <c r="P25" i="13"/>
  <c r="Q97" i="13"/>
  <c r="R97" i="13" s="1"/>
  <c r="Q114" i="13"/>
  <c r="R114" i="13" s="1"/>
  <c r="P114" i="13"/>
  <c r="Q138" i="13"/>
  <c r="R138" i="13" s="1"/>
  <c r="Q187" i="13"/>
  <c r="R187" i="13" s="1"/>
  <c r="Q230" i="13"/>
  <c r="R230" i="13" s="1"/>
  <c r="Q294" i="13"/>
  <c r="P294" i="13"/>
  <c r="P19" i="12"/>
  <c r="Q11" i="12"/>
  <c r="R11" i="12" s="1"/>
  <c r="P68" i="12"/>
  <c r="Q76" i="12"/>
  <c r="R76" i="12" s="1"/>
  <c r="P66" i="12"/>
  <c r="Q255" i="12"/>
  <c r="R255" i="12" s="1"/>
  <c r="P44" i="12"/>
  <c r="Q223" i="12"/>
  <c r="R223" i="12" s="1"/>
  <c r="P176" i="12"/>
  <c r="P253" i="12"/>
  <c r="Q105" i="12"/>
  <c r="R105" i="12" s="1"/>
  <c r="P248" i="12"/>
  <c r="P31" i="12"/>
  <c r="Q116" i="12"/>
  <c r="R116" i="12" s="1"/>
  <c r="Q171" i="12"/>
  <c r="R171" i="12" s="1"/>
  <c r="Q278" i="12"/>
  <c r="R278" i="12" s="1"/>
  <c r="P108" i="12"/>
  <c r="P246" i="12"/>
  <c r="P29" i="12"/>
  <c r="P169" i="12"/>
  <c r="Q21" i="12"/>
  <c r="R21" i="12" s="1"/>
  <c r="P164" i="12"/>
  <c r="Q13" i="12"/>
  <c r="R13" i="12" s="1"/>
  <c r="P98" i="12"/>
  <c r="Q221" i="12"/>
  <c r="R221" i="12" s="1"/>
  <c r="Q276" i="12"/>
  <c r="R276" i="12" s="1"/>
  <c r="Q82" i="12"/>
  <c r="R82" i="12" s="1"/>
  <c r="P133" i="12"/>
  <c r="P152" i="12"/>
  <c r="P239" i="12"/>
  <c r="Q160" i="12"/>
  <c r="R160" i="12" s="1"/>
  <c r="P203" i="12"/>
  <c r="Q28" i="12"/>
  <c r="R28" i="12" s="1"/>
  <c r="P30" i="12"/>
  <c r="P80" i="12"/>
  <c r="P85" i="12"/>
  <c r="Q155" i="12"/>
  <c r="R155" i="12" s="1"/>
  <c r="Q219" i="12"/>
  <c r="R219" i="12" s="1"/>
  <c r="P38" i="12"/>
  <c r="Q180" i="12"/>
  <c r="R180" i="12" s="1"/>
  <c r="P241" i="12"/>
  <c r="Q42" i="12"/>
  <c r="R42" i="12" s="1"/>
  <c r="Q157" i="12"/>
  <c r="R157" i="12" s="1"/>
  <c r="P261" i="12"/>
  <c r="P234" i="12"/>
  <c r="P274" i="12"/>
  <c r="P40" i="12"/>
  <c r="P4" i="12"/>
  <c r="P232" i="12"/>
  <c r="Q59" i="12"/>
  <c r="R59" i="12" s="1"/>
  <c r="Q120" i="12"/>
  <c r="R120" i="12" s="1"/>
  <c r="Q131" i="12"/>
  <c r="R131" i="12" s="1"/>
  <c r="P264" i="12"/>
  <c r="P290" i="12"/>
  <c r="Q139" i="12"/>
  <c r="R139" i="12" s="1"/>
  <c r="P196" i="12"/>
  <c r="P201" i="12"/>
  <c r="Q206" i="12"/>
  <c r="R206" i="12" s="1"/>
  <c r="P173" i="12"/>
  <c r="P217" i="12"/>
  <c r="Q222" i="12"/>
  <c r="R222" i="12" s="1"/>
  <c r="Q230" i="12"/>
  <c r="R230" i="12" s="1"/>
  <c r="P262" i="12"/>
  <c r="Q57" i="12"/>
  <c r="R57" i="12" s="1"/>
  <c r="P70" i="12"/>
  <c r="Q118" i="12"/>
  <c r="R118" i="12" s="1"/>
  <c r="P178" i="12"/>
  <c r="P183" i="12"/>
  <c r="P194" i="12"/>
  <c r="P260" i="12"/>
  <c r="Q199" i="12"/>
  <c r="R199" i="12" s="1"/>
  <c r="Q212" i="12"/>
  <c r="R212" i="12" s="1"/>
  <c r="Q280" i="12"/>
  <c r="R280" i="12" s="1"/>
  <c r="P26" i="12"/>
  <c r="Q26" i="12"/>
  <c r="R26" i="12" s="1"/>
  <c r="Q63" i="12"/>
  <c r="R63" i="12" s="1"/>
  <c r="P63" i="12"/>
  <c r="Q103" i="12"/>
  <c r="R103" i="12" s="1"/>
  <c r="P103" i="12"/>
  <c r="Q128" i="12"/>
  <c r="R128" i="12" s="1"/>
  <c r="P128" i="12"/>
  <c r="Q204" i="12"/>
  <c r="R204" i="12" s="1"/>
  <c r="P204" i="12"/>
  <c r="Q281" i="12"/>
  <c r="R281" i="12" s="1"/>
  <c r="P281" i="12"/>
  <c r="Q58" i="12"/>
  <c r="R58" i="12" s="1"/>
  <c r="P58" i="12"/>
  <c r="Q141" i="12"/>
  <c r="R141" i="12" s="1"/>
  <c r="P141" i="12"/>
  <c r="P237" i="12"/>
  <c r="Q237" i="12"/>
  <c r="R237" i="12" s="1"/>
  <c r="P174" i="12"/>
  <c r="Q174" i="12"/>
  <c r="R174" i="12" s="1"/>
  <c r="Q184" i="12"/>
  <c r="R184" i="12" s="1"/>
  <c r="P184" i="12"/>
  <c r="Q192" i="12"/>
  <c r="R192" i="12" s="1"/>
  <c r="P192" i="12"/>
  <c r="Q225" i="12"/>
  <c r="R225" i="12" s="1"/>
  <c r="P225" i="12"/>
  <c r="P45" i="12"/>
  <c r="Q78" i="12"/>
  <c r="R78" i="12" s="1"/>
  <c r="P96" i="12"/>
  <c r="P170" i="12"/>
  <c r="Q170" i="12"/>
  <c r="R170" i="12" s="1"/>
  <c r="Q182" i="12"/>
  <c r="R182" i="12" s="1"/>
  <c r="P182" i="12"/>
  <c r="Q213" i="12"/>
  <c r="R213" i="12" s="1"/>
  <c r="P213" i="12"/>
  <c r="Q220" i="12"/>
  <c r="R220" i="12" s="1"/>
  <c r="P235" i="12"/>
  <c r="Q235" i="12"/>
  <c r="R235" i="12" s="1"/>
  <c r="Q134" i="12"/>
  <c r="R134" i="12" s="1"/>
  <c r="P134" i="12"/>
  <c r="P238" i="12"/>
  <c r="Q238" i="12"/>
  <c r="R238" i="12" s="1"/>
  <c r="P277" i="12"/>
  <c r="Q277" i="12"/>
  <c r="R277" i="12" s="1"/>
  <c r="P36" i="12"/>
  <c r="P56" i="12"/>
  <c r="Q84" i="12"/>
  <c r="R84" i="12" s="1"/>
  <c r="P84" i="12"/>
  <c r="P101" i="12"/>
  <c r="Q142" i="12"/>
  <c r="R142" i="12" s="1"/>
  <c r="P142" i="12"/>
  <c r="P158" i="12"/>
  <c r="Q158" i="12"/>
  <c r="R158" i="12" s="1"/>
  <c r="Q172" i="12"/>
  <c r="R172" i="12" s="1"/>
  <c r="Q218" i="12"/>
  <c r="R218" i="12" s="1"/>
  <c r="Q61" i="12"/>
  <c r="R61" i="12" s="1"/>
  <c r="P61" i="12"/>
  <c r="Q197" i="12"/>
  <c r="R197" i="12" s="1"/>
  <c r="P197" i="12"/>
  <c r="P279" i="12"/>
  <c r="Q279" i="12"/>
  <c r="R279" i="12" s="1"/>
  <c r="Q43" i="12"/>
  <c r="R43" i="12" s="1"/>
  <c r="P43" i="12"/>
  <c r="Q86" i="12"/>
  <c r="R86" i="12" s="1"/>
  <c r="P86" i="12"/>
  <c r="P67" i="12"/>
  <c r="Q67" i="12"/>
  <c r="R67" i="12" s="1"/>
  <c r="P94" i="12"/>
  <c r="P114" i="12"/>
  <c r="Q211" i="12"/>
  <c r="R211" i="12" s="1"/>
  <c r="P211" i="12"/>
  <c r="Q226" i="12"/>
  <c r="R226" i="12" s="1"/>
  <c r="P226" i="12"/>
  <c r="Q275" i="12"/>
  <c r="R275" i="12" s="1"/>
  <c r="P275" i="12"/>
  <c r="P64" i="12"/>
  <c r="Q122" i="12"/>
  <c r="R122" i="12" s="1"/>
  <c r="P122" i="12"/>
  <c r="P129" i="12"/>
  <c r="Q190" i="12"/>
  <c r="R190" i="12" s="1"/>
  <c r="P233" i="12"/>
  <c r="Q34" i="12"/>
  <c r="R34" i="12" s="1"/>
  <c r="Q52" i="12"/>
  <c r="R52" i="12" s="1"/>
  <c r="P52" i="12"/>
  <c r="Q54" i="12"/>
  <c r="R54" i="12" s="1"/>
  <c r="Q110" i="12"/>
  <c r="R110" i="12" s="1"/>
  <c r="P110" i="12"/>
  <c r="P112" i="12"/>
  <c r="Q148" i="12"/>
  <c r="R148" i="12" s="1"/>
  <c r="P148" i="12"/>
  <c r="Q156" i="12"/>
  <c r="R156" i="12" s="1"/>
  <c r="P156" i="12"/>
  <c r="P231" i="12"/>
  <c r="Q65" i="12"/>
  <c r="R65" i="12" s="1"/>
  <c r="P65" i="12"/>
  <c r="Q92" i="12"/>
  <c r="R92" i="12" s="1"/>
  <c r="P127" i="12"/>
  <c r="Q137" i="12"/>
  <c r="R137" i="12" s="1"/>
  <c r="Q163" i="12"/>
  <c r="R163" i="12" s="1"/>
  <c r="Q166" i="12"/>
  <c r="R166" i="12" s="1"/>
  <c r="P166" i="12"/>
  <c r="P185" i="12"/>
  <c r="P263" i="12"/>
  <c r="Q263" i="12"/>
  <c r="R263" i="12" s="1"/>
  <c r="P309" i="12"/>
  <c r="Q15" i="12"/>
  <c r="R15" i="12" s="1"/>
  <c r="P15" i="12"/>
  <c r="Q35" i="12"/>
  <c r="R35" i="12" s="1"/>
  <c r="P35" i="12"/>
  <c r="Q47" i="12"/>
  <c r="R47" i="12" s="1"/>
  <c r="P47" i="12"/>
  <c r="P49" i="12"/>
  <c r="P60" i="12"/>
  <c r="Q60" i="12"/>
  <c r="R60" i="12" s="1"/>
  <c r="Q62" i="12"/>
  <c r="R62" i="12" s="1"/>
  <c r="Q72" i="12"/>
  <c r="R72" i="12" s="1"/>
  <c r="Q143" i="12"/>
  <c r="R143" i="12" s="1"/>
  <c r="P143" i="12"/>
  <c r="Q74" i="12"/>
  <c r="R74" i="12" s="1"/>
  <c r="Q8" i="12"/>
  <c r="R8" i="12" s="1"/>
  <c r="P8" i="12"/>
  <c r="Q10" i="12"/>
  <c r="R10" i="12" s="1"/>
  <c r="Q32" i="12"/>
  <c r="R32" i="12" s="1"/>
  <c r="P87" i="12"/>
  <c r="Q154" i="12"/>
  <c r="R154" i="12" s="1"/>
  <c r="P154" i="12"/>
  <c r="Q227" i="12"/>
  <c r="R227" i="12" s="1"/>
  <c r="P227" i="12"/>
  <c r="P273" i="12"/>
  <c r="Q19" i="12"/>
  <c r="P24" i="12"/>
  <c r="Q41" i="12"/>
  <c r="R41" i="12" s="1"/>
  <c r="P50" i="12"/>
  <c r="P71" i="12"/>
  <c r="P73" i="12"/>
  <c r="P75" i="12"/>
  <c r="Q90" i="12"/>
  <c r="R90" i="12" s="1"/>
  <c r="P99" i="12"/>
  <c r="P106" i="12"/>
  <c r="P126" i="12"/>
  <c r="P136" i="12"/>
  <c r="P150" i="12"/>
  <c r="P168" i="12"/>
  <c r="Q188" i="12"/>
  <c r="R188" i="12" s="1"/>
  <c r="Q229" i="12"/>
  <c r="R229" i="12" s="1"/>
  <c r="P252" i="12"/>
  <c r="P17" i="12"/>
  <c r="Q39" i="12"/>
  <c r="R39" i="12" s="1"/>
  <c r="Q69" i="12"/>
  <c r="R69" i="12" s="1"/>
  <c r="P77" i="12"/>
  <c r="P113" i="12"/>
  <c r="P115" i="12"/>
  <c r="P124" i="12"/>
  <c r="Q132" i="12"/>
  <c r="R132" i="12" s="1"/>
  <c r="Q88" i="12"/>
  <c r="R88" i="12" s="1"/>
  <c r="Q130" i="12"/>
  <c r="R130" i="12" s="1"/>
  <c r="Q186" i="12"/>
  <c r="R186" i="12" s="1"/>
  <c r="Q214" i="12"/>
  <c r="R214" i="12" s="1"/>
  <c r="P257" i="12"/>
  <c r="P245" i="12"/>
  <c r="Q191" i="12"/>
  <c r="R191" i="12" s="1"/>
  <c r="P191" i="12"/>
  <c r="P266" i="12"/>
  <c r="P20" i="12"/>
  <c r="Q20" i="12"/>
  <c r="Q299" i="12"/>
  <c r="P299" i="12"/>
  <c r="Q16" i="12"/>
  <c r="R16" i="12" s="1"/>
  <c r="P16" i="12"/>
  <c r="Q161" i="12"/>
  <c r="R161" i="12" s="1"/>
  <c r="P161" i="12"/>
  <c r="P296" i="12"/>
  <c r="Q93" i="12"/>
  <c r="R93" i="12" s="1"/>
  <c r="P93" i="12"/>
  <c r="Q135" i="12"/>
  <c r="R135" i="12" s="1"/>
  <c r="P135" i="12"/>
  <c r="P292" i="12"/>
  <c r="P6" i="12"/>
  <c r="P306" i="12"/>
  <c r="Q6" i="12"/>
  <c r="R6" i="12" s="1"/>
  <c r="P12" i="12"/>
  <c r="P304" i="12"/>
  <c r="Q14" i="12"/>
  <c r="R14" i="12" s="1"/>
  <c r="P119" i="12"/>
  <c r="Q121" i="12"/>
  <c r="R121" i="12" s="1"/>
  <c r="Q123" i="12"/>
  <c r="R123" i="12" s="1"/>
  <c r="Q125" i="12"/>
  <c r="R125" i="12" s="1"/>
  <c r="P288" i="12"/>
  <c r="Q9" i="12"/>
  <c r="R9" i="12" s="1"/>
  <c r="P9" i="12"/>
  <c r="P83" i="12"/>
  <c r="Q83" i="12"/>
  <c r="R83" i="12" s="1"/>
  <c r="P109" i="12"/>
  <c r="Q109" i="12"/>
  <c r="R109" i="12" s="1"/>
  <c r="P117" i="12"/>
  <c r="Q177" i="12"/>
  <c r="R177" i="12" s="1"/>
  <c r="P177" i="12"/>
  <c r="P216" i="12"/>
  <c r="Q216" i="12"/>
  <c r="R216" i="12" s="1"/>
  <c r="P300" i="12"/>
  <c r="Q300" i="12"/>
  <c r="P7" i="12"/>
  <c r="Q7" i="12"/>
  <c r="R7" i="12" s="1"/>
  <c r="P37" i="12"/>
  <c r="Q149" i="12"/>
  <c r="R149" i="12" s="1"/>
  <c r="P149" i="12"/>
  <c r="Q175" i="12"/>
  <c r="R175" i="12" s="1"/>
  <c r="P175" i="12"/>
  <c r="Q23" i="12"/>
  <c r="R23" i="12" s="1"/>
  <c r="Q27" i="12"/>
  <c r="R27" i="12" s="1"/>
  <c r="Q107" i="12"/>
  <c r="R107" i="12" s="1"/>
  <c r="P107" i="12"/>
  <c r="Q111" i="12"/>
  <c r="R111" i="12" s="1"/>
  <c r="Q147" i="12"/>
  <c r="R147" i="12" s="1"/>
  <c r="P147" i="12"/>
  <c r="P205" i="12"/>
  <c r="P243" i="12"/>
  <c r="Q79" i="12"/>
  <c r="R79" i="12" s="1"/>
  <c r="P79" i="12"/>
  <c r="Q140" i="12"/>
  <c r="R140" i="12" s="1"/>
  <c r="P247" i="12"/>
  <c r="P268" i="12"/>
  <c r="P270" i="12"/>
  <c r="P272" i="12"/>
  <c r="P298" i="12"/>
  <c r="Q298" i="12"/>
  <c r="Q303" i="12"/>
  <c r="P303" i="12"/>
  <c r="P165" i="12"/>
  <c r="Q165" i="12"/>
  <c r="R165" i="12" s="1"/>
  <c r="P189" i="12"/>
  <c r="Q189" i="12"/>
  <c r="R189" i="12" s="1"/>
  <c r="P310" i="12"/>
  <c r="P258" i="12"/>
  <c r="Q258" i="12"/>
  <c r="R258" i="12" s="1"/>
  <c r="P294" i="12"/>
  <c r="Q187" i="12"/>
  <c r="R187" i="12" s="1"/>
  <c r="P187" i="12"/>
  <c r="P200" i="12"/>
  <c r="Q200" i="12"/>
  <c r="R200" i="12" s="1"/>
  <c r="P33" i="12"/>
  <c r="P91" i="12"/>
  <c r="Q91" i="12"/>
  <c r="R91" i="12" s="1"/>
  <c r="P159" i="12"/>
  <c r="Q159" i="12"/>
  <c r="R159" i="12" s="1"/>
  <c r="P181" i="12"/>
  <c r="Q181" i="12"/>
  <c r="R181" i="12" s="1"/>
  <c r="P215" i="12"/>
  <c r="Q209" i="12"/>
  <c r="R209" i="12" s="1"/>
  <c r="Q224" i="12"/>
  <c r="R224" i="12" s="1"/>
  <c r="P224" i="12"/>
  <c r="P256" i="12"/>
  <c r="Q256" i="12"/>
  <c r="R256" i="12" s="1"/>
  <c r="Q89" i="12"/>
  <c r="R89" i="12" s="1"/>
  <c r="P89" i="12"/>
  <c r="P102" i="12"/>
  <c r="Q102" i="12"/>
  <c r="R102" i="12" s="1"/>
  <c r="P153" i="12"/>
  <c r="Q153" i="12"/>
  <c r="R153" i="12" s="1"/>
  <c r="P179" i="12"/>
  <c r="Q179" i="12"/>
  <c r="R179" i="12" s="1"/>
  <c r="P249" i="12"/>
  <c r="Q249" i="12"/>
  <c r="R249" i="12" s="1"/>
  <c r="P267" i="12"/>
  <c r="P269" i="12"/>
  <c r="P271" i="12"/>
  <c r="P151" i="12"/>
  <c r="Q151" i="12"/>
  <c r="R151" i="12" s="1"/>
  <c r="Q254" i="12"/>
  <c r="R254" i="12" s="1"/>
  <c r="P254" i="12"/>
  <c r="P198" i="12"/>
  <c r="Q207" i="12"/>
  <c r="R207" i="12" s="1"/>
  <c r="P283" i="12"/>
  <c r="P297" i="12"/>
  <c r="P295" i="12"/>
  <c r="P5" i="12"/>
  <c r="P311" i="12"/>
  <c r="Q5" i="12"/>
  <c r="P301" i="12"/>
  <c r="P18" i="12"/>
  <c r="P282" i="12"/>
  <c r="Q25" i="12"/>
  <c r="R25" i="12" s="1"/>
  <c r="P81" i="12"/>
  <c r="Q81" i="12"/>
  <c r="R81" i="12" s="1"/>
  <c r="P55" i="12"/>
  <c r="Q55" i="12"/>
  <c r="R55" i="12" s="1"/>
  <c r="P100" i="12"/>
  <c r="P162" i="12"/>
  <c r="Q250" i="12"/>
  <c r="P250" i="12"/>
  <c r="P53" i="12"/>
  <c r="Q53" i="12"/>
  <c r="R53" i="12" s="1"/>
  <c r="Q145" i="12"/>
  <c r="R145" i="12" s="1"/>
  <c r="P145" i="12"/>
  <c r="Q22" i="12"/>
  <c r="R22" i="12" s="1"/>
  <c r="P22" i="12"/>
  <c r="Q51" i="12"/>
  <c r="P51" i="12"/>
  <c r="P167" i="12"/>
  <c r="Q167" i="12"/>
  <c r="R167" i="12" s="1"/>
  <c r="Q210" i="12"/>
  <c r="R210" i="12" s="1"/>
  <c r="P210" i="12"/>
  <c r="Q236" i="12"/>
  <c r="R236" i="12" s="1"/>
  <c r="P236" i="12"/>
  <c r="P265" i="12"/>
  <c r="P287" i="12"/>
  <c r="Q289" i="12"/>
  <c r="P289" i="12"/>
  <c r="P48" i="12"/>
  <c r="Q48" i="12"/>
  <c r="R48" i="12" s="1"/>
  <c r="Q259" i="12"/>
  <c r="R259" i="12" s="1"/>
  <c r="P259" i="12"/>
  <c r="Q285" i="12"/>
  <c r="P285" i="12"/>
  <c r="Q308" i="12"/>
  <c r="P308" i="12"/>
  <c r="P312" i="12"/>
  <c r="Q312" i="12"/>
  <c r="Q240" i="12"/>
  <c r="R240" i="12" s="1"/>
  <c r="P240" i="12"/>
  <c r="P302" i="12"/>
  <c r="P46" i="12"/>
  <c r="Q46" i="12"/>
  <c r="R46" i="12" s="1"/>
  <c r="P104" i="12"/>
  <c r="Q104" i="12"/>
  <c r="R104" i="12" s="1"/>
  <c r="P202" i="12"/>
  <c r="Q202" i="12"/>
  <c r="R202" i="12" s="1"/>
  <c r="Q138" i="12"/>
  <c r="P138" i="12"/>
  <c r="P208" i="12"/>
  <c r="Q228" i="12"/>
  <c r="R228" i="12" s="1"/>
  <c r="P251" i="12"/>
  <c r="Q251" i="12"/>
  <c r="Q265" i="12"/>
  <c r="Q287" i="12"/>
  <c r="P97" i="12"/>
  <c r="P244" i="12"/>
  <c r="P291" i="12"/>
  <c r="P293" i="12"/>
  <c r="Q95" i="12"/>
  <c r="R95" i="12" s="1"/>
  <c r="Q97" i="12"/>
  <c r="Q144" i="12"/>
  <c r="R144" i="12" s="1"/>
  <c r="Q146" i="12"/>
  <c r="R146" i="12" s="1"/>
  <c r="Q193" i="12"/>
  <c r="R193" i="12" s="1"/>
  <c r="Q195" i="12"/>
  <c r="R195" i="12" s="1"/>
  <c r="Q242" i="12"/>
  <c r="R242" i="12" s="1"/>
  <c r="Q244" i="12"/>
  <c r="P284" i="12"/>
  <c r="P286" i="12"/>
  <c r="Q291" i="12"/>
  <c r="Q293" i="12"/>
  <c r="P305" i="12"/>
  <c r="P307" i="12"/>
  <c r="P244" i="10"/>
  <c r="P272" i="10"/>
  <c r="P286" i="10"/>
  <c r="P300" i="10"/>
  <c r="P20" i="10"/>
  <c r="P250" i="10"/>
  <c r="P270" i="10"/>
  <c r="P298" i="10"/>
  <c r="P304" i="10"/>
  <c r="P251" i="10"/>
  <c r="P265" i="10"/>
  <c r="P293" i="10"/>
  <c r="P307" i="10"/>
  <c r="P284" i="10"/>
  <c r="P97" i="10"/>
  <c r="P268" i="10"/>
  <c r="P282" i="10"/>
  <c r="P296" i="10"/>
  <c r="P310" i="10"/>
  <c r="P306" i="10"/>
  <c r="P33" i="10"/>
  <c r="Q304" i="10"/>
  <c r="Q310" i="10"/>
  <c r="Q232" i="10"/>
  <c r="R232" i="10" s="1"/>
  <c r="P60" i="10"/>
  <c r="P213" i="10"/>
  <c r="Q197" i="10"/>
  <c r="R197" i="10" s="1"/>
  <c r="Q47" i="10"/>
  <c r="R47" i="10" s="1"/>
  <c r="Q74" i="10"/>
  <c r="R74" i="10" s="1"/>
  <c r="P126" i="10"/>
  <c r="Q137" i="10"/>
  <c r="R137" i="10" s="1"/>
  <c r="Q148" i="10"/>
  <c r="R148" i="10" s="1"/>
  <c r="P176" i="10"/>
  <c r="Q195" i="10"/>
  <c r="R195" i="10" s="1"/>
  <c r="Q203" i="10"/>
  <c r="R203" i="10" s="1"/>
  <c r="P297" i="10"/>
  <c r="P50" i="10"/>
  <c r="P102" i="10"/>
  <c r="P124" i="10"/>
  <c r="P4" i="10"/>
  <c r="Q178" i="10"/>
  <c r="R178" i="10" s="1"/>
  <c r="Q39" i="10"/>
  <c r="R39" i="10" s="1"/>
  <c r="P37" i="10"/>
  <c r="P100" i="10"/>
  <c r="Q242" i="10"/>
  <c r="R242" i="10" s="1"/>
  <c r="P35" i="10"/>
  <c r="P240" i="10"/>
  <c r="Q87" i="10"/>
  <c r="R87" i="10" s="1"/>
  <c r="Q95" i="10"/>
  <c r="R95" i="10" s="1"/>
  <c r="Q59" i="10"/>
  <c r="R59" i="10" s="1"/>
  <c r="P72" i="10"/>
  <c r="P80" i="10"/>
  <c r="Q117" i="10"/>
  <c r="R117" i="10" s="1"/>
  <c r="P151" i="10"/>
  <c r="P156" i="10"/>
  <c r="P122" i="10"/>
  <c r="Q238" i="10"/>
  <c r="R238" i="10" s="1"/>
  <c r="Q17" i="10"/>
  <c r="R17" i="10" s="1"/>
  <c r="Q51" i="10"/>
  <c r="R51" i="10" s="1"/>
  <c r="Q188" i="10"/>
  <c r="R188" i="10" s="1"/>
  <c r="P217" i="10"/>
  <c r="Q225" i="10"/>
  <c r="R225" i="10" s="1"/>
  <c r="Q268" i="10"/>
  <c r="Q279" i="10"/>
  <c r="R279" i="10" s="1"/>
  <c r="P290" i="10"/>
  <c r="P21" i="10"/>
  <c r="Q45" i="10"/>
  <c r="R45" i="10" s="1"/>
  <c r="Q19" i="10"/>
  <c r="R19" i="10" s="1"/>
  <c r="Q85" i="10"/>
  <c r="R85" i="10" s="1"/>
  <c r="P158" i="10"/>
  <c r="Q169" i="10"/>
  <c r="R169" i="10" s="1"/>
  <c r="P193" i="10"/>
  <c r="Q230" i="10"/>
  <c r="R230" i="10" s="1"/>
  <c r="Q265" i="10"/>
  <c r="P70" i="10"/>
  <c r="P149" i="10"/>
  <c r="Q180" i="10"/>
  <c r="R180" i="10" s="1"/>
  <c r="P147" i="10"/>
  <c r="Q154" i="10"/>
  <c r="R154" i="10" s="1"/>
  <c r="P215" i="10"/>
  <c r="P252" i="10"/>
  <c r="Q223" i="10"/>
  <c r="R223" i="10" s="1"/>
  <c r="Q139" i="10"/>
  <c r="R139" i="10" s="1"/>
  <c r="P171" i="10"/>
  <c r="P110" i="10"/>
  <c r="P145" i="10"/>
  <c r="Q191" i="10"/>
  <c r="R191" i="10" s="1"/>
  <c r="P245" i="10"/>
  <c r="Q258" i="10"/>
  <c r="R258" i="10" s="1"/>
  <c r="P93" i="10"/>
  <c r="P186" i="10"/>
  <c r="P10" i="10"/>
  <c r="Q25" i="10"/>
  <c r="R25" i="10" s="1"/>
  <c r="P68" i="10"/>
  <c r="P78" i="10"/>
  <c r="Q98" i="10"/>
  <c r="R98" i="10" s="1"/>
  <c r="P115" i="10"/>
  <c r="Q135" i="10"/>
  <c r="R135" i="10" s="1"/>
  <c r="Q167" i="10"/>
  <c r="R167" i="10" s="1"/>
  <c r="Q211" i="10"/>
  <c r="R211" i="10" s="1"/>
  <c r="P8" i="10"/>
  <c r="P28" i="10"/>
  <c r="P66" i="10"/>
  <c r="Q91" i="10"/>
  <c r="R91" i="10" s="1"/>
  <c r="Q108" i="10"/>
  <c r="R108" i="10" s="1"/>
  <c r="P113" i="10"/>
  <c r="P130" i="10"/>
  <c r="Q143" i="10"/>
  <c r="R143" i="10" s="1"/>
  <c r="P165" i="10"/>
  <c r="P175" i="10"/>
  <c r="P177" i="10"/>
  <c r="Q184" i="10"/>
  <c r="R184" i="10" s="1"/>
  <c r="Q206" i="10"/>
  <c r="R206" i="10" s="1"/>
  <c r="P234" i="10"/>
  <c r="P239" i="10"/>
  <c r="P241" i="10"/>
  <c r="Q243" i="10"/>
  <c r="R243" i="10" s="1"/>
  <c r="Q256" i="10"/>
  <c r="R256" i="10" s="1"/>
  <c r="Q272" i="10"/>
  <c r="Q296" i="10"/>
  <c r="Q306" i="10"/>
  <c r="P43" i="10"/>
  <c r="P13" i="10"/>
  <c r="P23" i="10"/>
  <c r="Q56" i="10"/>
  <c r="R56" i="10" s="1"/>
  <c r="P106" i="10"/>
  <c r="P199" i="10"/>
  <c r="P204" i="10"/>
  <c r="Q251" i="10"/>
  <c r="Q15" i="10"/>
  <c r="R15" i="10" s="1"/>
  <c r="Q41" i="10"/>
  <c r="R41" i="10" s="1"/>
  <c r="P89" i="10"/>
  <c r="Q182" i="10"/>
  <c r="R182" i="10" s="1"/>
  <c r="Q298" i="10"/>
  <c r="P6" i="10"/>
  <c r="Q128" i="10"/>
  <c r="R128" i="10" s="1"/>
  <c r="Q173" i="10"/>
  <c r="R173" i="10" s="1"/>
  <c r="P294" i="10"/>
  <c r="Q76" i="10"/>
  <c r="R76" i="10" s="1"/>
  <c r="Q104" i="10"/>
  <c r="R104" i="10" s="1"/>
  <c r="Q221" i="10"/>
  <c r="R221" i="10" s="1"/>
  <c r="Q270" i="10"/>
  <c r="P308" i="10"/>
  <c r="Q174" i="10"/>
  <c r="R174" i="10" s="1"/>
  <c r="P295" i="10"/>
  <c r="P94" i="10"/>
  <c r="P107" i="10"/>
  <c r="Q52" i="10"/>
  <c r="R52" i="10" s="1"/>
  <c r="Q57" i="10"/>
  <c r="R57" i="10" s="1"/>
  <c r="Q189" i="10"/>
  <c r="R189" i="10" s="1"/>
  <c r="P24" i="10"/>
  <c r="Q33" i="10"/>
  <c r="P64" i="10"/>
  <c r="P109" i="10"/>
  <c r="P120" i="10"/>
  <c r="P144" i="10"/>
  <c r="Q146" i="10"/>
  <c r="R146" i="10" s="1"/>
  <c r="P150" i="10"/>
  <c r="P185" i="10"/>
  <c r="P224" i="10"/>
  <c r="Q278" i="10"/>
  <c r="R278" i="10" s="1"/>
  <c r="P302" i="10"/>
  <c r="P311" i="10"/>
  <c r="P22" i="10"/>
  <c r="P31" i="10"/>
  <c r="P77" i="10"/>
  <c r="P79" i="10"/>
  <c r="Q105" i="10"/>
  <c r="R105" i="10" s="1"/>
  <c r="P142" i="10"/>
  <c r="Q187" i="10"/>
  <c r="R187" i="10" s="1"/>
  <c r="P222" i="10"/>
  <c r="Q237" i="10"/>
  <c r="R237" i="10" s="1"/>
  <c r="Q250" i="10"/>
  <c r="P283" i="10"/>
  <c r="P288" i="10"/>
  <c r="P309" i="10"/>
  <c r="P18" i="10"/>
  <c r="Q20" i="10"/>
  <c r="P46" i="10"/>
  <c r="Q48" i="10"/>
  <c r="R48" i="10" s="1"/>
  <c r="P81" i="10"/>
  <c r="P129" i="10"/>
  <c r="P138" i="10"/>
  <c r="P140" i="10"/>
  <c r="P168" i="10"/>
  <c r="Q172" i="10"/>
  <c r="R172" i="10" s="1"/>
  <c r="P220" i="10"/>
  <c r="P231" i="10"/>
  <c r="P269" i="10"/>
  <c r="P276" i="10"/>
  <c r="Q293" i="10"/>
  <c r="Q16" i="10"/>
  <c r="R16" i="10" s="1"/>
  <c r="P40" i="10"/>
  <c r="P42" i="10"/>
  <c r="Q44" i="10"/>
  <c r="R44" i="10" s="1"/>
  <c r="P71" i="10"/>
  <c r="P73" i="10"/>
  <c r="Q75" i="10"/>
  <c r="R75" i="10" s="1"/>
  <c r="P86" i="10"/>
  <c r="P99" i="10"/>
  <c r="P116" i="10"/>
  <c r="Q118" i="10"/>
  <c r="R118" i="10" s="1"/>
  <c r="Q134" i="10"/>
  <c r="R134" i="10" s="1"/>
  <c r="P136" i="10"/>
  <c r="P155" i="10"/>
  <c r="P157" i="10"/>
  <c r="P159" i="10"/>
  <c r="P164" i="10"/>
  <c r="P166" i="10"/>
  <c r="P218" i="10"/>
  <c r="P229" i="10"/>
  <c r="P233" i="10"/>
  <c r="P248" i="10"/>
  <c r="P255" i="10"/>
  <c r="P262" i="10"/>
  <c r="P267" i="10"/>
  <c r="P281" i="10"/>
  <c r="Q300" i="10"/>
  <c r="Q307" i="10"/>
  <c r="P12" i="10"/>
  <c r="Q27" i="10"/>
  <c r="R27" i="10" s="1"/>
  <c r="Q29" i="10"/>
  <c r="R29" i="10" s="1"/>
  <c r="P38" i="10"/>
  <c r="Q69" i="10"/>
  <c r="R69" i="10" s="1"/>
  <c r="P84" i="10"/>
  <c r="P101" i="10"/>
  <c r="Q114" i="10"/>
  <c r="R114" i="10" s="1"/>
  <c r="P196" i="10"/>
  <c r="P198" i="10"/>
  <c r="P214" i="10"/>
  <c r="Q216" i="10"/>
  <c r="R216" i="10" s="1"/>
  <c r="Q235" i="10"/>
  <c r="R235" i="10" s="1"/>
  <c r="P246" i="10"/>
  <c r="P260" i="10"/>
  <c r="P274" i="10"/>
  <c r="Q286" i="10"/>
  <c r="P14" i="10"/>
  <c r="Q97" i="10"/>
  <c r="P112" i="10"/>
  <c r="Q153" i="10"/>
  <c r="R153" i="10" s="1"/>
  <c r="P162" i="10"/>
  <c r="P192" i="10"/>
  <c r="P194" i="10"/>
  <c r="P205" i="10"/>
  <c r="P207" i="10"/>
  <c r="Q212" i="10"/>
  <c r="R212" i="10" s="1"/>
  <c r="P227" i="10"/>
  <c r="Q244" i="10"/>
  <c r="P253" i="10"/>
  <c r="P62" i="10"/>
  <c r="Q62" i="10"/>
  <c r="R62" i="10" s="1"/>
  <c r="Q30" i="10"/>
  <c r="R30" i="10" s="1"/>
  <c r="P30" i="10"/>
  <c r="P257" i="10"/>
  <c r="Q257" i="10"/>
  <c r="R257" i="10" s="1"/>
  <c r="P264" i="10"/>
  <c r="Q264" i="10"/>
  <c r="R264" i="10" s="1"/>
  <c r="Q53" i="10"/>
  <c r="R53" i="10" s="1"/>
  <c r="P53" i="10"/>
  <c r="P90" i="10"/>
  <c r="Q90" i="10"/>
  <c r="R90" i="10" s="1"/>
  <c r="P111" i="10"/>
  <c r="Q111" i="10"/>
  <c r="R111" i="10" s="1"/>
  <c r="Q200" i="10"/>
  <c r="R200" i="10" s="1"/>
  <c r="P200" i="10"/>
  <c r="P9" i="10"/>
  <c r="Q9" i="10"/>
  <c r="R9" i="10" s="1"/>
  <c r="Q49" i="10"/>
  <c r="R49" i="10" s="1"/>
  <c r="P49" i="10"/>
  <c r="Q88" i="10"/>
  <c r="P88" i="10"/>
  <c r="Q7" i="10"/>
  <c r="R7" i="10" s="1"/>
  <c r="P7" i="10"/>
  <c r="Q26" i="10"/>
  <c r="R26" i="10" s="1"/>
  <c r="P26" i="10"/>
  <c r="Q5" i="10"/>
  <c r="R5" i="10" s="1"/>
  <c r="P5" i="10"/>
  <c r="P65" i="10"/>
  <c r="Q65" i="10"/>
  <c r="R65" i="10" s="1"/>
  <c r="Q63" i="10"/>
  <c r="R63" i="10" s="1"/>
  <c r="P63" i="10"/>
  <c r="Q54" i="10"/>
  <c r="R54" i="10" s="1"/>
  <c r="P54" i="10"/>
  <c r="Q58" i="10"/>
  <c r="R58" i="10" s="1"/>
  <c r="Q152" i="10"/>
  <c r="R152" i="10" s="1"/>
  <c r="P152" i="10"/>
  <c r="P82" i="10"/>
  <c r="Q82" i="10"/>
  <c r="R82" i="10" s="1"/>
  <c r="Q208" i="10"/>
  <c r="R208" i="10" s="1"/>
  <c r="P208" i="10"/>
  <c r="P277" i="10"/>
  <c r="Q277" i="10"/>
  <c r="R277" i="10" s="1"/>
  <c r="Q312" i="10"/>
  <c r="P312" i="10"/>
  <c r="P228" i="10"/>
  <c r="Q228" i="10"/>
  <c r="R228" i="10" s="1"/>
  <c r="P263" i="10"/>
  <c r="Q263" i="10"/>
  <c r="R263" i="10" s="1"/>
  <c r="P303" i="10"/>
  <c r="Q303" i="10"/>
  <c r="P36" i="10"/>
  <c r="Q36" i="10"/>
  <c r="R36" i="10" s="1"/>
  <c r="Q119" i="10"/>
  <c r="R119" i="10" s="1"/>
  <c r="P119" i="10"/>
  <c r="P254" i="10"/>
  <c r="Q254" i="10"/>
  <c r="R254" i="10" s="1"/>
  <c r="P275" i="10"/>
  <c r="Q275" i="10"/>
  <c r="R275" i="10" s="1"/>
  <c r="Q301" i="10"/>
  <c r="P301" i="10"/>
  <c r="P55" i="10"/>
  <c r="Q55" i="10"/>
  <c r="R55" i="10" s="1"/>
  <c r="P202" i="10"/>
  <c r="Q202" i="10"/>
  <c r="R202" i="10" s="1"/>
  <c r="Q226" i="10"/>
  <c r="R226" i="10" s="1"/>
  <c r="P226" i="10"/>
  <c r="Q266" i="10"/>
  <c r="P266" i="10"/>
  <c r="P292" i="10"/>
  <c r="Q292" i="10"/>
  <c r="Q273" i="10"/>
  <c r="P273" i="10"/>
  <c r="P271" i="10"/>
  <c r="Q271" i="10"/>
  <c r="P291" i="10"/>
  <c r="Q291" i="10"/>
  <c r="Q141" i="10"/>
  <c r="R141" i="10" s="1"/>
  <c r="P141" i="10"/>
  <c r="P161" i="10"/>
  <c r="Q161" i="10"/>
  <c r="R161" i="10" s="1"/>
  <c r="P181" i="10"/>
  <c r="Q181" i="10"/>
  <c r="R181" i="10" s="1"/>
  <c r="P289" i="10"/>
  <c r="Q289" i="10"/>
  <c r="Q296" i="9"/>
  <c r="R296" i="9" s="1"/>
  <c r="P296" i="9"/>
  <c r="P92" i="10"/>
  <c r="P121" i="10"/>
  <c r="Q123" i="10"/>
  <c r="R123" i="10" s="1"/>
  <c r="Q125" i="10"/>
  <c r="R125" i="10" s="1"/>
  <c r="P133" i="10"/>
  <c r="P249" i="10"/>
  <c r="Q249" i="10"/>
  <c r="R249" i="10" s="1"/>
  <c r="Q284" i="10"/>
  <c r="Q287" i="10"/>
  <c r="P287" i="10"/>
  <c r="P11" i="10"/>
  <c r="P61" i="10"/>
  <c r="P67" i="10"/>
  <c r="P83" i="10"/>
  <c r="Q83" i="10"/>
  <c r="P96" i="10"/>
  <c r="P127" i="10"/>
  <c r="Q179" i="10"/>
  <c r="R179" i="10" s="1"/>
  <c r="P179" i="10"/>
  <c r="P209" i="10"/>
  <c r="Q209" i="10"/>
  <c r="R209" i="10" s="1"/>
  <c r="Q219" i="10"/>
  <c r="P219" i="10"/>
  <c r="P247" i="10"/>
  <c r="Q247" i="10"/>
  <c r="R247" i="10" s="1"/>
  <c r="Q282" i="10"/>
  <c r="P34" i="10"/>
  <c r="Q34" i="10"/>
  <c r="Q285" i="9"/>
  <c r="R285" i="9" s="1"/>
  <c r="P285" i="9"/>
  <c r="Q50" i="9"/>
  <c r="R50" i="9" s="1"/>
  <c r="P50" i="9"/>
  <c r="P32" i="10"/>
  <c r="Q131" i="10"/>
  <c r="R131" i="10" s="1"/>
  <c r="Q163" i="10"/>
  <c r="R163" i="10" s="1"/>
  <c r="Q183" i="10"/>
  <c r="R183" i="10" s="1"/>
  <c r="Q201" i="10"/>
  <c r="R201" i="10" s="1"/>
  <c r="P201" i="10"/>
  <c r="P280" i="10"/>
  <c r="Q285" i="10"/>
  <c r="P285" i="10"/>
  <c r="P305" i="10"/>
  <c r="Q305" i="10"/>
  <c r="P132" i="10"/>
  <c r="Q132" i="10"/>
  <c r="R132" i="10" s="1"/>
  <c r="P261" i="10"/>
  <c r="Q261" i="10"/>
  <c r="R261" i="10" s="1"/>
  <c r="Q259" i="10"/>
  <c r="R259" i="10" s="1"/>
  <c r="P259" i="10"/>
  <c r="P299" i="10"/>
  <c r="Q299" i="10"/>
  <c r="Q103" i="10"/>
  <c r="R103" i="10" s="1"/>
  <c r="P103" i="10"/>
  <c r="P160" i="10"/>
  <c r="Q160" i="10"/>
  <c r="Q170" i="10"/>
  <c r="P170" i="10"/>
  <c r="P190" i="10"/>
  <c r="Q190" i="10"/>
  <c r="R190" i="10" s="1"/>
  <c r="P210" i="10"/>
  <c r="Q210" i="10"/>
  <c r="R210" i="10" s="1"/>
  <c r="Q236" i="10"/>
  <c r="R236" i="10" s="1"/>
  <c r="P236" i="10"/>
  <c r="P13" i="7"/>
  <c r="P34" i="7"/>
  <c r="P193" i="7"/>
  <c r="P144" i="7"/>
  <c r="Q213" i="9"/>
  <c r="R213" i="9" s="1"/>
  <c r="Q99" i="9"/>
  <c r="R99" i="9" s="1"/>
  <c r="Q101" i="9"/>
  <c r="R101" i="9" s="1"/>
  <c r="Q15" i="9"/>
  <c r="R15" i="9" s="1"/>
  <c r="P57" i="9"/>
  <c r="Q5" i="9"/>
  <c r="R5" i="9" s="1"/>
  <c r="P85" i="9"/>
  <c r="Q176" i="9"/>
  <c r="R176" i="9" s="1"/>
  <c r="P147" i="9"/>
  <c r="Q258" i="9"/>
  <c r="R258" i="9" s="1"/>
  <c r="P103" i="9"/>
  <c r="Q7" i="9"/>
  <c r="R7" i="9" s="1"/>
  <c r="Q228" i="9"/>
  <c r="R228" i="9" s="1"/>
  <c r="Q251" i="9"/>
  <c r="R251" i="9" s="1"/>
  <c r="P37" i="9"/>
  <c r="P131" i="9"/>
  <c r="Q278" i="9"/>
  <c r="R278" i="9" s="1"/>
  <c r="P75" i="9"/>
  <c r="P197" i="9"/>
  <c r="Q283" i="9"/>
  <c r="R283" i="9" s="1"/>
  <c r="P35" i="9"/>
  <c r="P129" i="9"/>
  <c r="Q238" i="9"/>
  <c r="R238" i="9" s="1"/>
  <c r="P276" i="9"/>
  <c r="P281" i="9"/>
  <c r="P33" i="9"/>
  <c r="P124" i="9"/>
  <c r="P233" i="9"/>
  <c r="P274" i="9"/>
  <c r="Q70" i="9"/>
  <c r="R70" i="9" s="1"/>
  <c r="P113" i="9"/>
  <c r="Q192" i="9"/>
  <c r="R192" i="9" s="1"/>
  <c r="P116" i="9"/>
  <c r="P165" i="9"/>
  <c r="Q55" i="9"/>
  <c r="R55" i="9" s="1"/>
  <c r="P253" i="9"/>
  <c r="Q13" i="9"/>
  <c r="R13" i="9" s="1"/>
  <c r="Q31" i="9"/>
  <c r="R31" i="9" s="1"/>
  <c r="Q53" i="9"/>
  <c r="R53" i="9" s="1"/>
  <c r="Q81" i="9"/>
  <c r="R81" i="9" s="1"/>
  <c r="Q86" i="9"/>
  <c r="R86" i="9" s="1"/>
  <c r="Q109" i="9"/>
  <c r="R109" i="9" s="1"/>
  <c r="P114" i="9"/>
  <c r="Q127" i="9"/>
  <c r="R127" i="9" s="1"/>
  <c r="P156" i="9"/>
  <c r="Q185" i="9"/>
  <c r="R185" i="9" s="1"/>
  <c r="Q249" i="9"/>
  <c r="R249" i="9" s="1"/>
  <c r="P254" i="9"/>
  <c r="P267" i="9"/>
  <c r="Q158" i="9"/>
  <c r="P269" i="9"/>
  <c r="P224" i="9"/>
  <c r="P308" i="9"/>
  <c r="P11" i="9"/>
  <c r="Q24" i="9"/>
  <c r="R24" i="9" s="1"/>
  <c r="Q29" i="9"/>
  <c r="R29" i="9" s="1"/>
  <c r="P66" i="9"/>
  <c r="P79" i="9"/>
  <c r="P107" i="9"/>
  <c r="Q112" i="9"/>
  <c r="R112" i="9" s="1"/>
  <c r="Q206" i="9"/>
  <c r="R206" i="9" s="1"/>
  <c r="Q190" i="9"/>
  <c r="R190" i="9" s="1"/>
  <c r="P226" i="9"/>
  <c r="Q231" i="9"/>
  <c r="R231" i="9" s="1"/>
  <c r="Q256" i="9"/>
  <c r="R256" i="9" s="1"/>
  <c r="Q310" i="9"/>
  <c r="R310" i="9" s="1"/>
  <c r="P26" i="9"/>
  <c r="P46" i="9"/>
  <c r="P135" i="9"/>
  <c r="P154" i="9"/>
  <c r="P204" i="9"/>
  <c r="P242" i="9"/>
  <c r="Q247" i="9"/>
  <c r="R247" i="9" s="1"/>
  <c r="Q265" i="9"/>
  <c r="R265" i="9" s="1"/>
  <c r="Q120" i="9"/>
  <c r="R120" i="9" s="1"/>
  <c r="P214" i="9"/>
  <c r="P306" i="9"/>
  <c r="P9" i="9"/>
  <c r="P44" i="9"/>
  <c r="Q77" i="9"/>
  <c r="R77" i="9" s="1"/>
  <c r="P105" i="9"/>
  <c r="P162" i="9"/>
  <c r="Q178" i="9"/>
  <c r="R178" i="9" s="1"/>
  <c r="Q199" i="9"/>
  <c r="R199" i="9" s="1"/>
  <c r="P245" i="9"/>
  <c r="P301" i="9"/>
  <c r="P39" i="9"/>
  <c r="P59" i="9"/>
  <c r="P87" i="9"/>
  <c r="Q133" i="9"/>
  <c r="R133" i="9" s="1"/>
  <c r="P217" i="9"/>
  <c r="P235" i="9"/>
  <c r="Q240" i="9"/>
  <c r="R240" i="9" s="1"/>
  <c r="P14" i="9"/>
  <c r="Q14" i="9"/>
  <c r="R14" i="9" s="1"/>
  <c r="P32" i="9"/>
  <c r="Q32" i="9"/>
  <c r="R32" i="9" s="1"/>
  <c r="Q110" i="9"/>
  <c r="R110" i="9" s="1"/>
  <c r="P110" i="9"/>
  <c r="P277" i="9"/>
  <c r="Q277" i="9"/>
  <c r="R277" i="9" s="1"/>
  <c r="Q295" i="9"/>
  <c r="R295" i="9" s="1"/>
  <c r="P295" i="9"/>
  <c r="Q30" i="9"/>
  <c r="R30" i="9" s="1"/>
  <c r="P30" i="9"/>
  <c r="Q93" i="9"/>
  <c r="R93" i="9" s="1"/>
  <c r="P93" i="9"/>
  <c r="P126" i="9"/>
  <c r="Q126" i="9"/>
  <c r="R126" i="9" s="1"/>
  <c r="P202" i="9"/>
  <c r="Q202" i="9"/>
  <c r="R202" i="9" s="1"/>
  <c r="Q227" i="9"/>
  <c r="R227" i="9" s="1"/>
  <c r="P227" i="9"/>
  <c r="P275" i="9"/>
  <c r="Q275" i="9"/>
  <c r="R275" i="9" s="1"/>
  <c r="Q290" i="9"/>
  <c r="R290" i="9" s="1"/>
  <c r="P290" i="9"/>
  <c r="P12" i="9"/>
  <c r="Q12" i="9"/>
  <c r="R12" i="9" s="1"/>
  <c r="Q54" i="9"/>
  <c r="R54" i="9" s="1"/>
  <c r="P54" i="9"/>
  <c r="P71" i="9"/>
  <c r="Q71" i="9"/>
  <c r="R71" i="9" s="1"/>
  <c r="P73" i="9"/>
  <c r="Q108" i="9"/>
  <c r="R108" i="9" s="1"/>
  <c r="P108" i="9"/>
  <c r="Q136" i="9"/>
  <c r="R136" i="9" s="1"/>
  <c r="P136" i="9"/>
  <c r="Q184" i="9"/>
  <c r="R184" i="9" s="1"/>
  <c r="P184" i="9"/>
  <c r="Q250" i="9"/>
  <c r="R250" i="9" s="1"/>
  <c r="P250" i="9"/>
  <c r="Q311" i="9"/>
  <c r="R311" i="9" s="1"/>
  <c r="P311" i="9"/>
  <c r="P28" i="9"/>
  <c r="Q28" i="9"/>
  <c r="R28" i="9" s="1"/>
  <c r="P121" i="9"/>
  <c r="Q121" i="9"/>
  <c r="R121" i="9" s="1"/>
  <c r="Q168" i="9"/>
  <c r="R168" i="9" s="1"/>
  <c r="P168" i="9"/>
  <c r="Q225" i="9"/>
  <c r="R225" i="9" s="1"/>
  <c r="P225" i="9"/>
  <c r="Q10" i="9"/>
  <c r="R10" i="9" s="1"/>
  <c r="P10" i="9"/>
  <c r="P23" i="9"/>
  <c r="Q23" i="9"/>
  <c r="R23" i="9" s="1"/>
  <c r="P49" i="9"/>
  <c r="Q52" i="9"/>
  <c r="R52" i="9" s="1"/>
  <c r="P52" i="9"/>
  <c r="Q106" i="9"/>
  <c r="R106" i="9" s="1"/>
  <c r="P106" i="9"/>
  <c r="Q150" i="9"/>
  <c r="R150" i="9" s="1"/>
  <c r="P150" i="9"/>
  <c r="P179" i="9"/>
  <c r="Q179" i="9"/>
  <c r="R179" i="9" s="1"/>
  <c r="Q181" i="9"/>
  <c r="R181" i="9" s="1"/>
  <c r="Q220" i="9"/>
  <c r="R220" i="9" s="1"/>
  <c r="P220" i="9"/>
  <c r="P222" i="9"/>
  <c r="Q268" i="9"/>
  <c r="R268" i="9" s="1"/>
  <c r="P268" i="9"/>
  <c r="P34" i="9"/>
  <c r="Q34" i="9"/>
  <c r="R34" i="9" s="1"/>
  <c r="P58" i="9"/>
  <c r="Q58" i="9"/>
  <c r="R58" i="9" s="1"/>
  <c r="Q80" i="9"/>
  <c r="R80" i="9" s="1"/>
  <c r="P80" i="9"/>
  <c r="P98" i="9"/>
  <c r="Q98" i="9"/>
  <c r="R98" i="9" s="1"/>
  <c r="P191" i="9"/>
  <c r="Q191" i="9"/>
  <c r="R191" i="9" s="1"/>
  <c r="Q229" i="9"/>
  <c r="R229" i="9" s="1"/>
  <c r="P229" i="9"/>
  <c r="Q78" i="9"/>
  <c r="R78" i="9" s="1"/>
  <c r="P78" i="9"/>
  <c r="Q152" i="9"/>
  <c r="R152" i="9" s="1"/>
  <c r="P152" i="9"/>
  <c r="Q186" i="9"/>
  <c r="R186" i="9" s="1"/>
  <c r="P186" i="9"/>
  <c r="P91" i="9"/>
  <c r="Q91" i="9"/>
  <c r="R91" i="9" s="1"/>
  <c r="P200" i="9"/>
  <c r="Q200" i="9"/>
  <c r="R200" i="9" s="1"/>
  <c r="P248" i="9"/>
  <c r="Q248" i="9"/>
  <c r="R248" i="9" s="1"/>
  <c r="Q288" i="9"/>
  <c r="R288" i="9" s="1"/>
  <c r="P288" i="9"/>
  <c r="Q95" i="9"/>
  <c r="R95" i="9" s="1"/>
  <c r="P95" i="9"/>
  <c r="Q234" i="9"/>
  <c r="R234" i="9" s="1"/>
  <c r="P234" i="9"/>
  <c r="Q119" i="9"/>
  <c r="R119" i="9" s="1"/>
  <c r="P119" i="9"/>
  <c r="Q8" i="9"/>
  <c r="R8" i="9" s="1"/>
  <c r="P8" i="9"/>
  <c r="Q18" i="9"/>
  <c r="R18" i="9" s="1"/>
  <c r="P18" i="9"/>
  <c r="P62" i="9"/>
  <c r="Q62" i="9"/>
  <c r="R62" i="9" s="1"/>
  <c r="P64" i="9"/>
  <c r="P88" i="9"/>
  <c r="P104" i="9"/>
  <c r="Q104" i="9"/>
  <c r="R104" i="9" s="1"/>
  <c r="P161" i="9"/>
  <c r="Q161" i="9"/>
  <c r="R161" i="9" s="1"/>
  <c r="Q177" i="9"/>
  <c r="R177" i="9" s="1"/>
  <c r="P177" i="9"/>
  <c r="Q261" i="9"/>
  <c r="R261" i="9" s="1"/>
  <c r="P261" i="9"/>
  <c r="Q304" i="9"/>
  <c r="R304" i="9" s="1"/>
  <c r="P304" i="9"/>
  <c r="Q21" i="9"/>
  <c r="R21" i="9" s="1"/>
  <c r="P21" i="9"/>
  <c r="P43" i="9"/>
  <c r="Q43" i="9"/>
  <c r="R43" i="9" s="1"/>
  <c r="P132" i="9"/>
  <c r="Q132" i="9"/>
  <c r="R132" i="9" s="1"/>
  <c r="Q148" i="9"/>
  <c r="R148" i="9" s="1"/>
  <c r="P148" i="9"/>
  <c r="P218" i="9"/>
  <c r="Q218" i="9"/>
  <c r="R218" i="9" s="1"/>
  <c r="Q241" i="9"/>
  <c r="R241" i="9" s="1"/>
  <c r="P241" i="9"/>
  <c r="Q56" i="9"/>
  <c r="R56" i="9" s="1"/>
  <c r="P56" i="9"/>
  <c r="Q123" i="9"/>
  <c r="R123" i="9" s="1"/>
  <c r="P123" i="9"/>
  <c r="P170" i="9"/>
  <c r="Q170" i="9"/>
  <c r="R170" i="9" s="1"/>
  <c r="P209" i="9"/>
  <c r="Q209" i="9"/>
  <c r="R209" i="9" s="1"/>
  <c r="Q309" i="9"/>
  <c r="R309" i="9" s="1"/>
  <c r="P309" i="9"/>
  <c r="Q45" i="9"/>
  <c r="R45" i="9" s="1"/>
  <c r="P45" i="9"/>
  <c r="P38" i="9"/>
  <c r="Q38" i="9"/>
  <c r="R38" i="9" s="1"/>
  <c r="Q82" i="9"/>
  <c r="R82" i="9" s="1"/>
  <c r="P82" i="9"/>
  <c r="P84" i="9"/>
  <c r="P102" i="9"/>
  <c r="Q102" i="9"/>
  <c r="R102" i="9" s="1"/>
  <c r="Q143" i="9"/>
  <c r="R143" i="9" s="1"/>
  <c r="P143" i="9"/>
  <c r="Q193" i="9"/>
  <c r="R193" i="9" s="1"/>
  <c r="P193" i="9"/>
  <c r="P286" i="9"/>
  <c r="Q286" i="9"/>
  <c r="R286" i="9" s="1"/>
  <c r="P141" i="9"/>
  <c r="Q141" i="9"/>
  <c r="R141" i="9" s="1"/>
  <c r="Q16" i="9"/>
  <c r="R16" i="9" s="1"/>
  <c r="P16" i="9"/>
  <c r="P60" i="9"/>
  <c r="Q60" i="9"/>
  <c r="R60" i="9" s="1"/>
  <c r="P100" i="9"/>
  <c r="Q100" i="9"/>
  <c r="R100" i="9" s="1"/>
  <c r="Q175" i="9"/>
  <c r="R175" i="9" s="1"/>
  <c r="P175" i="9"/>
  <c r="P196" i="9"/>
  <c r="Q196" i="9"/>
  <c r="R196" i="9" s="1"/>
  <c r="P211" i="9"/>
  <c r="Q211" i="9"/>
  <c r="R211" i="9" s="1"/>
  <c r="P279" i="9"/>
  <c r="Q279" i="9"/>
  <c r="R279" i="9" s="1"/>
  <c r="Q297" i="9"/>
  <c r="R297" i="9" s="1"/>
  <c r="P297" i="9"/>
  <c r="Q299" i="9"/>
  <c r="R299" i="9" s="1"/>
  <c r="P302" i="9"/>
  <c r="Q302" i="9"/>
  <c r="R302" i="9" s="1"/>
  <c r="P128" i="9"/>
  <c r="Q130" i="9"/>
  <c r="R130" i="9" s="1"/>
  <c r="P157" i="9"/>
  <c r="P164" i="9"/>
  <c r="P205" i="9"/>
  <c r="Q207" i="9"/>
  <c r="R207" i="9" s="1"/>
  <c r="Q239" i="9"/>
  <c r="R239" i="9" s="1"/>
  <c r="P273" i="9"/>
  <c r="Q284" i="9"/>
  <c r="R284" i="9" s="1"/>
  <c r="P4" i="9"/>
  <c r="Q6" i="9"/>
  <c r="R6" i="9" s="1"/>
  <c r="P67" i="9"/>
  <c r="P115" i="9"/>
  <c r="P155" i="9"/>
  <c r="P173" i="9"/>
  <c r="Q182" i="9"/>
  <c r="R182" i="9" s="1"/>
  <c r="Q246" i="9"/>
  <c r="R246" i="9" s="1"/>
  <c r="P255" i="9"/>
  <c r="P264" i="9"/>
  <c r="P17" i="9"/>
  <c r="Q63" i="9"/>
  <c r="R63" i="9" s="1"/>
  <c r="Q72" i="9"/>
  <c r="R72" i="9" s="1"/>
  <c r="Q83" i="9"/>
  <c r="R83" i="9" s="1"/>
  <c r="P94" i="9"/>
  <c r="Q111" i="9"/>
  <c r="R111" i="9" s="1"/>
  <c r="P122" i="9"/>
  <c r="P137" i="9"/>
  <c r="P142" i="9"/>
  <c r="P144" i="9"/>
  <c r="P151" i="9"/>
  <c r="Q153" i="9"/>
  <c r="R153" i="9" s="1"/>
  <c r="P171" i="9"/>
  <c r="P180" i="9"/>
  <c r="P201" i="9"/>
  <c r="P221" i="9"/>
  <c r="Q230" i="9"/>
  <c r="R230" i="9" s="1"/>
  <c r="P262" i="9"/>
  <c r="Q271" i="9"/>
  <c r="R271" i="9" s="1"/>
  <c r="P289" i="9"/>
  <c r="Q92" i="9"/>
  <c r="R92" i="9" s="1"/>
  <c r="Q160" i="9"/>
  <c r="R160" i="9" s="1"/>
  <c r="Q169" i="9"/>
  <c r="R169" i="9" s="1"/>
  <c r="Q210" i="9"/>
  <c r="R210" i="9" s="1"/>
  <c r="Q219" i="9"/>
  <c r="R219" i="9" s="1"/>
  <c r="P260" i="9"/>
  <c r="P118" i="9"/>
  <c r="Q118" i="9"/>
  <c r="R118" i="9" s="1"/>
  <c r="P25" i="9"/>
  <c r="P65" i="9"/>
  <c r="Q189" i="9"/>
  <c r="R189" i="9" s="1"/>
  <c r="Q42" i="9"/>
  <c r="R42" i="9" s="1"/>
  <c r="Q89" i="9"/>
  <c r="R89" i="9" s="1"/>
  <c r="P89" i="9"/>
  <c r="P163" i="9"/>
  <c r="Q198" i="9"/>
  <c r="R198" i="9" s="1"/>
  <c r="Q215" i="9"/>
  <c r="R215" i="9" s="1"/>
  <c r="Q280" i="9"/>
  <c r="R280" i="9" s="1"/>
  <c r="P280" i="9"/>
  <c r="P146" i="9"/>
  <c r="Q146" i="9"/>
  <c r="R146" i="9" s="1"/>
  <c r="P167" i="9"/>
  <c r="Q167" i="9"/>
  <c r="R167" i="9" s="1"/>
  <c r="Q266" i="9"/>
  <c r="R266" i="9" s="1"/>
  <c r="P266" i="9"/>
  <c r="P74" i="9"/>
  <c r="Q138" i="9"/>
  <c r="P138" i="9"/>
  <c r="P216" i="9"/>
  <c r="Q216" i="9"/>
  <c r="R216" i="9" s="1"/>
  <c r="Q19" i="9"/>
  <c r="R19" i="9" s="1"/>
  <c r="P36" i="9"/>
  <c r="Q51" i="9"/>
  <c r="Q140" i="9"/>
  <c r="R140" i="9" s="1"/>
  <c r="P172" i="9"/>
  <c r="P183" i="9"/>
  <c r="Q236" i="9"/>
  <c r="R236" i="9" s="1"/>
  <c r="P236" i="9"/>
  <c r="Q287" i="9"/>
  <c r="R287" i="9" s="1"/>
  <c r="P287" i="9"/>
  <c r="Q149" i="9"/>
  <c r="R149" i="9" s="1"/>
  <c r="P203" i="9"/>
  <c r="P232" i="9"/>
  <c r="Q232" i="9"/>
  <c r="R232" i="9" s="1"/>
  <c r="P48" i="9"/>
  <c r="Q48" i="9"/>
  <c r="R48" i="9" s="1"/>
  <c r="Q166" i="9"/>
  <c r="R166" i="9" s="1"/>
  <c r="P212" i="9"/>
  <c r="Q187" i="9"/>
  <c r="R187" i="9" s="1"/>
  <c r="P187" i="9"/>
  <c r="Q40" i="9"/>
  <c r="R40" i="9" s="1"/>
  <c r="P40" i="9"/>
  <c r="P195" i="9"/>
  <c r="Q195" i="9"/>
  <c r="R195" i="9" s="1"/>
  <c r="P252" i="9"/>
  <c r="Q252" i="9"/>
  <c r="R252" i="9" s="1"/>
  <c r="P20" i="9"/>
  <c r="Q20" i="9"/>
  <c r="R20" i="9" s="1"/>
  <c r="Q68" i="9"/>
  <c r="R68" i="9" s="1"/>
  <c r="P134" i="9"/>
  <c r="P303" i="9"/>
  <c r="Q303" i="9"/>
  <c r="R303" i="9" s="1"/>
  <c r="Q22" i="9"/>
  <c r="R22" i="9" s="1"/>
  <c r="P69" i="9"/>
  <c r="Q69" i="9"/>
  <c r="R69" i="9" s="1"/>
  <c r="P97" i="9"/>
  <c r="Q97" i="9"/>
  <c r="R97" i="9" s="1"/>
  <c r="Q117" i="9"/>
  <c r="R117" i="9" s="1"/>
  <c r="P244" i="9"/>
  <c r="Q244" i="9"/>
  <c r="R244" i="9" s="1"/>
  <c r="Q292" i="9"/>
  <c r="R292" i="9" s="1"/>
  <c r="P292" i="9"/>
  <c r="Q41" i="9"/>
  <c r="R41" i="9" s="1"/>
  <c r="P61" i="9"/>
  <c r="Q90" i="9"/>
  <c r="R90" i="9" s="1"/>
  <c r="Q139" i="9"/>
  <c r="R139" i="9" s="1"/>
  <c r="P159" i="9"/>
  <c r="Q188" i="9"/>
  <c r="R188" i="9" s="1"/>
  <c r="P208" i="9"/>
  <c r="Q237" i="9"/>
  <c r="R237" i="9" s="1"/>
  <c r="P257" i="9"/>
  <c r="Q291" i="9"/>
  <c r="R291" i="9" s="1"/>
  <c r="Q293" i="9"/>
  <c r="R293" i="9" s="1"/>
  <c r="P259" i="9"/>
  <c r="Q270" i="9"/>
  <c r="R270" i="9" s="1"/>
  <c r="Q272" i="9"/>
  <c r="R272" i="9" s="1"/>
  <c r="Q27" i="9"/>
  <c r="R27" i="9" s="1"/>
  <c r="P47" i="9"/>
  <c r="Q76" i="9"/>
  <c r="R76" i="9" s="1"/>
  <c r="P96" i="9"/>
  <c r="Q125" i="9"/>
  <c r="R125" i="9" s="1"/>
  <c r="P145" i="9"/>
  <c r="Q174" i="9"/>
  <c r="R174" i="9" s="1"/>
  <c r="P194" i="9"/>
  <c r="Q223" i="9"/>
  <c r="R223" i="9" s="1"/>
  <c r="P243" i="9"/>
  <c r="P263" i="9"/>
  <c r="P282" i="9"/>
  <c r="Q305" i="9"/>
  <c r="R305" i="9" s="1"/>
  <c r="Q307" i="9"/>
  <c r="R307" i="9" s="1"/>
  <c r="P294" i="9"/>
  <c r="Q298" i="9"/>
  <c r="R298" i="9" s="1"/>
  <c r="Q300" i="9"/>
  <c r="R300" i="9" s="1"/>
  <c r="Q312" i="9"/>
  <c r="R312" i="9" s="1"/>
  <c r="P312" i="9"/>
  <c r="P107" i="8"/>
  <c r="P36" i="8"/>
  <c r="P216" i="8"/>
  <c r="P31" i="8"/>
  <c r="Q183" i="8"/>
  <c r="R183" i="8" s="1"/>
  <c r="Q89" i="8"/>
  <c r="R89" i="8" s="1"/>
  <c r="Q159" i="8"/>
  <c r="R159" i="8" s="1"/>
  <c r="P68" i="8"/>
  <c r="P178" i="8"/>
  <c r="P211" i="8"/>
  <c r="Q49" i="8"/>
  <c r="R49" i="8" s="1"/>
  <c r="P26" i="8"/>
  <c r="Q102" i="8"/>
  <c r="R102" i="8" s="1"/>
  <c r="Q138" i="8"/>
  <c r="R138" i="8" s="1"/>
  <c r="P24" i="8"/>
  <c r="P47" i="8"/>
  <c r="Q131" i="8"/>
  <c r="R131" i="8" s="1"/>
  <c r="P136" i="8"/>
  <c r="P176" i="8"/>
  <c r="P204" i="8"/>
  <c r="Q209" i="8"/>
  <c r="R209" i="8" s="1"/>
  <c r="Q66" i="8"/>
  <c r="R66" i="8" s="1"/>
  <c r="P100" i="8"/>
  <c r="P134" i="8"/>
  <c r="Q129" i="8"/>
  <c r="R129" i="8" s="1"/>
  <c r="Q207" i="8"/>
  <c r="R207" i="8" s="1"/>
  <c r="P246" i="8"/>
  <c r="Q77" i="8"/>
  <c r="R77" i="8" s="1"/>
  <c r="Q163" i="8"/>
  <c r="R163" i="8" s="1"/>
  <c r="P197" i="8"/>
  <c r="Q40" i="8"/>
  <c r="R40" i="8" s="1"/>
  <c r="P119" i="8"/>
  <c r="Q187" i="8"/>
  <c r="R187" i="8" s="1"/>
  <c r="Q239" i="8"/>
  <c r="R239" i="8" s="1"/>
  <c r="Q244" i="8"/>
  <c r="R244" i="8" s="1"/>
  <c r="Q223" i="8"/>
  <c r="R223" i="8" s="1"/>
  <c r="Q11" i="8"/>
  <c r="R11" i="8" s="1"/>
  <c r="P22" i="8"/>
  <c r="Q214" i="8"/>
  <c r="R214" i="8" s="1"/>
  <c r="Q79" i="8"/>
  <c r="R79" i="8" s="1"/>
  <c r="Q149" i="8"/>
  <c r="R149" i="8" s="1"/>
  <c r="Q9" i="8"/>
  <c r="R9" i="8" s="1"/>
  <c r="P98" i="8"/>
  <c r="Q147" i="8"/>
  <c r="R147" i="8" s="1"/>
  <c r="P96" i="8"/>
  <c r="P142" i="8"/>
  <c r="Q192" i="8"/>
  <c r="R192" i="8" s="1"/>
  <c r="P28" i="8"/>
  <c r="P38" i="8"/>
  <c r="P117" i="8"/>
  <c r="Q185" i="8"/>
  <c r="R185" i="8" s="1"/>
  <c r="P190" i="8"/>
  <c r="Q109" i="8"/>
  <c r="R109" i="8" s="1"/>
  <c r="Q5" i="8"/>
  <c r="R5" i="8" s="1"/>
  <c r="P29" i="8"/>
  <c r="P43" i="8"/>
  <c r="Q64" i="8"/>
  <c r="R64" i="8" s="1"/>
  <c r="Q87" i="8"/>
  <c r="R87" i="8" s="1"/>
  <c r="P127" i="8"/>
  <c r="Q141" i="8"/>
  <c r="R141" i="8" s="1"/>
  <c r="Q155" i="8"/>
  <c r="R155" i="8" s="1"/>
  <c r="Q157" i="8"/>
  <c r="R157" i="8" s="1"/>
  <c r="P169" i="8"/>
  <c r="P188" i="8"/>
  <c r="P205" i="8"/>
  <c r="P50" i="8"/>
  <c r="P62" i="8"/>
  <c r="P80" i="8"/>
  <c r="P85" i="8"/>
  <c r="Q92" i="8"/>
  <c r="R92" i="8" s="1"/>
  <c r="P148" i="8"/>
  <c r="P162" i="8"/>
  <c r="P184" i="8"/>
  <c r="Q186" i="8"/>
  <c r="R186" i="8" s="1"/>
  <c r="Q238" i="8"/>
  <c r="R238" i="8" s="1"/>
  <c r="P240" i="8"/>
  <c r="P41" i="8"/>
  <c r="Q78" i="8"/>
  <c r="R78" i="8" s="1"/>
  <c r="P99" i="8"/>
  <c r="P106" i="8"/>
  <c r="P125" i="8"/>
  <c r="Q146" i="8"/>
  <c r="R146" i="8" s="1"/>
  <c r="P167" i="8"/>
  <c r="Q182" i="8"/>
  <c r="R182" i="8" s="1"/>
  <c r="P231" i="8"/>
  <c r="Q39" i="8"/>
  <c r="R39" i="8" s="1"/>
  <c r="P118" i="8"/>
  <c r="P120" i="8"/>
  <c r="P229" i="8"/>
  <c r="P236" i="8"/>
  <c r="Q45" i="8"/>
  <c r="R45" i="8" s="1"/>
  <c r="P57" i="8"/>
  <c r="Q94" i="8"/>
  <c r="R94" i="8" s="1"/>
  <c r="Q60" i="8"/>
  <c r="R60" i="8" s="1"/>
  <c r="P71" i="8"/>
  <c r="P196" i="8"/>
  <c r="P217" i="8"/>
  <c r="P245" i="8"/>
  <c r="Q37" i="8"/>
  <c r="R37" i="8" s="1"/>
  <c r="Q53" i="8"/>
  <c r="R53" i="8" s="1"/>
  <c r="Q69" i="8"/>
  <c r="R69" i="8" s="1"/>
  <c r="Q104" i="8"/>
  <c r="R104" i="8" s="1"/>
  <c r="Q144" i="8"/>
  <c r="R144" i="8" s="1"/>
  <c r="Q180" i="8"/>
  <c r="R180" i="8" s="1"/>
  <c r="P213" i="8"/>
  <c r="Q215" i="8"/>
  <c r="R215" i="8" s="1"/>
  <c r="Q227" i="8"/>
  <c r="R227" i="8" s="1"/>
  <c r="P7" i="8"/>
  <c r="P6" i="8"/>
  <c r="P13" i="8"/>
  <c r="P58" i="8"/>
  <c r="P140" i="8"/>
  <c r="P156" i="8"/>
  <c r="Q158" i="8"/>
  <c r="R158" i="8" s="1"/>
  <c r="P225" i="8"/>
  <c r="Q263" i="8"/>
  <c r="R263" i="8" s="1"/>
  <c r="Q115" i="8"/>
  <c r="R115" i="8" s="1"/>
  <c r="Q242" i="8"/>
  <c r="R242" i="8" s="1"/>
  <c r="P51" i="8"/>
  <c r="Q81" i="8"/>
  <c r="R81" i="8" s="1"/>
  <c r="Q10" i="8"/>
  <c r="R10" i="8" s="1"/>
  <c r="P10" i="8"/>
  <c r="P310" i="8"/>
  <c r="P281" i="8"/>
  <c r="P301" i="8"/>
  <c r="P296" i="8"/>
  <c r="P283" i="8"/>
  <c r="P258" i="8"/>
  <c r="P25" i="8"/>
  <c r="Q25" i="8"/>
  <c r="Q23" i="8"/>
  <c r="R23" i="8" s="1"/>
  <c r="P23" i="8"/>
  <c r="Q97" i="8"/>
  <c r="R97" i="8" s="1"/>
  <c r="P97" i="8"/>
  <c r="Q210" i="8"/>
  <c r="R210" i="8" s="1"/>
  <c r="P210" i="8"/>
  <c r="P116" i="8"/>
  <c r="Q116" i="8"/>
  <c r="R116" i="8" s="1"/>
  <c r="Q175" i="8"/>
  <c r="R175" i="8" s="1"/>
  <c r="P175" i="8"/>
  <c r="P285" i="8"/>
  <c r="P173" i="8"/>
  <c r="Q173" i="8"/>
  <c r="R173" i="8" s="1"/>
  <c r="Q84" i="8"/>
  <c r="R84" i="8" s="1"/>
  <c r="P84" i="8"/>
  <c r="Q299" i="8"/>
  <c r="P299" i="8"/>
  <c r="Q12" i="8"/>
  <c r="R12" i="8" s="1"/>
  <c r="P12" i="8"/>
  <c r="P194" i="8"/>
  <c r="P289" i="8"/>
  <c r="P70" i="8"/>
  <c r="Q177" i="8"/>
  <c r="R177" i="8" s="1"/>
  <c r="P177" i="8"/>
  <c r="P95" i="8"/>
  <c r="Q95" i="8"/>
  <c r="Q112" i="8"/>
  <c r="P112" i="8"/>
  <c r="Q164" i="8"/>
  <c r="R164" i="8" s="1"/>
  <c r="P164" i="8"/>
  <c r="Q208" i="8"/>
  <c r="R208" i="8" s="1"/>
  <c r="P208" i="8"/>
  <c r="Q8" i="8"/>
  <c r="R8" i="8" s="1"/>
  <c r="P8" i="8"/>
  <c r="Q34" i="8"/>
  <c r="R34" i="8" s="1"/>
  <c r="P34" i="8"/>
  <c r="P288" i="8"/>
  <c r="P302" i="8"/>
  <c r="P294" i="8"/>
  <c r="P267" i="8"/>
  <c r="P265" i="8"/>
  <c r="P232" i="8"/>
  <c r="P311" i="8"/>
  <c r="P234" i="8"/>
  <c r="P113" i="8"/>
  <c r="P253" i="8"/>
  <c r="P218" i="8"/>
  <c r="P276" i="8"/>
  <c r="P274" i="8"/>
  <c r="P303" i="8"/>
  <c r="P295" i="8"/>
  <c r="P309" i="8"/>
  <c r="Q65" i="8"/>
  <c r="R65" i="8" s="1"/>
  <c r="P65" i="8"/>
  <c r="Q206" i="8"/>
  <c r="R206" i="8" s="1"/>
  <c r="P206" i="8"/>
  <c r="P224" i="8"/>
  <c r="Q224" i="8"/>
  <c r="R224" i="8" s="1"/>
  <c r="P252" i="8"/>
  <c r="P254" i="8"/>
  <c r="Q297" i="8"/>
  <c r="P297" i="8"/>
  <c r="Q63" i="8"/>
  <c r="R63" i="8" s="1"/>
  <c r="P63" i="8"/>
  <c r="P114" i="8"/>
  <c r="Q160" i="8"/>
  <c r="P160" i="8"/>
  <c r="P171" i="8"/>
  <c r="P241" i="8"/>
  <c r="Q241" i="8"/>
  <c r="R241" i="8" s="1"/>
  <c r="P272" i="8"/>
  <c r="P284" i="8"/>
  <c r="Q284" i="8"/>
  <c r="P19" i="8"/>
  <c r="P108" i="8"/>
  <c r="Q237" i="8"/>
  <c r="R237" i="8" s="1"/>
  <c r="P237" i="8"/>
  <c r="Q268" i="8"/>
  <c r="P268" i="8"/>
  <c r="P282" i="8"/>
  <c r="Q282" i="8"/>
  <c r="P306" i="8"/>
  <c r="P17" i="8"/>
  <c r="P74" i="8"/>
  <c r="Q74" i="8"/>
  <c r="R74" i="8" s="1"/>
  <c r="Q91" i="8"/>
  <c r="R91" i="8" s="1"/>
  <c r="P110" i="8"/>
  <c r="Q126" i="8"/>
  <c r="R126" i="8" s="1"/>
  <c r="P126" i="8"/>
  <c r="P137" i="8"/>
  <c r="Q137" i="8"/>
  <c r="R137" i="8" s="1"/>
  <c r="Q152" i="8"/>
  <c r="R152" i="8" s="1"/>
  <c r="P152" i="8"/>
  <c r="P304" i="8"/>
  <c r="P4" i="8"/>
  <c r="P124" i="8"/>
  <c r="Q124" i="8"/>
  <c r="R124" i="8" s="1"/>
  <c r="Q189" i="8"/>
  <c r="R189" i="8" s="1"/>
  <c r="P189" i="8"/>
  <c r="P202" i="8"/>
  <c r="Q4" i="8"/>
  <c r="Q15" i="8"/>
  <c r="R15" i="8" s="1"/>
  <c r="P30" i="8"/>
  <c r="P35" i="8"/>
  <c r="Q198" i="8"/>
  <c r="R198" i="8" s="1"/>
  <c r="P198" i="8"/>
  <c r="Q200" i="8"/>
  <c r="R200" i="8" s="1"/>
  <c r="Q21" i="8"/>
  <c r="R21" i="8" s="1"/>
  <c r="P21" i="8"/>
  <c r="P67" i="8"/>
  <c r="Q67" i="8"/>
  <c r="Q82" i="8"/>
  <c r="R82" i="8" s="1"/>
  <c r="P82" i="8"/>
  <c r="Q93" i="8"/>
  <c r="R93" i="8" s="1"/>
  <c r="P93" i="8"/>
  <c r="Q243" i="8"/>
  <c r="R243" i="8" s="1"/>
  <c r="P243" i="8"/>
  <c r="P270" i="8"/>
  <c r="Q270" i="8"/>
  <c r="Q222" i="8"/>
  <c r="R222" i="8" s="1"/>
  <c r="P222" i="8"/>
  <c r="Q61" i="8"/>
  <c r="R61" i="8" s="1"/>
  <c r="P61" i="8"/>
  <c r="Q139" i="8"/>
  <c r="R139" i="8" s="1"/>
  <c r="P139" i="8"/>
  <c r="Q248" i="8"/>
  <c r="R248" i="8" s="1"/>
  <c r="P248" i="8"/>
  <c r="P280" i="8"/>
  <c r="Q280" i="8"/>
  <c r="P291" i="8"/>
  <c r="Q59" i="8"/>
  <c r="R59" i="8" s="1"/>
  <c r="P59" i="8"/>
  <c r="P76" i="8"/>
  <c r="Q135" i="8"/>
  <c r="R135" i="8" s="1"/>
  <c r="P135" i="8"/>
  <c r="Q220" i="8"/>
  <c r="R220" i="8" s="1"/>
  <c r="P220" i="8"/>
  <c r="Q266" i="8"/>
  <c r="P266" i="8"/>
  <c r="P46" i="8"/>
  <c r="Q46" i="8"/>
  <c r="R46" i="8" s="1"/>
  <c r="P154" i="8"/>
  <c r="P251" i="8"/>
  <c r="Q251" i="8"/>
  <c r="P293" i="8"/>
  <c r="Q32" i="8"/>
  <c r="R32" i="8" s="1"/>
  <c r="Q105" i="8"/>
  <c r="P105" i="8"/>
  <c r="Q150" i="8"/>
  <c r="R150" i="8" s="1"/>
  <c r="P150" i="8"/>
  <c r="P233" i="8"/>
  <c r="Q235" i="8"/>
  <c r="R235" i="8" s="1"/>
  <c r="P278" i="8"/>
  <c r="Q278" i="8"/>
  <c r="P44" i="8"/>
  <c r="Q44" i="8"/>
  <c r="R44" i="8" s="1"/>
  <c r="Q72" i="8"/>
  <c r="R72" i="8" s="1"/>
  <c r="P72" i="8"/>
  <c r="Q103" i="8"/>
  <c r="R103" i="8" s="1"/>
  <c r="P103" i="8"/>
  <c r="P122" i="8"/>
  <c r="Q122" i="8"/>
  <c r="R122" i="8" s="1"/>
  <c r="P133" i="8"/>
  <c r="Q165" i="8"/>
  <c r="R165" i="8" s="1"/>
  <c r="Q181" i="8"/>
  <c r="R181" i="8" s="1"/>
  <c r="P181" i="8"/>
  <c r="P273" i="8"/>
  <c r="P275" i="8"/>
  <c r="Q291" i="8"/>
  <c r="P20" i="8"/>
  <c r="Q42" i="8"/>
  <c r="R42" i="8" s="1"/>
  <c r="P42" i="8"/>
  <c r="P55" i="8"/>
  <c r="P249" i="8"/>
  <c r="Q249" i="8"/>
  <c r="R249" i="8" s="1"/>
  <c r="P262" i="8"/>
  <c r="P264" i="8"/>
  <c r="P307" i="8"/>
  <c r="Q27" i="8"/>
  <c r="R27" i="8" s="1"/>
  <c r="P27" i="8"/>
  <c r="Q86" i="8"/>
  <c r="R86" i="8" s="1"/>
  <c r="P86" i="8"/>
  <c r="Q101" i="8"/>
  <c r="R101" i="8" s="1"/>
  <c r="P101" i="8"/>
  <c r="P179" i="8"/>
  <c r="Q179" i="8"/>
  <c r="R179" i="8" s="1"/>
  <c r="Q212" i="8"/>
  <c r="R212" i="8" s="1"/>
  <c r="P212" i="8"/>
  <c r="P260" i="8"/>
  <c r="P287" i="8"/>
  <c r="Q259" i="8"/>
  <c r="P259" i="8"/>
  <c r="Q54" i="8"/>
  <c r="R54" i="8" s="1"/>
  <c r="P54" i="8"/>
  <c r="P172" i="8"/>
  <c r="Q172" i="8"/>
  <c r="R172" i="8" s="1"/>
  <c r="P228" i="8"/>
  <c r="Q228" i="8"/>
  <c r="R228" i="8" s="1"/>
  <c r="P298" i="8"/>
  <c r="Q170" i="8"/>
  <c r="R170" i="8" s="1"/>
  <c r="P170" i="8"/>
  <c r="Q308" i="8"/>
  <c r="P308" i="8"/>
  <c r="P33" i="8"/>
  <c r="P48" i="8"/>
  <c r="Q143" i="8"/>
  <c r="R143" i="8" s="1"/>
  <c r="P145" i="8"/>
  <c r="P247" i="8"/>
  <c r="P255" i="8"/>
  <c r="P257" i="8"/>
  <c r="Q279" i="8"/>
  <c r="P279" i="8"/>
  <c r="P286" i="8"/>
  <c r="P292" i="8"/>
  <c r="P300" i="8"/>
  <c r="P14" i="8"/>
  <c r="Q16" i="8"/>
  <c r="R16" i="8" s="1"/>
  <c r="Q35" i="8"/>
  <c r="P56" i="8"/>
  <c r="Q73" i="8"/>
  <c r="R73" i="8" s="1"/>
  <c r="Q75" i="8"/>
  <c r="R75" i="8" s="1"/>
  <c r="Q83" i="8"/>
  <c r="R83" i="8" s="1"/>
  <c r="P83" i="8"/>
  <c r="P90" i="8"/>
  <c r="P111" i="8"/>
  <c r="P123" i="8"/>
  <c r="Q123" i="8"/>
  <c r="R123" i="8" s="1"/>
  <c r="P128" i="8"/>
  <c r="P153" i="8"/>
  <c r="Q166" i="8"/>
  <c r="R166" i="8" s="1"/>
  <c r="P174" i="8"/>
  <c r="Q191" i="8"/>
  <c r="R191" i="8" s="1"/>
  <c r="P195" i="8"/>
  <c r="P203" i="8"/>
  <c r="P221" i="8"/>
  <c r="Q221" i="8"/>
  <c r="R221" i="8" s="1"/>
  <c r="P226" i="8"/>
  <c r="Q250" i="8"/>
  <c r="R250" i="8" s="1"/>
  <c r="P250" i="8"/>
  <c r="Q261" i="8"/>
  <c r="R261" i="8" s="1"/>
  <c r="P269" i="8"/>
  <c r="P271" i="8"/>
  <c r="P277" i="8"/>
  <c r="Q277" i="8"/>
  <c r="Q298" i="8"/>
  <c r="P88" i="8"/>
  <c r="Q230" i="8"/>
  <c r="R230" i="8" s="1"/>
  <c r="P230" i="8"/>
  <c r="P290" i="8"/>
  <c r="Q201" i="8"/>
  <c r="R201" i="8" s="1"/>
  <c r="P201" i="8"/>
  <c r="Q132" i="8"/>
  <c r="R132" i="8" s="1"/>
  <c r="P132" i="8"/>
  <c r="Q199" i="8"/>
  <c r="R199" i="8" s="1"/>
  <c r="P199" i="8"/>
  <c r="Q88" i="8"/>
  <c r="Q193" i="8"/>
  <c r="R193" i="8" s="1"/>
  <c r="Q18" i="8"/>
  <c r="R18" i="8" s="1"/>
  <c r="P52" i="8"/>
  <c r="Q121" i="8"/>
  <c r="R121" i="8" s="1"/>
  <c r="P121" i="8"/>
  <c r="Q130" i="8"/>
  <c r="R130" i="8" s="1"/>
  <c r="Q151" i="8"/>
  <c r="R151" i="8" s="1"/>
  <c r="Q161" i="8"/>
  <c r="R161" i="8" s="1"/>
  <c r="P161" i="8"/>
  <c r="P168" i="8"/>
  <c r="Q219" i="8"/>
  <c r="R219" i="8" s="1"/>
  <c r="P219" i="8"/>
  <c r="P312" i="8"/>
  <c r="P256" i="8"/>
  <c r="P305" i="8"/>
  <c r="P145" i="7"/>
  <c r="P257" i="7"/>
  <c r="P285" i="7"/>
  <c r="P232" i="7"/>
  <c r="P291" i="7"/>
  <c r="P305" i="7"/>
  <c r="P266" i="7"/>
  <c r="P280" i="7"/>
  <c r="P308" i="7"/>
  <c r="P272" i="7"/>
  <c r="P113" i="7"/>
  <c r="P281" i="7"/>
  <c r="P270" i="7"/>
  <c r="P284" i="7"/>
  <c r="P312" i="7"/>
  <c r="P194" i="7"/>
  <c r="P301" i="7"/>
  <c r="P195" i="7"/>
  <c r="P251" i="7"/>
  <c r="P265" i="7"/>
  <c r="P293" i="7"/>
  <c r="P307" i="7"/>
  <c r="Q232" i="7"/>
  <c r="P199" i="7"/>
  <c r="P138" i="7"/>
  <c r="Q130" i="7"/>
  <c r="R130" i="7" s="1"/>
  <c r="Q122" i="7"/>
  <c r="R122" i="7" s="1"/>
  <c r="Q99" i="7"/>
  <c r="R99" i="7" s="1"/>
  <c r="Q136" i="7"/>
  <c r="R136" i="7" s="1"/>
  <c r="P225" i="7"/>
  <c r="P51" i="7"/>
  <c r="Q220" i="7"/>
  <c r="R220" i="7" s="1"/>
  <c r="Q270" i="7"/>
  <c r="P101" i="7"/>
  <c r="P120" i="7"/>
  <c r="P115" i="7"/>
  <c r="Q266" i="7"/>
  <c r="Q190" i="7"/>
  <c r="R190" i="7" s="1"/>
  <c r="P289" i="7"/>
  <c r="Q215" i="7"/>
  <c r="R215" i="7" s="1"/>
  <c r="Q64" i="7"/>
  <c r="R64" i="7" s="1"/>
  <c r="P108" i="7"/>
  <c r="Q280" i="7"/>
  <c r="Q113" i="7"/>
  <c r="P126" i="7"/>
  <c r="Q194" i="7"/>
  <c r="P87" i="7"/>
  <c r="P234" i="7"/>
  <c r="Q236" i="7"/>
  <c r="R236" i="7" s="1"/>
  <c r="Q60" i="7"/>
  <c r="R60" i="7" s="1"/>
  <c r="P156" i="7"/>
  <c r="Q308" i="7"/>
  <c r="P14" i="7"/>
  <c r="Q71" i="7"/>
  <c r="R71" i="7" s="1"/>
  <c r="Q106" i="7"/>
  <c r="R106" i="7" s="1"/>
  <c r="Q181" i="7"/>
  <c r="R181" i="7" s="1"/>
  <c r="Q211" i="7"/>
  <c r="R211" i="7" s="1"/>
  <c r="Q245" i="7"/>
  <c r="R245" i="7" s="1"/>
  <c r="Q140" i="7"/>
  <c r="R140" i="7" s="1"/>
  <c r="Q176" i="7"/>
  <c r="R176" i="7" s="1"/>
  <c r="P227" i="7"/>
  <c r="Q53" i="7"/>
  <c r="R53" i="7" s="1"/>
  <c r="Q83" i="7"/>
  <c r="R83" i="7" s="1"/>
  <c r="Q85" i="7"/>
  <c r="R85" i="7" s="1"/>
  <c r="Q151" i="7"/>
  <c r="R151" i="7" s="1"/>
  <c r="P183" i="7"/>
  <c r="P128" i="7"/>
  <c r="P162" i="7"/>
  <c r="Q178" i="7"/>
  <c r="R178" i="7" s="1"/>
  <c r="Q291" i="7"/>
  <c r="P12" i="7"/>
  <c r="P49" i="7"/>
  <c r="Q94" i="7"/>
  <c r="R94" i="7" s="1"/>
  <c r="P147" i="7"/>
  <c r="P171" i="7"/>
  <c r="Q62" i="7"/>
  <c r="R62" i="7" s="1"/>
  <c r="Q124" i="7"/>
  <c r="R124" i="7" s="1"/>
  <c r="P192" i="7"/>
  <c r="P213" i="7"/>
  <c r="P218" i="7"/>
  <c r="P268" i="7"/>
  <c r="P47" i="7"/>
  <c r="P117" i="7"/>
  <c r="Q142" i="7"/>
  <c r="R142" i="7" s="1"/>
  <c r="P23" i="7"/>
  <c r="Q92" i="7"/>
  <c r="R92" i="7" s="1"/>
  <c r="P169" i="7"/>
  <c r="P40" i="7"/>
  <c r="P129" i="7"/>
  <c r="P10" i="7"/>
  <c r="P19" i="7"/>
  <c r="P79" i="7"/>
  <c r="Q81" i="7"/>
  <c r="R81" i="7" s="1"/>
  <c r="Q104" i="7"/>
  <c r="R104" i="7" s="1"/>
  <c r="Q127" i="7"/>
  <c r="R127" i="7" s="1"/>
  <c r="P134" i="7"/>
  <c r="Q145" i="7"/>
  <c r="Q161" i="7"/>
  <c r="R161" i="7" s="1"/>
  <c r="Q170" i="7"/>
  <c r="R170" i="7" s="1"/>
  <c r="P197" i="7"/>
  <c r="P204" i="7"/>
  <c r="Q206" i="7"/>
  <c r="R206" i="7" s="1"/>
  <c r="Q239" i="7"/>
  <c r="R239" i="7" s="1"/>
  <c r="P241" i="7"/>
  <c r="Q257" i="7"/>
  <c r="P264" i="7"/>
  <c r="P273" i="7"/>
  <c r="P299" i="7"/>
  <c r="P17" i="7"/>
  <c r="P38" i="7"/>
  <c r="P65" i="7"/>
  <c r="P77" i="7"/>
  <c r="Q95" i="7"/>
  <c r="R95" i="7" s="1"/>
  <c r="P141" i="7"/>
  <c r="P143" i="7"/>
  <c r="P159" i="7"/>
  <c r="P175" i="7"/>
  <c r="P177" i="7"/>
  <c r="Q179" i="7"/>
  <c r="R179" i="7" s="1"/>
  <c r="Q195" i="7"/>
  <c r="Q230" i="7"/>
  <c r="R230" i="7" s="1"/>
  <c r="P250" i="7"/>
  <c r="P255" i="7"/>
  <c r="P262" i="7"/>
  <c r="P271" i="7"/>
  <c r="Q285" i="7"/>
  <c r="P8" i="7"/>
  <c r="Q63" i="7"/>
  <c r="R63" i="7" s="1"/>
  <c r="Q93" i="7"/>
  <c r="R93" i="7" s="1"/>
  <c r="P150" i="7"/>
  <c r="P166" i="7"/>
  <c r="P260" i="7"/>
  <c r="P269" i="7"/>
  <c r="P290" i="7"/>
  <c r="P297" i="7"/>
  <c r="P311" i="7"/>
  <c r="Q243" i="7"/>
  <c r="P15" i="7"/>
  <c r="P24" i="7"/>
  <c r="P52" i="7"/>
  <c r="P61" i="7"/>
  <c r="P157" i="7"/>
  <c r="Q189" i="7"/>
  <c r="R189" i="7" s="1"/>
  <c r="Q202" i="7"/>
  <c r="R202" i="7" s="1"/>
  <c r="P248" i="7"/>
  <c r="P253" i="7"/>
  <c r="P267" i="7"/>
  <c r="P283" i="7"/>
  <c r="P288" i="7"/>
  <c r="P295" i="7"/>
  <c r="P59" i="7"/>
  <c r="Q193" i="7"/>
  <c r="P304" i="7"/>
  <c r="Q22" i="7"/>
  <c r="R22" i="7" s="1"/>
  <c r="P98" i="7"/>
  <c r="P164" i="7"/>
  <c r="Q173" i="7"/>
  <c r="R173" i="7" s="1"/>
  <c r="Q191" i="7"/>
  <c r="R191" i="7" s="1"/>
  <c r="Q228" i="7"/>
  <c r="R228" i="7" s="1"/>
  <c r="P276" i="7"/>
  <c r="P302" i="7"/>
  <c r="P309" i="7"/>
  <c r="Q94" i="6"/>
  <c r="R94" i="6" s="1"/>
  <c r="Q6" i="7"/>
  <c r="R6" i="7" s="1"/>
  <c r="P57" i="7"/>
  <c r="P112" i="7"/>
  <c r="Q148" i="7"/>
  <c r="R148" i="7" s="1"/>
  <c r="P187" i="7"/>
  <c r="Q226" i="7"/>
  <c r="R226" i="7" s="1"/>
  <c r="P246" i="7"/>
  <c r="Q68" i="7"/>
  <c r="R68" i="7" s="1"/>
  <c r="Q89" i="7"/>
  <c r="R89" i="7" s="1"/>
  <c r="Q200" i="7"/>
  <c r="R200" i="7" s="1"/>
  <c r="Q219" i="7"/>
  <c r="R219" i="7" s="1"/>
  <c r="P238" i="7"/>
  <c r="P274" i="7"/>
  <c r="Q281" i="7"/>
  <c r="Q293" i="7"/>
  <c r="Q102" i="7"/>
  <c r="R102" i="7" s="1"/>
  <c r="Q132" i="7"/>
  <c r="R132" i="7" s="1"/>
  <c r="P29" i="7"/>
  <c r="Q50" i="7"/>
  <c r="R50" i="7" s="1"/>
  <c r="P155" i="7"/>
  <c r="P43" i="7"/>
  <c r="P114" i="7"/>
  <c r="Q27" i="7"/>
  <c r="R27" i="7" s="1"/>
  <c r="Q34" i="7"/>
  <c r="P66" i="7"/>
  <c r="P73" i="7"/>
  <c r="P78" i="7"/>
  <c r="P80" i="7"/>
  <c r="Q96" i="7"/>
  <c r="R96" i="7" s="1"/>
  <c r="P110" i="7"/>
  <c r="Q153" i="7"/>
  <c r="R153" i="7" s="1"/>
  <c r="P185" i="7"/>
  <c r="P196" i="7"/>
  <c r="P205" i="7"/>
  <c r="P240" i="7"/>
  <c r="Q244" i="7"/>
  <c r="R244" i="7" s="1"/>
  <c r="Q55" i="7"/>
  <c r="R55" i="7" s="1"/>
  <c r="Q144" i="7"/>
  <c r="Q272" i="7"/>
  <c r="Q16" i="7"/>
  <c r="R16" i="7" s="1"/>
  <c r="P16" i="7"/>
  <c r="Q28" i="7"/>
  <c r="R28" i="7" s="1"/>
  <c r="P28" i="7"/>
  <c r="P76" i="7"/>
  <c r="Q76" i="7"/>
  <c r="R76" i="7" s="1"/>
  <c r="P33" i="7"/>
  <c r="Q100" i="7"/>
  <c r="P100" i="7"/>
  <c r="Q259" i="7"/>
  <c r="P259" i="7"/>
  <c r="Q44" i="7"/>
  <c r="P44" i="7"/>
  <c r="Q82" i="7"/>
  <c r="R82" i="7" s="1"/>
  <c r="P82" i="7"/>
  <c r="P139" i="7"/>
  <c r="Q139" i="7"/>
  <c r="R139" i="7" s="1"/>
  <c r="Q292" i="7"/>
  <c r="P292" i="7"/>
  <c r="P26" i="7"/>
  <c r="Q26" i="7"/>
  <c r="Q58" i="7"/>
  <c r="R58" i="7" s="1"/>
  <c r="P58" i="7"/>
  <c r="Q56" i="7"/>
  <c r="R56" i="7" s="1"/>
  <c r="P56" i="7"/>
  <c r="P167" i="7"/>
  <c r="Q167" i="7"/>
  <c r="R167" i="7" s="1"/>
  <c r="Q210" i="7"/>
  <c r="R210" i="7" s="1"/>
  <c r="P210" i="7"/>
  <c r="Q224" i="7"/>
  <c r="R224" i="7" s="1"/>
  <c r="P224" i="7"/>
  <c r="P88" i="7"/>
  <c r="Q88" i="7"/>
  <c r="P165" i="7"/>
  <c r="Q165" i="7"/>
  <c r="R165" i="7" s="1"/>
  <c r="P286" i="7"/>
  <c r="Q286" i="7"/>
  <c r="Q86" i="7"/>
  <c r="R86" i="7" s="1"/>
  <c r="P86" i="7"/>
  <c r="P242" i="7"/>
  <c r="Q242" i="7"/>
  <c r="R242" i="7" s="1"/>
  <c r="P300" i="7"/>
  <c r="Q300" i="7"/>
  <c r="P20" i="7"/>
  <c r="Q20" i="7"/>
  <c r="Q163" i="7"/>
  <c r="R163" i="7" s="1"/>
  <c r="P163" i="7"/>
  <c r="P31" i="7"/>
  <c r="Q70" i="7"/>
  <c r="P70" i="7"/>
  <c r="Q84" i="7"/>
  <c r="R84" i="7" s="1"/>
  <c r="P84" i="7"/>
  <c r="Q208" i="7"/>
  <c r="R208" i="7" s="1"/>
  <c r="P208" i="7"/>
  <c r="P298" i="7"/>
  <c r="Q298" i="7"/>
  <c r="P294" i="7"/>
  <c r="P235" i="7"/>
  <c r="Q235" i="7"/>
  <c r="R235" i="7" s="1"/>
  <c r="Q263" i="7"/>
  <c r="R263" i="7" s="1"/>
  <c r="P119" i="7"/>
  <c r="Q125" i="7"/>
  <c r="R125" i="7" s="1"/>
  <c r="P91" i="7"/>
  <c r="P180" i="7"/>
  <c r="P182" i="7"/>
  <c r="P198" i="7"/>
  <c r="Q152" i="7"/>
  <c r="R152" i="7" s="1"/>
  <c r="P152" i="7"/>
  <c r="Q203" i="7"/>
  <c r="R203" i="7" s="1"/>
  <c r="P203" i="7"/>
  <c r="Q249" i="7"/>
  <c r="R249" i="7" s="1"/>
  <c r="Q254" i="7"/>
  <c r="P254" i="7"/>
  <c r="Q301" i="7"/>
  <c r="P18" i="7"/>
  <c r="Q18" i="7"/>
  <c r="R18" i="7" s="1"/>
  <c r="P137" i="7"/>
  <c r="Q137" i="7"/>
  <c r="R137" i="7" s="1"/>
  <c r="Q296" i="7"/>
  <c r="P296" i="7"/>
  <c r="P42" i="7"/>
  <c r="Q54" i="7"/>
  <c r="R54" i="7" s="1"/>
  <c r="P54" i="7"/>
  <c r="Q135" i="7"/>
  <c r="R135" i="7" s="1"/>
  <c r="P135" i="7"/>
  <c r="P188" i="7"/>
  <c r="Q188" i="7"/>
  <c r="R188" i="7" s="1"/>
  <c r="P186" i="7"/>
  <c r="Q186" i="7"/>
  <c r="R186" i="7" s="1"/>
  <c r="P36" i="7"/>
  <c r="Q184" i="7"/>
  <c r="R184" i="7" s="1"/>
  <c r="P184" i="7"/>
  <c r="Q222" i="7"/>
  <c r="R222" i="7" s="1"/>
  <c r="P237" i="7"/>
  <c r="Q237" i="7"/>
  <c r="R237" i="7" s="1"/>
  <c r="Q265" i="7"/>
  <c r="Q46" i="7"/>
  <c r="R46" i="7" s="1"/>
  <c r="Q48" i="7"/>
  <c r="R48" i="7" s="1"/>
  <c r="Q105" i="7"/>
  <c r="R105" i="7" s="1"/>
  <c r="P105" i="7"/>
  <c r="P261" i="7"/>
  <c r="Q284" i="7"/>
  <c r="P5" i="7"/>
  <c r="Q11" i="7"/>
  <c r="R11" i="7" s="1"/>
  <c r="P11" i="7"/>
  <c r="P30" i="7"/>
  <c r="P41" i="7"/>
  <c r="Q41" i="7"/>
  <c r="R41" i="7" s="1"/>
  <c r="P72" i="7"/>
  <c r="Q74" i="7"/>
  <c r="R74" i="7" s="1"/>
  <c r="P131" i="7"/>
  <c r="P133" i="7"/>
  <c r="P149" i="7"/>
  <c r="P212" i="7"/>
  <c r="Q233" i="7"/>
  <c r="P233" i="7"/>
  <c r="P278" i="7"/>
  <c r="P282" i="7"/>
  <c r="P7" i="7"/>
  <c r="P39" i="7"/>
  <c r="Q39" i="7"/>
  <c r="R39" i="7" s="1"/>
  <c r="Q103" i="7"/>
  <c r="R103" i="7" s="1"/>
  <c r="P103" i="7"/>
  <c r="Q154" i="7"/>
  <c r="R154" i="7" s="1"/>
  <c r="P154" i="7"/>
  <c r="Q251" i="7"/>
  <c r="P258" i="7"/>
  <c r="Q258" i="7"/>
  <c r="P25" i="7"/>
  <c r="Q37" i="7"/>
  <c r="R37" i="7" s="1"/>
  <c r="P37" i="7"/>
  <c r="P121" i="7"/>
  <c r="Q123" i="7"/>
  <c r="R123" i="7" s="1"/>
  <c r="P168" i="7"/>
  <c r="Q174" i="7"/>
  <c r="R174" i="7" s="1"/>
  <c r="P256" i="7"/>
  <c r="Q256" i="7"/>
  <c r="Q307" i="7"/>
  <c r="P9" i="7"/>
  <c r="Q13" i="7"/>
  <c r="P21" i="7"/>
  <c r="P69" i="7"/>
  <c r="Q69" i="7"/>
  <c r="P107" i="7"/>
  <c r="P67" i="7"/>
  <c r="Q67" i="7"/>
  <c r="Q97" i="7"/>
  <c r="R97" i="7" s="1"/>
  <c r="Q172" i="7"/>
  <c r="P217" i="7"/>
  <c r="Q223" i="7"/>
  <c r="R223" i="7" s="1"/>
  <c r="P229" i="7"/>
  <c r="P231" i="7"/>
  <c r="P247" i="7"/>
  <c r="Q252" i="7"/>
  <c r="P252" i="7"/>
  <c r="P279" i="7"/>
  <c r="Q279" i="7"/>
  <c r="P287" i="7"/>
  <c r="P303" i="7"/>
  <c r="Q305" i="7"/>
  <c r="P216" i="7"/>
  <c r="Q216" i="7"/>
  <c r="R216" i="7" s="1"/>
  <c r="P214" i="7"/>
  <c r="Q214" i="7"/>
  <c r="R214" i="7" s="1"/>
  <c r="Q4" i="7"/>
  <c r="P4" i="7"/>
  <c r="P45" i="7"/>
  <c r="P118" i="7"/>
  <c r="Q118" i="7"/>
  <c r="R118" i="7" s="1"/>
  <c r="Q201" i="7"/>
  <c r="R201" i="7" s="1"/>
  <c r="P201" i="7"/>
  <c r="P277" i="7"/>
  <c r="Q277" i="7"/>
  <c r="P35" i="7"/>
  <c r="Q75" i="7"/>
  <c r="R75" i="7" s="1"/>
  <c r="P90" i="7"/>
  <c r="Q90" i="7"/>
  <c r="R90" i="7" s="1"/>
  <c r="P116" i="7"/>
  <c r="Q116" i="7"/>
  <c r="R116" i="7" s="1"/>
  <c r="Q146" i="7"/>
  <c r="R146" i="7" s="1"/>
  <c r="Q221" i="7"/>
  <c r="R221" i="7" s="1"/>
  <c r="Q275" i="7"/>
  <c r="P275" i="7"/>
  <c r="Q306" i="7"/>
  <c r="P306" i="7"/>
  <c r="P32" i="7"/>
  <c r="Q109" i="7"/>
  <c r="R109" i="7" s="1"/>
  <c r="Q111" i="7"/>
  <c r="R111" i="7" s="1"/>
  <c r="Q158" i="7"/>
  <c r="R158" i="7" s="1"/>
  <c r="Q160" i="7"/>
  <c r="R160" i="7" s="1"/>
  <c r="Q207" i="7"/>
  <c r="R207" i="7" s="1"/>
  <c r="Q209" i="7"/>
  <c r="R209" i="7" s="1"/>
  <c r="P310" i="7"/>
  <c r="Q312" i="7"/>
  <c r="P299" i="6"/>
  <c r="P35" i="6"/>
  <c r="P42" i="6"/>
  <c r="P25" i="6"/>
  <c r="P192" i="6"/>
  <c r="Q216" i="6"/>
  <c r="R216" i="6" s="1"/>
  <c r="P33" i="6"/>
  <c r="Q170" i="6"/>
  <c r="R170" i="6" s="1"/>
  <c r="P261" i="6"/>
  <c r="P297" i="6"/>
  <c r="Q154" i="6"/>
  <c r="R154" i="6" s="1"/>
  <c r="P229" i="6"/>
  <c r="P243" i="6"/>
  <c r="P254" i="6"/>
  <c r="P38" i="6"/>
  <c r="P44" i="6"/>
  <c r="P63" i="6"/>
  <c r="P68" i="6"/>
  <c r="Q125" i="6"/>
  <c r="R125" i="6" s="1"/>
  <c r="P206" i="6"/>
  <c r="Q111" i="6"/>
  <c r="R111" i="6" s="1"/>
  <c r="P106" i="6"/>
  <c r="Q279" i="6"/>
  <c r="R279" i="6" s="1"/>
  <c r="P50" i="6"/>
  <c r="Q136" i="6"/>
  <c r="R136" i="6" s="1"/>
  <c r="Q158" i="6"/>
  <c r="R158" i="6" s="1"/>
  <c r="P77" i="6"/>
  <c r="P191" i="6"/>
  <c r="Q223" i="6"/>
  <c r="R223" i="6" s="1"/>
  <c r="P255" i="6"/>
  <c r="Q96" i="6"/>
  <c r="R96" i="6" s="1"/>
  <c r="P134" i="6"/>
  <c r="P309" i="6"/>
  <c r="Q64" i="6"/>
  <c r="R64" i="6" s="1"/>
  <c r="P189" i="6"/>
  <c r="Q202" i="6"/>
  <c r="R202" i="6" s="1"/>
  <c r="Q218" i="6"/>
  <c r="R218" i="6" s="1"/>
  <c r="P234" i="6"/>
  <c r="P304" i="6"/>
  <c r="P129" i="6"/>
  <c r="Q16" i="6"/>
  <c r="R16" i="6" s="1"/>
  <c r="Q27" i="6"/>
  <c r="R27" i="6" s="1"/>
  <c r="P105" i="6"/>
  <c r="P140" i="6"/>
  <c r="Q263" i="6"/>
  <c r="R263" i="6" s="1"/>
  <c r="P45" i="6"/>
  <c r="Q278" i="6"/>
  <c r="R278" i="6" s="1"/>
  <c r="P31" i="6"/>
  <c r="P123" i="6"/>
  <c r="Q143" i="6"/>
  <c r="R143" i="6" s="1"/>
  <c r="P227" i="6"/>
  <c r="Q252" i="6"/>
  <c r="R252" i="6" s="1"/>
  <c r="P273" i="6"/>
  <c r="P288" i="6"/>
  <c r="P296" i="6"/>
  <c r="Q53" i="6"/>
  <c r="R53" i="6" s="1"/>
  <c r="P98" i="6"/>
  <c r="Q115" i="6"/>
  <c r="R115" i="6" s="1"/>
  <c r="Q151" i="6"/>
  <c r="R151" i="6" s="1"/>
  <c r="P172" i="6"/>
  <c r="Q195" i="6"/>
  <c r="R195" i="6" s="1"/>
  <c r="P220" i="6"/>
  <c r="P222" i="6"/>
  <c r="P283" i="6"/>
  <c r="Q81" i="6"/>
  <c r="R81" i="6" s="1"/>
  <c r="Q86" i="6"/>
  <c r="R86" i="6" s="1"/>
  <c r="P91" i="6"/>
  <c r="Q113" i="6"/>
  <c r="R113" i="6" s="1"/>
  <c r="P180" i="6"/>
  <c r="P213" i="6"/>
  <c r="Q257" i="6"/>
  <c r="R257" i="6" s="1"/>
  <c r="Q269" i="6"/>
  <c r="R269" i="6" s="1"/>
  <c r="Q271" i="6"/>
  <c r="R271" i="6" s="1"/>
  <c r="P281" i="6"/>
  <c r="P311" i="6"/>
  <c r="Q42" i="6"/>
  <c r="P52" i="6"/>
  <c r="P80" i="6"/>
  <c r="P85" i="6"/>
  <c r="Q87" i="6"/>
  <c r="R87" i="6" s="1"/>
  <c r="Q114" i="6"/>
  <c r="R114" i="6" s="1"/>
  <c r="P127" i="6"/>
  <c r="Q150" i="6"/>
  <c r="R150" i="6" s="1"/>
  <c r="Q194" i="6"/>
  <c r="R194" i="6" s="1"/>
  <c r="P212" i="6"/>
  <c r="P214" i="6"/>
  <c r="Q221" i="6"/>
  <c r="R221" i="6" s="1"/>
  <c r="Q241" i="6"/>
  <c r="R241" i="6" s="1"/>
  <c r="Q270" i="6"/>
  <c r="R270" i="6" s="1"/>
  <c r="P282" i="6"/>
  <c r="Q35" i="6"/>
  <c r="P40" i="6"/>
  <c r="Q60" i="6"/>
  <c r="R60" i="6" s="1"/>
  <c r="P70" i="6"/>
  <c r="P107" i="6"/>
  <c r="P163" i="6"/>
  <c r="P239" i="6"/>
  <c r="P4" i="6"/>
  <c r="P9" i="6"/>
  <c r="Q20" i="6"/>
  <c r="R20" i="6" s="1"/>
  <c r="Q130" i="6"/>
  <c r="R130" i="6" s="1"/>
  <c r="Q161" i="6"/>
  <c r="R161" i="6" s="1"/>
  <c r="Q174" i="6"/>
  <c r="R174" i="6" s="1"/>
  <c r="P259" i="6"/>
  <c r="Q76" i="6"/>
  <c r="R76" i="6" s="1"/>
  <c r="Q200" i="6"/>
  <c r="R200" i="6" s="1"/>
  <c r="P250" i="6"/>
  <c r="Q51" i="6"/>
  <c r="R51" i="6" s="1"/>
  <c r="P108" i="6"/>
  <c r="Q301" i="6"/>
  <c r="R301" i="6" s="1"/>
  <c r="P57" i="6"/>
  <c r="P92" i="6"/>
  <c r="Q199" i="6"/>
  <c r="R199" i="6" s="1"/>
  <c r="Q204" i="6"/>
  <c r="R204" i="6" s="1"/>
  <c r="Q265" i="6"/>
  <c r="R265" i="6" s="1"/>
  <c r="Q272" i="6"/>
  <c r="R272" i="6" s="1"/>
  <c r="Q117" i="6"/>
  <c r="R117" i="6" s="1"/>
  <c r="P117" i="6"/>
  <c r="Q66" i="6"/>
  <c r="R66" i="6" s="1"/>
  <c r="P66" i="6"/>
  <c r="Q178" i="6"/>
  <c r="R178" i="6" s="1"/>
  <c r="P178" i="6"/>
  <c r="Q231" i="6"/>
  <c r="R231" i="6" s="1"/>
  <c r="P231" i="6"/>
  <c r="Q210" i="6"/>
  <c r="R210" i="6" s="1"/>
  <c r="P210" i="6"/>
  <c r="Q14" i="6"/>
  <c r="R14" i="6" s="1"/>
  <c r="P24" i="6"/>
  <c r="P47" i="6"/>
  <c r="P59" i="6"/>
  <c r="Q61" i="6"/>
  <c r="R61" i="6" s="1"/>
  <c r="Q149" i="6"/>
  <c r="R149" i="6" s="1"/>
  <c r="P149" i="6"/>
  <c r="Q183" i="6"/>
  <c r="R183" i="6" s="1"/>
  <c r="P22" i="6"/>
  <c r="Q73" i="6"/>
  <c r="R73" i="6" s="1"/>
  <c r="P101" i="6"/>
  <c r="P104" i="6"/>
  <c r="Q104" i="6"/>
  <c r="R104" i="6" s="1"/>
  <c r="Q132" i="6"/>
  <c r="R132" i="6" s="1"/>
  <c r="P142" i="6"/>
  <c r="Q171" i="6"/>
  <c r="R171" i="6" s="1"/>
  <c r="P171" i="6"/>
  <c r="Q203" i="6"/>
  <c r="R203" i="6" s="1"/>
  <c r="P203" i="6"/>
  <c r="P248" i="6"/>
  <c r="P280" i="6"/>
  <c r="Q292" i="6"/>
  <c r="R292" i="6" s="1"/>
  <c r="P292" i="6"/>
  <c r="P294" i="6"/>
  <c r="Q233" i="6"/>
  <c r="R233" i="6" s="1"/>
  <c r="P233" i="6"/>
  <c r="Q29" i="6"/>
  <c r="R29" i="6" s="1"/>
  <c r="Q166" i="6"/>
  <c r="R166" i="6" s="1"/>
  <c r="P166" i="6"/>
  <c r="Q276" i="6"/>
  <c r="R276" i="6" s="1"/>
  <c r="P276" i="6"/>
  <c r="Q138" i="6"/>
  <c r="R138" i="6" s="1"/>
  <c r="P138" i="6"/>
  <c r="Q201" i="6"/>
  <c r="R201" i="6" s="1"/>
  <c r="P201" i="6"/>
  <c r="P244" i="6"/>
  <c r="Q244" i="6"/>
  <c r="R244" i="6" s="1"/>
  <c r="Q100" i="6"/>
  <c r="R100" i="6" s="1"/>
  <c r="P100" i="6"/>
  <c r="Q162" i="6"/>
  <c r="R162" i="6" s="1"/>
  <c r="P162" i="6"/>
  <c r="Q208" i="6"/>
  <c r="R208" i="6" s="1"/>
  <c r="Q121" i="6"/>
  <c r="R121" i="6" s="1"/>
  <c r="P153" i="6"/>
  <c r="Q153" i="6"/>
  <c r="R153" i="6" s="1"/>
  <c r="P37" i="6"/>
  <c r="Q37" i="6"/>
  <c r="Q18" i="6"/>
  <c r="R18" i="6" s="1"/>
  <c r="P18" i="6"/>
  <c r="Q102" i="6"/>
  <c r="R102" i="6" s="1"/>
  <c r="P102" i="6"/>
  <c r="P267" i="6"/>
  <c r="Q267" i="6"/>
  <c r="R267" i="6" s="1"/>
  <c r="Q55" i="6"/>
  <c r="R55" i="6" s="1"/>
  <c r="Q147" i="6"/>
  <c r="R147" i="6" s="1"/>
  <c r="P262" i="6"/>
  <c r="Q312" i="6"/>
  <c r="R312" i="6" s="1"/>
  <c r="P312" i="6"/>
  <c r="P7" i="6"/>
  <c r="P13" i="6"/>
  <c r="Q48" i="6"/>
  <c r="R48" i="6" s="1"/>
  <c r="P124" i="6"/>
  <c r="Q124" i="6"/>
  <c r="R124" i="6" s="1"/>
  <c r="P145" i="6"/>
  <c r="Q159" i="6"/>
  <c r="R159" i="6" s="1"/>
  <c r="P232" i="6"/>
  <c r="P242" i="6"/>
  <c r="Q242" i="6"/>
  <c r="R242" i="6" s="1"/>
  <c r="P290" i="6"/>
  <c r="Q25" i="6"/>
  <c r="P72" i="6"/>
  <c r="P79" i="6"/>
  <c r="P126" i="6"/>
  <c r="Q155" i="6"/>
  <c r="R155" i="6" s="1"/>
  <c r="P155" i="6"/>
  <c r="P157" i="6"/>
  <c r="Q185" i="6"/>
  <c r="R185" i="6" s="1"/>
  <c r="P185" i="6"/>
  <c r="P187" i="6"/>
  <c r="Q305" i="6"/>
  <c r="R305" i="6" s="1"/>
  <c r="P305" i="6"/>
  <c r="Q307" i="6"/>
  <c r="R307" i="6" s="1"/>
  <c r="P75" i="6"/>
  <c r="Q75" i="6"/>
  <c r="R75" i="6" s="1"/>
  <c r="Q122" i="6"/>
  <c r="R122" i="6" s="1"/>
  <c r="P122" i="6"/>
  <c r="Q164" i="6"/>
  <c r="R164" i="6" s="1"/>
  <c r="Q225" i="6"/>
  <c r="R225" i="6" s="1"/>
  <c r="P240" i="6"/>
  <c r="Q240" i="6"/>
  <c r="R240" i="6" s="1"/>
  <c r="Q303" i="6"/>
  <c r="R303" i="6" s="1"/>
  <c r="P303" i="6"/>
  <c r="P251" i="6"/>
  <c r="Q251" i="6"/>
  <c r="R251" i="6" s="1"/>
  <c r="P112" i="6"/>
  <c r="Q112" i="6"/>
  <c r="R112" i="6" s="1"/>
  <c r="Q249" i="6"/>
  <c r="R249" i="6" s="1"/>
  <c r="P249" i="6"/>
  <c r="Q266" i="6"/>
  <c r="R266" i="6" s="1"/>
  <c r="P266" i="6"/>
  <c r="P285" i="6"/>
  <c r="Q285" i="6"/>
  <c r="R285" i="6" s="1"/>
  <c r="P196" i="6"/>
  <c r="Q196" i="6"/>
  <c r="R196" i="6" s="1"/>
  <c r="Q205" i="6"/>
  <c r="R205" i="6" s="1"/>
  <c r="P205" i="6"/>
  <c r="Q235" i="6"/>
  <c r="R235" i="6" s="1"/>
  <c r="P235" i="6"/>
  <c r="P300" i="6"/>
  <c r="Q300" i="6"/>
  <c r="R300" i="6" s="1"/>
  <c r="Q175" i="6"/>
  <c r="R175" i="6" s="1"/>
  <c r="P175" i="6"/>
  <c r="Q12" i="6"/>
  <c r="R12" i="6" s="1"/>
  <c r="P12" i="6"/>
  <c r="Q23" i="6"/>
  <c r="R23" i="6" s="1"/>
  <c r="P23" i="6"/>
  <c r="Q119" i="6"/>
  <c r="R119" i="6" s="1"/>
  <c r="P119" i="6"/>
  <c r="Q190" i="6"/>
  <c r="R190" i="6" s="1"/>
  <c r="P190" i="6"/>
  <c r="Q238" i="6"/>
  <c r="R238" i="6" s="1"/>
  <c r="P238" i="6"/>
  <c r="P247" i="6"/>
  <c r="Q247" i="6"/>
  <c r="R247" i="6" s="1"/>
  <c r="Q264" i="6"/>
  <c r="R264" i="6" s="1"/>
  <c r="P264" i="6"/>
  <c r="Q275" i="6"/>
  <c r="R275" i="6" s="1"/>
  <c r="P275" i="6"/>
  <c r="P34" i="6"/>
  <c r="Q34" i="6"/>
  <c r="R34" i="6" s="1"/>
  <c r="P46" i="6"/>
  <c r="P89" i="6"/>
  <c r="P139" i="6"/>
  <c r="Q139" i="6"/>
  <c r="R139" i="6" s="1"/>
  <c r="Q93" i="6"/>
  <c r="R93" i="6" s="1"/>
  <c r="P93" i="6"/>
  <c r="P78" i="6"/>
  <c r="Q78" i="6"/>
  <c r="R78" i="6" s="1"/>
  <c r="P109" i="6"/>
  <c r="Q10" i="6"/>
  <c r="R10" i="6" s="1"/>
  <c r="P10" i="6"/>
  <c r="Q21" i="6"/>
  <c r="R21" i="6" s="1"/>
  <c r="P21" i="6"/>
  <c r="P110" i="6"/>
  <c r="Q110" i="6"/>
  <c r="R110" i="6" s="1"/>
  <c r="Q141" i="6"/>
  <c r="R141" i="6" s="1"/>
  <c r="P141" i="6"/>
  <c r="Q173" i="6"/>
  <c r="R173" i="6" s="1"/>
  <c r="P173" i="6"/>
  <c r="P188" i="6"/>
  <c r="Q188" i="6"/>
  <c r="R188" i="6" s="1"/>
  <c r="P133" i="6"/>
  <c r="Q133" i="6"/>
  <c r="R133" i="6" s="1"/>
  <c r="P277" i="6"/>
  <c r="Q58" i="6"/>
  <c r="R58" i="6" s="1"/>
  <c r="P58" i="6"/>
  <c r="Q83" i="6"/>
  <c r="R83" i="6" s="1"/>
  <c r="Q148" i="6"/>
  <c r="R148" i="6" s="1"/>
  <c r="P148" i="6"/>
  <c r="P298" i="6"/>
  <c r="Q19" i="6"/>
  <c r="R19" i="6" s="1"/>
  <c r="P19" i="6"/>
  <c r="Q156" i="6"/>
  <c r="R156" i="6" s="1"/>
  <c r="P156" i="6"/>
  <c r="Q184" i="6"/>
  <c r="R184" i="6" s="1"/>
  <c r="P184" i="6"/>
  <c r="P245" i="6"/>
  <c r="Q245" i="6"/>
  <c r="R245" i="6" s="1"/>
  <c r="Q30" i="6"/>
  <c r="P30" i="6"/>
  <c r="Q135" i="6"/>
  <c r="R135" i="6" s="1"/>
  <c r="P135" i="6"/>
  <c r="P41" i="6"/>
  <c r="Q41" i="6"/>
  <c r="R41" i="6" s="1"/>
  <c r="Q56" i="6"/>
  <c r="R56" i="6" s="1"/>
  <c r="P56" i="6"/>
  <c r="P131" i="6"/>
  <c r="Q131" i="6"/>
  <c r="R131" i="6" s="1"/>
  <c r="Q182" i="6"/>
  <c r="R182" i="6" s="1"/>
  <c r="Q226" i="6"/>
  <c r="R226" i="6" s="1"/>
  <c r="P226" i="6"/>
  <c r="Q39" i="6"/>
  <c r="R39" i="6" s="1"/>
  <c r="P39" i="6"/>
  <c r="P69" i="6"/>
  <c r="Q69" i="6"/>
  <c r="R69" i="6" s="1"/>
  <c r="P165" i="6"/>
  <c r="Q165" i="6"/>
  <c r="R165" i="6" s="1"/>
  <c r="P176" i="6"/>
  <c r="Q211" i="6"/>
  <c r="R211" i="6" s="1"/>
  <c r="P211" i="6"/>
  <c r="P256" i="6"/>
  <c r="P8" i="6"/>
  <c r="P152" i="6"/>
  <c r="Q152" i="6"/>
  <c r="R152" i="6" s="1"/>
  <c r="P167" i="6"/>
  <c r="Q167" i="6"/>
  <c r="R167" i="6" s="1"/>
  <c r="P169" i="6"/>
  <c r="Q258" i="6"/>
  <c r="R258" i="6" s="1"/>
  <c r="P146" i="6"/>
  <c r="Q146" i="6"/>
  <c r="R146" i="6" s="1"/>
  <c r="P15" i="6"/>
  <c r="P28" i="6"/>
  <c r="P84" i="6"/>
  <c r="Q84" i="6"/>
  <c r="R84" i="6" s="1"/>
  <c r="Q99" i="6"/>
  <c r="R99" i="6" s="1"/>
  <c r="P99" i="6"/>
  <c r="P118" i="6"/>
  <c r="Q118" i="6"/>
  <c r="R118" i="6" s="1"/>
  <c r="P198" i="6"/>
  <c r="Q198" i="6"/>
  <c r="R198" i="6" s="1"/>
  <c r="P209" i="6"/>
  <c r="Q209" i="6"/>
  <c r="R209" i="6" s="1"/>
  <c r="Q224" i="6"/>
  <c r="R224" i="6" s="1"/>
  <c r="P224" i="6"/>
  <c r="Q289" i="6"/>
  <c r="R289" i="6" s="1"/>
  <c r="P289" i="6"/>
  <c r="Q308" i="6"/>
  <c r="R308" i="6" s="1"/>
  <c r="P308" i="6"/>
  <c r="P260" i="6"/>
  <c r="Q260" i="6"/>
  <c r="R260" i="6" s="1"/>
  <c r="P6" i="6"/>
  <c r="Q32" i="6"/>
  <c r="P32" i="6"/>
  <c r="P74" i="6"/>
  <c r="P230" i="6"/>
  <c r="Q230" i="6"/>
  <c r="R230" i="6" s="1"/>
  <c r="Q228" i="6"/>
  <c r="R228" i="6" s="1"/>
  <c r="P228" i="6"/>
  <c r="P26" i="6"/>
  <c r="P54" i="6"/>
  <c r="Q54" i="6"/>
  <c r="R54" i="6" s="1"/>
  <c r="P11" i="6"/>
  <c r="Q67" i="6"/>
  <c r="R67" i="6" s="1"/>
  <c r="P67" i="6"/>
  <c r="P97" i="6"/>
  <c r="Q97" i="6"/>
  <c r="R97" i="6" s="1"/>
  <c r="P193" i="6"/>
  <c r="P287" i="6"/>
  <c r="Q287" i="6"/>
  <c r="R287" i="6" s="1"/>
  <c r="Q186" i="6"/>
  <c r="R186" i="6" s="1"/>
  <c r="P186" i="6"/>
  <c r="Q236" i="6"/>
  <c r="R236" i="6" s="1"/>
  <c r="P236" i="6"/>
  <c r="Q6" i="6"/>
  <c r="P17" i="6"/>
  <c r="Q17" i="6"/>
  <c r="R17" i="6" s="1"/>
  <c r="Q43" i="6"/>
  <c r="P43" i="6"/>
  <c r="Q71" i="6"/>
  <c r="R71" i="6" s="1"/>
  <c r="P71" i="6"/>
  <c r="Q120" i="6"/>
  <c r="R120" i="6" s="1"/>
  <c r="P120" i="6"/>
  <c r="Q65" i="6"/>
  <c r="R65" i="6" s="1"/>
  <c r="P65" i="6"/>
  <c r="Q82" i="6"/>
  <c r="R82" i="6" s="1"/>
  <c r="P82" i="6"/>
  <c r="Q95" i="6"/>
  <c r="R95" i="6" s="1"/>
  <c r="P95" i="6"/>
  <c r="P144" i="6"/>
  <c r="Q207" i="6"/>
  <c r="R207" i="6" s="1"/>
  <c r="P207" i="6"/>
  <c r="Q268" i="6"/>
  <c r="R268" i="6" s="1"/>
  <c r="P268" i="6"/>
  <c r="Q302" i="6"/>
  <c r="R302" i="6" s="1"/>
  <c r="P302" i="6"/>
  <c r="P306" i="6"/>
  <c r="Q306" i="6"/>
  <c r="R306" i="6" s="1"/>
  <c r="Q217" i="6"/>
  <c r="R217" i="6" s="1"/>
  <c r="P217" i="6"/>
  <c r="Q295" i="6"/>
  <c r="R295" i="6" s="1"/>
  <c r="P295" i="6"/>
  <c r="P90" i="6"/>
  <c r="Q90" i="6"/>
  <c r="R90" i="6" s="1"/>
  <c r="Q137" i="6"/>
  <c r="R137" i="6" s="1"/>
  <c r="P137" i="6"/>
  <c r="Q168" i="6"/>
  <c r="R168" i="6" s="1"/>
  <c r="P168" i="6"/>
  <c r="P36" i="6"/>
  <c r="P49" i="6"/>
  <c r="P179" i="6"/>
  <c r="Q246" i="6"/>
  <c r="R246" i="6" s="1"/>
  <c r="P246" i="6"/>
  <c r="P253" i="6"/>
  <c r="P274" i="6"/>
  <c r="P286" i="6"/>
  <c r="Q286" i="6"/>
  <c r="R286" i="6" s="1"/>
  <c r="P291" i="6"/>
  <c r="P310" i="6"/>
  <c r="Q177" i="6"/>
  <c r="R177" i="6" s="1"/>
  <c r="P177" i="6"/>
  <c r="Q88" i="6"/>
  <c r="R88" i="6" s="1"/>
  <c r="P88" i="6"/>
  <c r="Q128" i="6"/>
  <c r="R128" i="6" s="1"/>
  <c r="P128" i="6"/>
  <c r="P103" i="6"/>
  <c r="P116" i="6"/>
  <c r="P219" i="6"/>
  <c r="P5" i="6"/>
  <c r="Q62" i="6"/>
  <c r="R62" i="6" s="1"/>
  <c r="Q160" i="6"/>
  <c r="R160" i="6" s="1"/>
  <c r="Q181" i="6"/>
  <c r="R181" i="6" s="1"/>
  <c r="P215" i="6"/>
  <c r="Q284" i="6"/>
  <c r="R284" i="6" s="1"/>
  <c r="P284" i="6"/>
  <c r="Q293" i="6"/>
  <c r="R293" i="6" s="1"/>
  <c r="Q197" i="6"/>
  <c r="R197" i="6" s="1"/>
  <c r="P197" i="6"/>
  <c r="P237" i="6"/>
  <c r="Q237" i="6"/>
  <c r="R237" i="6" s="1"/>
  <c r="R83" i="10" l="1"/>
  <c r="R170" i="10"/>
  <c r="R51" i="12"/>
  <c r="R138" i="9"/>
  <c r="R121" i="13"/>
  <c r="R219" i="10"/>
  <c r="R96" i="9"/>
  <c r="R220" i="10"/>
  <c r="R158" i="9"/>
  <c r="R115" i="9"/>
  <c r="R160" i="8"/>
  <c r="R128" i="13"/>
  <c r="R178" i="13"/>
  <c r="R65" i="7"/>
  <c r="R34" i="10"/>
  <c r="R37" i="6"/>
  <c r="R88" i="10"/>
  <c r="R249" i="13"/>
  <c r="R100" i="7"/>
  <c r="R172" i="7"/>
  <c r="R160" i="10"/>
  <c r="R106" i="8"/>
  <c r="R105" i="8"/>
  <c r="R51" i="9"/>
  <c r="R99" i="8"/>
  <c r="R98" i="8"/>
  <c r="R243" i="7"/>
  <c r="R175" i="13"/>
  <c r="R217" i="13"/>
  <c r="R81" i="13"/>
  <c r="R112" i="8"/>
  <c r="R9" i="13"/>
  <c r="R6" i="13"/>
  <c r="R130" i="13"/>
  <c r="R279" i="13"/>
  <c r="R309" i="13"/>
  <c r="R297" i="13"/>
  <c r="R293" i="13"/>
  <c r="R303" i="13"/>
  <c r="R311" i="13"/>
  <c r="R294" i="13"/>
  <c r="R267" i="13"/>
  <c r="R283" i="13"/>
  <c r="R125" i="13"/>
  <c r="R307" i="13"/>
  <c r="R286" i="13"/>
  <c r="R290" i="13"/>
  <c r="R310" i="13"/>
  <c r="R300" i="13"/>
  <c r="R220" i="13"/>
  <c r="R308" i="13"/>
  <c r="R302" i="13"/>
  <c r="R287" i="13"/>
  <c r="R305" i="13"/>
  <c r="R282" i="13"/>
  <c r="R280" i="13"/>
  <c r="R306" i="13"/>
  <c r="R292" i="13"/>
  <c r="R281" i="13"/>
  <c r="R268" i="13"/>
  <c r="R295" i="13"/>
  <c r="R269" i="13"/>
  <c r="R265" i="13"/>
  <c r="R301" i="13"/>
  <c r="R289" i="13"/>
  <c r="R296" i="13"/>
  <c r="R304" i="13"/>
  <c r="R285" i="13"/>
  <c r="R16" i="13"/>
  <c r="R266" i="13"/>
  <c r="R284" i="13"/>
  <c r="R291" i="13"/>
  <c r="R12" i="13"/>
  <c r="R19" i="13"/>
  <c r="R30" i="13"/>
  <c r="R30" i="12"/>
  <c r="R19" i="12"/>
  <c r="R12" i="12"/>
  <c r="R162" i="12"/>
  <c r="R310" i="12"/>
  <c r="R311" i="12"/>
  <c r="R309" i="12"/>
  <c r="R302" i="12"/>
  <c r="R293" i="12"/>
  <c r="R297" i="12"/>
  <c r="R271" i="12"/>
  <c r="R287" i="12"/>
  <c r="R269" i="12"/>
  <c r="R18" i="12"/>
  <c r="R267" i="12"/>
  <c r="R244" i="12"/>
  <c r="R251" i="12"/>
  <c r="R305" i="12"/>
  <c r="R307" i="12"/>
  <c r="R286" i="12"/>
  <c r="R20" i="12"/>
  <c r="R289" i="12"/>
  <c r="R294" i="12"/>
  <c r="R284" i="12"/>
  <c r="R250" i="12"/>
  <c r="R265" i="12"/>
  <c r="R299" i="12"/>
  <c r="R303" i="12"/>
  <c r="R272" i="12"/>
  <c r="R33" i="12"/>
  <c r="R266" i="12"/>
  <c r="R291" i="12"/>
  <c r="R312" i="12"/>
  <c r="R282" i="12"/>
  <c r="R296" i="12"/>
  <c r="R298" i="12"/>
  <c r="R300" i="12"/>
  <c r="R304" i="12"/>
  <c r="R270" i="12"/>
  <c r="R245" i="12"/>
  <c r="R285" i="12"/>
  <c r="R268" i="12"/>
  <c r="R273" i="12"/>
  <c r="R138" i="12"/>
  <c r="R295" i="12"/>
  <c r="R288" i="12"/>
  <c r="R97" i="12"/>
  <c r="R306" i="12"/>
  <c r="R308" i="12"/>
  <c r="R5" i="12"/>
  <c r="R283" i="12"/>
  <c r="R301" i="12"/>
  <c r="R292" i="12"/>
  <c r="R299" i="10"/>
  <c r="R287" i="10"/>
  <c r="R266" i="10"/>
  <c r="R307" i="10"/>
  <c r="R293" i="10"/>
  <c r="R306" i="10"/>
  <c r="R310" i="10"/>
  <c r="R308" i="10"/>
  <c r="R284" i="10"/>
  <c r="R300" i="10"/>
  <c r="R298" i="10"/>
  <c r="R296" i="10"/>
  <c r="R304" i="10"/>
  <c r="R302" i="10"/>
  <c r="R245" i="10"/>
  <c r="R272" i="10"/>
  <c r="R268" i="10"/>
  <c r="R288" i="10"/>
  <c r="R18" i="10"/>
  <c r="R291" i="10"/>
  <c r="R265" i="10"/>
  <c r="R251" i="10"/>
  <c r="R311" i="10"/>
  <c r="R283" i="10"/>
  <c r="R97" i="10"/>
  <c r="R269" i="10"/>
  <c r="R138" i="10"/>
  <c r="R267" i="10"/>
  <c r="R270" i="10"/>
  <c r="R301" i="10"/>
  <c r="R295" i="10"/>
  <c r="R273" i="10"/>
  <c r="R312" i="10"/>
  <c r="R294" i="10"/>
  <c r="R271" i="10"/>
  <c r="R309" i="10"/>
  <c r="R305" i="10"/>
  <c r="R285" i="10"/>
  <c r="R282" i="10"/>
  <c r="R289" i="10"/>
  <c r="R292" i="10"/>
  <c r="R286" i="10"/>
  <c r="R33" i="10"/>
  <c r="R162" i="10"/>
  <c r="R303" i="10"/>
  <c r="R250" i="10"/>
  <c r="R297" i="10"/>
  <c r="R244" i="10"/>
  <c r="R20" i="10"/>
  <c r="R56" i="8"/>
  <c r="R250" i="7"/>
  <c r="R95" i="8"/>
  <c r="R231" i="7"/>
  <c r="R193" i="7"/>
  <c r="R66" i="7"/>
  <c r="R24" i="7"/>
  <c r="R69" i="7"/>
  <c r="R233" i="7"/>
  <c r="R217" i="7"/>
  <c r="R112" i="7"/>
  <c r="R87" i="7"/>
  <c r="R144" i="7"/>
  <c r="R34" i="7"/>
  <c r="R13" i="7"/>
  <c r="R19" i="7"/>
  <c r="R25" i="8"/>
  <c r="R232" i="8"/>
  <c r="R294" i="8"/>
  <c r="R280" i="8"/>
  <c r="R306" i="8"/>
  <c r="R295" i="8"/>
  <c r="R279" i="8"/>
  <c r="R288" i="8"/>
  <c r="R4" i="8"/>
  <c r="R273" i="8"/>
  <c r="R113" i="8"/>
  <c r="R234" i="8"/>
  <c r="R269" i="8"/>
  <c r="R20" i="8"/>
  <c r="R276" i="8"/>
  <c r="R265" i="8"/>
  <c r="R305" i="8"/>
  <c r="R302" i="8"/>
  <c r="R290" i="8"/>
  <c r="R251" i="8"/>
  <c r="R310" i="8"/>
  <c r="R14" i="8"/>
  <c r="R67" i="8"/>
  <c r="R307" i="8"/>
  <c r="R260" i="8"/>
  <c r="R289" i="8"/>
  <c r="R272" i="8"/>
  <c r="R277" i="8"/>
  <c r="R286" i="8"/>
  <c r="R309" i="8"/>
  <c r="R292" i="8"/>
  <c r="R284" i="8"/>
  <c r="R297" i="8"/>
  <c r="R70" i="8"/>
  <c r="R293" i="8"/>
  <c r="R256" i="8"/>
  <c r="R301" i="8"/>
  <c r="R299" i="8"/>
  <c r="R194" i="8"/>
  <c r="R298" i="8"/>
  <c r="R300" i="8"/>
  <c r="R282" i="8"/>
  <c r="R88" i="8"/>
  <c r="R308" i="8"/>
  <c r="R278" i="8"/>
  <c r="R258" i="8"/>
  <c r="R145" i="8"/>
  <c r="R195" i="8"/>
  <c r="R255" i="8"/>
  <c r="R33" i="8"/>
  <c r="R275" i="8"/>
  <c r="R259" i="8"/>
  <c r="R257" i="8"/>
  <c r="R304" i="8"/>
  <c r="R268" i="8"/>
  <c r="R281" i="8"/>
  <c r="R267" i="8"/>
  <c r="R254" i="8"/>
  <c r="R35" i="8"/>
  <c r="R291" i="8"/>
  <c r="R312" i="8"/>
  <c r="R285" i="8"/>
  <c r="R311" i="8"/>
  <c r="R296" i="8"/>
  <c r="R274" i="8"/>
  <c r="R270" i="8"/>
  <c r="R287" i="8"/>
  <c r="R283" i="8"/>
  <c r="R303" i="8"/>
  <c r="R253" i="8"/>
  <c r="R266" i="8"/>
  <c r="R218" i="8"/>
  <c r="R271" i="8"/>
  <c r="R252" i="8"/>
  <c r="R20" i="7"/>
  <c r="R14" i="7"/>
  <c r="R310" i="7"/>
  <c r="R306" i="7"/>
  <c r="R195" i="7"/>
  <c r="R288" i="7"/>
  <c r="R275" i="7"/>
  <c r="R251" i="7"/>
  <c r="R298" i="7"/>
  <c r="R260" i="7"/>
  <c r="R305" i="7"/>
  <c r="R67" i="7"/>
  <c r="R268" i="7"/>
  <c r="R303" i="7"/>
  <c r="R88" i="7"/>
  <c r="R289" i="7"/>
  <c r="R277" i="7"/>
  <c r="R284" i="7"/>
  <c r="R301" i="7"/>
  <c r="R292" i="7"/>
  <c r="R293" i="7"/>
  <c r="R308" i="7"/>
  <c r="R287" i="7"/>
  <c r="R282" i="7"/>
  <c r="R266" i="7"/>
  <c r="R300" i="7"/>
  <c r="R257" i="7"/>
  <c r="R297" i="7"/>
  <c r="R274" i="7"/>
  <c r="R273" i="7"/>
  <c r="R311" i="7"/>
  <c r="R252" i="7"/>
  <c r="R272" i="7"/>
  <c r="R283" i="7"/>
  <c r="R269" i="7"/>
  <c r="R312" i="7"/>
  <c r="R194" i="7"/>
  <c r="R309" i="7"/>
  <c r="R255" i="7"/>
  <c r="R218" i="7"/>
  <c r="R256" i="7"/>
  <c r="R278" i="7"/>
  <c r="R295" i="7"/>
  <c r="R299" i="7"/>
  <c r="R279" i="7"/>
  <c r="R302" i="7"/>
  <c r="R258" i="7"/>
  <c r="R254" i="7"/>
  <c r="R270" i="7"/>
  <c r="R294" i="7"/>
  <c r="R267" i="7"/>
  <c r="R281" i="7"/>
  <c r="R232" i="7"/>
  <c r="R307" i="7"/>
  <c r="R265" i="7"/>
  <c r="R259" i="7"/>
  <c r="R113" i="7"/>
  <c r="R304" i="7"/>
  <c r="R296" i="7"/>
  <c r="R286" i="7"/>
  <c r="R280" i="7"/>
  <c r="R290" i="7"/>
  <c r="R271" i="7"/>
  <c r="R285" i="7"/>
  <c r="R291" i="7"/>
  <c r="R276" i="7"/>
  <c r="R253" i="7"/>
  <c r="R70" i="7"/>
  <c r="R145" i="7"/>
  <c r="R234" i="7"/>
  <c r="R35" i="7"/>
  <c r="R43" i="7"/>
  <c r="R33" i="7"/>
  <c r="R31" i="7"/>
  <c r="R4" i="7"/>
  <c r="R45" i="7"/>
  <c r="R8" i="7"/>
  <c r="R26" i="7"/>
  <c r="R42" i="7"/>
  <c r="R44" i="7"/>
  <c r="R36" i="7"/>
  <c r="R25" i="7"/>
  <c r="R30" i="7"/>
  <c r="R32" i="7"/>
  <c r="R7" i="7"/>
  <c r="R45" i="6"/>
  <c r="R8" i="6"/>
  <c r="R35" i="6"/>
  <c r="R42" i="6"/>
  <c r="R33" i="6"/>
  <c r="R36" i="6"/>
  <c r="R30" i="6"/>
  <c r="R25" i="6"/>
  <c r="R44" i="6"/>
  <c r="R32" i="6"/>
  <c r="R31" i="6"/>
  <c r="R26" i="6"/>
  <c r="R43" i="6"/>
  <c r="R109" i="6"/>
  <c r="R6" i="6"/>
  <c r="R7" i="6"/>
  <c r="O312" i="5" l="1"/>
  <c r="M312" i="5"/>
  <c r="K312" i="5"/>
  <c r="Q312" i="5" s="1"/>
  <c r="R312" i="5" s="1"/>
  <c r="J312" i="5"/>
  <c r="O311" i="5"/>
  <c r="M311" i="5"/>
  <c r="K311" i="5"/>
  <c r="Q311" i="5" s="1"/>
  <c r="R311" i="5" s="1"/>
  <c r="J311" i="5"/>
  <c r="O310" i="5"/>
  <c r="M310" i="5"/>
  <c r="K310" i="5"/>
  <c r="P310" i="5" s="1"/>
  <c r="J310" i="5"/>
  <c r="O309" i="5"/>
  <c r="M309" i="5"/>
  <c r="K309" i="5"/>
  <c r="J309" i="5"/>
  <c r="O308" i="5"/>
  <c r="M308" i="5"/>
  <c r="K308" i="5"/>
  <c r="Q308" i="5" s="1"/>
  <c r="R308" i="5" s="1"/>
  <c r="J308" i="5"/>
  <c r="O307" i="5"/>
  <c r="M307" i="5"/>
  <c r="K307" i="5"/>
  <c r="P307" i="5" s="1"/>
  <c r="J307" i="5"/>
  <c r="O306" i="5"/>
  <c r="M306" i="5"/>
  <c r="K306" i="5"/>
  <c r="P306" i="5" s="1"/>
  <c r="J306" i="5"/>
  <c r="O305" i="5"/>
  <c r="M305" i="5"/>
  <c r="K305" i="5"/>
  <c r="Q305" i="5" s="1"/>
  <c r="R305" i="5" s="1"/>
  <c r="J305" i="5"/>
  <c r="O304" i="5"/>
  <c r="M304" i="5"/>
  <c r="K304" i="5"/>
  <c r="Q304" i="5" s="1"/>
  <c r="R304" i="5" s="1"/>
  <c r="J304" i="5"/>
  <c r="O303" i="5"/>
  <c r="M303" i="5"/>
  <c r="K303" i="5"/>
  <c r="Q303" i="5" s="1"/>
  <c r="R303" i="5" s="1"/>
  <c r="J303" i="5"/>
  <c r="O302" i="5"/>
  <c r="M302" i="5"/>
  <c r="K302" i="5"/>
  <c r="J302" i="5"/>
  <c r="O301" i="5"/>
  <c r="M301" i="5"/>
  <c r="K301" i="5"/>
  <c r="Q301" i="5" s="1"/>
  <c r="R301" i="5" s="1"/>
  <c r="J301" i="5"/>
  <c r="O300" i="5"/>
  <c r="M300" i="5"/>
  <c r="K300" i="5"/>
  <c r="P300" i="5" s="1"/>
  <c r="J300" i="5"/>
  <c r="O299" i="5"/>
  <c r="M299" i="5"/>
  <c r="K299" i="5"/>
  <c r="P299" i="5" s="1"/>
  <c r="J299" i="5"/>
  <c r="O298" i="5"/>
  <c r="M298" i="5"/>
  <c r="K298" i="5"/>
  <c r="Q298" i="5" s="1"/>
  <c r="R298" i="5" s="1"/>
  <c r="J298" i="5"/>
  <c r="O297" i="5"/>
  <c r="M297" i="5"/>
  <c r="K297" i="5"/>
  <c r="Q297" i="5" s="1"/>
  <c r="R297" i="5" s="1"/>
  <c r="J297" i="5"/>
  <c r="O296" i="5"/>
  <c r="M296" i="5"/>
  <c r="K296" i="5"/>
  <c r="Q296" i="5" s="1"/>
  <c r="R296" i="5" s="1"/>
  <c r="J296" i="5"/>
  <c r="O295" i="5"/>
  <c r="M295" i="5"/>
  <c r="K295" i="5"/>
  <c r="J295" i="5"/>
  <c r="O294" i="5"/>
  <c r="M294" i="5"/>
  <c r="K294" i="5"/>
  <c r="Q294" i="5" s="1"/>
  <c r="R294" i="5" s="1"/>
  <c r="J294" i="5"/>
  <c r="O293" i="5"/>
  <c r="M293" i="5"/>
  <c r="K293" i="5"/>
  <c r="P293" i="5" s="1"/>
  <c r="J293" i="5"/>
  <c r="O292" i="5"/>
  <c r="M292" i="5"/>
  <c r="K292" i="5"/>
  <c r="P292" i="5" s="1"/>
  <c r="J292" i="5"/>
  <c r="O291" i="5"/>
  <c r="M291" i="5"/>
  <c r="K291" i="5"/>
  <c r="Q291" i="5" s="1"/>
  <c r="R291" i="5" s="1"/>
  <c r="J291" i="5"/>
  <c r="O290" i="5"/>
  <c r="M290" i="5"/>
  <c r="K290" i="5"/>
  <c r="P290" i="5" s="1"/>
  <c r="J290" i="5"/>
  <c r="O289" i="5"/>
  <c r="M289" i="5"/>
  <c r="K289" i="5"/>
  <c r="Q289" i="5" s="1"/>
  <c r="R289" i="5" s="1"/>
  <c r="J289" i="5"/>
  <c r="O288" i="5"/>
  <c r="M288" i="5"/>
  <c r="K288" i="5"/>
  <c r="J288" i="5"/>
  <c r="O287" i="5"/>
  <c r="M287" i="5"/>
  <c r="K287" i="5"/>
  <c r="Q287" i="5" s="1"/>
  <c r="R287" i="5" s="1"/>
  <c r="J287" i="5"/>
  <c r="O286" i="5"/>
  <c r="M286" i="5"/>
  <c r="K286" i="5"/>
  <c r="P286" i="5" s="1"/>
  <c r="J286" i="5"/>
  <c r="O285" i="5"/>
  <c r="M285" i="5"/>
  <c r="K285" i="5"/>
  <c r="P285" i="5" s="1"/>
  <c r="J285" i="5"/>
  <c r="O284" i="5"/>
  <c r="M284" i="5"/>
  <c r="K284" i="5"/>
  <c r="Q284" i="5" s="1"/>
  <c r="R284" i="5" s="1"/>
  <c r="J284" i="5"/>
  <c r="O283" i="5"/>
  <c r="M283" i="5"/>
  <c r="K283" i="5"/>
  <c r="Q283" i="5" s="1"/>
  <c r="R283" i="5" s="1"/>
  <c r="J283" i="5"/>
  <c r="O282" i="5"/>
  <c r="M282" i="5"/>
  <c r="K282" i="5"/>
  <c r="Q282" i="5" s="1"/>
  <c r="R282" i="5" s="1"/>
  <c r="J282" i="5"/>
  <c r="O281" i="5"/>
  <c r="M281" i="5"/>
  <c r="K281" i="5"/>
  <c r="J281" i="5"/>
  <c r="O280" i="5"/>
  <c r="M280" i="5"/>
  <c r="K280" i="5"/>
  <c r="Q280" i="5" s="1"/>
  <c r="R280" i="5" s="1"/>
  <c r="J280" i="5"/>
  <c r="O279" i="5"/>
  <c r="M279" i="5"/>
  <c r="K279" i="5"/>
  <c r="P279" i="5" s="1"/>
  <c r="J279" i="5"/>
  <c r="O278" i="5"/>
  <c r="M278" i="5"/>
  <c r="K278" i="5"/>
  <c r="P278" i="5" s="1"/>
  <c r="J278" i="5"/>
  <c r="O277" i="5"/>
  <c r="M277" i="5"/>
  <c r="K277" i="5"/>
  <c r="Q277" i="5" s="1"/>
  <c r="R277" i="5" s="1"/>
  <c r="J277" i="5"/>
  <c r="O276" i="5"/>
  <c r="M276" i="5"/>
  <c r="K276" i="5"/>
  <c r="Q276" i="5" s="1"/>
  <c r="R276" i="5" s="1"/>
  <c r="J276" i="5"/>
  <c r="O275" i="5"/>
  <c r="M275" i="5"/>
  <c r="K275" i="5"/>
  <c r="Q275" i="5" s="1"/>
  <c r="R275" i="5" s="1"/>
  <c r="J275" i="5"/>
  <c r="O274" i="5"/>
  <c r="M274" i="5"/>
  <c r="K274" i="5"/>
  <c r="J274" i="5"/>
  <c r="O273" i="5"/>
  <c r="M273" i="5"/>
  <c r="K273" i="5"/>
  <c r="Q273" i="5" s="1"/>
  <c r="R273" i="5" s="1"/>
  <c r="J273" i="5"/>
  <c r="O272" i="5"/>
  <c r="M272" i="5"/>
  <c r="K272" i="5"/>
  <c r="P272" i="5" s="1"/>
  <c r="J272" i="5"/>
  <c r="O271" i="5"/>
  <c r="M271" i="5"/>
  <c r="K271" i="5"/>
  <c r="P271" i="5" s="1"/>
  <c r="J271" i="5"/>
  <c r="O270" i="5"/>
  <c r="M270" i="5"/>
  <c r="K270" i="5"/>
  <c r="Q270" i="5" s="1"/>
  <c r="R270" i="5" s="1"/>
  <c r="J270" i="5"/>
  <c r="O269" i="5"/>
  <c r="M269" i="5"/>
  <c r="K269" i="5"/>
  <c r="Q269" i="5" s="1"/>
  <c r="R269" i="5" s="1"/>
  <c r="J269" i="5"/>
  <c r="O268" i="5"/>
  <c r="M268" i="5"/>
  <c r="K268" i="5"/>
  <c r="Q268" i="5" s="1"/>
  <c r="R268" i="5" s="1"/>
  <c r="J268" i="5"/>
  <c r="O267" i="5"/>
  <c r="M267" i="5"/>
  <c r="K267" i="5"/>
  <c r="J267" i="5"/>
  <c r="O266" i="5"/>
  <c r="M266" i="5"/>
  <c r="K266" i="5"/>
  <c r="Q266" i="5" s="1"/>
  <c r="R266" i="5" s="1"/>
  <c r="J266" i="5"/>
  <c r="O265" i="5"/>
  <c r="M265" i="5"/>
  <c r="K265" i="5"/>
  <c r="P265" i="5" s="1"/>
  <c r="J265" i="5"/>
  <c r="O264" i="5"/>
  <c r="M264" i="5"/>
  <c r="K264" i="5"/>
  <c r="P264" i="5" s="1"/>
  <c r="J264" i="5"/>
  <c r="O263" i="5"/>
  <c r="M263" i="5"/>
  <c r="K263" i="5"/>
  <c r="Q263" i="5" s="1"/>
  <c r="R263" i="5" s="1"/>
  <c r="J263" i="5"/>
  <c r="O262" i="5"/>
  <c r="M262" i="5"/>
  <c r="K262" i="5"/>
  <c r="P262" i="5" s="1"/>
  <c r="J262" i="5"/>
  <c r="O261" i="5"/>
  <c r="M261" i="5"/>
  <c r="K261" i="5"/>
  <c r="Q261" i="5" s="1"/>
  <c r="R261" i="5" s="1"/>
  <c r="J261" i="5"/>
  <c r="O260" i="5"/>
  <c r="M260" i="5"/>
  <c r="K260" i="5"/>
  <c r="J260" i="5"/>
  <c r="O259" i="5"/>
  <c r="M259" i="5"/>
  <c r="K259" i="5"/>
  <c r="Q259" i="5" s="1"/>
  <c r="R259" i="5" s="1"/>
  <c r="J259" i="5"/>
  <c r="O258" i="5"/>
  <c r="M258" i="5"/>
  <c r="K258" i="5"/>
  <c r="P258" i="5" s="1"/>
  <c r="J258" i="5"/>
  <c r="O257" i="5"/>
  <c r="M257" i="5"/>
  <c r="K257" i="5"/>
  <c r="P257" i="5" s="1"/>
  <c r="J257" i="5"/>
  <c r="O256" i="5"/>
  <c r="M256" i="5"/>
  <c r="K256" i="5"/>
  <c r="Q256" i="5" s="1"/>
  <c r="R256" i="5" s="1"/>
  <c r="J256" i="5"/>
  <c r="O255" i="5"/>
  <c r="M255" i="5"/>
  <c r="K255" i="5"/>
  <c r="Q255" i="5" s="1"/>
  <c r="R255" i="5" s="1"/>
  <c r="J255" i="5"/>
  <c r="O254" i="5"/>
  <c r="M254" i="5"/>
  <c r="K254" i="5"/>
  <c r="Q254" i="5" s="1"/>
  <c r="R254" i="5" s="1"/>
  <c r="J254" i="5"/>
  <c r="O253" i="5"/>
  <c r="M253" i="5"/>
  <c r="K253" i="5"/>
  <c r="J253" i="5"/>
  <c r="O252" i="5"/>
  <c r="M252" i="5"/>
  <c r="K252" i="5"/>
  <c r="Q252" i="5" s="1"/>
  <c r="R252" i="5" s="1"/>
  <c r="J252" i="5"/>
  <c r="O251" i="5"/>
  <c r="M251" i="5"/>
  <c r="K251" i="5"/>
  <c r="P251" i="5" s="1"/>
  <c r="J251" i="5"/>
  <c r="O250" i="5"/>
  <c r="M250" i="5"/>
  <c r="K250" i="5"/>
  <c r="P250" i="5" s="1"/>
  <c r="J250" i="5"/>
  <c r="O249" i="5"/>
  <c r="M249" i="5"/>
  <c r="K249" i="5"/>
  <c r="P249" i="5" s="1"/>
  <c r="J249" i="5"/>
  <c r="O248" i="5"/>
  <c r="M248" i="5"/>
  <c r="K248" i="5"/>
  <c r="Q248" i="5" s="1"/>
  <c r="R248" i="5" s="1"/>
  <c r="J248" i="5"/>
  <c r="O247" i="5"/>
  <c r="M247" i="5"/>
  <c r="K247" i="5"/>
  <c r="Q247" i="5" s="1"/>
  <c r="R247" i="5" s="1"/>
  <c r="J247" i="5"/>
  <c r="O246" i="5"/>
  <c r="M246" i="5"/>
  <c r="K246" i="5"/>
  <c r="P246" i="5" s="1"/>
  <c r="J246" i="5"/>
  <c r="O245" i="5"/>
  <c r="M245" i="5"/>
  <c r="K245" i="5"/>
  <c r="Q245" i="5" s="1"/>
  <c r="R245" i="5" s="1"/>
  <c r="J245" i="5"/>
  <c r="O244" i="5"/>
  <c r="M244" i="5"/>
  <c r="K244" i="5"/>
  <c r="P244" i="5" s="1"/>
  <c r="J244" i="5"/>
  <c r="O243" i="5"/>
  <c r="M243" i="5"/>
  <c r="K243" i="5"/>
  <c r="P243" i="5" s="1"/>
  <c r="J243" i="5"/>
  <c r="O242" i="5"/>
  <c r="M242" i="5"/>
  <c r="K242" i="5"/>
  <c r="P242" i="5" s="1"/>
  <c r="J242" i="5"/>
  <c r="O241" i="5"/>
  <c r="M241" i="5"/>
  <c r="K241" i="5"/>
  <c r="Q241" i="5" s="1"/>
  <c r="R241" i="5" s="1"/>
  <c r="J241" i="5"/>
  <c r="O240" i="5"/>
  <c r="M240" i="5"/>
  <c r="K240" i="5"/>
  <c r="Q240" i="5" s="1"/>
  <c r="R240" i="5" s="1"/>
  <c r="J240" i="5"/>
  <c r="O239" i="5"/>
  <c r="M239" i="5"/>
  <c r="K239" i="5"/>
  <c r="P239" i="5" s="1"/>
  <c r="J239" i="5"/>
  <c r="O238" i="5"/>
  <c r="M238" i="5"/>
  <c r="K238" i="5"/>
  <c r="Q238" i="5" s="1"/>
  <c r="R238" i="5" s="1"/>
  <c r="J238" i="5"/>
  <c r="O237" i="5"/>
  <c r="M237" i="5"/>
  <c r="K237" i="5"/>
  <c r="P237" i="5" s="1"/>
  <c r="J237" i="5"/>
  <c r="O236" i="5"/>
  <c r="M236" i="5"/>
  <c r="K236" i="5"/>
  <c r="P236" i="5" s="1"/>
  <c r="J236" i="5"/>
  <c r="O235" i="5"/>
  <c r="M235" i="5"/>
  <c r="K235" i="5"/>
  <c r="Q235" i="5" s="1"/>
  <c r="R235" i="5" s="1"/>
  <c r="J235" i="5"/>
  <c r="O234" i="5"/>
  <c r="M234" i="5"/>
  <c r="K234" i="5"/>
  <c r="P234" i="5" s="1"/>
  <c r="J234" i="5"/>
  <c r="O233" i="5"/>
  <c r="M233" i="5"/>
  <c r="K233" i="5"/>
  <c r="Q233" i="5" s="1"/>
  <c r="R233" i="5" s="1"/>
  <c r="J233" i="5"/>
  <c r="O232" i="5"/>
  <c r="M232" i="5"/>
  <c r="K232" i="5"/>
  <c r="P232" i="5" s="1"/>
  <c r="J232" i="5"/>
  <c r="O231" i="5"/>
  <c r="M231" i="5"/>
  <c r="K231" i="5"/>
  <c r="Q231" i="5" s="1"/>
  <c r="R231" i="5" s="1"/>
  <c r="J231" i="5"/>
  <c r="O230" i="5"/>
  <c r="M230" i="5"/>
  <c r="K230" i="5"/>
  <c r="P230" i="5" s="1"/>
  <c r="J230" i="5"/>
  <c r="O229" i="5"/>
  <c r="M229" i="5"/>
  <c r="K229" i="5"/>
  <c r="P229" i="5" s="1"/>
  <c r="J229" i="5"/>
  <c r="O228" i="5"/>
  <c r="M228" i="5"/>
  <c r="K228" i="5"/>
  <c r="P228" i="5" s="1"/>
  <c r="J228" i="5"/>
  <c r="O227" i="5"/>
  <c r="M227" i="5"/>
  <c r="K227" i="5"/>
  <c r="Q227" i="5" s="1"/>
  <c r="R227" i="5" s="1"/>
  <c r="J227" i="5"/>
  <c r="O226" i="5"/>
  <c r="M226" i="5"/>
  <c r="K226" i="5"/>
  <c r="Q226" i="5" s="1"/>
  <c r="R226" i="5" s="1"/>
  <c r="J226" i="5"/>
  <c r="O225" i="5"/>
  <c r="M225" i="5"/>
  <c r="K225" i="5"/>
  <c r="P225" i="5" s="1"/>
  <c r="J225" i="5"/>
  <c r="O224" i="5"/>
  <c r="M224" i="5"/>
  <c r="K224" i="5"/>
  <c r="Q224" i="5" s="1"/>
  <c r="R224" i="5" s="1"/>
  <c r="J224" i="5"/>
  <c r="O223" i="5"/>
  <c r="M223" i="5"/>
  <c r="K223" i="5"/>
  <c r="P223" i="5" s="1"/>
  <c r="J223" i="5"/>
  <c r="O222" i="5"/>
  <c r="M222" i="5"/>
  <c r="K222" i="5"/>
  <c r="P222" i="5" s="1"/>
  <c r="J222" i="5"/>
  <c r="O221" i="5"/>
  <c r="M221" i="5"/>
  <c r="K221" i="5"/>
  <c r="Q221" i="5" s="1"/>
  <c r="R221" i="5" s="1"/>
  <c r="J221" i="5"/>
  <c r="O220" i="5"/>
  <c r="M220" i="5"/>
  <c r="K220" i="5"/>
  <c r="Q220" i="5" s="1"/>
  <c r="R220" i="5" s="1"/>
  <c r="J220" i="5"/>
  <c r="O219" i="5"/>
  <c r="M219" i="5"/>
  <c r="K219" i="5"/>
  <c r="Q219" i="5" s="1"/>
  <c r="R219" i="5" s="1"/>
  <c r="J219" i="5"/>
  <c r="O218" i="5"/>
  <c r="M218" i="5"/>
  <c r="K218" i="5"/>
  <c r="P218" i="5" s="1"/>
  <c r="J218" i="5"/>
  <c r="O217" i="5"/>
  <c r="M217" i="5"/>
  <c r="K217" i="5"/>
  <c r="Q217" i="5" s="1"/>
  <c r="R217" i="5" s="1"/>
  <c r="J217" i="5"/>
  <c r="O216" i="5"/>
  <c r="M216" i="5"/>
  <c r="K216" i="5"/>
  <c r="P216" i="5" s="1"/>
  <c r="J216" i="5"/>
  <c r="O215" i="5"/>
  <c r="M215" i="5"/>
  <c r="K215" i="5"/>
  <c r="P215" i="5" s="1"/>
  <c r="J215" i="5"/>
  <c r="O214" i="5"/>
  <c r="M214" i="5"/>
  <c r="K214" i="5"/>
  <c r="P214" i="5" s="1"/>
  <c r="J214" i="5"/>
  <c r="O213" i="5"/>
  <c r="M213" i="5"/>
  <c r="K213" i="5"/>
  <c r="Q213" i="5" s="1"/>
  <c r="R213" i="5" s="1"/>
  <c r="J213" i="5"/>
  <c r="O212" i="5"/>
  <c r="M212" i="5"/>
  <c r="K212" i="5"/>
  <c r="P212" i="5" s="1"/>
  <c r="J212" i="5"/>
  <c r="O211" i="5"/>
  <c r="M211" i="5"/>
  <c r="K211" i="5"/>
  <c r="P211" i="5" s="1"/>
  <c r="J211" i="5"/>
  <c r="O210" i="5"/>
  <c r="M210" i="5"/>
  <c r="K210" i="5"/>
  <c r="Q210" i="5" s="1"/>
  <c r="R210" i="5" s="1"/>
  <c r="J210" i="5"/>
  <c r="O209" i="5"/>
  <c r="M209" i="5"/>
  <c r="K209" i="5"/>
  <c r="P209" i="5" s="1"/>
  <c r="J209" i="5"/>
  <c r="O208" i="5"/>
  <c r="M208" i="5"/>
  <c r="K208" i="5"/>
  <c r="P208" i="5" s="1"/>
  <c r="J208" i="5"/>
  <c r="O207" i="5"/>
  <c r="M207" i="5"/>
  <c r="K207" i="5"/>
  <c r="P207" i="5" s="1"/>
  <c r="J207" i="5"/>
  <c r="O206" i="5"/>
  <c r="M206" i="5"/>
  <c r="K206" i="5"/>
  <c r="Q206" i="5" s="1"/>
  <c r="R206" i="5" s="1"/>
  <c r="J206" i="5"/>
  <c r="O205" i="5"/>
  <c r="M205" i="5"/>
  <c r="K205" i="5"/>
  <c r="P205" i="5" s="1"/>
  <c r="J205" i="5"/>
  <c r="O204" i="5"/>
  <c r="M204" i="5"/>
  <c r="K204" i="5"/>
  <c r="P204" i="5" s="1"/>
  <c r="J204" i="5"/>
  <c r="O203" i="5"/>
  <c r="M203" i="5"/>
  <c r="K203" i="5"/>
  <c r="Q203" i="5" s="1"/>
  <c r="R203" i="5" s="1"/>
  <c r="J203" i="5"/>
  <c r="O202" i="5"/>
  <c r="M202" i="5"/>
  <c r="K202" i="5"/>
  <c r="P202" i="5" s="1"/>
  <c r="J202" i="5"/>
  <c r="O201" i="5"/>
  <c r="M201" i="5"/>
  <c r="K201" i="5"/>
  <c r="P201" i="5" s="1"/>
  <c r="J201" i="5"/>
  <c r="O200" i="5"/>
  <c r="M200" i="5"/>
  <c r="K200" i="5"/>
  <c r="Q200" i="5" s="1"/>
  <c r="R200" i="5" s="1"/>
  <c r="J200" i="5"/>
  <c r="O199" i="5"/>
  <c r="M199" i="5"/>
  <c r="K199" i="5"/>
  <c r="Q199" i="5" s="1"/>
  <c r="R199" i="5" s="1"/>
  <c r="J199" i="5"/>
  <c r="O198" i="5"/>
  <c r="M198" i="5"/>
  <c r="K198" i="5"/>
  <c r="Q198" i="5" s="1"/>
  <c r="R198" i="5" s="1"/>
  <c r="J198" i="5"/>
  <c r="O197" i="5"/>
  <c r="M197" i="5"/>
  <c r="K197" i="5"/>
  <c r="Q197" i="5" s="1"/>
  <c r="R197" i="5" s="1"/>
  <c r="J197" i="5"/>
  <c r="O196" i="5"/>
  <c r="M196" i="5"/>
  <c r="K196" i="5"/>
  <c r="Q196" i="5" s="1"/>
  <c r="R196" i="5" s="1"/>
  <c r="J196" i="5"/>
  <c r="O195" i="5"/>
  <c r="M195" i="5"/>
  <c r="K195" i="5"/>
  <c r="P195" i="5" s="1"/>
  <c r="J195" i="5"/>
  <c r="O194" i="5"/>
  <c r="M194" i="5"/>
  <c r="K194" i="5"/>
  <c r="P194" i="5" s="1"/>
  <c r="J194" i="5"/>
  <c r="O193" i="5"/>
  <c r="M193" i="5"/>
  <c r="K193" i="5"/>
  <c r="P193" i="5" s="1"/>
  <c r="J193" i="5"/>
  <c r="O192" i="5"/>
  <c r="M192" i="5"/>
  <c r="K192" i="5"/>
  <c r="Q192" i="5" s="1"/>
  <c r="R192" i="5" s="1"/>
  <c r="J192" i="5"/>
  <c r="O191" i="5"/>
  <c r="M191" i="5"/>
  <c r="K191" i="5"/>
  <c r="Q191" i="5" s="1"/>
  <c r="R191" i="5" s="1"/>
  <c r="J191" i="5"/>
  <c r="O190" i="5"/>
  <c r="M190" i="5"/>
  <c r="K190" i="5"/>
  <c r="Q190" i="5" s="1"/>
  <c r="R190" i="5" s="1"/>
  <c r="J190" i="5"/>
  <c r="O189" i="5"/>
  <c r="M189" i="5"/>
  <c r="K189" i="5"/>
  <c r="P189" i="5" s="1"/>
  <c r="J189" i="5"/>
  <c r="O188" i="5"/>
  <c r="M188" i="5"/>
  <c r="K188" i="5"/>
  <c r="P188" i="5" s="1"/>
  <c r="J188" i="5"/>
  <c r="O187" i="5"/>
  <c r="M187" i="5"/>
  <c r="K187" i="5"/>
  <c r="P187" i="5" s="1"/>
  <c r="J187" i="5"/>
  <c r="O186" i="5"/>
  <c r="M186" i="5"/>
  <c r="K186" i="5"/>
  <c r="Q186" i="5" s="1"/>
  <c r="R186" i="5" s="1"/>
  <c r="J186" i="5"/>
  <c r="O185" i="5"/>
  <c r="M185" i="5"/>
  <c r="K185" i="5"/>
  <c r="P185" i="5" s="1"/>
  <c r="J185" i="5"/>
  <c r="O184" i="5"/>
  <c r="M184" i="5"/>
  <c r="K184" i="5"/>
  <c r="Q184" i="5" s="1"/>
  <c r="R184" i="5" s="1"/>
  <c r="J184" i="5"/>
  <c r="O183" i="5"/>
  <c r="M183" i="5"/>
  <c r="K183" i="5"/>
  <c r="Q183" i="5" s="1"/>
  <c r="R183" i="5" s="1"/>
  <c r="J183" i="5"/>
  <c r="O182" i="5"/>
  <c r="M182" i="5"/>
  <c r="K182" i="5"/>
  <c r="P182" i="5" s="1"/>
  <c r="J182" i="5"/>
  <c r="O181" i="5"/>
  <c r="M181" i="5"/>
  <c r="K181" i="5"/>
  <c r="P181" i="5" s="1"/>
  <c r="J181" i="5"/>
  <c r="O180" i="5"/>
  <c r="M180" i="5"/>
  <c r="K180" i="5"/>
  <c r="P180" i="5" s="1"/>
  <c r="J180" i="5"/>
  <c r="O179" i="5"/>
  <c r="M179" i="5"/>
  <c r="K179" i="5"/>
  <c r="Q179" i="5" s="1"/>
  <c r="R179" i="5" s="1"/>
  <c r="J179" i="5"/>
  <c r="O178" i="5"/>
  <c r="M178" i="5"/>
  <c r="K178" i="5"/>
  <c r="P178" i="5" s="1"/>
  <c r="J178" i="5"/>
  <c r="O177" i="5"/>
  <c r="M177" i="5"/>
  <c r="K177" i="5"/>
  <c r="P177" i="5" s="1"/>
  <c r="J177" i="5"/>
  <c r="O176" i="5"/>
  <c r="M176" i="5"/>
  <c r="K176" i="5"/>
  <c r="Q176" i="5" s="1"/>
  <c r="R176" i="5" s="1"/>
  <c r="J176" i="5"/>
  <c r="O175" i="5"/>
  <c r="M175" i="5"/>
  <c r="K175" i="5"/>
  <c r="Q175" i="5" s="1"/>
  <c r="R175" i="5" s="1"/>
  <c r="J175" i="5"/>
  <c r="O174" i="5"/>
  <c r="M174" i="5"/>
  <c r="K174" i="5"/>
  <c r="P174" i="5" s="1"/>
  <c r="J174" i="5"/>
  <c r="O173" i="5"/>
  <c r="M173" i="5"/>
  <c r="K173" i="5"/>
  <c r="P173" i="5" s="1"/>
  <c r="J173" i="5"/>
  <c r="O172" i="5"/>
  <c r="M172" i="5"/>
  <c r="K172" i="5"/>
  <c r="Q172" i="5" s="1"/>
  <c r="R172" i="5" s="1"/>
  <c r="J172" i="5"/>
  <c r="O171" i="5"/>
  <c r="M171" i="5"/>
  <c r="K171" i="5"/>
  <c r="Q171" i="5" s="1"/>
  <c r="R171" i="5" s="1"/>
  <c r="J171" i="5"/>
  <c r="O170" i="5"/>
  <c r="M170" i="5"/>
  <c r="K170" i="5"/>
  <c r="Q170" i="5" s="1"/>
  <c r="R170" i="5" s="1"/>
  <c r="J170" i="5"/>
  <c r="O169" i="5"/>
  <c r="M169" i="5"/>
  <c r="K169" i="5"/>
  <c r="Q169" i="5" s="1"/>
  <c r="R169" i="5" s="1"/>
  <c r="J169" i="5"/>
  <c r="O168" i="5"/>
  <c r="M168" i="5"/>
  <c r="K168" i="5"/>
  <c r="Q168" i="5" s="1"/>
  <c r="R168" i="5" s="1"/>
  <c r="J168" i="5"/>
  <c r="O167" i="5"/>
  <c r="M167" i="5"/>
  <c r="K167" i="5"/>
  <c r="P167" i="5" s="1"/>
  <c r="J167" i="5"/>
  <c r="O166" i="5"/>
  <c r="M166" i="5"/>
  <c r="K166" i="5"/>
  <c r="P166" i="5" s="1"/>
  <c r="J166" i="5"/>
  <c r="O165" i="5"/>
  <c r="M165" i="5"/>
  <c r="K165" i="5"/>
  <c r="Q165" i="5" s="1"/>
  <c r="R165" i="5" s="1"/>
  <c r="J165" i="5"/>
  <c r="O164" i="5"/>
  <c r="M164" i="5"/>
  <c r="K164" i="5"/>
  <c r="Q164" i="5" s="1"/>
  <c r="R164" i="5" s="1"/>
  <c r="J164" i="5"/>
  <c r="O163" i="5"/>
  <c r="M163" i="5"/>
  <c r="K163" i="5"/>
  <c r="Q163" i="5" s="1"/>
  <c r="R163" i="5" s="1"/>
  <c r="J163" i="5"/>
  <c r="O162" i="5"/>
  <c r="M162" i="5"/>
  <c r="K162" i="5"/>
  <c r="P162" i="5" s="1"/>
  <c r="J162" i="5"/>
  <c r="O161" i="5"/>
  <c r="M161" i="5"/>
  <c r="K161" i="5"/>
  <c r="Q161" i="5" s="1"/>
  <c r="R161" i="5" s="1"/>
  <c r="J161" i="5"/>
  <c r="O160" i="5"/>
  <c r="M160" i="5"/>
  <c r="K160" i="5"/>
  <c r="P160" i="5" s="1"/>
  <c r="J160" i="5"/>
  <c r="O159" i="5"/>
  <c r="M159" i="5"/>
  <c r="K159" i="5"/>
  <c r="P159" i="5" s="1"/>
  <c r="J159" i="5"/>
  <c r="O158" i="5"/>
  <c r="M158" i="5"/>
  <c r="K158" i="5"/>
  <c r="P158" i="5" s="1"/>
  <c r="J158" i="5"/>
  <c r="O157" i="5"/>
  <c r="M157" i="5"/>
  <c r="K157" i="5"/>
  <c r="Q157" i="5" s="1"/>
  <c r="R157" i="5" s="1"/>
  <c r="J157" i="5"/>
  <c r="O156" i="5"/>
  <c r="M156" i="5"/>
  <c r="K156" i="5"/>
  <c r="Q156" i="5" s="1"/>
  <c r="R156" i="5" s="1"/>
  <c r="J156" i="5"/>
  <c r="O155" i="5"/>
  <c r="M155" i="5"/>
  <c r="K155" i="5"/>
  <c r="P155" i="5" s="1"/>
  <c r="J155" i="5"/>
  <c r="O154" i="5"/>
  <c r="M154" i="5"/>
  <c r="K154" i="5"/>
  <c r="Q154" i="5" s="1"/>
  <c r="R154" i="5" s="1"/>
  <c r="J154" i="5"/>
  <c r="O153" i="5"/>
  <c r="M153" i="5"/>
  <c r="K153" i="5"/>
  <c r="P153" i="5" s="1"/>
  <c r="J153" i="5"/>
  <c r="O152" i="5"/>
  <c r="M152" i="5"/>
  <c r="K152" i="5"/>
  <c r="P152" i="5" s="1"/>
  <c r="J152" i="5"/>
  <c r="O151" i="5"/>
  <c r="M151" i="5"/>
  <c r="K151" i="5"/>
  <c r="Q151" i="5" s="1"/>
  <c r="R151" i="5" s="1"/>
  <c r="J151" i="5"/>
  <c r="O150" i="5"/>
  <c r="M150" i="5"/>
  <c r="K150" i="5"/>
  <c r="Q150" i="5" s="1"/>
  <c r="R150" i="5" s="1"/>
  <c r="J150" i="5"/>
  <c r="O149" i="5"/>
  <c r="M149" i="5"/>
  <c r="K149" i="5"/>
  <c r="Q149" i="5" s="1"/>
  <c r="R149" i="5" s="1"/>
  <c r="J149" i="5"/>
  <c r="O148" i="5"/>
  <c r="M148" i="5"/>
  <c r="K148" i="5"/>
  <c r="P148" i="5" s="1"/>
  <c r="J148" i="5"/>
  <c r="O147" i="5"/>
  <c r="M147" i="5"/>
  <c r="K147" i="5"/>
  <c r="Q147" i="5" s="1"/>
  <c r="R147" i="5" s="1"/>
  <c r="J147" i="5"/>
  <c r="O146" i="5"/>
  <c r="M146" i="5"/>
  <c r="K146" i="5"/>
  <c r="P146" i="5" s="1"/>
  <c r="J146" i="5"/>
  <c r="O145" i="5"/>
  <c r="M145" i="5"/>
  <c r="K145" i="5"/>
  <c r="P145" i="5" s="1"/>
  <c r="J145" i="5"/>
  <c r="O144" i="5"/>
  <c r="M144" i="5"/>
  <c r="K144" i="5"/>
  <c r="P144" i="5" s="1"/>
  <c r="J144" i="5"/>
  <c r="O143" i="5"/>
  <c r="M143" i="5"/>
  <c r="K143" i="5"/>
  <c r="Q143" i="5" s="1"/>
  <c r="R143" i="5" s="1"/>
  <c r="J143" i="5"/>
  <c r="O142" i="5"/>
  <c r="M142" i="5"/>
  <c r="K142" i="5"/>
  <c r="Q142" i="5" s="1"/>
  <c r="R142" i="5" s="1"/>
  <c r="J142" i="5"/>
  <c r="O141" i="5"/>
  <c r="M141" i="5"/>
  <c r="K141" i="5"/>
  <c r="Q141" i="5" s="1"/>
  <c r="R141" i="5" s="1"/>
  <c r="J141" i="5"/>
  <c r="O140" i="5"/>
  <c r="M140" i="5"/>
  <c r="K140" i="5"/>
  <c r="P140" i="5" s="1"/>
  <c r="J140" i="5"/>
  <c r="O139" i="5"/>
  <c r="M139" i="5"/>
  <c r="K139" i="5"/>
  <c r="P139" i="5" s="1"/>
  <c r="J139" i="5"/>
  <c r="O138" i="5"/>
  <c r="M138" i="5"/>
  <c r="K138" i="5"/>
  <c r="P138" i="5" s="1"/>
  <c r="J138" i="5"/>
  <c r="O137" i="5"/>
  <c r="M137" i="5"/>
  <c r="K137" i="5"/>
  <c r="P137" i="5" s="1"/>
  <c r="J137" i="5"/>
  <c r="O136" i="5"/>
  <c r="M136" i="5"/>
  <c r="K136" i="5"/>
  <c r="P136" i="5" s="1"/>
  <c r="J136" i="5"/>
  <c r="O135" i="5"/>
  <c r="M135" i="5"/>
  <c r="K135" i="5"/>
  <c r="Q135" i="5" s="1"/>
  <c r="R135" i="5" s="1"/>
  <c r="J135" i="5"/>
  <c r="O134" i="5"/>
  <c r="M134" i="5"/>
  <c r="K134" i="5"/>
  <c r="P134" i="5" s="1"/>
  <c r="J134" i="5"/>
  <c r="O133" i="5"/>
  <c r="M133" i="5"/>
  <c r="K133" i="5"/>
  <c r="Q133" i="5" s="1"/>
  <c r="R133" i="5" s="1"/>
  <c r="J133" i="5"/>
  <c r="O132" i="5"/>
  <c r="M132" i="5"/>
  <c r="K132" i="5"/>
  <c r="P132" i="5" s="1"/>
  <c r="J132" i="5"/>
  <c r="O131" i="5"/>
  <c r="M131" i="5"/>
  <c r="K131" i="5"/>
  <c r="J131" i="5"/>
  <c r="O130" i="5"/>
  <c r="M130" i="5"/>
  <c r="K130" i="5"/>
  <c r="Q130" i="5" s="1"/>
  <c r="R130" i="5" s="1"/>
  <c r="J130" i="5"/>
  <c r="O129" i="5"/>
  <c r="M129" i="5"/>
  <c r="K129" i="5"/>
  <c r="Q129" i="5" s="1"/>
  <c r="R129" i="5" s="1"/>
  <c r="J129" i="5"/>
  <c r="O128" i="5"/>
  <c r="M128" i="5"/>
  <c r="K128" i="5"/>
  <c r="Q128" i="5" s="1"/>
  <c r="R128" i="5" s="1"/>
  <c r="J128" i="5"/>
  <c r="O127" i="5"/>
  <c r="M127" i="5"/>
  <c r="K127" i="5"/>
  <c r="P127" i="5" s="1"/>
  <c r="J127" i="5"/>
  <c r="O126" i="5"/>
  <c r="M126" i="5"/>
  <c r="K126" i="5"/>
  <c r="Q126" i="5" s="1"/>
  <c r="R126" i="5" s="1"/>
  <c r="J126" i="5"/>
  <c r="O125" i="5"/>
  <c r="M125" i="5"/>
  <c r="K125" i="5"/>
  <c r="P125" i="5" s="1"/>
  <c r="J125" i="5"/>
  <c r="O124" i="5"/>
  <c r="M124" i="5"/>
  <c r="K124" i="5"/>
  <c r="P124" i="5" s="1"/>
  <c r="J124" i="5"/>
  <c r="O123" i="5"/>
  <c r="M123" i="5"/>
  <c r="K123" i="5"/>
  <c r="Q123" i="5" s="1"/>
  <c r="R123" i="5" s="1"/>
  <c r="J123" i="5"/>
  <c r="O122" i="5"/>
  <c r="M122" i="5"/>
  <c r="K122" i="5"/>
  <c r="Q122" i="5" s="1"/>
  <c r="R122" i="5" s="1"/>
  <c r="J122" i="5"/>
  <c r="O121" i="5"/>
  <c r="M121" i="5"/>
  <c r="K121" i="5"/>
  <c r="Q121" i="5" s="1"/>
  <c r="R121" i="5" s="1"/>
  <c r="J121" i="5"/>
  <c r="O120" i="5"/>
  <c r="M120" i="5"/>
  <c r="K120" i="5"/>
  <c r="P120" i="5" s="1"/>
  <c r="J120" i="5"/>
  <c r="O119" i="5"/>
  <c r="M119" i="5"/>
  <c r="K119" i="5"/>
  <c r="P119" i="5" s="1"/>
  <c r="J119" i="5"/>
  <c r="O118" i="5"/>
  <c r="M118" i="5"/>
  <c r="K118" i="5"/>
  <c r="P118" i="5" s="1"/>
  <c r="J118" i="5"/>
  <c r="O117" i="5"/>
  <c r="M117" i="5"/>
  <c r="K117" i="5"/>
  <c r="P117" i="5" s="1"/>
  <c r="J117" i="5"/>
  <c r="O116" i="5"/>
  <c r="M116" i="5"/>
  <c r="K116" i="5"/>
  <c r="P116" i="5" s="1"/>
  <c r="J116" i="5"/>
  <c r="O115" i="5"/>
  <c r="M115" i="5"/>
  <c r="K115" i="5"/>
  <c r="Q115" i="5" s="1"/>
  <c r="R115" i="5" s="1"/>
  <c r="J115" i="5"/>
  <c r="O114" i="5"/>
  <c r="M114" i="5"/>
  <c r="K114" i="5"/>
  <c r="Q114" i="5" s="1"/>
  <c r="R114" i="5" s="1"/>
  <c r="J114" i="5"/>
  <c r="O113" i="5"/>
  <c r="M113" i="5"/>
  <c r="K113" i="5"/>
  <c r="Q113" i="5" s="1"/>
  <c r="R113" i="5" s="1"/>
  <c r="J113" i="5"/>
  <c r="O112" i="5"/>
  <c r="M112" i="5"/>
  <c r="K112" i="5"/>
  <c r="Q112" i="5" s="1"/>
  <c r="R112" i="5" s="1"/>
  <c r="J112" i="5"/>
  <c r="O111" i="5"/>
  <c r="M111" i="5"/>
  <c r="K111" i="5"/>
  <c r="P111" i="5" s="1"/>
  <c r="J111" i="5"/>
  <c r="O110" i="5"/>
  <c r="M110" i="5"/>
  <c r="K110" i="5"/>
  <c r="P110" i="5" s="1"/>
  <c r="J110" i="5"/>
  <c r="O109" i="5"/>
  <c r="M109" i="5"/>
  <c r="K109" i="5"/>
  <c r="J109" i="5"/>
  <c r="O108" i="5"/>
  <c r="M108" i="5"/>
  <c r="K108" i="5"/>
  <c r="Q108" i="5" s="1"/>
  <c r="R108" i="5" s="1"/>
  <c r="J108" i="5"/>
  <c r="O107" i="5"/>
  <c r="M107" i="5"/>
  <c r="K107" i="5"/>
  <c r="Q107" i="5" s="1"/>
  <c r="R107" i="5" s="1"/>
  <c r="J107" i="5"/>
  <c r="O106" i="5"/>
  <c r="M106" i="5"/>
  <c r="K106" i="5"/>
  <c r="P106" i="5" s="1"/>
  <c r="J106" i="5"/>
  <c r="O105" i="5"/>
  <c r="M105" i="5"/>
  <c r="K105" i="5"/>
  <c r="P105" i="5" s="1"/>
  <c r="J105" i="5"/>
  <c r="O104" i="5"/>
  <c r="M104" i="5"/>
  <c r="K104" i="5"/>
  <c r="P104" i="5" s="1"/>
  <c r="J104" i="5"/>
  <c r="O103" i="5"/>
  <c r="M103" i="5"/>
  <c r="K103" i="5"/>
  <c r="P103" i="5" s="1"/>
  <c r="J103" i="5"/>
  <c r="O102" i="5"/>
  <c r="M102" i="5"/>
  <c r="K102" i="5"/>
  <c r="Q102" i="5" s="1"/>
  <c r="R102" i="5" s="1"/>
  <c r="J102" i="5"/>
  <c r="O101" i="5"/>
  <c r="M101" i="5"/>
  <c r="K101" i="5"/>
  <c r="Q101" i="5" s="1"/>
  <c r="R101" i="5" s="1"/>
  <c r="J101" i="5"/>
  <c r="O100" i="5"/>
  <c r="M100" i="5"/>
  <c r="K100" i="5"/>
  <c r="P100" i="5" s="1"/>
  <c r="J100" i="5"/>
  <c r="O99" i="5"/>
  <c r="M99" i="5"/>
  <c r="K99" i="5"/>
  <c r="Q99" i="5" s="1"/>
  <c r="R99" i="5" s="1"/>
  <c r="J99" i="5"/>
  <c r="O98" i="5"/>
  <c r="M98" i="5"/>
  <c r="K98" i="5"/>
  <c r="P98" i="5" s="1"/>
  <c r="J98" i="5"/>
  <c r="O97" i="5"/>
  <c r="M97" i="5"/>
  <c r="K97" i="5"/>
  <c r="P97" i="5" s="1"/>
  <c r="J97" i="5"/>
  <c r="O96" i="5"/>
  <c r="M96" i="5"/>
  <c r="K96" i="5"/>
  <c r="P96" i="5" s="1"/>
  <c r="J96" i="5"/>
  <c r="O95" i="5"/>
  <c r="M95" i="5"/>
  <c r="K95" i="5"/>
  <c r="P95" i="5" s="1"/>
  <c r="J95" i="5"/>
  <c r="O94" i="5"/>
  <c r="M94" i="5"/>
  <c r="K94" i="5"/>
  <c r="Q94" i="5" s="1"/>
  <c r="R94" i="5" s="1"/>
  <c r="J94" i="5"/>
  <c r="O93" i="5"/>
  <c r="M93" i="5"/>
  <c r="K93" i="5"/>
  <c r="Q93" i="5" s="1"/>
  <c r="R93" i="5" s="1"/>
  <c r="J93" i="5"/>
  <c r="O92" i="5"/>
  <c r="M92" i="5"/>
  <c r="K92" i="5"/>
  <c r="Q92" i="5" s="1"/>
  <c r="R92" i="5" s="1"/>
  <c r="J92" i="5"/>
  <c r="O91" i="5"/>
  <c r="M91" i="5"/>
  <c r="K91" i="5"/>
  <c r="P91" i="5" s="1"/>
  <c r="J91" i="5"/>
  <c r="O90" i="5"/>
  <c r="M90" i="5"/>
  <c r="K90" i="5"/>
  <c r="P90" i="5" s="1"/>
  <c r="J90" i="5"/>
  <c r="O89" i="5"/>
  <c r="M89" i="5"/>
  <c r="K89" i="5"/>
  <c r="P89" i="5" s="1"/>
  <c r="J89" i="5"/>
  <c r="O88" i="5"/>
  <c r="M88" i="5"/>
  <c r="K88" i="5"/>
  <c r="Q88" i="5" s="1"/>
  <c r="R88" i="5" s="1"/>
  <c r="J88" i="5"/>
  <c r="O87" i="5"/>
  <c r="M87" i="5"/>
  <c r="K87" i="5"/>
  <c r="P87" i="5" s="1"/>
  <c r="J87" i="5"/>
  <c r="O86" i="5"/>
  <c r="M86" i="5"/>
  <c r="K86" i="5"/>
  <c r="Q86" i="5" s="1"/>
  <c r="R86" i="5" s="1"/>
  <c r="J86" i="5"/>
  <c r="O85" i="5"/>
  <c r="M85" i="5"/>
  <c r="K85" i="5"/>
  <c r="P85" i="5" s="1"/>
  <c r="J85" i="5"/>
  <c r="O84" i="5"/>
  <c r="M84" i="5"/>
  <c r="K84" i="5"/>
  <c r="Q84" i="5" s="1"/>
  <c r="R84" i="5" s="1"/>
  <c r="J84" i="5"/>
  <c r="O83" i="5"/>
  <c r="M83" i="5"/>
  <c r="K83" i="5"/>
  <c r="P83" i="5" s="1"/>
  <c r="J83" i="5"/>
  <c r="O82" i="5"/>
  <c r="M82" i="5"/>
  <c r="K82" i="5"/>
  <c r="P82" i="5" s="1"/>
  <c r="J82" i="5"/>
  <c r="O81" i="5"/>
  <c r="M81" i="5"/>
  <c r="K81" i="5"/>
  <c r="Q81" i="5" s="1"/>
  <c r="R81" i="5" s="1"/>
  <c r="J81" i="5"/>
  <c r="O80" i="5"/>
  <c r="M80" i="5"/>
  <c r="K80" i="5"/>
  <c r="Q80" i="5" s="1"/>
  <c r="R80" i="5" s="1"/>
  <c r="J80" i="5"/>
  <c r="O79" i="5"/>
  <c r="M79" i="5"/>
  <c r="K79" i="5"/>
  <c r="Q79" i="5" s="1"/>
  <c r="R79" i="5" s="1"/>
  <c r="J79" i="5"/>
  <c r="O78" i="5"/>
  <c r="M78" i="5"/>
  <c r="K78" i="5"/>
  <c r="P78" i="5" s="1"/>
  <c r="J78" i="5"/>
  <c r="O77" i="5"/>
  <c r="M77" i="5"/>
  <c r="K77" i="5"/>
  <c r="Q77" i="5" s="1"/>
  <c r="R77" i="5" s="1"/>
  <c r="J77" i="5"/>
  <c r="O76" i="5"/>
  <c r="M76" i="5"/>
  <c r="K76" i="5"/>
  <c r="P76" i="5" s="1"/>
  <c r="J76" i="5"/>
  <c r="O75" i="5"/>
  <c r="M75" i="5"/>
  <c r="K75" i="5"/>
  <c r="P75" i="5" s="1"/>
  <c r="J75" i="5"/>
  <c r="O74" i="5"/>
  <c r="M74" i="5"/>
  <c r="K74" i="5"/>
  <c r="Q74" i="5" s="1"/>
  <c r="R74" i="5" s="1"/>
  <c r="J74" i="5"/>
  <c r="O73" i="5"/>
  <c r="M73" i="5"/>
  <c r="K73" i="5"/>
  <c r="Q73" i="5" s="1"/>
  <c r="R73" i="5" s="1"/>
  <c r="J73" i="5"/>
  <c r="O72" i="5"/>
  <c r="M72" i="5"/>
  <c r="K72" i="5"/>
  <c r="Q72" i="5" s="1"/>
  <c r="R72" i="5" s="1"/>
  <c r="J72" i="5"/>
  <c r="O71" i="5"/>
  <c r="M71" i="5"/>
  <c r="K71" i="5"/>
  <c r="P71" i="5" s="1"/>
  <c r="J71" i="5"/>
  <c r="O70" i="5"/>
  <c r="M70" i="5"/>
  <c r="K70" i="5"/>
  <c r="P70" i="5" s="1"/>
  <c r="J70" i="5"/>
  <c r="O69" i="5"/>
  <c r="M69" i="5"/>
  <c r="K69" i="5"/>
  <c r="P69" i="5" s="1"/>
  <c r="J69" i="5"/>
  <c r="O68" i="5"/>
  <c r="M68" i="5"/>
  <c r="K68" i="5"/>
  <c r="P68" i="5" s="1"/>
  <c r="J68" i="5"/>
  <c r="O67" i="5"/>
  <c r="M67" i="5"/>
  <c r="K67" i="5"/>
  <c r="P67" i="5" s="1"/>
  <c r="J67" i="5"/>
  <c r="O66" i="5"/>
  <c r="M66" i="5"/>
  <c r="K66" i="5"/>
  <c r="P66" i="5" s="1"/>
  <c r="J66" i="5"/>
  <c r="O65" i="5"/>
  <c r="M65" i="5"/>
  <c r="K65" i="5"/>
  <c r="Q65" i="5" s="1"/>
  <c r="R65" i="5" s="1"/>
  <c r="J65" i="5"/>
  <c r="O64" i="5"/>
  <c r="M64" i="5"/>
  <c r="K64" i="5"/>
  <c r="P64" i="5" s="1"/>
  <c r="J64" i="5"/>
  <c r="O63" i="5"/>
  <c r="M63" i="5"/>
  <c r="K63" i="5"/>
  <c r="Q63" i="5" s="1"/>
  <c r="R63" i="5" s="1"/>
  <c r="J63" i="5"/>
  <c r="O62" i="5"/>
  <c r="M62" i="5"/>
  <c r="K62" i="5"/>
  <c r="P62" i="5" s="1"/>
  <c r="J62" i="5"/>
  <c r="O61" i="5"/>
  <c r="M61" i="5"/>
  <c r="K61" i="5"/>
  <c r="P61" i="5" s="1"/>
  <c r="J61" i="5"/>
  <c r="O60" i="5"/>
  <c r="M60" i="5"/>
  <c r="K60" i="5"/>
  <c r="P60" i="5" s="1"/>
  <c r="J60" i="5"/>
  <c r="O59" i="5"/>
  <c r="M59" i="5"/>
  <c r="K59" i="5"/>
  <c r="P59" i="5" s="1"/>
  <c r="J59" i="5"/>
  <c r="O58" i="5"/>
  <c r="M58" i="5"/>
  <c r="K58" i="5"/>
  <c r="Q58" i="5" s="1"/>
  <c r="R58" i="5" s="1"/>
  <c r="J58" i="5"/>
  <c r="O57" i="5"/>
  <c r="M57" i="5"/>
  <c r="K57" i="5"/>
  <c r="P57" i="5" s="1"/>
  <c r="J57" i="5"/>
  <c r="O56" i="5"/>
  <c r="M56" i="5"/>
  <c r="K56" i="5"/>
  <c r="P56" i="5" s="1"/>
  <c r="J56" i="5"/>
  <c r="O55" i="5"/>
  <c r="M55" i="5"/>
  <c r="K55" i="5"/>
  <c r="P55" i="5" s="1"/>
  <c r="J55" i="5"/>
  <c r="O54" i="5"/>
  <c r="M54" i="5"/>
  <c r="K54" i="5"/>
  <c r="P54" i="5" s="1"/>
  <c r="J54" i="5"/>
  <c r="O53" i="5"/>
  <c r="M53" i="5"/>
  <c r="K53" i="5"/>
  <c r="Q53" i="5" s="1"/>
  <c r="R53" i="5" s="1"/>
  <c r="J53" i="5"/>
  <c r="O52" i="5"/>
  <c r="M52" i="5"/>
  <c r="K52" i="5"/>
  <c r="Q52" i="5" s="1"/>
  <c r="R52" i="5" s="1"/>
  <c r="J52" i="5"/>
  <c r="O51" i="5"/>
  <c r="M51" i="5"/>
  <c r="K51" i="5"/>
  <c r="Q51" i="5" s="1"/>
  <c r="R51" i="5" s="1"/>
  <c r="J51" i="5"/>
  <c r="O50" i="5"/>
  <c r="M50" i="5"/>
  <c r="K50" i="5"/>
  <c r="Q50" i="5" s="1"/>
  <c r="R50" i="5" s="1"/>
  <c r="J50" i="5"/>
  <c r="O49" i="5"/>
  <c r="M49" i="5"/>
  <c r="K49" i="5"/>
  <c r="Q49" i="5" s="1"/>
  <c r="R49" i="5" s="1"/>
  <c r="J49" i="5"/>
  <c r="O48" i="5"/>
  <c r="M48" i="5"/>
  <c r="K48" i="5"/>
  <c r="P48" i="5" s="1"/>
  <c r="J48" i="5"/>
  <c r="O47" i="5"/>
  <c r="M47" i="5"/>
  <c r="K47" i="5"/>
  <c r="P47" i="5" s="1"/>
  <c r="J47" i="5"/>
  <c r="O46" i="5"/>
  <c r="M46" i="5"/>
  <c r="K46" i="5"/>
  <c r="Q46" i="5" s="1"/>
  <c r="R46" i="5" s="1"/>
  <c r="J46" i="5"/>
  <c r="O45" i="5"/>
  <c r="M45" i="5"/>
  <c r="K45" i="5"/>
  <c r="Q45" i="5" s="1"/>
  <c r="R45" i="5" s="1"/>
  <c r="J45" i="5"/>
  <c r="O44" i="5"/>
  <c r="M44" i="5"/>
  <c r="K44" i="5"/>
  <c r="Q44" i="5" s="1"/>
  <c r="R44" i="5" s="1"/>
  <c r="J44" i="5"/>
  <c r="O43" i="5"/>
  <c r="M43" i="5"/>
  <c r="K43" i="5"/>
  <c r="Q43" i="5" s="1"/>
  <c r="R43" i="5" s="1"/>
  <c r="J43" i="5"/>
  <c r="O42" i="5"/>
  <c r="M42" i="5"/>
  <c r="K42" i="5"/>
  <c r="P42" i="5" s="1"/>
  <c r="J42" i="5"/>
  <c r="O41" i="5"/>
  <c r="M41" i="5"/>
  <c r="K41" i="5"/>
  <c r="P41" i="5" s="1"/>
  <c r="J41" i="5"/>
  <c r="O40" i="5"/>
  <c r="M40" i="5"/>
  <c r="K40" i="5"/>
  <c r="P40" i="5" s="1"/>
  <c r="J40" i="5"/>
  <c r="O39" i="5"/>
  <c r="M39" i="5"/>
  <c r="K39" i="5"/>
  <c r="Q39" i="5" s="1"/>
  <c r="R39" i="5" s="1"/>
  <c r="J39" i="5"/>
  <c r="O38" i="5"/>
  <c r="M38" i="5"/>
  <c r="K38" i="5"/>
  <c r="Q38" i="5" s="1"/>
  <c r="R38" i="5" s="1"/>
  <c r="J38" i="5"/>
  <c r="O37" i="5"/>
  <c r="M37" i="5"/>
  <c r="K37" i="5"/>
  <c r="Q37" i="5" s="1"/>
  <c r="R37" i="5" s="1"/>
  <c r="J37" i="5"/>
  <c r="O36" i="5"/>
  <c r="M36" i="5"/>
  <c r="K36" i="5"/>
  <c r="P36" i="5" s="1"/>
  <c r="J36" i="5"/>
  <c r="O35" i="5"/>
  <c r="M35" i="5"/>
  <c r="K35" i="5"/>
  <c r="P35" i="5" s="1"/>
  <c r="J35" i="5"/>
  <c r="O34" i="5"/>
  <c r="M34" i="5"/>
  <c r="K34" i="5"/>
  <c r="P34" i="5" s="1"/>
  <c r="J34" i="5"/>
  <c r="O33" i="5"/>
  <c r="M33" i="5"/>
  <c r="K33" i="5"/>
  <c r="P33" i="5" s="1"/>
  <c r="J33" i="5"/>
  <c r="O32" i="5"/>
  <c r="M32" i="5"/>
  <c r="K32" i="5"/>
  <c r="Q32" i="5" s="1"/>
  <c r="R32" i="5" s="1"/>
  <c r="J32" i="5"/>
  <c r="O31" i="5"/>
  <c r="M31" i="5"/>
  <c r="K31" i="5"/>
  <c r="Q31" i="5" s="1"/>
  <c r="R31" i="5" s="1"/>
  <c r="J31" i="5"/>
  <c r="O30" i="5"/>
  <c r="M30" i="5"/>
  <c r="K30" i="5"/>
  <c r="Q30" i="5" s="1"/>
  <c r="R30" i="5" s="1"/>
  <c r="J30" i="5"/>
  <c r="O29" i="5"/>
  <c r="M29" i="5"/>
  <c r="K29" i="5"/>
  <c r="Q29" i="5" s="1"/>
  <c r="R29" i="5" s="1"/>
  <c r="J29" i="5"/>
  <c r="O28" i="5"/>
  <c r="M28" i="5"/>
  <c r="K28" i="5"/>
  <c r="Q28" i="5" s="1"/>
  <c r="R28" i="5" s="1"/>
  <c r="J28" i="5"/>
  <c r="O27" i="5"/>
  <c r="M27" i="5"/>
  <c r="K27" i="5"/>
  <c r="P27" i="5" s="1"/>
  <c r="J27" i="5"/>
  <c r="O26" i="5"/>
  <c r="M26" i="5"/>
  <c r="K26" i="5"/>
  <c r="P26" i="5" s="1"/>
  <c r="J26" i="5"/>
  <c r="O25" i="5"/>
  <c r="M25" i="5"/>
  <c r="K25" i="5"/>
  <c r="Q25" i="5" s="1"/>
  <c r="R25" i="5" s="1"/>
  <c r="J25" i="5"/>
  <c r="O24" i="5"/>
  <c r="M24" i="5"/>
  <c r="K24" i="5"/>
  <c r="Q24" i="5" s="1"/>
  <c r="J24" i="5"/>
  <c r="O23" i="5"/>
  <c r="M23" i="5"/>
  <c r="K23" i="5"/>
  <c r="P23" i="5" s="1"/>
  <c r="J23" i="5"/>
  <c r="O22" i="5"/>
  <c r="M22" i="5"/>
  <c r="K22" i="5"/>
  <c r="Q22" i="5" s="1"/>
  <c r="R22" i="5" s="1"/>
  <c r="J22" i="5"/>
  <c r="O21" i="5"/>
  <c r="M21" i="5"/>
  <c r="K21" i="5"/>
  <c r="P21" i="5" s="1"/>
  <c r="J21" i="5"/>
  <c r="O20" i="5"/>
  <c r="M20" i="5"/>
  <c r="K20" i="5"/>
  <c r="Q20" i="5" s="1"/>
  <c r="R20" i="5" s="1"/>
  <c r="J20" i="5"/>
  <c r="O19" i="5"/>
  <c r="M19" i="5"/>
  <c r="K19" i="5"/>
  <c r="P19" i="5" s="1"/>
  <c r="J19" i="5"/>
  <c r="O18" i="5"/>
  <c r="M18" i="5"/>
  <c r="K18" i="5"/>
  <c r="Q18" i="5" s="1"/>
  <c r="R18" i="5" s="1"/>
  <c r="J18" i="5"/>
  <c r="O17" i="5"/>
  <c r="M17" i="5"/>
  <c r="K17" i="5"/>
  <c r="Q17" i="5" s="1"/>
  <c r="R17" i="5" s="1"/>
  <c r="J17" i="5"/>
  <c r="O16" i="5"/>
  <c r="M16" i="5"/>
  <c r="K16" i="5"/>
  <c r="Q16" i="5" s="1"/>
  <c r="R16" i="5" s="1"/>
  <c r="J16" i="5"/>
  <c r="O15" i="5"/>
  <c r="M15" i="5"/>
  <c r="K15" i="5"/>
  <c r="Q15" i="5" s="1"/>
  <c r="R15" i="5" s="1"/>
  <c r="J15" i="5"/>
  <c r="O14" i="5"/>
  <c r="M14" i="5"/>
  <c r="K14" i="5"/>
  <c r="P14" i="5" s="1"/>
  <c r="J14" i="5"/>
  <c r="O13" i="5"/>
  <c r="M13" i="5"/>
  <c r="K13" i="5"/>
  <c r="Q13" i="5" s="1"/>
  <c r="R13" i="5" s="1"/>
  <c r="J13" i="5"/>
  <c r="O12" i="5"/>
  <c r="M12" i="5"/>
  <c r="K12" i="5"/>
  <c r="P12" i="5" s="1"/>
  <c r="J12" i="5"/>
  <c r="O11" i="5"/>
  <c r="M11" i="5"/>
  <c r="K11" i="5"/>
  <c r="Q11" i="5" s="1"/>
  <c r="R11" i="5" s="1"/>
  <c r="J11" i="5"/>
  <c r="O10" i="5"/>
  <c r="M10" i="5"/>
  <c r="K10" i="5"/>
  <c r="Q10" i="5" s="1"/>
  <c r="R10" i="5" s="1"/>
  <c r="J10" i="5"/>
  <c r="O9" i="5"/>
  <c r="M9" i="5"/>
  <c r="K9" i="5"/>
  <c r="P9" i="5" s="1"/>
  <c r="J9" i="5"/>
  <c r="O8" i="5"/>
  <c r="M8" i="5"/>
  <c r="K8" i="5"/>
  <c r="Q8" i="5" s="1"/>
  <c r="R8" i="5" s="1"/>
  <c r="J8" i="5"/>
  <c r="O7" i="5"/>
  <c r="M7" i="5"/>
  <c r="K7" i="5"/>
  <c r="J7" i="5"/>
  <c r="O6" i="5"/>
  <c r="M6" i="5"/>
  <c r="K6" i="5"/>
  <c r="Q6" i="5" s="1"/>
  <c r="R6" i="5" s="1"/>
  <c r="J6" i="5"/>
  <c r="O5" i="5"/>
  <c r="M5" i="5"/>
  <c r="K5" i="5"/>
  <c r="P5" i="5" s="1"/>
  <c r="J5" i="5"/>
  <c r="O4" i="5"/>
  <c r="M4" i="5"/>
  <c r="K4" i="5"/>
  <c r="P4" i="5" s="1"/>
  <c r="J4" i="5"/>
  <c r="P131" i="5" l="1"/>
  <c r="Q212" i="5"/>
  <c r="R212" i="5" s="1"/>
  <c r="Q271" i="5"/>
  <c r="R271" i="5" s="1"/>
  <c r="P142" i="5"/>
  <c r="P150" i="5"/>
  <c r="P7" i="5"/>
  <c r="Q119" i="5"/>
  <c r="R119" i="5" s="1"/>
  <c r="Q83" i="5"/>
  <c r="R83" i="5" s="1"/>
  <c r="P109" i="5"/>
  <c r="Q185" i="5"/>
  <c r="R185" i="5" s="1"/>
  <c r="Q205" i="5"/>
  <c r="R205" i="5" s="1"/>
  <c r="Q137" i="5"/>
  <c r="R137" i="5" s="1"/>
  <c r="P164" i="5"/>
  <c r="P63" i="5"/>
  <c r="Q5" i="5"/>
  <c r="R5" i="5" s="1"/>
  <c r="P58" i="5"/>
  <c r="Q85" i="5"/>
  <c r="R85" i="5" s="1"/>
  <c r="Q96" i="5"/>
  <c r="R96" i="5" s="1"/>
  <c r="Q234" i="5"/>
  <c r="R234" i="5" s="1"/>
  <c r="P65" i="5"/>
  <c r="P73" i="5"/>
  <c r="P135" i="5"/>
  <c r="Q286" i="5"/>
  <c r="R286" i="5" s="1"/>
  <c r="Q299" i="5"/>
  <c r="R299" i="5" s="1"/>
  <c r="Q194" i="5"/>
  <c r="R194" i="5" s="1"/>
  <c r="Q262" i="5"/>
  <c r="R262" i="5" s="1"/>
  <c r="Q278" i="5"/>
  <c r="R278" i="5" s="1"/>
  <c r="P294" i="5"/>
  <c r="Q36" i="5"/>
  <c r="R36" i="5" s="1"/>
  <c r="Q76" i="5"/>
  <c r="R76" i="5" s="1"/>
  <c r="P114" i="5"/>
  <c r="Q178" i="5"/>
  <c r="R178" i="5" s="1"/>
  <c r="P276" i="5"/>
  <c r="Q292" i="5"/>
  <c r="R292" i="5" s="1"/>
  <c r="Q23" i="5"/>
  <c r="R23" i="5" s="1"/>
  <c r="Q34" i="5"/>
  <c r="R34" i="5" s="1"/>
  <c r="P101" i="5"/>
  <c r="P128" i="5"/>
  <c r="P176" i="5"/>
  <c r="P255" i="5"/>
  <c r="P171" i="5"/>
  <c r="Q290" i="5"/>
  <c r="R290" i="5" s="1"/>
  <c r="P30" i="5"/>
  <c r="P32" i="5"/>
  <c r="Q61" i="5"/>
  <c r="R61" i="5" s="1"/>
  <c r="P94" i="5"/>
  <c r="P99" i="5"/>
  <c r="Q109" i="5"/>
  <c r="P192" i="5"/>
  <c r="P269" i="5"/>
  <c r="Q237" i="5"/>
  <c r="R237" i="5" s="1"/>
  <c r="P25" i="5"/>
  <c r="Q148" i="5"/>
  <c r="R148" i="5" s="1"/>
  <c r="P233" i="5"/>
  <c r="P235" i="5"/>
  <c r="Q264" i="5"/>
  <c r="R264" i="5" s="1"/>
  <c r="Q59" i="5"/>
  <c r="R59" i="5" s="1"/>
  <c r="Q125" i="5"/>
  <c r="R125" i="5" s="1"/>
  <c r="P130" i="5"/>
  <c r="Q174" i="5"/>
  <c r="R174" i="5" s="1"/>
  <c r="Q215" i="5"/>
  <c r="R215" i="5" s="1"/>
  <c r="Q228" i="5"/>
  <c r="R228" i="5" s="1"/>
  <c r="Q285" i="5"/>
  <c r="R285" i="5" s="1"/>
  <c r="Q41" i="5"/>
  <c r="R41" i="5" s="1"/>
  <c r="Q62" i="5"/>
  <c r="R62" i="5" s="1"/>
  <c r="P72" i="5"/>
  <c r="P74" i="5"/>
  <c r="Q87" i="5"/>
  <c r="R87" i="5" s="1"/>
  <c r="Q110" i="5"/>
  <c r="R110" i="5" s="1"/>
  <c r="Q162" i="5"/>
  <c r="R162" i="5" s="1"/>
  <c r="P213" i="5"/>
  <c r="P226" i="5"/>
  <c r="Q257" i="5"/>
  <c r="R257" i="5" s="1"/>
  <c r="P283" i="5"/>
  <c r="P31" i="5"/>
  <c r="P108" i="5"/>
  <c r="Q188" i="5"/>
  <c r="R188" i="5" s="1"/>
  <c r="Q193" i="5"/>
  <c r="R193" i="5" s="1"/>
  <c r="P206" i="5"/>
  <c r="Q306" i="5"/>
  <c r="R306" i="5" s="1"/>
  <c r="Q208" i="5"/>
  <c r="R208" i="5" s="1"/>
  <c r="Q139" i="5"/>
  <c r="R139" i="5" s="1"/>
  <c r="P224" i="5"/>
  <c r="Q236" i="5"/>
  <c r="R236" i="5" s="1"/>
  <c r="P172" i="5"/>
  <c r="Q249" i="5"/>
  <c r="R249" i="5" s="1"/>
  <c r="P129" i="5"/>
  <c r="Q4" i="5"/>
  <c r="R4" i="5" s="1"/>
  <c r="Q9" i="5"/>
  <c r="R9" i="5" s="1"/>
  <c r="P11" i="5"/>
  <c r="P16" i="5"/>
  <c r="P20" i="5"/>
  <c r="Q27" i="5"/>
  <c r="R27" i="5" s="1"/>
  <c r="P49" i="5"/>
  <c r="P51" i="5"/>
  <c r="Q60" i="5"/>
  <c r="R60" i="5" s="1"/>
  <c r="Q64" i="5"/>
  <c r="R64" i="5" s="1"/>
  <c r="Q66" i="5"/>
  <c r="R66" i="5" s="1"/>
  <c r="Q78" i="5"/>
  <c r="R78" i="5" s="1"/>
  <c r="P80" i="5"/>
  <c r="Q98" i="5"/>
  <c r="R98" i="5" s="1"/>
  <c r="Q100" i="5"/>
  <c r="R100" i="5" s="1"/>
  <c r="Q105" i="5"/>
  <c r="R105" i="5" s="1"/>
  <c r="Q134" i="5"/>
  <c r="R134" i="5" s="1"/>
  <c r="Q136" i="5"/>
  <c r="R136" i="5" s="1"/>
  <c r="P143" i="5"/>
  <c r="Q159" i="5"/>
  <c r="R159" i="5" s="1"/>
  <c r="Q182" i="5"/>
  <c r="R182" i="5" s="1"/>
  <c r="P219" i="5"/>
  <c r="P221" i="5"/>
  <c r="Q223" i="5"/>
  <c r="R223" i="5" s="1"/>
  <c r="Q243" i="5"/>
  <c r="R243" i="5" s="1"/>
  <c r="P296" i="5"/>
  <c r="P298" i="5"/>
  <c r="P303" i="5"/>
  <c r="Q310" i="5"/>
  <c r="R310" i="5" s="1"/>
  <c r="P93" i="5"/>
  <c r="Q35" i="5"/>
  <c r="R35" i="5" s="1"/>
  <c r="P18" i="5"/>
  <c r="P38" i="5"/>
  <c r="P45" i="5"/>
  <c r="Q47" i="5"/>
  <c r="R47" i="5" s="1"/>
  <c r="Q56" i="5"/>
  <c r="R56" i="5" s="1"/>
  <c r="P112" i="5"/>
  <c r="P121" i="5"/>
  <c r="P123" i="5"/>
  <c r="Q132" i="5"/>
  <c r="R132" i="5" s="1"/>
  <c r="P157" i="5"/>
  <c r="Q180" i="5"/>
  <c r="R180" i="5" s="1"/>
  <c r="P196" i="5"/>
  <c r="P198" i="5"/>
  <c r="P241" i="5"/>
  <c r="P248" i="5"/>
  <c r="Q250" i="5"/>
  <c r="R250" i="5" s="1"/>
  <c r="P287" i="5"/>
  <c r="P115" i="5"/>
  <c r="P170" i="5"/>
  <c r="P179" i="5"/>
  <c r="P147" i="5"/>
  <c r="P10" i="5"/>
  <c r="Q12" i="5"/>
  <c r="R12" i="5" s="1"/>
  <c r="P44" i="5"/>
  <c r="Q48" i="5"/>
  <c r="R48" i="5" s="1"/>
  <c r="P50" i="5"/>
  <c r="P52" i="5"/>
  <c r="Q70" i="5"/>
  <c r="R70" i="5" s="1"/>
  <c r="P79" i="5"/>
  <c r="P81" i="5"/>
  <c r="Q90" i="5"/>
  <c r="R90" i="5" s="1"/>
  <c r="P133" i="5"/>
  <c r="Q144" i="5"/>
  <c r="R144" i="5" s="1"/>
  <c r="P156" i="5"/>
  <c r="Q167" i="5"/>
  <c r="R167" i="5" s="1"/>
  <c r="Q181" i="5"/>
  <c r="R181" i="5" s="1"/>
  <c r="P220" i="5"/>
  <c r="Q222" i="5"/>
  <c r="R222" i="5" s="1"/>
  <c r="P240" i="5"/>
  <c r="P297" i="5"/>
  <c r="P311" i="5"/>
  <c r="Q21" i="5"/>
  <c r="R21" i="5" s="1"/>
  <c r="P17" i="5"/>
  <c r="Q19" i="5"/>
  <c r="R19" i="5" s="1"/>
  <c r="P37" i="5"/>
  <c r="P39" i="5"/>
  <c r="P46" i="5"/>
  <c r="P122" i="5"/>
  <c r="Q158" i="5"/>
  <c r="R158" i="5" s="1"/>
  <c r="P197" i="5"/>
  <c r="P199" i="5"/>
  <c r="Q218" i="5"/>
  <c r="R218" i="5" s="1"/>
  <c r="Q242" i="5"/>
  <c r="R242" i="5" s="1"/>
  <c r="P247" i="5"/>
  <c r="Q251" i="5"/>
  <c r="R251" i="5" s="1"/>
  <c r="Q272" i="5"/>
  <c r="R272" i="5" s="1"/>
  <c r="P304" i="5"/>
  <c r="Q131" i="5"/>
  <c r="P86" i="5"/>
  <c r="Q95" i="5"/>
  <c r="R95" i="5" s="1"/>
  <c r="Q127" i="5"/>
  <c r="R127" i="5" s="1"/>
  <c r="P149" i="5"/>
  <c r="P163" i="5"/>
  <c r="P165" i="5"/>
  <c r="Q177" i="5"/>
  <c r="R177" i="5" s="1"/>
  <c r="Q229" i="5"/>
  <c r="R229" i="5" s="1"/>
  <c r="P254" i="5"/>
  <c r="P261" i="5"/>
  <c r="P263" i="5"/>
  <c r="P268" i="5"/>
  <c r="P270" i="5"/>
  <c r="Q293" i="5"/>
  <c r="R293" i="5" s="1"/>
  <c r="P29" i="5"/>
  <c r="Q33" i="5"/>
  <c r="R33" i="5" s="1"/>
  <c r="P84" i="5"/>
  <c r="P107" i="5"/>
  <c r="P161" i="5"/>
  <c r="P184" i="5"/>
  <c r="P186" i="5"/>
  <c r="P191" i="5"/>
  <c r="P227" i="5"/>
  <c r="P275" i="5"/>
  <c r="P282" i="5"/>
  <c r="Q120" i="5"/>
  <c r="R120" i="5" s="1"/>
  <c r="P289" i="5"/>
  <c r="P291" i="5"/>
  <c r="P113" i="5"/>
  <c r="P88" i="5"/>
  <c r="Q71" i="5"/>
  <c r="R71" i="5" s="1"/>
  <c r="Q82" i="5"/>
  <c r="R82" i="5" s="1"/>
  <c r="Q145" i="5"/>
  <c r="R145" i="5" s="1"/>
  <c r="Q207" i="5"/>
  <c r="R207" i="5" s="1"/>
  <c r="Q214" i="5"/>
  <c r="R214" i="5" s="1"/>
  <c r="Q232" i="5"/>
  <c r="R232" i="5" s="1"/>
  <c r="P259" i="5"/>
  <c r="P266" i="5"/>
  <c r="Q42" i="5"/>
  <c r="R42" i="5" s="1"/>
  <c r="Q106" i="5"/>
  <c r="R106" i="5" s="1"/>
  <c r="Q189" i="5"/>
  <c r="R189" i="5" s="1"/>
  <c r="Q204" i="5"/>
  <c r="R204" i="5" s="1"/>
  <c r="P210" i="5"/>
  <c r="Q258" i="5"/>
  <c r="R258" i="5" s="1"/>
  <c r="Q267" i="5"/>
  <c r="R267" i="5" s="1"/>
  <c r="P267" i="5"/>
  <c r="Q7" i="5"/>
  <c r="Q14" i="5"/>
  <c r="R14" i="5" s="1"/>
  <c r="Q140" i="5"/>
  <c r="R140" i="5" s="1"/>
  <c r="Q155" i="5"/>
  <c r="R155" i="5" s="1"/>
  <c r="P238" i="5"/>
  <c r="Q246" i="5"/>
  <c r="R246" i="5" s="1"/>
  <c r="P252" i="5"/>
  <c r="P256" i="5"/>
  <c r="Q279" i="5"/>
  <c r="R279" i="5" s="1"/>
  <c r="Q288" i="5"/>
  <c r="R288" i="5" s="1"/>
  <c r="P288" i="5"/>
  <c r="Q57" i="5"/>
  <c r="R57" i="5" s="1"/>
  <c r="Q91" i="5"/>
  <c r="R91" i="5" s="1"/>
  <c r="Q97" i="5"/>
  <c r="R97" i="5" s="1"/>
  <c r="Q146" i="5"/>
  <c r="R146" i="5" s="1"/>
  <c r="Q195" i="5"/>
  <c r="R195" i="5" s="1"/>
  <c r="Q216" i="5"/>
  <c r="R216" i="5" s="1"/>
  <c r="Q230" i="5"/>
  <c r="R230" i="5" s="1"/>
  <c r="Q244" i="5"/>
  <c r="R244" i="5" s="1"/>
  <c r="P273" i="5"/>
  <c r="P277" i="5"/>
  <c r="Q300" i="5"/>
  <c r="R300" i="5" s="1"/>
  <c r="Q309" i="5"/>
  <c r="R309" i="5" s="1"/>
  <c r="P309" i="5"/>
  <c r="Q253" i="5"/>
  <c r="R253" i="5" s="1"/>
  <c r="P253" i="5"/>
  <c r="P6" i="5"/>
  <c r="P13" i="5"/>
  <c r="P22" i="5"/>
  <c r="Q54" i="5"/>
  <c r="R54" i="5" s="1"/>
  <c r="Q67" i="5"/>
  <c r="R67" i="5" s="1"/>
  <c r="Q103" i="5"/>
  <c r="R103" i="5" s="1"/>
  <c r="Q116" i="5"/>
  <c r="R116" i="5" s="1"/>
  <c r="Q152" i="5"/>
  <c r="R152" i="5" s="1"/>
  <c r="P154" i="5"/>
  <c r="P169" i="5"/>
  <c r="Q201" i="5"/>
  <c r="R201" i="5" s="1"/>
  <c r="P203" i="5"/>
  <c r="Q265" i="5"/>
  <c r="R265" i="5" s="1"/>
  <c r="Q274" i="5"/>
  <c r="R274" i="5" s="1"/>
  <c r="P274" i="5"/>
  <c r="Q69" i="5"/>
  <c r="R69" i="5" s="1"/>
  <c r="Q295" i="5"/>
  <c r="R295" i="5" s="1"/>
  <c r="P295" i="5"/>
  <c r="Q118" i="5"/>
  <c r="R118" i="5" s="1"/>
  <c r="P8" i="5"/>
  <c r="P15" i="5"/>
  <c r="P24" i="5"/>
  <c r="Q26" i="5"/>
  <c r="R26" i="5" s="1"/>
  <c r="P28" i="5"/>
  <c r="P43" i="5"/>
  <c r="Q75" i="5"/>
  <c r="R75" i="5" s="1"/>
  <c r="P77" i="5"/>
  <c r="P92" i="5"/>
  <c r="Q124" i="5"/>
  <c r="R124" i="5" s="1"/>
  <c r="P126" i="5"/>
  <c r="P141" i="5"/>
  <c r="Q173" i="5"/>
  <c r="R173" i="5" s="1"/>
  <c r="P175" i="5"/>
  <c r="P190" i="5"/>
  <c r="P280" i="5"/>
  <c r="P284" i="5"/>
  <c r="Q307" i="5"/>
  <c r="R307" i="5" s="1"/>
  <c r="Q111" i="5"/>
  <c r="R111" i="5" s="1"/>
  <c r="Q160" i="5"/>
  <c r="R160" i="5" s="1"/>
  <c r="Q209" i="5"/>
  <c r="R209" i="5" s="1"/>
  <c r="Q211" i="5"/>
  <c r="R211" i="5" s="1"/>
  <c r="P217" i="5"/>
  <c r="Q225" i="5"/>
  <c r="R225" i="5" s="1"/>
  <c r="P231" i="5"/>
  <c r="Q239" i="5"/>
  <c r="R239" i="5" s="1"/>
  <c r="P245" i="5"/>
  <c r="P301" i="5"/>
  <c r="P305" i="5"/>
  <c r="Q281" i="5"/>
  <c r="R281" i="5" s="1"/>
  <c r="P281" i="5"/>
  <c r="Q68" i="5"/>
  <c r="R68" i="5" s="1"/>
  <c r="Q117" i="5"/>
  <c r="R117" i="5" s="1"/>
  <c r="Q166" i="5"/>
  <c r="R166" i="5" s="1"/>
  <c r="P168" i="5"/>
  <c r="P183" i="5"/>
  <c r="Q302" i="5"/>
  <c r="R302" i="5" s="1"/>
  <c r="P302" i="5"/>
  <c r="P53" i="5"/>
  <c r="Q55" i="5"/>
  <c r="R55" i="5" s="1"/>
  <c r="P151" i="5"/>
  <c r="Q153" i="5"/>
  <c r="R153" i="5" s="1"/>
  <c r="P200" i="5"/>
  <c r="Q202" i="5"/>
  <c r="R202" i="5" s="1"/>
  <c r="Q260" i="5"/>
  <c r="R260" i="5" s="1"/>
  <c r="P260" i="5"/>
  <c r="P102" i="5"/>
  <c r="Q104" i="5"/>
  <c r="R104" i="5" s="1"/>
  <c r="Q40" i="5"/>
  <c r="R40" i="5" s="1"/>
  <c r="Q89" i="5"/>
  <c r="R89" i="5" s="1"/>
  <c r="Q138" i="5"/>
  <c r="R138" i="5" s="1"/>
  <c r="Q187" i="5"/>
  <c r="R187" i="5" s="1"/>
  <c r="P308" i="5"/>
  <c r="P312" i="5"/>
  <c r="R131" i="5" l="1"/>
  <c r="R7" i="5"/>
  <c r="R109" i="5"/>
  <c r="R24" i="5"/>
  <c r="K5" i="2"/>
  <c r="Q5" i="2" s="1"/>
  <c r="K6" i="2"/>
  <c r="K7" i="2"/>
  <c r="K8" i="2"/>
  <c r="Q8" i="2" s="1"/>
  <c r="K9" i="2"/>
  <c r="Q9" i="2" s="1"/>
  <c r="K10" i="2"/>
  <c r="Q10" i="2" s="1"/>
  <c r="K11" i="2"/>
  <c r="Q11" i="2" s="1"/>
  <c r="K12" i="2"/>
  <c r="Q12" i="2" s="1"/>
  <c r="K13" i="2"/>
  <c r="Q13" i="2" s="1"/>
  <c r="K14" i="2"/>
  <c r="Q14" i="2" s="1"/>
  <c r="K15" i="2"/>
  <c r="Q15" i="2" s="1"/>
  <c r="K16" i="2"/>
  <c r="K17" i="2"/>
  <c r="Q17" i="2" s="1"/>
  <c r="K18" i="2"/>
  <c r="Q18" i="2" s="1"/>
  <c r="K19" i="2"/>
  <c r="Q19" i="2" s="1"/>
  <c r="K20" i="2"/>
  <c r="K21" i="2"/>
  <c r="Q21" i="2" s="1"/>
  <c r="K22" i="2"/>
  <c r="Q22" i="2" s="1"/>
  <c r="K23" i="2"/>
  <c r="K24" i="2"/>
  <c r="Q24" i="2" s="1"/>
  <c r="K25" i="2"/>
  <c r="K26" i="2"/>
  <c r="Q26" i="2" s="1"/>
  <c r="K27" i="2"/>
  <c r="Q27" i="2" s="1"/>
  <c r="K28" i="2"/>
  <c r="K29" i="2"/>
  <c r="Q29" i="2" s="1"/>
  <c r="K30" i="2"/>
  <c r="Q30" i="2" s="1"/>
  <c r="K31" i="2"/>
  <c r="Q31" i="2" s="1"/>
  <c r="K32" i="2"/>
  <c r="K33" i="2"/>
  <c r="K34" i="2"/>
  <c r="Q34" i="2" s="1"/>
  <c r="K35" i="2"/>
  <c r="K36" i="2"/>
  <c r="K37" i="2"/>
  <c r="K38" i="2"/>
  <c r="K39" i="2"/>
  <c r="K40" i="2"/>
  <c r="K41" i="2"/>
  <c r="K42" i="2"/>
  <c r="K43" i="2"/>
  <c r="K44" i="2"/>
  <c r="K45" i="2"/>
  <c r="Q45" i="2" s="1"/>
  <c r="K46" i="2"/>
  <c r="K47" i="2"/>
  <c r="Q47" i="2" s="1"/>
  <c r="K48" i="2"/>
  <c r="Q48" i="2" s="1"/>
  <c r="K49" i="2"/>
  <c r="P49" i="2" s="1"/>
  <c r="K50" i="2"/>
  <c r="Q50" i="2" s="1"/>
  <c r="K51" i="2"/>
  <c r="P51" i="2" s="1"/>
  <c r="K52" i="2"/>
  <c r="Q52" i="2" s="1"/>
  <c r="K53" i="2"/>
  <c r="K54" i="2"/>
  <c r="Q54" i="2" s="1"/>
  <c r="K55" i="2"/>
  <c r="Q55" i="2" s="1"/>
  <c r="K56" i="2"/>
  <c r="K57" i="2"/>
  <c r="Q57" i="2" s="1"/>
  <c r="K58" i="2"/>
  <c r="P58" i="2" s="1"/>
  <c r="K59" i="2"/>
  <c r="K60" i="2"/>
  <c r="K61" i="2"/>
  <c r="K62" i="2"/>
  <c r="K63" i="2"/>
  <c r="K64" i="2"/>
  <c r="K65" i="2"/>
  <c r="K66" i="2"/>
  <c r="K67" i="2"/>
  <c r="K68" i="2"/>
  <c r="Q68" i="2" s="1"/>
  <c r="K69" i="2"/>
  <c r="K70" i="2"/>
  <c r="K71" i="2"/>
  <c r="Q71" i="2" s="1"/>
  <c r="K72" i="2"/>
  <c r="K73" i="2"/>
  <c r="Q73" i="2" s="1"/>
  <c r="K74" i="2"/>
  <c r="K75" i="2"/>
  <c r="Q75" i="2" s="1"/>
  <c r="K76" i="2"/>
  <c r="P76" i="2" s="1"/>
  <c r="K77" i="2"/>
  <c r="K78" i="2"/>
  <c r="Q78" i="2" s="1"/>
  <c r="K79" i="2"/>
  <c r="K80" i="2"/>
  <c r="Q80" i="2" s="1"/>
  <c r="K81" i="2"/>
  <c r="K82" i="2"/>
  <c r="K83" i="2"/>
  <c r="Q83" i="2" s="1"/>
  <c r="K84" i="2"/>
  <c r="K85" i="2"/>
  <c r="K86" i="2"/>
  <c r="K87" i="2"/>
  <c r="P87" i="2" s="1"/>
  <c r="K88" i="2"/>
  <c r="K89" i="2"/>
  <c r="K90" i="2"/>
  <c r="K91" i="2"/>
  <c r="K92" i="2"/>
  <c r="K93" i="2"/>
  <c r="K94" i="2"/>
  <c r="Q94" i="2" s="1"/>
  <c r="K95" i="2"/>
  <c r="K96" i="2"/>
  <c r="Q96" i="2" s="1"/>
  <c r="K97" i="2"/>
  <c r="Q97" i="2" s="1"/>
  <c r="K98" i="2"/>
  <c r="K99" i="2"/>
  <c r="K100" i="2"/>
  <c r="P100" i="2" s="1"/>
  <c r="K101" i="2"/>
  <c r="Q101" i="2" s="1"/>
  <c r="R101" i="2" s="1"/>
  <c r="K102" i="2"/>
  <c r="P102" i="2" s="1"/>
  <c r="K103" i="2"/>
  <c r="Q103" i="2" s="1"/>
  <c r="R103" i="2" s="1"/>
  <c r="K104" i="2"/>
  <c r="Q104" i="2" s="1"/>
  <c r="R104" i="2" s="1"/>
  <c r="K105" i="2"/>
  <c r="P105" i="2" s="1"/>
  <c r="K106" i="2"/>
  <c r="Q106" i="2" s="1"/>
  <c r="R106" i="2" s="1"/>
  <c r="K107" i="2"/>
  <c r="P107" i="2" s="1"/>
  <c r="K108" i="2"/>
  <c r="P108" i="2" s="1"/>
  <c r="K109" i="2"/>
  <c r="P109" i="2" s="1"/>
  <c r="K110" i="2"/>
  <c r="P110" i="2" s="1"/>
  <c r="K111" i="2"/>
  <c r="P111" i="2" s="1"/>
  <c r="K112" i="2"/>
  <c r="P112" i="2" s="1"/>
  <c r="K113" i="2"/>
  <c r="P113" i="2" s="1"/>
  <c r="K114" i="2"/>
  <c r="P114" i="2" s="1"/>
  <c r="K115" i="2"/>
  <c r="P115" i="2" s="1"/>
  <c r="K116" i="2"/>
  <c r="P116" i="2" s="1"/>
  <c r="K117" i="2"/>
  <c r="Q117" i="2" s="1"/>
  <c r="R117" i="2" s="1"/>
  <c r="K118" i="2"/>
  <c r="P118" i="2" s="1"/>
  <c r="K119" i="2"/>
  <c r="P119" i="2" s="1"/>
  <c r="K120" i="2"/>
  <c r="Q120" i="2" s="1"/>
  <c r="R120" i="2" s="1"/>
  <c r="K121" i="2"/>
  <c r="P121" i="2" s="1"/>
  <c r="K122" i="2"/>
  <c r="P122" i="2" s="1"/>
  <c r="K123" i="2"/>
  <c r="P123" i="2" s="1"/>
  <c r="K124" i="2"/>
  <c r="P124" i="2" s="1"/>
  <c r="K125" i="2"/>
  <c r="P125" i="2" s="1"/>
  <c r="K126" i="2"/>
  <c r="P126" i="2" s="1"/>
  <c r="K127" i="2"/>
  <c r="Q127" i="2" s="1"/>
  <c r="R127" i="2" s="1"/>
  <c r="K128" i="2"/>
  <c r="P128" i="2" s="1"/>
  <c r="K129" i="2"/>
  <c r="P129" i="2" s="1"/>
  <c r="K130" i="2"/>
  <c r="P130" i="2" s="1"/>
  <c r="K131" i="2"/>
  <c r="Q131" i="2" s="1"/>
  <c r="R131" i="2" s="1"/>
  <c r="K132" i="2"/>
  <c r="Q132" i="2" s="1"/>
  <c r="R132" i="2" s="1"/>
  <c r="K133" i="2"/>
  <c r="P133" i="2" s="1"/>
  <c r="K134" i="2"/>
  <c r="Q134" i="2" s="1"/>
  <c r="R134" i="2" s="1"/>
  <c r="K135" i="2"/>
  <c r="P135" i="2" s="1"/>
  <c r="K136" i="2"/>
  <c r="P136" i="2" s="1"/>
  <c r="K137" i="2"/>
  <c r="P137" i="2" s="1"/>
  <c r="K138" i="2"/>
  <c r="P138" i="2" s="1"/>
  <c r="K139" i="2"/>
  <c r="P139" i="2" s="1"/>
  <c r="K140" i="2"/>
  <c r="P140" i="2" s="1"/>
  <c r="K141" i="2"/>
  <c r="Q141" i="2" s="1"/>
  <c r="R141" i="2" s="1"/>
  <c r="K142" i="2"/>
  <c r="P142" i="2" s="1"/>
  <c r="K143" i="2"/>
  <c r="P143" i="2" s="1"/>
  <c r="K144" i="2"/>
  <c r="P144" i="2" s="1"/>
  <c r="K145" i="2"/>
  <c r="P145" i="2" s="1"/>
  <c r="K146" i="2"/>
  <c r="P146" i="2" s="1"/>
  <c r="K147" i="2"/>
  <c r="P147" i="2" s="1"/>
  <c r="K148" i="2"/>
  <c r="Q148" i="2" s="1"/>
  <c r="R148" i="2" s="1"/>
  <c r="K149" i="2"/>
  <c r="P149" i="2" s="1"/>
  <c r="K150" i="2"/>
  <c r="P150" i="2" s="1"/>
  <c r="K151" i="2"/>
  <c r="P151" i="2" s="1"/>
  <c r="K152" i="2"/>
  <c r="P152" i="2" s="1"/>
  <c r="K153" i="2"/>
  <c r="Q153" i="2" s="1"/>
  <c r="R153" i="2" s="1"/>
  <c r="K154" i="2"/>
  <c r="P154" i="2" s="1"/>
  <c r="K155" i="2"/>
  <c r="Q155" i="2" s="1"/>
  <c r="R155" i="2" s="1"/>
  <c r="K156" i="2"/>
  <c r="P156" i="2" s="1"/>
  <c r="K157" i="2"/>
  <c r="P157" i="2" s="1"/>
  <c r="K158" i="2"/>
  <c r="P158" i="2" s="1"/>
  <c r="K159" i="2"/>
  <c r="Q159" i="2" s="1"/>
  <c r="R159" i="2" s="1"/>
  <c r="K160" i="2"/>
  <c r="P160" i="2" s="1"/>
  <c r="K161" i="2"/>
  <c r="P161" i="2" s="1"/>
  <c r="K162" i="2"/>
  <c r="P162" i="2" s="1"/>
  <c r="K163" i="2"/>
  <c r="P163" i="2" s="1"/>
  <c r="K164" i="2"/>
  <c r="P164" i="2" s="1"/>
  <c r="K165" i="2"/>
  <c r="P165" i="2" s="1"/>
  <c r="K166" i="2"/>
  <c r="P166" i="2" s="1"/>
  <c r="K167" i="2"/>
  <c r="Q167" i="2" s="1"/>
  <c r="R167" i="2" s="1"/>
  <c r="K168" i="2"/>
  <c r="P168" i="2" s="1"/>
  <c r="K169" i="2"/>
  <c r="Q169" i="2" s="1"/>
  <c r="R169" i="2" s="1"/>
  <c r="K170" i="2"/>
  <c r="P170" i="2" s="1"/>
  <c r="K171" i="2"/>
  <c r="P171" i="2" s="1"/>
  <c r="K172" i="2"/>
  <c r="P172" i="2" s="1"/>
  <c r="K173" i="2"/>
  <c r="P173" i="2" s="1"/>
  <c r="K174" i="2"/>
  <c r="P174" i="2" s="1"/>
  <c r="K175" i="2"/>
  <c r="P175" i="2" s="1"/>
  <c r="K176" i="2"/>
  <c r="Q176" i="2" s="1"/>
  <c r="R176" i="2" s="1"/>
  <c r="K177" i="2"/>
  <c r="P177" i="2" s="1"/>
  <c r="K178" i="2"/>
  <c r="P178" i="2" s="1"/>
  <c r="K179" i="2"/>
  <c r="P179" i="2" s="1"/>
  <c r="K180" i="2"/>
  <c r="Q180" i="2" s="1"/>
  <c r="R180" i="2" s="1"/>
  <c r="K181" i="2"/>
  <c r="Q181" i="2" s="1"/>
  <c r="R181" i="2" s="1"/>
  <c r="K182" i="2"/>
  <c r="P182" i="2" s="1"/>
  <c r="K183" i="2"/>
  <c r="Q183" i="2" s="1"/>
  <c r="R183" i="2" s="1"/>
  <c r="K184" i="2"/>
  <c r="P184" i="2" s="1"/>
  <c r="K185" i="2"/>
  <c r="P185" i="2" s="1"/>
  <c r="K186" i="2"/>
  <c r="P186" i="2" s="1"/>
  <c r="K187" i="2"/>
  <c r="P187" i="2" s="1"/>
  <c r="K188" i="2"/>
  <c r="P188" i="2" s="1"/>
  <c r="K189" i="2"/>
  <c r="P189" i="2" s="1"/>
  <c r="K190" i="2"/>
  <c r="Q190" i="2" s="1"/>
  <c r="R190" i="2" s="1"/>
  <c r="K191" i="2"/>
  <c r="P191" i="2" s="1"/>
  <c r="K192" i="2"/>
  <c r="P192" i="2" s="1"/>
  <c r="K193" i="2"/>
  <c r="P193" i="2" s="1"/>
  <c r="K194" i="2"/>
  <c r="P194" i="2" s="1"/>
  <c r="K195" i="2"/>
  <c r="P195" i="2" s="1"/>
  <c r="K196" i="2"/>
  <c r="P196" i="2" s="1"/>
  <c r="K197" i="2"/>
  <c r="Q197" i="2" s="1"/>
  <c r="R197" i="2" s="1"/>
  <c r="K198" i="2"/>
  <c r="P198" i="2" s="1"/>
  <c r="K199" i="2"/>
  <c r="P199" i="2" s="1"/>
  <c r="K200" i="2"/>
  <c r="P200" i="2" s="1"/>
  <c r="K201" i="2"/>
  <c r="P201" i="2" s="1"/>
  <c r="K202" i="2"/>
  <c r="Q202" i="2" s="1"/>
  <c r="R202" i="2" s="1"/>
  <c r="K203" i="2"/>
  <c r="P203" i="2" s="1"/>
  <c r="K204" i="2"/>
  <c r="Q204" i="2" s="1"/>
  <c r="R204" i="2" s="1"/>
  <c r="K205" i="2"/>
  <c r="P205" i="2" s="1"/>
  <c r="K206" i="2"/>
  <c r="P206" i="2" s="1"/>
  <c r="K207" i="2"/>
  <c r="P207" i="2" s="1"/>
  <c r="K208" i="2"/>
  <c r="Q208" i="2" s="1"/>
  <c r="R208" i="2" s="1"/>
  <c r="K209" i="2"/>
  <c r="Q209" i="2" s="1"/>
  <c r="R209" i="2" s="1"/>
  <c r="K210" i="2"/>
  <c r="P210" i="2" s="1"/>
  <c r="K211" i="2"/>
  <c r="Q211" i="2" s="1"/>
  <c r="R211" i="2" s="1"/>
  <c r="K212" i="2"/>
  <c r="P212" i="2" s="1"/>
  <c r="K213" i="2"/>
  <c r="P213" i="2" s="1"/>
  <c r="K214" i="2"/>
  <c r="P214" i="2" s="1"/>
  <c r="K215" i="2"/>
  <c r="P215" i="2" s="1"/>
  <c r="K216" i="2"/>
  <c r="P216" i="2" s="1"/>
  <c r="K217" i="2"/>
  <c r="P217" i="2" s="1"/>
  <c r="K218" i="2"/>
  <c r="Q218" i="2" s="1"/>
  <c r="R218" i="2" s="1"/>
  <c r="K219" i="2"/>
  <c r="P219" i="2" s="1"/>
  <c r="K220" i="2"/>
  <c r="Q220" i="2" s="1"/>
  <c r="R220" i="2" s="1"/>
  <c r="K221" i="2"/>
  <c r="P221" i="2" s="1"/>
  <c r="K222" i="2"/>
  <c r="P222" i="2" s="1"/>
  <c r="K223" i="2"/>
  <c r="P223" i="2" s="1"/>
  <c r="K224" i="2"/>
  <c r="P224" i="2" s="1"/>
  <c r="K225" i="2"/>
  <c r="Q225" i="2" s="1"/>
  <c r="R225" i="2" s="1"/>
  <c r="K226" i="2"/>
  <c r="P226" i="2" s="1"/>
  <c r="K227" i="2"/>
  <c r="P227" i="2" s="1"/>
  <c r="K228" i="2"/>
  <c r="P228" i="2" s="1"/>
  <c r="K229" i="2"/>
  <c r="Q229" i="2" s="1"/>
  <c r="R229" i="2" s="1"/>
  <c r="K230" i="2"/>
  <c r="Q230" i="2" s="1"/>
  <c r="R230" i="2" s="1"/>
  <c r="K231" i="2"/>
  <c r="P231" i="2" s="1"/>
  <c r="K232" i="2"/>
  <c r="Q232" i="2" s="1"/>
  <c r="R232" i="2" s="1"/>
  <c r="K233" i="2"/>
  <c r="P233" i="2" s="1"/>
  <c r="K234" i="2"/>
  <c r="P234" i="2" s="1"/>
  <c r="K235" i="2"/>
  <c r="P235" i="2" s="1"/>
  <c r="K236" i="2"/>
  <c r="Q236" i="2" s="1"/>
  <c r="R236" i="2" s="1"/>
  <c r="K237" i="2"/>
  <c r="Q237" i="2" s="1"/>
  <c r="R237" i="2" s="1"/>
  <c r="K238" i="2"/>
  <c r="P238" i="2" s="1"/>
  <c r="K239" i="2"/>
  <c r="Q239" i="2" s="1"/>
  <c r="R239" i="2" s="1"/>
  <c r="K240" i="2"/>
  <c r="P240" i="2" s="1"/>
  <c r="K241" i="2"/>
  <c r="P241" i="2" s="1"/>
  <c r="K242" i="2"/>
  <c r="P242" i="2" s="1"/>
  <c r="K243" i="2"/>
  <c r="Q243" i="2" s="1"/>
  <c r="R243" i="2" s="1"/>
  <c r="K4" i="2"/>
  <c r="K244" i="2"/>
  <c r="P244" i="2" s="1"/>
  <c r="K245" i="2"/>
  <c r="P245" i="2" s="1"/>
  <c r="K246" i="2"/>
  <c r="Q246" i="2" s="1"/>
  <c r="R246" i="2" s="1"/>
  <c r="K247" i="2"/>
  <c r="P247" i="2" s="1"/>
  <c r="K248" i="2"/>
  <c r="P248" i="2" s="1"/>
  <c r="K249" i="2"/>
  <c r="P249" i="2" s="1"/>
  <c r="K250" i="2"/>
  <c r="P250" i="2" s="1"/>
  <c r="K251" i="2"/>
  <c r="Q251" i="2" s="1"/>
  <c r="R251" i="2" s="1"/>
  <c r="K252" i="2"/>
  <c r="P252" i="2" s="1"/>
  <c r="K253" i="2"/>
  <c r="Q253" i="2" s="1"/>
  <c r="R253" i="2" s="1"/>
  <c r="K254" i="2"/>
  <c r="P254" i="2" s="1"/>
  <c r="K255" i="2"/>
  <c r="P255" i="2" s="1"/>
  <c r="K256" i="2"/>
  <c r="P256" i="2" s="1"/>
  <c r="K257" i="2"/>
  <c r="Q257" i="2" s="1"/>
  <c r="R257" i="2" s="1"/>
  <c r="K258" i="2"/>
  <c r="P258" i="2" s="1"/>
  <c r="K259" i="2"/>
  <c r="P259" i="2" s="1"/>
  <c r="K260" i="2"/>
  <c r="Q260" i="2" s="1"/>
  <c r="R260" i="2" s="1"/>
  <c r="K261" i="2"/>
  <c r="P261" i="2" s="1"/>
  <c r="K262" i="2"/>
  <c r="P262" i="2" s="1"/>
  <c r="K263" i="2"/>
  <c r="P263" i="2" s="1"/>
  <c r="K264" i="2"/>
  <c r="Q264" i="2" s="1"/>
  <c r="R264" i="2" s="1"/>
  <c r="K265" i="2"/>
  <c r="Q265" i="2" s="1"/>
  <c r="R265" i="2" s="1"/>
  <c r="K266" i="2"/>
  <c r="P266" i="2" s="1"/>
  <c r="K267" i="2"/>
  <c r="Q267" i="2" s="1"/>
  <c r="R267" i="2" s="1"/>
  <c r="K268" i="2"/>
  <c r="P268" i="2" s="1"/>
  <c r="K269" i="2"/>
  <c r="P269" i="2" s="1"/>
  <c r="K270" i="2"/>
  <c r="P270" i="2" s="1"/>
  <c r="K271" i="2"/>
  <c r="Q271" i="2" s="1"/>
  <c r="R271" i="2" s="1"/>
  <c r="K272" i="2"/>
  <c r="P272" i="2" s="1"/>
  <c r="K273" i="2"/>
  <c r="P273" i="2" s="1"/>
  <c r="K274" i="2"/>
  <c r="Q274" i="2" s="1"/>
  <c r="R274" i="2" s="1"/>
  <c r="K275" i="2"/>
  <c r="P275" i="2" s="1"/>
  <c r="K276" i="2"/>
  <c r="P276" i="2" s="1"/>
  <c r="K277" i="2"/>
  <c r="P277" i="2" s="1"/>
  <c r="K278" i="2"/>
  <c r="Q278" i="2" s="1"/>
  <c r="R278" i="2" s="1"/>
  <c r="K279" i="2"/>
  <c r="Q279" i="2" s="1"/>
  <c r="R279" i="2" s="1"/>
  <c r="K280" i="2"/>
  <c r="P280" i="2" s="1"/>
  <c r="K281" i="2"/>
  <c r="Q281" i="2" s="1"/>
  <c r="R281" i="2" s="1"/>
  <c r="K282" i="2"/>
  <c r="P282" i="2" s="1"/>
  <c r="K283" i="2"/>
  <c r="Q283" i="2" s="1"/>
  <c r="R283" i="2" s="1"/>
  <c r="K284" i="2"/>
  <c r="K285" i="2"/>
  <c r="Q285" i="2" s="1"/>
  <c r="R285" i="2" s="1"/>
  <c r="K286" i="2"/>
  <c r="Q286" i="2" s="1"/>
  <c r="R286" i="2" s="1"/>
  <c r="K287" i="2"/>
  <c r="P287" i="2" s="1"/>
  <c r="K288" i="2"/>
  <c r="Q288" i="2" s="1"/>
  <c r="R288" i="2" s="1"/>
  <c r="K289" i="2"/>
  <c r="P289" i="2" s="1"/>
  <c r="K290" i="2"/>
  <c r="P290" i="2" s="1"/>
  <c r="K291" i="2"/>
  <c r="K292" i="2"/>
  <c r="Q292" i="2" s="1"/>
  <c r="R292" i="2" s="1"/>
  <c r="K293" i="2"/>
  <c r="Q293" i="2" s="1"/>
  <c r="R293" i="2" s="1"/>
  <c r="K294" i="2"/>
  <c r="P294" i="2" s="1"/>
  <c r="K295" i="2"/>
  <c r="Q295" i="2" s="1"/>
  <c r="R295" i="2" s="1"/>
  <c r="K296" i="2"/>
  <c r="P296" i="2" s="1"/>
  <c r="K297" i="2"/>
  <c r="P297" i="2" s="1"/>
  <c r="K298" i="2"/>
  <c r="K299" i="2"/>
  <c r="Q299" i="2" s="1"/>
  <c r="R299" i="2" s="1"/>
  <c r="K300" i="2"/>
  <c r="Q300" i="2" s="1"/>
  <c r="R300" i="2" s="1"/>
  <c r="K301" i="2"/>
  <c r="P301" i="2" s="1"/>
  <c r="K302" i="2"/>
  <c r="Q302" i="2" s="1"/>
  <c r="R302" i="2" s="1"/>
  <c r="K303" i="2"/>
  <c r="P303" i="2" s="1"/>
  <c r="K304" i="2"/>
  <c r="Q304" i="2" s="1"/>
  <c r="R304" i="2" s="1"/>
  <c r="K305" i="2"/>
  <c r="K306" i="2"/>
  <c r="Q306" i="2" s="1"/>
  <c r="R306" i="2" s="1"/>
  <c r="K307" i="2"/>
  <c r="Q307" i="2" s="1"/>
  <c r="R307" i="2" s="1"/>
  <c r="K308" i="2"/>
  <c r="P308" i="2" s="1"/>
  <c r="K309" i="2"/>
  <c r="Q309" i="2" s="1"/>
  <c r="R309" i="2" s="1"/>
  <c r="K310" i="2"/>
  <c r="Q310" i="2" s="1"/>
  <c r="R310" i="2" s="1"/>
  <c r="K311" i="2"/>
  <c r="Q311" i="2" s="1"/>
  <c r="R311" i="2" s="1"/>
  <c r="K312" i="2"/>
  <c r="O312" i="2"/>
  <c r="M312" i="2"/>
  <c r="J312" i="2"/>
  <c r="O311" i="2"/>
  <c r="M311" i="2"/>
  <c r="J311" i="2"/>
  <c r="O310" i="2"/>
  <c r="M310" i="2"/>
  <c r="J310" i="2"/>
  <c r="O309" i="2"/>
  <c r="M309" i="2"/>
  <c r="J309" i="2"/>
  <c r="O308" i="2"/>
  <c r="M308" i="2"/>
  <c r="J308" i="2"/>
  <c r="O307" i="2"/>
  <c r="M307" i="2"/>
  <c r="J307" i="2"/>
  <c r="O306" i="2"/>
  <c r="M306" i="2"/>
  <c r="J306" i="2"/>
  <c r="O305" i="2"/>
  <c r="M305" i="2"/>
  <c r="J305" i="2"/>
  <c r="O304" i="2"/>
  <c r="M304" i="2"/>
  <c r="J304" i="2"/>
  <c r="O303" i="2"/>
  <c r="M303" i="2"/>
  <c r="J303" i="2"/>
  <c r="O302" i="2"/>
  <c r="M302" i="2"/>
  <c r="J302" i="2"/>
  <c r="O301" i="2"/>
  <c r="M301" i="2"/>
  <c r="J301" i="2"/>
  <c r="O300" i="2"/>
  <c r="M300" i="2"/>
  <c r="J300" i="2"/>
  <c r="O299" i="2"/>
  <c r="M299" i="2"/>
  <c r="J299" i="2"/>
  <c r="O298" i="2"/>
  <c r="M298" i="2"/>
  <c r="J298" i="2"/>
  <c r="O297" i="2"/>
  <c r="M297" i="2"/>
  <c r="J297" i="2"/>
  <c r="O296" i="2"/>
  <c r="M296" i="2"/>
  <c r="J296" i="2"/>
  <c r="O295" i="2"/>
  <c r="M295" i="2"/>
  <c r="J295" i="2"/>
  <c r="O294" i="2"/>
  <c r="M294" i="2"/>
  <c r="J294" i="2"/>
  <c r="O293" i="2"/>
  <c r="M293" i="2"/>
  <c r="J293" i="2"/>
  <c r="O292" i="2"/>
  <c r="M292" i="2"/>
  <c r="J292" i="2"/>
  <c r="O291" i="2"/>
  <c r="M291" i="2"/>
  <c r="J291" i="2"/>
  <c r="O290" i="2"/>
  <c r="M290" i="2"/>
  <c r="J290" i="2"/>
  <c r="O289" i="2"/>
  <c r="M289" i="2"/>
  <c r="J289" i="2"/>
  <c r="O288" i="2"/>
  <c r="M288" i="2"/>
  <c r="J288" i="2"/>
  <c r="O287" i="2"/>
  <c r="M287" i="2"/>
  <c r="J287" i="2"/>
  <c r="O286" i="2"/>
  <c r="M286" i="2"/>
  <c r="J286" i="2"/>
  <c r="O285" i="2"/>
  <c r="M285" i="2"/>
  <c r="J285" i="2"/>
  <c r="O284" i="2"/>
  <c r="M284" i="2"/>
  <c r="J284" i="2"/>
  <c r="O283" i="2"/>
  <c r="M283" i="2"/>
  <c r="J283" i="2"/>
  <c r="O282" i="2"/>
  <c r="M282" i="2"/>
  <c r="J282" i="2"/>
  <c r="O281" i="2"/>
  <c r="M281" i="2"/>
  <c r="J281" i="2"/>
  <c r="O280" i="2"/>
  <c r="M280" i="2"/>
  <c r="J280" i="2"/>
  <c r="O279" i="2"/>
  <c r="M279" i="2"/>
  <c r="J279" i="2"/>
  <c r="O278" i="2"/>
  <c r="M278" i="2"/>
  <c r="J278" i="2"/>
  <c r="O277" i="2"/>
  <c r="M277" i="2"/>
  <c r="J277" i="2"/>
  <c r="O276" i="2"/>
  <c r="M276" i="2"/>
  <c r="J276" i="2"/>
  <c r="O275" i="2"/>
  <c r="M275" i="2"/>
  <c r="J275" i="2"/>
  <c r="O274" i="2"/>
  <c r="M274" i="2"/>
  <c r="J274" i="2"/>
  <c r="O273" i="2"/>
  <c r="M273" i="2"/>
  <c r="J273" i="2"/>
  <c r="O272" i="2"/>
  <c r="M272" i="2"/>
  <c r="J272" i="2"/>
  <c r="O271" i="2"/>
  <c r="M271" i="2"/>
  <c r="J271" i="2"/>
  <c r="O270" i="2"/>
  <c r="M270" i="2"/>
  <c r="J270" i="2"/>
  <c r="O269" i="2"/>
  <c r="M269" i="2"/>
  <c r="J269" i="2"/>
  <c r="O268" i="2"/>
  <c r="M268" i="2"/>
  <c r="J268" i="2"/>
  <c r="O267" i="2"/>
  <c r="M267" i="2"/>
  <c r="J267" i="2"/>
  <c r="O266" i="2"/>
  <c r="M266" i="2"/>
  <c r="J266" i="2"/>
  <c r="O265" i="2"/>
  <c r="M265" i="2"/>
  <c r="J265" i="2"/>
  <c r="O264" i="2"/>
  <c r="M264" i="2"/>
  <c r="J264" i="2"/>
  <c r="O263" i="2"/>
  <c r="M263" i="2"/>
  <c r="J263" i="2"/>
  <c r="O262" i="2"/>
  <c r="M262" i="2"/>
  <c r="J262" i="2"/>
  <c r="O261" i="2"/>
  <c r="M261" i="2"/>
  <c r="J261" i="2"/>
  <c r="O260" i="2"/>
  <c r="M260" i="2"/>
  <c r="J260" i="2"/>
  <c r="O259" i="2"/>
  <c r="M259" i="2"/>
  <c r="J259" i="2"/>
  <c r="O258" i="2"/>
  <c r="M258" i="2"/>
  <c r="J258" i="2"/>
  <c r="O257" i="2"/>
  <c r="M257" i="2"/>
  <c r="J257" i="2"/>
  <c r="O256" i="2"/>
  <c r="M256" i="2"/>
  <c r="J256" i="2"/>
  <c r="O255" i="2"/>
  <c r="M255" i="2"/>
  <c r="J255" i="2"/>
  <c r="O254" i="2"/>
  <c r="M254" i="2"/>
  <c r="J254" i="2"/>
  <c r="O253" i="2"/>
  <c r="M253" i="2"/>
  <c r="J253" i="2"/>
  <c r="O252" i="2"/>
  <c r="M252" i="2"/>
  <c r="J252" i="2"/>
  <c r="O251" i="2"/>
  <c r="M251" i="2"/>
  <c r="J251" i="2"/>
  <c r="O250" i="2"/>
  <c r="M250" i="2"/>
  <c r="J250" i="2"/>
  <c r="O249" i="2"/>
  <c r="M249" i="2"/>
  <c r="J249" i="2"/>
  <c r="O248" i="2"/>
  <c r="M248" i="2"/>
  <c r="J248" i="2"/>
  <c r="O247" i="2"/>
  <c r="M247" i="2"/>
  <c r="J247" i="2"/>
  <c r="O246" i="2"/>
  <c r="M246" i="2"/>
  <c r="J246" i="2"/>
  <c r="O245" i="2"/>
  <c r="M245" i="2"/>
  <c r="J245" i="2"/>
  <c r="O244" i="2"/>
  <c r="M244" i="2"/>
  <c r="J244" i="2"/>
  <c r="O243" i="2"/>
  <c r="M243" i="2"/>
  <c r="J243" i="2"/>
  <c r="O242" i="2"/>
  <c r="M242" i="2"/>
  <c r="J242" i="2"/>
  <c r="O241" i="2"/>
  <c r="M241" i="2"/>
  <c r="J241" i="2"/>
  <c r="O240" i="2"/>
  <c r="M240" i="2"/>
  <c r="J240" i="2"/>
  <c r="O239" i="2"/>
  <c r="M239" i="2"/>
  <c r="J239" i="2"/>
  <c r="O238" i="2"/>
  <c r="M238" i="2"/>
  <c r="J238" i="2"/>
  <c r="O237" i="2"/>
  <c r="M237" i="2"/>
  <c r="J237" i="2"/>
  <c r="O236" i="2"/>
  <c r="M236" i="2"/>
  <c r="J236" i="2"/>
  <c r="O235" i="2"/>
  <c r="M235" i="2"/>
  <c r="J235" i="2"/>
  <c r="O234" i="2"/>
  <c r="M234" i="2"/>
  <c r="J234" i="2"/>
  <c r="O233" i="2"/>
  <c r="M233" i="2"/>
  <c r="J233" i="2"/>
  <c r="O232" i="2"/>
  <c r="M232" i="2"/>
  <c r="J232" i="2"/>
  <c r="O231" i="2"/>
  <c r="M231" i="2"/>
  <c r="J231" i="2"/>
  <c r="O230" i="2"/>
  <c r="M230" i="2"/>
  <c r="J230" i="2"/>
  <c r="O229" i="2"/>
  <c r="M229" i="2"/>
  <c r="J229" i="2"/>
  <c r="O228" i="2"/>
  <c r="M228" i="2"/>
  <c r="J228" i="2"/>
  <c r="O227" i="2"/>
  <c r="M227" i="2"/>
  <c r="J227" i="2"/>
  <c r="O226" i="2"/>
  <c r="M226" i="2"/>
  <c r="J226" i="2"/>
  <c r="O225" i="2"/>
  <c r="M225" i="2"/>
  <c r="J225" i="2"/>
  <c r="O224" i="2"/>
  <c r="M224" i="2"/>
  <c r="J224" i="2"/>
  <c r="O223" i="2"/>
  <c r="M223" i="2"/>
  <c r="J223" i="2"/>
  <c r="O222" i="2"/>
  <c r="M222" i="2"/>
  <c r="J222" i="2"/>
  <c r="O221" i="2"/>
  <c r="M221" i="2"/>
  <c r="J221" i="2"/>
  <c r="O220" i="2"/>
  <c r="M220" i="2"/>
  <c r="J220" i="2"/>
  <c r="O219" i="2"/>
  <c r="M219" i="2"/>
  <c r="J219" i="2"/>
  <c r="O218" i="2"/>
  <c r="M218" i="2"/>
  <c r="J218" i="2"/>
  <c r="O217" i="2"/>
  <c r="M217" i="2"/>
  <c r="J217" i="2"/>
  <c r="O216" i="2"/>
  <c r="M216" i="2"/>
  <c r="J216" i="2"/>
  <c r="O215" i="2"/>
  <c r="M215" i="2"/>
  <c r="J215" i="2"/>
  <c r="O214" i="2"/>
  <c r="M214" i="2"/>
  <c r="J214" i="2"/>
  <c r="O213" i="2"/>
  <c r="M213" i="2"/>
  <c r="J213" i="2"/>
  <c r="O212" i="2"/>
  <c r="M212" i="2"/>
  <c r="J212" i="2"/>
  <c r="O211" i="2"/>
  <c r="M211" i="2"/>
  <c r="J211" i="2"/>
  <c r="O210" i="2"/>
  <c r="M210" i="2"/>
  <c r="J210" i="2"/>
  <c r="O209" i="2"/>
  <c r="M209" i="2"/>
  <c r="J209" i="2"/>
  <c r="O208" i="2"/>
  <c r="M208" i="2"/>
  <c r="J208" i="2"/>
  <c r="O207" i="2"/>
  <c r="M207" i="2"/>
  <c r="J207" i="2"/>
  <c r="O206" i="2"/>
  <c r="M206" i="2"/>
  <c r="J206" i="2"/>
  <c r="O205" i="2"/>
  <c r="M205" i="2"/>
  <c r="J205" i="2"/>
  <c r="O204" i="2"/>
  <c r="M204" i="2"/>
  <c r="J204" i="2"/>
  <c r="O203" i="2"/>
  <c r="M203" i="2"/>
  <c r="J203" i="2"/>
  <c r="O202" i="2"/>
  <c r="M202" i="2"/>
  <c r="J202" i="2"/>
  <c r="O201" i="2"/>
  <c r="M201" i="2"/>
  <c r="J201" i="2"/>
  <c r="O200" i="2"/>
  <c r="M200" i="2"/>
  <c r="J200" i="2"/>
  <c r="O199" i="2"/>
  <c r="M199" i="2"/>
  <c r="J199" i="2"/>
  <c r="O198" i="2"/>
  <c r="M198" i="2"/>
  <c r="J198" i="2"/>
  <c r="O197" i="2"/>
  <c r="M197" i="2"/>
  <c r="J197" i="2"/>
  <c r="O196" i="2"/>
  <c r="M196" i="2"/>
  <c r="J196" i="2"/>
  <c r="O195" i="2"/>
  <c r="M195" i="2"/>
  <c r="J195" i="2"/>
  <c r="O194" i="2"/>
  <c r="M194" i="2"/>
  <c r="J194" i="2"/>
  <c r="O193" i="2"/>
  <c r="M193" i="2"/>
  <c r="J193" i="2"/>
  <c r="O192" i="2"/>
  <c r="M192" i="2"/>
  <c r="J192" i="2"/>
  <c r="O191" i="2"/>
  <c r="M191" i="2"/>
  <c r="J191" i="2"/>
  <c r="O190" i="2"/>
  <c r="M190" i="2"/>
  <c r="J190" i="2"/>
  <c r="O189" i="2"/>
  <c r="M189" i="2"/>
  <c r="J189" i="2"/>
  <c r="O188" i="2"/>
  <c r="M188" i="2"/>
  <c r="J188" i="2"/>
  <c r="O187" i="2"/>
  <c r="M187" i="2"/>
  <c r="J187" i="2"/>
  <c r="O186" i="2"/>
  <c r="M186" i="2"/>
  <c r="J186" i="2"/>
  <c r="O185" i="2"/>
  <c r="M185" i="2"/>
  <c r="J185" i="2"/>
  <c r="O184" i="2"/>
  <c r="M184" i="2"/>
  <c r="J184" i="2"/>
  <c r="O183" i="2"/>
  <c r="M183" i="2"/>
  <c r="J183" i="2"/>
  <c r="O182" i="2"/>
  <c r="M182" i="2"/>
  <c r="J182" i="2"/>
  <c r="O181" i="2"/>
  <c r="M181" i="2"/>
  <c r="J181" i="2"/>
  <c r="O180" i="2"/>
  <c r="M180" i="2"/>
  <c r="J180" i="2"/>
  <c r="O179" i="2"/>
  <c r="M179" i="2"/>
  <c r="J179" i="2"/>
  <c r="O178" i="2"/>
  <c r="M178" i="2"/>
  <c r="J178" i="2"/>
  <c r="O177" i="2"/>
  <c r="M177" i="2"/>
  <c r="J177" i="2"/>
  <c r="O176" i="2"/>
  <c r="M176" i="2"/>
  <c r="J176" i="2"/>
  <c r="O175" i="2"/>
  <c r="M175" i="2"/>
  <c r="J175" i="2"/>
  <c r="O174" i="2"/>
  <c r="M174" i="2"/>
  <c r="J174" i="2"/>
  <c r="O173" i="2"/>
  <c r="M173" i="2"/>
  <c r="J173" i="2"/>
  <c r="O172" i="2"/>
  <c r="M172" i="2"/>
  <c r="J172" i="2"/>
  <c r="O171" i="2"/>
  <c r="M171" i="2"/>
  <c r="J171" i="2"/>
  <c r="O170" i="2"/>
  <c r="M170" i="2"/>
  <c r="J170" i="2"/>
  <c r="O169" i="2"/>
  <c r="M169" i="2"/>
  <c r="J169" i="2"/>
  <c r="O168" i="2"/>
  <c r="M168" i="2"/>
  <c r="J168" i="2"/>
  <c r="O167" i="2"/>
  <c r="M167" i="2"/>
  <c r="J167" i="2"/>
  <c r="O166" i="2"/>
  <c r="M166" i="2"/>
  <c r="J166" i="2"/>
  <c r="O165" i="2"/>
  <c r="M165" i="2"/>
  <c r="J165" i="2"/>
  <c r="O164" i="2"/>
  <c r="M164" i="2"/>
  <c r="J164" i="2"/>
  <c r="O163" i="2"/>
  <c r="M163" i="2"/>
  <c r="J163" i="2"/>
  <c r="O162" i="2"/>
  <c r="M162" i="2"/>
  <c r="J162" i="2"/>
  <c r="O161" i="2"/>
  <c r="M161" i="2"/>
  <c r="J161" i="2"/>
  <c r="O160" i="2"/>
  <c r="M160" i="2"/>
  <c r="J160" i="2"/>
  <c r="O159" i="2"/>
  <c r="M159" i="2"/>
  <c r="J159" i="2"/>
  <c r="O158" i="2"/>
  <c r="M158" i="2"/>
  <c r="J158" i="2"/>
  <c r="O157" i="2"/>
  <c r="M157" i="2"/>
  <c r="J157" i="2"/>
  <c r="O156" i="2"/>
  <c r="M156" i="2"/>
  <c r="J156" i="2"/>
  <c r="O155" i="2"/>
  <c r="M155" i="2"/>
  <c r="J155" i="2"/>
  <c r="O154" i="2"/>
  <c r="M154" i="2"/>
  <c r="J154" i="2"/>
  <c r="O153" i="2"/>
  <c r="M153" i="2"/>
  <c r="J153" i="2"/>
  <c r="O152" i="2"/>
  <c r="M152" i="2"/>
  <c r="J152" i="2"/>
  <c r="O151" i="2"/>
  <c r="M151" i="2"/>
  <c r="J151" i="2"/>
  <c r="O150" i="2"/>
  <c r="M150" i="2"/>
  <c r="J150" i="2"/>
  <c r="O149" i="2"/>
  <c r="M149" i="2"/>
  <c r="J149" i="2"/>
  <c r="O148" i="2"/>
  <c r="M148" i="2"/>
  <c r="J148" i="2"/>
  <c r="O147" i="2"/>
  <c r="M147" i="2"/>
  <c r="J147" i="2"/>
  <c r="O146" i="2"/>
  <c r="M146" i="2"/>
  <c r="J146" i="2"/>
  <c r="O145" i="2"/>
  <c r="M145" i="2"/>
  <c r="J145" i="2"/>
  <c r="O144" i="2"/>
  <c r="M144" i="2"/>
  <c r="J144" i="2"/>
  <c r="O143" i="2"/>
  <c r="M143" i="2"/>
  <c r="J143" i="2"/>
  <c r="O142" i="2"/>
  <c r="M142" i="2"/>
  <c r="J142" i="2"/>
  <c r="O141" i="2"/>
  <c r="M141" i="2"/>
  <c r="J141" i="2"/>
  <c r="O140" i="2"/>
  <c r="M140" i="2"/>
  <c r="J140" i="2"/>
  <c r="O139" i="2"/>
  <c r="M139" i="2"/>
  <c r="J139" i="2"/>
  <c r="O138" i="2"/>
  <c r="M138" i="2"/>
  <c r="J138" i="2"/>
  <c r="O137" i="2"/>
  <c r="M137" i="2"/>
  <c r="J137" i="2"/>
  <c r="O136" i="2"/>
  <c r="M136" i="2"/>
  <c r="J136" i="2"/>
  <c r="O135" i="2"/>
  <c r="M135" i="2"/>
  <c r="J135" i="2"/>
  <c r="O134" i="2"/>
  <c r="M134" i="2"/>
  <c r="J134" i="2"/>
  <c r="O133" i="2"/>
  <c r="M133" i="2"/>
  <c r="J133" i="2"/>
  <c r="O132" i="2"/>
  <c r="M132" i="2"/>
  <c r="J132" i="2"/>
  <c r="O131" i="2"/>
  <c r="M131" i="2"/>
  <c r="J131" i="2"/>
  <c r="O130" i="2"/>
  <c r="M130" i="2"/>
  <c r="J130" i="2"/>
  <c r="O129" i="2"/>
  <c r="M129" i="2"/>
  <c r="J129" i="2"/>
  <c r="O128" i="2"/>
  <c r="M128" i="2"/>
  <c r="J128" i="2"/>
  <c r="O127" i="2"/>
  <c r="M127" i="2"/>
  <c r="J127" i="2"/>
  <c r="O126" i="2"/>
  <c r="M126" i="2"/>
  <c r="J126" i="2"/>
  <c r="O125" i="2"/>
  <c r="M125" i="2"/>
  <c r="J125" i="2"/>
  <c r="O124" i="2"/>
  <c r="M124" i="2"/>
  <c r="J124" i="2"/>
  <c r="O123" i="2"/>
  <c r="M123" i="2"/>
  <c r="J123" i="2"/>
  <c r="O122" i="2"/>
  <c r="M122" i="2"/>
  <c r="J122" i="2"/>
  <c r="O121" i="2"/>
  <c r="M121" i="2"/>
  <c r="J121" i="2"/>
  <c r="O120" i="2"/>
  <c r="M120" i="2"/>
  <c r="J120" i="2"/>
  <c r="O119" i="2"/>
  <c r="M119" i="2"/>
  <c r="J119" i="2"/>
  <c r="O118" i="2"/>
  <c r="M118" i="2"/>
  <c r="J118" i="2"/>
  <c r="O117" i="2"/>
  <c r="M117" i="2"/>
  <c r="J117" i="2"/>
  <c r="O116" i="2"/>
  <c r="M116" i="2"/>
  <c r="J116" i="2"/>
  <c r="O115" i="2"/>
  <c r="M115" i="2"/>
  <c r="J115" i="2"/>
  <c r="O114" i="2"/>
  <c r="M114" i="2"/>
  <c r="J114" i="2"/>
  <c r="O113" i="2"/>
  <c r="M113" i="2"/>
  <c r="J113" i="2"/>
  <c r="O112" i="2"/>
  <c r="M112" i="2"/>
  <c r="J112" i="2"/>
  <c r="O111" i="2"/>
  <c r="M111" i="2"/>
  <c r="J111" i="2"/>
  <c r="O110" i="2"/>
  <c r="M110" i="2"/>
  <c r="J110" i="2"/>
  <c r="O109" i="2"/>
  <c r="M109" i="2"/>
  <c r="J109" i="2"/>
  <c r="O108" i="2"/>
  <c r="M108" i="2"/>
  <c r="J108" i="2"/>
  <c r="O107" i="2"/>
  <c r="M107" i="2"/>
  <c r="J107" i="2"/>
  <c r="O106" i="2"/>
  <c r="M106" i="2"/>
  <c r="J106" i="2"/>
  <c r="O105" i="2"/>
  <c r="M105" i="2"/>
  <c r="J105" i="2"/>
  <c r="O104" i="2"/>
  <c r="M104" i="2"/>
  <c r="J104" i="2"/>
  <c r="O103" i="2"/>
  <c r="M103" i="2"/>
  <c r="J103" i="2"/>
  <c r="O102" i="2"/>
  <c r="M102" i="2"/>
  <c r="J102" i="2"/>
  <c r="O101" i="2"/>
  <c r="M101" i="2"/>
  <c r="J101" i="2"/>
  <c r="O100" i="2"/>
  <c r="M100" i="2"/>
  <c r="J100" i="2"/>
  <c r="O99" i="2"/>
  <c r="M99" i="2"/>
  <c r="J99" i="2"/>
  <c r="O98" i="2"/>
  <c r="M98" i="2"/>
  <c r="J98" i="2"/>
  <c r="O97" i="2"/>
  <c r="M97" i="2"/>
  <c r="J97" i="2"/>
  <c r="O96" i="2"/>
  <c r="M96" i="2"/>
  <c r="J96" i="2"/>
  <c r="O95" i="2"/>
  <c r="M95" i="2"/>
  <c r="J95" i="2"/>
  <c r="O94" i="2"/>
  <c r="M94" i="2"/>
  <c r="J94" i="2"/>
  <c r="O93" i="2"/>
  <c r="M93" i="2"/>
  <c r="J93" i="2"/>
  <c r="O92" i="2"/>
  <c r="M92" i="2"/>
  <c r="J92" i="2"/>
  <c r="O91" i="2"/>
  <c r="M91" i="2"/>
  <c r="J91" i="2"/>
  <c r="O90" i="2"/>
  <c r="M90" i="2"/>
  <c r="J90" i="2"/>
  <c r="O89" i="2"/>
  <c r="M89" i="2"/>
  <c r="J89" i="2"/>
  <c r="O88" i="2"/>
  <c r="M88" i="2"/>
  <c r="J88" i="2"/>
  <c r="O87" i="2"/>
  <c r="M87" i="2"/>
  <c r="J87" i="2"/>
  <c r="O86" i="2"/>
  <c r="M86" i="2"/>
  <c r="J86" i="2"/>
  <c r="O85" i="2"/>
  <c r="M85" i="2"/>
  <c r="J85" i="2"/>
  <c r="O84" i="2"/>
  <c r="M84" i="2"/>
  <c r="J84" i="2"/>
  <c r="O83" i="2"/>
  <c r="M83" i="2"/>
  <c r="J83" i="2"/>
  <c r="O82" i="2"/>
  <c r="M82" i="2"/>
  <c r="J82" i="2"/>
  <c r="O81" i="2"/>
  <c r="M81" i="2"/>
  <c r="J81" i="2"/>
  <c r="O80" i="2"/>
  <c r="M80" i="2"/>
  <c r="J80" i="2"/>
  <c r="O79" i="2"/>
  <c r="M79" i="2"/>
  <c r="J79" i="2"/>
  <c r="O78" i="2"/>
  <c r="M78" i="2"/>
  <c r="J78" i="2"/>
  <c r="O77" i="2"/>
  <c r="M77" i="2"/>
  <c r="J77" i="2"/>
  <c r="O76" i="2"/>
  <c r="M76" i="2"/>
  <c r="J76" i="2"/>
  <c r="O75" i="2"/>
  <c r="M75" i="2"/>
  <c r="J75" i="2"/>
  <c r="O74" i="2"/>
  <c r="M74" i="2"/>
  <c r="J74" i="2"/>
  <c r="O73" i="2"/>
  <c r="M73" i="2"/>
  <c r="J73" i="2"/>
  <c r="O72" i="2"/>
  <c r="M72" i="2"/>
  <c r="J72" i="2"/>
  <c r="O71" i="2"/>
  <c r="M71" i="2"/>
  <c r="J71" i="2"/>
  <c r="O70" i="2"/>
  <c r="M70" i="2"/>
  <c r="J70" i="2"/>
  <c r="O69" i="2"/>
  <c r="M69" i="2"/>
  <c r="J69" i="2"/>
  <c r="O68" i="2"/>
  <c r="M68" i="2"/>
  <c r="J68" i="2"/>
  <c r="O67" i="2"/>
  <c r="M67" i="2"/>
  <c r="J67" i="2"/>
  <c r="O66" i="2"/>
  <c r="M66" i="2"/>
  <c r="J66" i="2"/>
  <c r="O65" i="2"/>
  <c r="M65" i="2"/>
  <c r="J65" i="2"/>
  <c r="O64" i="2"/>
  <c r="M64" i="2"/>
  <c r="J64" i="2"/>
  <c r="O63" i="2"/>
  <c r="M63" i="2"/>
  <c r="J63" i="2"/>
  <c r="O62" i="2"/>
  <c r="M62" i="2"/>
  <c r="J62" i="2"/>
  <c r="O61" i="2"/>
  <c r="M61" i="2"/>
  <c r="J61" i="2"/>
  <c r="O60" i="2"/>
  <c r="M60" i="2"/>
  <c r="J60" i="2"/>
  <c r="O59" i="2"/>
  <c r="M59" i="2"/>
  <c r="J59" i="2"/>
  <c r="O58" i="2"/>
  <c r="M58" i="2"/>
  <c r="J58" i="2"/>
  <c r="O57" i="2"/>
  <c r="M57" i="2"/>
  <c r="J57" i="2"/>
  <c r="O56" i="2"/>
  <c r="M56" i="2"/>
  <c r="J56" i="2"/>
  <c r="O55" i="2"/>
  <c r="M55" i="2"/>
  <c r="J55" i="2"/>
  <c r="O54" i="2"/>
  <c r="M54" i="2"/>
  <c r="J54" i="2"/>
  <c r="O53" i="2"/>
  <c r="M53" i="2"/>
  <c r="J53" i="2"/>
  <c r="O52" i="2"/>
  <c r="M52" i="2"/>
  <c r="J52" i="2"/>
  <c r="O51" i="2"/>
  <c r="M51" i="2"/>
  <c r="J51" i="2"/>
  <c r="O50" i="2"/>
  <c r="M50" i="2"/>
  <c r="J50" i="2"/>
  <c r="O49" i="2"/>
  <c r="M49" i="2"/>
  <c r="J49" i="2"/>
  <c r="O48" i="2"/>
  <c r="M48" i="2"/>
  <c r="J48" i="2"/>
  <c r="O47" i="2"/>
  <c r="M47" i="2"/>
  <c r="J47" i="2"/>
  <c r="O46" i="2"/>
  <c r="M46" i="2"/>
  <c r="J46" i="2"/>
  <c r="O45" i="2"/>
  <c r="M45" i="2"/>
  <c r="J45" i="2"/>
  <c r="O44" i="2"/>
  <c r="M44" i="2"/>
  <c r="J44" i="2"/>
  <c r="O43" i="2"/>
  <c r="M43" i="2"/>
  <c r="J43" i="2"/>
  <c r="O42" i="2"/>
  <c r="M42" i="2"/>
  <c r="J42" i="2"/>
  <c r="O41" i="2"/>
  <c r="M41" i="2"/>
  <c r="J41" i="2"/>
  <c r="O40" i="2"/>
  <c r="M40" i="2"/>
  <c r="J40" i="2"/>
  <c r="O39" i="2"/>
  <c r="M39" i="2"/>
  <c r="J39" i="2"/>
  <c r="O38" i="2"/>
  <c r="M38" i="2"/>
  <c r="J38" i="2"/>
  <c r="O37" i="2"/>
  <c r="M37" i="2"/>
  <c r="J37" i="2"/>
  <c r="O36" i="2"/>
  <c r="M36" i="2"/>
  <c r="J36" i="2"/>
  <c r="O35" i="2"/>
  <c r="M35" i="2"/>
  <c r="J35" i="2"/>
  <c r="O34" i="2"/>
  <c r="M34" i="2"/>
  <c r="J34" i="2"/>
  <c r="O33" i="2"/>
  <c r="M33" i="2"/>
  <c r="J33" i="2"/>
  <c r="O32" i="2"/>
  <c r="M32" i="2"/>
  <c r="J32" i="2"/>
  <c r="O31" i="2"/>
  <c r="M31" i="2"/>
  <c r="J31" i="2"/>
  <c r="O30" i="2"/>
  <c r="M30" i="2"/>
  <c r="J30" i="2"/>
  <c r="O29" i="2"/>
  <c r="M29" i="2"/>
  <c r="J29" i="2"/>
  <c r="O28" i="2"/>
  <c r="M28" i="2"/>
  <c r="J28" i="2"/>
  <c r="O27" i="2"/>
  <c r="M27" i="2"/>
  <c r="J27" i="2"/>
  <c r="O26" i="2"/>
  <c r="M26" i="2"/>
  <c r="J26" i="2"/>
  <c r="O25" i="2"/>
  <c r="M25" i="2"/>
  <c r="J25" i="2"/>
  <c r="O24" i="2"/>
  <c r="M24" i="2"/>
  <c r="J24" i="2"/>
  <c r="O23" i="2"/>
  <c r="M23" i="2"/>
  <c r="J23" i="2"/>
  <c r="O22" i="2"/>
  <c r="M22" i="2"/>
  <c r="J22" i="2"/>
  <c r="O21" i="2"/>
  <c r="M21" i="2"/>
  <c r="J21" i="2"/>
  <c r="O20" i="2"/>
  <c r="M20" i="2"/>
  <c r="J20" i="2"/>
  <c r="O19" i="2"/>
  <c r="M19" i="2"/>
  <c r="J19" i="2"/>
  <c r="O18" i="2"/>
  <c r="M18" i="2"/>
  <c r="J18" i="2"/>
  <c r="O17" i="2"/>
  <c r="M17" i="2"/>
  <c r="J17" i="2"/>
  <c r="O16" i="2"/>
  <c r="M16" i="2"/>
  <c r="J16" i="2"/>
  <c r="O15" i="2"/>
  <c r="M15" i="2"/>
  <c r="J15" i="2"/>
  <c r="O14" i="2"/>
  <c r="M14" i="2"/>
  <c r="J14" i="2"/>
  <c r="O13" i="2"/>
  <c r="M13" i="2"/>
  <c r="J13" i="2"/>
  <c r="O12" i="2"/>
  <c r="M12" i="2"/>
  <c r="J12" i="2"/>
  <c r="O11" i="2"/>
  <c r="M11" i="2"/>
  <c r="J11" i="2"/>
  <c r="O10" i="2"/>
  <c r="M10" i="2"/>
  <c r="J10" i="2"/>
  <c r="O9" i="2"/>
  <c r="M9" i="2"/>
  <c r="J9" i="2"/>
  <c r="O8" i="2"/>
  <c r="M8" i="2"/>
  <c r="J8" i="2"/>
  <c r="O7" i="2"/>
  <c r="M7" i="2"/>
  <c r="J7" i="2"/>
  <c r="O6" i="2"/>
  <c r="M6" i="2"/>
  <c r="J6" i="2"/>
  <c r="O5" i="2"/>
  <c r="M5" i="2"/>
  <c r="J5" i="2"/>
  <c r="O4" i="2"/>
  <c r="M4" i="2"/>
  <c r="J4" i="2"/>
  <c r="P37" i="2" l="1"/>
  <c r="P99" i="2"/>
  <c r="P85" i="2"/>
  <c r="P43" i="2"/>
  <c r="P42" i="2"/>
  <c r="P33" i="2"/>
  <c r="P40" i="2"/>
  <c r="P39" i="2"/>
  <c r="P59" i="2"/>
  <c r="P72" i="2"/>
  <c r="P56" i="2"/>
  <c r="P41" i="2"/>
  <c r="P66" i="2"/>
  <c r="P38" i="2"/>
  <c r="P44" i="2"/>
  <c r="P69" i="2"/>
  <c r="P79" i="2"/>
  <c r="P65" i="2"/>
  <c r="P70" i="2"/>
  <c r="P86" i="2"/>
  <c r="P84" i="2"/>
  <c r="P98" i="2"/>
  <c r="P88" i="2"/>
  <c r="P74" i="2"/>
  <c r="P60" i="2"/>
  <c r="P46" i="2"/>
  <c r="P32" i="2"/>
  <c r="P90" i="2"/>
  <c r="P77" i="2"/>
  <c r="P82" i="2"/>
  <c r="P36" i="2"/>
  <c r="P81" i="2"/>
  <c r="P35" i="2"/>
  <c r="P61" i="2"/>
  <c r="P95" i="2"/>
  <c r="P53" i="2"/>
  <c r="P91" i="2"/>
  <c r="P4" i="2"/>
  <c r="P67" i="2"/>
  <c r="P93" i="2"/>
  <c r="P92" i="2"/>
  <c r="P62" i="2"/>
  <c r="P63" i="2"/>
  <c r="P89" i="2"/>
  <c r="P64" i="2"/>
  <c r="P28" i="2"/>
  <c r="Q4" i="2"/>
  <c r="R4" i="2" s="1"/>
  <c r="Q308" i="2"/>
  <c r="R308" i="2" s="1"/>
  <c r="P310" i="2"/>
  <c r="P220" i="2"/>
  <c r="P283" i="2"/>
  <c r="P7" i="2"/>
  <c r="Q160" i="2"/>
  <c r="R160" i="2" s="1"/>
  <c r="Q272" i="2"/>
  <c r="R272" i="2" s="1"/>
  <c r="Q162" i="2"/>
  <c r="R162" i="2" s="1"/>
  <c r="Q70" i="2"/>
  <c r="P75" i="2"/>
  <c r="Q53" i="2"/>
  <c r="Q241" i="2"/>
  <c r="R241" i="2" s="1"/>
  <c r="Q64" i="2"/>
  <c r="P73" i="2"/>
  <c r="Q133" i="2"/>
  <c r="R133" i="2" s="1"/>
  <c r="Q149" i="2"/>
  <c r="R149" i="2" s="1"/>
  <c r="P279" i="2"/>
  <c r="P281" i="2"/>
  <c r="Q138" i="2"/>
  <c r="R138" i="2" s="1"/>
  <c r="Q200" i="2"/>
  <c r="R200" i="2" s="1"/>
  <c r="P239" i="2"/>
  <c r="Q62" i="2"/>
  <c r="Q250" i="2"/>
  <c r="R250" i="2" s="1"/>
  <c r="P237" i="2"/>
  <c r="P293" i="2"/>
  <c r="Q168" i="2"/>
  <c r="R168" i="2" s="1"/>
  <c r="Q262" i="2"/>
  <c r="R262" i="2" s="1"/>
  <c r="P271" i="2"/>
  <c r="Q32" i="2"/>
  <c r="Q113" i="2"/>
  <c r="R113" i="2" s="1"/>
  <c r="Q111" i="2"/>
  <c r="R111" i="2" s="1"/>
  <c r="Q182" i="2"/>
  <c r="R182" i="2" s="1"/>
  <c r="Q269" i="2"/>
  <c r="R269" i="2" s="1"/>
  <c r="Q258" i="2"/>
  <c r="R258" i="2" s="1"/>
  <c r="Q231" i="2"/>
  <c r="R231" i="2" s="1"/>
  <c r="P141" i="2"/>
  <c r="Q143" i="2"/>
  <c r="R143" i="2" s="1"/>
  <c r="Q289" i="2"/>
  <c r="R289" i="2" s="1"/>
  <c r="Q247" i="2"/>
  <c r="R247" i="2" s="1"/>
  <c r="P302" i="2"/>
  <c r="P47" i="2"/>
  <c r="Q58" i="2"/>
  <c r="Q107" i="2"/>
  <c r="R107" i="2" s="1"/>
  <c r="Q174" i="2"/>
  <c r="R174" i="2" s="1"/>
  <c r="Q187" i="2"/>
  <c r="R187" i="2" s="1"/>
  <c r="Q38" i="2"/>
  <c r="Q56" i="2"/>
  <c r="Q105" i="2"/>
  <c r="R105" i="2" s="1"/>
  <c r="Q76" i="2"/>
  <c r="Q87" i="2"/>
  <c r="Q157" i="2"/>
  <c r="R157" i="2" s="1"/>
  <c r="P181" i="2"/>
  <c r="P183" i="2"/>
  <c r="P307" i="2"/>
  <c r="P176" i="2"/>
  <c r="Q36" i="2"/>
  <c r="Q85" i="2"/>
  <c r="Q170" i="2"/>
  <c r="R170" i="2" s="1"/>
  <c r="Q201" i="2"/>
  <c r="R201" i="2" s="1"/>
  <c r="Q203" i="2"/>
  <c r="R203" i="2" s="1"/>
  <c r="Q252" i="2"/>
  <c r="R252" i="2" s="1"/>
  <c r="Q270" i="2"/>
  <c r="R270" i="2" s="1"/>
  <c r="P285" i="2"/>
  <c r="P29" i="2"/>
  <c r="Q81" i="2"/>
  <c r="Q99" i="2"/>
  <c r="P208" i="2"/>
  <c r="Q226" i="2"/>
  <c r="R226" i="2" s="1"/>
  <c r="Q301" i="2"/>
  <c r="R301" i="2" s="1"/>
  <c r="Q79" i="2"/>
  <c r="Q90" i="2"/>
  <c r="Q164" i="2"/>
  <c r="R164" i="2" s="1"/>
  <c r="Q195" i="2"/>
  <c r="R195" i="2" s="1"/>
  <c r="Q224" i="2"/>
  <c r="R224" i="2" s="1"/>
  <c r="Q222" i="2"/>
  <c r="R222" i="2" s="1"/>
  <c r="Q44" i="2"/>
  <c r="P132" i="2"/>
  <c r="P134" i="2"/>
  <c r="Q151" i="2"/>
  <c r="R151" i="2" s="1"/>
  <c r="P243" i="2"/>
  <c r="Q266" i="2"/>
  <c r="R266" i="2" s="1"/>
  <c r="P15" i="2"/>
  <c r="Q130" i="2"/>
  <c r="R130" i="2" s="1"/>
  <c r="P21" i="2"/>
  <c r="P55" i="2"/>
  <c r="Q59" i="2"/>
  <c r="Q61" i="2"/>
  <c r="Q63" i="2"/>
  <c r="P78" i="2"/>
  <c r="Q82" i="2"/>
  <c r="Q84" i="2"/>
  <c r="Q86" i="2"/>
  <c r="P101" i="2"/>
  <c r="Q122" i="2"/>
  <c r="R122" i="2" s="1"/>
  <c r="Q124" i="2"/>
  <c r="R124" i="2" s="1"/>
  <c r="Q126" i="2"/>
  <c r="R126" i="2" s="1"/>
  <c r="Q166" i="2"/>
  <c r="R166" i="2" s="1"/>
  <c r="Q206" i="2"/>
  <c r="R206" i="2" s="1"/>
  <c r="Q254" i="2"/>
  <c r="R254" i="2" s="1"/>
  <c r="Q256" i="2"/>
  <c r="R256" i="2" s="1"/>
  <c r="P260" i="2"/>
  <c r="Q287" i="2"/>
  <c r="R287" i="2" s="1"/>
  <c r="P295" i="2"/>
  <c r="Q297" i="2"/>
  <c r="R297" i="2" s="1"/>
  <c r="P299" i="2"/>
  <c r="Q93" i="2"/>
  <c r="Q139" i="2"/>
  <c r="R139" i="2" s="1"/>
  <c r="Q179" i="2"/>
  <c r="R179" i="2" s="1"/>
  <c r="Q198" i="2"/>
  <c r="R198" i="2" s="1"/>
  <c r="Q219" i="2"/>
  <c r="R219" i="2" s="1"/>
  <c r="Q223" i="2"/>
  <c r="R223" i="2" s="1"/>
  <c r="P225" i="2"/>
  <c r="P311" i="2"/>
  <c r="Q152" i="2"/>
  <c r="R152" i="2" s="1"/>
  <c r="Q154" i="2"/>
  <c r="R154" i="2" s="1"/>
  <c r="Q217" i="2"/>
  <c r="R217" i="2" s="1"/>
  <c r="P236" i="2"/>
  <c r="Q244" i="2"/>
  <c r="R244" i="2" s="1"/>
  <c r="P11" i="2"/>
  <c r="P27" i="2"/>
  <c r="Q7" i="2"/>
  <c r="P14" i="2"/>
  <c r="Q171" i="2"/>
  <c r="R171" i="2" s="1"/>
  <c r="Q173" i="2"/>
  <c r="R173" i="2" s="1"/>
  <c r="Q175" i="2"/>
  <c r="R175" i="2" s="1"/>
  <c r="Q215" i="2"/>
  <c r="R215" i="2" s="1"/>
  <c r="P104" i="2"/>
  <c r="Q108" i="2"/>
  <c r="R108" i="2" s="1"/>
  <c r="Q110" i="2"/>
  <c r="R110" i="2" s="1"/>
  <c r="Q112" i="2"/>
  <c r="R112" i="2" s="1"/>
  <c r="P209" i="2"/>
  <c r="P211" i="2"/>
  <c r="Q213" i="2"/>
  <c r="R213" i="2" s="1"/>
  <c r="Q263" i="2"/>
  <c r="R263" i="2" s="1"/>
  <c r="Q282" i="2"/>
  <c r="R282" i="2" s="1"/>
  <c r="P286" i="2"/>
  <c r="Q290" i="2"/>
  <c r="R290" i="2" s="1"/>
  <c r="P292" i="2"/>
  <c r="Q41" i="2"/>
  <c r="Q102" i="2"/>
  <c r="R102" i="2" s="1"/>
  <c r="Q121" i="2"/>
  <c r="R121" i="2" s="1"/>
  <c r="Q125" i="2"/>
  <c r="R125" i="2" s="1"/>
  <c r="P127" i="2"/>
  <c r="Q146" i="2"/>
  <c r="R146" i="2" s="1"/>
  <c r="P190" i="2"/>
  <c r="Q192" i="2"/>
  <c r="R192" i="2" s="1"/>
  <c r="Q255" i="2"/>
  <c r="R255" i="2" s="1"/>
  <c r="P257" i="2"/>
  <c r="Q276" i="2"/>
  <c r="R276" i="2" s="1"/>
  <c r="Q294" i="2"/>
  <c r="R294" i="2" s="1"/>
  <c r="Q296" i="2"/>
  <c r="R296" i="2" s="1"/>
  <c r="P8" i="2"/>
  <c r="Q33" i="2"/>
  <c r="Q35" i="2"/>
  <c r="Q37" i="2"/>
  <c r="P50" i="2"/>
  <c r="P52" i="2"/>
  <c r="P96" i="2"/>
  <c r="Q119" i="2"/>
  <c r="R119" i="2" s="1"/>
  <c r="P159" i="2"/>
  <c r="Q188" i="2"/>
  <c r="R188" i="2" s="1"/>
  <c r="P230" i="2"/>
  <c r="Q249" i="2"/>
  <c r="R249" i="2" s="1"/>
  <c r="P300" i="2"/>
  <c r="P304" i="2"/>
  <c r="P306" i="2"/>
  <c r="P18" i="2"/>
  <c r="P23" i="2"/>
  <c r="Q228" i="2"/>
  <c r="R228" i="2" s="1"/>
  <c r="R5" i="2"/>
  <c r="Q67" i="2"/>
  <c r="Q116" i="2"/>
  <c r="R116" i="2" s="1"/>
  <c r="Q135" i="2"/>
  <c r="R135" i="2" s="1"/>
  <c r="Q165" i="2"/>
  <c r="R165" i="2" s="1"/>
  <c r="Q184" i="2"/>
  <c r="R184" i="2" s="1"/>
  <c r="Q214" i="2"/>
  <c r="R214" i="2" s="1"/>
  <c r="Q233" i="2"/>
  <c r="R233" i="2" s="1"/>
  <c r="Q268" i="2"/>
  <c r="R268" i="2" s="1"/>
  <c r="P309" i="2"/>
  <c r="P20" i="2"/>
  <c r="Q23" i="2"/>
  <c r="P25" i="2"/>
  <c r="Q49" i="2"/>
  <c r="Q72" i="2"/>
  <c r="Q98" i="2"/>
  <c r="Q129" i="2"/>
  <c r="R129" i="2" s="1"/>
  <c r="Q140" i="2"/>
  <c r="R140" i="2" s="1"/>
  <c r="P148" i="2"/>
  <c r="Q178" i="2"/>
  <c r="R178" i="2" s="1"/>
  <c r="Q189" i="2"/>
  <c r="R189" i="2" s="1"/>
  <c r="P197" i="2"/>
  <c r="Q227" i="2"/>
  <c r="R227" i="2" s="1"/>
  <c r="Q238" i="2"/>
  <c r="R238" i="2" s="1"/>
  <c r="P246" i="2"/>
  <c r="P265" i="2"/>
  <c r="Q273" i="2"/>
  <c r="R273" i="2" s="1"/>
  <c r="P278" i="2"/>
  <c r="Q137" i="2"/>
  <c r="R137" i="2" s="1"/>
  <c r="P167" i="2"/>
  <c r="Q40" i="2"/>
  <c r="Q43" i="2"/>
  <c r="Q89" i="2"/>
  <c r="Q92" i="2"/>
  <c r="Q115" i="2"/>
  <c r="R115" i="2" s="1"/>
  <c r="Q118" i="2"/>
  <c r="R118" i="2" s="1"/>
  <c r="Q145" i="2"/>
  <c r="R145" i="2" s="1"/>
  <c r="Q194" i="2"/>
  <c r="R194" i="2" s="1"/>
  <c r="Q216" i="2"/>
  <c r="R216" i="2" s="1"/>
  <c r="P232" i="2"/>
  <c r="Q275" i="2"/>
  <c r="R275" i="2" s="1"/>
  <c r="P288" i="2"/>
  <c r="Q303" i="2"/>
  <c r="R303" i="2" s="1"/>
  <c r="P16" i="2"/>
  <c r="Q156" i="2"/>
  <c r="R156" i="2" s="1"/>
  <c r="Q305" i="2"/>
  <c r="R305" i="2" s="1"/>
  <c r="P305" i="2"/>
  <c r="Q66" i="2"/>
  <c r="Q69" i="2"/>
  <c r="P9" i="2"/>
  <c r="Q16" i="2"/>
  <c r="P30" i="2"/>
  <c r="P31" i="2"/>
  <c r="P34" i="2"/>
  <c r="P54" i="2"/>
  <c r="P57" i="2"/>
  <c r="Q60" i="2"/>
  <c r="P80" i="2"/>
  <c r="P83" i="2"/>
  <c r="P103" i="2"/>
  <c r="P106" i="2"/>
  <c r="Q109" i="2"/>
  <c r="R109" i="2" s="1"/>
  <c r="Q123" i="2"/>
  <c r="R123" i="2" s="1"/>
  <c r="P131" i="2"/>
  <c r="Q142" i="2"/>
  <c r="R142" i="2" s="1"/>
  <c r="P153" i="2"/>
  <c r="Q172" i="2"/>
  <c r="R172" i="2" s="1"/>
  <c r="P180" i="2"/>
  <c r="Q191" i="2"/>
  <c r="R191" i="2" s="1"/>
  <c r="P202" i="2"/>
  <c r="Q221" i="2"/>
  <c r="R221" i="2" s="1"/>
  <c r="P229" i="2"/>
  <c r="Q240" i="2"/>
  <c r="R240" i="2" s="1"/>
  <c r="P251" i="2"/>
  <c r="P267" i="2"/>
  <c r="P10" i="2"/>
  <c r="P26" i="2"/>
  <c r="Q77" i="2"/>
  <c r="Q100" i="2"/>
  <c r="R100" i="2" s="1"/>
  <c r="P120" i="2"/>
  <c r="Q150" i="2"/>
  <c r="R150" i="2" s="1"/>
  <c r="Q161" i="2"/>
  <c r="R161" i="2" s="1"/>
  <c r="P169" i="2"/>
  <c r="Q199" i="2"/>
  <c r="R199" i="2" s="1"/>
  <c r="Q210" i="2"/>
  <c r="R210" i="2" s="1"/>
  <c r="P218" i="2"/>
  <c r="Q248" i="2"/>
  <c r="R248" i="2" s="1"/>
  <c r="Q259" i="2"/>
  <c r="R259" i="2" s="1"/>
  <c r="P264" i="2"/>
  <c r="Q312" i="2"/>
  <c r="R312" i="2" s="1"/>
  <c r="P312" i="2"/>
  <c r="P24" i="2"/>
  <c r="Q20" i="2"/>
  <c r="Q186" i="2"/>
  <c r="R186" i="2" s="1"/>
  <c r="Q6" i="2"/>
  <c r="R6" i="2" s="1"/>
  <c r="P19" i="2"/>
  <c r="Q28" i="2"/>
  <c r="Q51" i="2"/>
  <c r="P5" i="2"/>
  <c r="P12" i="2"/>
  <c r="P22" i="2"/>
  <c r="Q25" i="2"/>
  <c r="P45" i="2"/>
  <c r="P48" i="2"/>
  <c r="P68" i="2"/>
  <c r="P71" i="2"/>
  <c r="Q74" i="2"/>
  <c r="P94" i="2"/>
  <c r="P97" i="2"/>
  <c r="P117" i="2"/>
  <c r="Q128" i="2"/>
  <c r="R128" i="2" s="1"/>
  <c r="Q158" i="2"/>
  <c r="R158" i="2" s="1"/>
  <c r="Q177" i="2"/>
  <c r="R177" i="2" s="1"/>
  <c r="Q207" i="2"/>
  <c r="R207" i="2" s="1"/>
  <c r="Q280" i="2"/>
  <c r="R280" i="2" s="1"/>
  <c r="Q291" i="2"/>
  <c r="R291" i="2" s="1"/>
  <c r="P291" i="2"/>
  <c r="Q298" i="2"/>
  <c r="R298" i="2" s="1"/>
  <c r="P298" i="2"/>
  <c r="P6" i="2"/>
  <c r="P13" i="2"/>
  <c r="Q95" i="2"/>
  <c r="Q205" i="2"/>
  <c r="R205" i="2" s="1"/>
  <c r="Q91" i="2"/>
  <c r="Q114" i="2"/>
  <c r="R114" i="2" s="1"/>
  <c r="Q136" i="2"/>
  <c r="R136" i="2" s="1"/>
  <c r="Q147" i="2"/>
  <c r="R147" i="2" s="1"/>
  <c r="P155" i="2"/>
  <c r="Q185" i="2"/>
  <c r="R185" i="2" s="1"/>
  <c r="Q196" i="2"/>
  <c r="R196" i="2" s="1"/>
  <c r="P204" i="2"/>
  <c r="Q234" i="2"/>
  <c r="R234" i="2" s="1"/>
  <c r="Q245" i="2"/>
  <c r="R245" i="2" s="1"/>
  <c r="P253" i="2"/>
  <c r="Q261" i="2"/>
  <c r="R261" i="2" s="1"/>
  <c r="Q277" i="2"/>
  <c r="R277" i="2" s="1"/>
  <c r="Q284" i="2"/>
  <c r="R284" i="2" s="1"/>
  <c r="P284" i="2"/>
  <c r="Q46" i="2"/>
  <c r="Q235" i="2"/>
  <c r="R235" i="2" s="1"/>
  <c r="Q42" i="2"/>
  <c r="Q65" i="2"/>
  <c r="Q39" i="2"/>
  <c r="Q88" i="2"/>
  <c r="Q144" i="2"/>
  <c r="R144" i="2" s="1"/>
  <c r="Q163" i="2"/>
  <c r="R163" i="2" s="1"/>
  <c r="Q193" i="2"/>
  <c r="R193" i="2" s="1"/>
  <c r="Q212" i="2"/>
  <c r="R212" i="2" s="1"/>
  <c r="Q242" i="2"/>
  <c r="R242" i="2" s="1"/>
  <c r="P17" i="2"/>
  <c r="P274" i="2"/>
  <c r="R79" i="2" l="1"/>
  <c r="R58" i="2"/>
  <c r="R65" i="2"/>
  <c r="R98" i="2"/>
  <c r="R67" i="2"/>
  <c r="R61" i="2"/>
  <c r="R48" i="2"/>
  <c r="R42" i="2"/>
  <c r="R60" i="2"/>
  <c r="R72" i="2"/>
  <c r="R59" i="2"/>
  <c r="R75" i="2"/>
  <c r="R51" i="2"/>
  <c r="R49" i="2"/>
  <c r="R37" i="2"/>
  <c r="R90" i="2"/>
  <c r="R85" i="2"/>
  <c r="R32" i="2"/>
  <c r="R47" i="2"/>
  <c r="R64" i="2"/>
  <c r="R35" i="2"/>
  <c r="R36" i="2"/>
  <c r="R41" i="2"/>
  <c r="R74" i="2"/>
  <c r="R99" i="2"/>
  <c r="R34" i="2"/>
  <c r="R83" i="2"/>
  <c r="R91" i="2"/>
  <c r="R77" i="2"/>
  <c r="R81" i="2"/>
  <c r="R70" i="2"/>
  <c r="R52" i="2"/>
  <c r="R94" i="2"/>
  <c r="R50" i="2"/>
  <c r="R69" i="2"/>
  <c r="R93" i="2"/>
  <c r="R86" i="2"/>
  <c r="R87" i="2"/>
  <c r="R62" i="2"/>
  <c r="R73" i="2"/>
  <c r="R54" i="2"/>
  <c r="R66" i="2"/>
  <c r="R84" i="2"/>
  <c r="R76" i="2"/>
  <c r="R68" i="2"/>
  <c r="R97" i="2"/>
  <c r="R33" i="2"/>
  <c r="R96" i="2"/>
  <c r="R92" i="2"/>
  <c r="R89" i="2"/>
  <c r="R82" i="2"/>
  <c r="R44" i="2"/>
  <c r="R78" i="2"/>
  <c r="R57" i="2"/>
  <c r="R88" i="2"/>
  <c r="R43" i="2"/>
  <c r="R56" i="2"/>
  <c r="R55" i="2"/>
  <c r="R71" i="2"/>
  <c r="R46" i="2"/>
  <c r="R95" i="2"/>
  <c r="R53" i="2"/>
  <c r="R39" i="2"/>
  <c r="R40" i="2"/>
  <c r="R63" i="2"/>
  <c r="R38" i="2"/>
  <c r="R80" i="2"/>
  <c r="R45" i="2"/>
  <c r="R28" i="2"/>
  <c r="R19" i="2"/>
  <c r="R29" i="2"/>
  <c r="R20" i="2"/>
  <c r="R11" i="2"/>
  <c r="R9" i="2"/>
  <c r="R15" i="2"/>
  <c r="R8" i="2"/>
  <c r="R16" i="2"/>
  <c r="R27" i="2"/>
  <c r="R7" i="2"/>
  <c r="R13" i="2"/>
  <c r="R14" i="2"/>
  <c r="R22" i="2"/>
  <c r="R17" i="2"/>
  <c r="R25" i="2"/>
  <c r="R21" i="2"/>
  <c r="R30" i="2"/>
  <c r="R18" i="2"/>
  <c r="R31" i="2"/>
  <c r="R23" i="2"/>
  <c r="R12" i="2"/>
  <c r="R10" i="2"/>
  <c r="R26" i="2"/>
  <c r="R24" i="2"/>
</calcChain>
</file>

<file path=xl/sharedStrings.xml><?xml version="1.0" encoding="utf-8"?>
<sst xmlns="http://schemas.openxmlformats.org/spreadsheetml/2006/main" count="9606" uniqueCount="778">
  <si>
    <t>Phase</t>
  </si>
  <si>
    <t>Task Owner</t>
  </si>
  <si>
    <t>Consultant</t>
  </si>
  <si>
    <t>Baseline Finish</t>
  </si>
  <si>
    <t>Actual / Forecast Finish</t>
  </si>
  <si>
    <t>Status</t>
  </si>
  <si>
    <t>Slippage (days)</t>
  </si>
  <si>
    <t>Overdue?</t>
  </si>
  <si>
    <t>RAG</t>
  </si>
  <si>
    <t>Notes</t>
  </si>
  <si>
    <t>CurKey</t>
  </si>
  <si>
    <t>OvdRank</t>
  </si>
  <si>
    <t>ShowFlag</t>
  </si>
  <si>
    <t>DesignRank</t>
  </si>
  <si>
    <t>50% Detailed Design</t>
  </si>
  <si>
    <t>100% Detailed Design</t>
  </si>
  <si>
    <t>Tender Package</t>
  </si>
  <si>
    <t>Not Started</t>
  </si>
  <si>
    <t>100% Schematic Design</t>
  </si>
  <si>
    <t>Cost Plan - 100% SD</t>
  </si>
  <si>
    <t>Cost Plan - 100% DD</t>
  </si>
  <si>
    <t>Landscape</t>
  </si>
  <si>
    <t>Permit Drawings &amp; Documents (IFP, IFDL, IFCD)</t>
  </si>
  <si>
    <t>Fences &amp; Gates</t>
  </si>
  <si>
    <t>Trade</t>
  </si>
  <si>
    <t>Parent</t>
  </si>
  <si>
    <t>Task</t>
  </si>
  <si>
    <t>Keys 52</t>
  </si>
  <si>
    <t>Buldings</t>
  </si>
  <si>
    <t>BLDGs,External</t>
  </si>
  <si>
    <t>GDG</t>
  </si>
  <si>
    <t>Completed</t>
  </si>
  <si>
    <t>HAP Review - 100% SD</t>
  </si>
  <si>
    <t>Nour / Ali</t>
  </si>
  <si>
    <t>HAP Review - 50% DD</t>
  </si>
  <si>
    <t>HAP Review - 100% DD</t>
  </si>
  <si>
    <t>BLDGs A</t>
  </si>
  <si>
    <t>HAP Review - TD</t>
  </si>
  <si>
    <t>BLDGs B</t>
  </si>
  <si>
    <t>BLDGs C</t>
  </si>
  <si>
    <t xml:space="preserve">mockup </t>
  </si>
  <si>
    <t>Fit-out</t>
  </si>
  <si>
    <t>mockup ( Interior)</t>
  </si>
  <si>
    <t xml:space="preserve">design team </t>
  </si>
  <si>
    <t xml:space="preserve">Khalifa Studio </t>
  </si>
  <si>
    <t>Concept Design</t>
  </si>
  <si>
    <t>Inprogress</t>
  </si>
  <si>
    <t>HAP Review - 100% CD</t>
  </si>
  <si>
    <t>Authorities - Keys 52</t>
  </si>
  <si>
    <t>Authorities</t>
  </si>
  <si>
    <t>Permits Issuance</t>
  </si>
  <si>
    <t>Construction licenses</t>
  </si>
  <si>
    <t>Landscape &amp; Infra - Keys 52</t>
  </si>
  <si>
    <t>External Works Landscape &amp; Infra</t>
  </si>
  <si>
    <t>Revised IFT (Regarding the infra modifications)</t>
  </si>
  <si>
    <t>Revised IFT (Regarding the Landscape modifications)</t>
  </si>
  <si>
    <t>Fences &amp; Gates - Keys 52</t>
  </si>
  <si>
    <t>IFT</t>
  </si>
  <si>
    <t>HAP Review</t>
  </si>
  <si>
    <t>Days to Finish/Delay</t>
  </si>
  <si>
    <t>Lotus</t>
  </si>
  <si>
    <t>Phase 1</t>
  </si>
  <si>
    <t>Buildings</t>
  </si>
  <si>
    <t>Buildings (Phase.01)</t>
  </si>
  <si>
    <t>Single Source Concept Consultant - Buildings (Phase.01)</t>
  </si>
  <si>
    <t>Mostafa Abdel Aziz</t>
  </si>
  <si>
    <t>Khaled Mokhtar /Dev</t>
  </si>
  <si>
    <t>Kick-off - Buildings (Phase.01)</t>
  </si>
  <si>
    <t>Khaled Mokhtar/HAP</t>
  </si>
  <si>
    <t>50% Concept Design (Hafez)</t>
  </si>
  <si>
    <t>HAP Review - 50% CD</t>
  </si>
  <si>
    <t>100% Concept Design (Hafez)</t>
  </si>
  <si>
    <t>50% Concept Design (Mimar)</t>
  </si>
  <si>
    <t>100% Concept Design (Mimar)</t>
  </si>
  <si>
    <t>Single Source Consultant Contract - Buildings (Phase.01)</t>
  </si>
  <si>
    <t>Qadry / Ashraf</t>
  </si>
  <si>
    <t>ECG / Design</t>
  </si>
  <si>
    <t>ECG / HAP</t>
  </si>
  <si>
    <t>Concept Validation</t>
  </si>
  <si>
    <t>ECG</t>
  </si>
  <si>
    <t>HAP Review - CV</t>
  </si>
  <si>
    <t>Survtec</t>
  </si>
  <si>
    <t>Business Plan Update (Phase.01)</t>
  </si>
  <si>
    <t>Permits Drawings</t>
  </si>
  <si>
    <t>HAP Review - PD</t>
  </si>
  <si>
    <t>lotus</t>
  </si>
  <si>
    <t>Payment</t>
  </si>
  <si>
    <t>Land Payment Plan</t>
  </si>
  <si>
    <t>Settlement of 2025,2026 instalment (100% 2025,2.5%2026)</t>
  </si>
  <si>
    <t>Authorities (Phase.01)</t>
  </si>
  <si>
    <t>Authorities Issuance (Phase.01)</t>
  </si>
  <si>
    <t>Egyptian Institution for Construction Civil Liability Insurance &amp; Civil Defense</t>
  </si>
  <si>
    <t>Afif</t>
  </si>
  <si>
    <t>Construction licenses-Permits</t>
  </si>
  <si>
    <t>Mineral licenses-Excavation</t>
  </si>
  <si>
    <t>Phase 2</t>
  </si>
  <si>
    <t>Buildings (Phase.02)</t>
  </si>
  <si>
    <t>50% Concept Design</t>
  </si>
  <si>
    <t>100% Concept Design</t>
  </si>
  <si>
    <t>Business Plan Update (Phase.02)</t>
  </si>
  <si>
    <t>Permit Drawings</t>
  </si>
  <si>
    <t>Authorities (Phase.02)</t>
  </si>
  <si>
    <t>Authorities Issuance (Phase.02)</t>
  </si>
  <si>
    <t>Ministerial decree NUCA</t>
  </si>
  <si>
    <t>Afifi</t>
  </si>
  <si>
    <t>Phase 3</t>
  </si>
  <si>
    <t>Buildings (Phase.03)</t>
  </si>
  <si>
    <t>Business Plan Update (Phase.03)</t>
  </si>
  <si>
    <t xml:space="preserve">Tender Package </t>
  </si>
  <si>
    <t>Authorities Issuance (Phase.03)</t>
  </si>
  <si>
    <t>Ministerial decree-NUCA</t>
  </si>
  <si>
    <t>Podium</t>
  </si>
  <si>
    <t>Podium (All Phases)</t>
  </si>
  <si>
    <t>Kick-off - Podium (All Phases)</t>
  </si>
  <si>
    <t xml:space="preserve">Concept Validation </t>
  </si>
  <si>
    <t>100% Schematic Design (Including MEP &amp; Infra Works)</t>
  </si>
  <si>
    <t>50% Detailed Design (Including MEP &amp; Infra Works)</t>
  </si>
  <si>
    <t xml:space="preserve">Permit Drawings </t>
  </si>
  <si>
    <t>100% Detailed Design (Including MEP &amp; Infra Works)</t>
  </si>
  <si>
    <t>Tender Package (Including MEP &amp; Infra Works)</t>
  </si>
  <si>
    <t>Authorities (Phase.03)</t>
  </si>
  <si>
    <t>Authorities Issuance (Podium)</t>
  </si>
  <si>
    <t>Master Plan</t>
  </si>
  <si>
    <t xml:space="preserve">100% Schematic Design </t>
  </si>
  <si>
    <t>Updated Ministerial decree</t>
  </si>
  <si>
    <t>HAP Review - Updated Ministerial decree</t>
  </si>
  <si>
    <t xml:space="preserve">50% Detailed Design </t>
  </si>
  <si>
    <t xml:space="preserve">100% Detailed Design </t>
  </si>
  <si>
    <t>Landscape (Phase.01)</t>
  </si>
  <si>
    <t>RFP - Landscape (Phase.01)</t>
  </si>
  <si>
    <t>Dina</t>
  </si>
  <si>
    <t>Single Source Concept Consultant - Landscape (Phase.01)</t>
  </si>
  <si>
    <t>Cost Plan - 100% CD</t>
  </si>
  <si>
    <t>50% Schematic Design</t>
  </si>
  <si>
    <t>HAP Review - 50% SD</t>
  </si>
  <si>
    <t>Landscape (Phase.02)</t>
  </si>
  <si>
    <t>Landscape (Phase.03)</t>
  </si>
  <si>
    <t>Launch Date</t>
  </si>
  <si>
    <t>SLNX</t>
  </si>
  <si>
    <t>Masterplan (All Phases)</t>
  </si>
  <si>
    <t>Masterplan</t>
  </si>
  <si>
    <t>Landscape (Phase 04)</t>
  </si>
  <si>
    <t>BOQ Preparation</t>
  </si>
  <si>
    <t>IFC Package</t>
  </si>
  <si>
    <t>Tender Process</t>
  </si>
  <si>
    <t>FM-Building</t>
  </si>
  <si>
    <t>Schematic Design - KA Design</t>
  </si>
  <si>
    <t>Enabling Package</t>
  </si>
  <si>
    <t>General</t>
  </si>
  <si>
    <t xml:space="preserve">Development Brief </t>
  </si>
  <si>
    <t>Brief Approval</t>
  </si>
  <si>
    <t>RFP</t>
  </si>
  <si>
    <t>Tender to assign Consultant</t>
  </si>
  <si>
    <t>Kick off</t>
  </si>
  <si>
    <t>Pre-Concept</t>
  </si>
  <si>
    <t>Design Zone</t>
  </si>
  <si>
    <t>50% Concept</t>
  </si>
  <si>
    <t>100% Concept</t>
  </si>
  <si>
    <t>Interior</t>
  </si>
  <si>
    <t>Design Zone (Optional)</t>
  </si>
  <si>
    <t>50% Concept + Furnished &amp; Colored Plans +ID Shots</t>
  </si>
  <si>
    <t xml:space="preserve">100% Concept Design </t>
  </si>
  <si>
    <t>SLR</t>
  </si>
  <si>
    <t>Selina</t>
  </si>
  <si>
    <t>Buildings - Selina</t>
  </si>
  <si>
    <t>Ashraf / Sara</t>
  </si>
  <si>
    <t>KAD</t>
  </si>
  <si>
    <t>Peer Review</t>
  </si>
  <si>
    <t>VE</t>
  </si>
  <si>
    <t>Phase 02 Revised Tender Package</t>
  </si>
  <si>
    <t>Phase 01 Revised Tender Package</t>
  </si>
  <si>
    <t>Infrastructure</t>
  </si>
  <si>
    <t>Infra - Selina</t>
  </si>
  <si>
    <t>Data to be send by HAP</t>
  </si>
  <si>
    <t>Ashraf  / Sara</t>
  </si>
  <si>
    <t>Infra DD Submission</t>
  </si>
  <si>
    <t>Shaker</t>
  </si>
  <si>
    <t>Infra IFT Submission</t>
  </si>
  <si>
    <t>HAP Review + Final IFT Submission</t>
  </si>
  <si>
    <t>Landscape - Selina</t>
  </si>
  <si>
    <t>Schematic Package</t>
  </si>
  <si>
    <t>Hoda / Dina</t>
  </si>
  <si>
    <t>ARDS</t>
  </si>
  <si>
    <t>Cost Verification</t>
  </si>
  <si>
    <t>Nour / Noha</t>
  </si>
  <si>
    <t>Revised Schematic Package</t>
  </si>
  <si>
    <t>Plot Fences</t>
  </si>
  <si>
    <t>Plot Fences - Selina</t>
  </si>
  <si>
    <t>50% Tender Package</t>
  </si>
  <si>
    <t>Sites</t>
  </si>
  <si>
    <t>HAP Review - 50% TD</t>
  </si>
  <si>
    <t>100% Tender Package</t>
  </si>
  <si>
    <t>Parcel Fence</t>
  </si>
  <si>
    <t>Amaia</t>
  </si>
  <si>
    <t>Buildings - Amaia</t>
  </si>
  <si>
    <t>Work continued with Constructive</t>
  </si>
  <si>
    <t>Revised Buildings IFT Package (Signature Villas)</t>
  </si>
  <si>
    <t>Archimid</t>
  </si>
  <si>
    <t>HAP Review + Final IFT Submission (Signature Villas)</t>
  </si>
  <si>
    <t>Revised Buildings IFT Package (Solos Villas)</t>
  </si>
  <si>
    <t>HAP Review + Final IFT Submission (Solos Villas)</t>
  </si>
  <si>
    <t>Revised Buildings IFT Package (Monos Villas)</t>
  </si>
  <si>
    <t>HAP Review + Final IFT Submission (Monos Villas)</t>
  </si>
  <si>
    <t>Villa 103&amp;108</t>
  </si>
  <si>
    <t>Updated Permits Drawings</t>
  </si>
  <si>
    <t>Hap Review - PD</t>
  </si>
  <si>
    <t>Amaia - Masterplan</t>
  </si>
  <si>
    <t>Detailed Design Validation</t>
  </si>
  <si>
    <t>Oko Plan</t>
  </si>
  <si>
    <t>100% Detailed Design (Optional)</t>
  </si>
  <si>
    <t xml:space="preserve">HAP Review </t>
  </si>
  <si>
    <t>Tender Action</t>
  </si>
  <si>
    <t>IFC</t>
  </si>
  <si>
    <t>Infra</t>
  </si>
  <si>
    <t>Comments on Schematic to be send by HAP</t>
  </si>
  <si>
    <t>Hoda / Roshdy</t>
  </si>
  <si>
    <t>Plot Fence - Amaia</t>
  </si>
  <si>
    <t>Pheonix</t>
  </si>
  <si>
    <t>Buildings - Pheonix</t>
  </si>
  <si>
    <t>Buildings IFT Package + ID</t>
  </si>
  <si>
    <t>Emdad</t>
  </si>
  <si>
    <t xml:space="preserve">Fitout BOQ preperation CL01 to CL05 </t>
  </si>
  <si>
    <t>Fitout BOQ preperation CL06 to CL15</t>
  </si>
  <si>
    <t>Fitout Tender Process CL01 to CL05</t>
  </si>
  <si>
    <t>Fitout Tender Process CL06 to CL15</t>
  </si>
  <si>
    <t>Landscape - Pheonix</t>
  </si>
  <si>
    <t>Basemap with Grading</t>
  </si>
  <si>
    <t>OKO Plan</t>
  </si>
  <si>
    <t>HAP Review - TD + Comments Implementation</t>
  </si>
  <si>
    <t>Garden Plot Fences - Pheonix</t>
  </si>
  <si>
    <t>Fence Typology</t>
  </si>
  <si>
    <t>HAP Review - Fence Typology</t>
  </si>
  <si>
    <t>IRIS 01&amp;02</t>
  </si>
  <si>
    <t>Landscape - IRIS 01&amp;02</t>
  </si>
  <si>
    <t>Pre-Concept Design - IRIS 01 &amp; 02</t>
  </si>
  <si>
    <t>HAP Review - PC</t>
  </si>
  <si>
    <t>Final Concept Design - IRIS</t>
  </si>
  <si>
    <t>Cost Verification - 100% CD</t>
  </si>
  <si>
    <t>50% Schematic Design - Iris 01 &amp; 02</t>
  </si>
  <si>
    <t>Cost Verification  - 50% SD</t>
  </si>
  <si>
    <t>100% Schematic Design - Iris 01 &amp; 02</t>
  </si>
  <si>
    <t>100% Detailed Design - Iris 01 &amp; 02 - Hardscape</t>
  </si>
  <si>
    <t>100% Detailed Design - Iris 01 &amp; 02 - Softscape</t>
  </si>
  <si>
    <t>Plot Fences IFC</t>
  </si>
  <si>
    <t>IRIS 03</t>
  </si>
  <si>
    <t>Concept (MIMAR)</t>
  </si>
  <si>
    <t>Pre Concept</t>
  </si>
  <si>
    <t>Concept</t>
  </si>
  <si>
    <t>Concept Vaildation (KAD)</t>
  </si>
  <si>
    <t xml:space="preserve">Kickoff </t>
  </si>
  <si>
    <t>Enabling Package for Basement Boundaries</t>
  </si>
  <si>
    <t>BODR and Validation report for B01 &amp; B02</t>
  </si>
  <si>
    <t>IRIS 03 B.01</t>
  </si>
  <si>
    <t>Schematic</t>
  </si>
  <si>
    <t>Schematic Design (Arch &amp; STR)</t>
  </si>
  <si>
    <t>Schematic Design (MEP)</t>
  </si>
  <si>
    <t>DD, IFT &amp; IFC</t>
  </si>
  <si>
    <t>100% Detailed Design (Podium Str. IFT Package)</t>
  </si>
  <si>
    <t>Permit Package</t>
  </si>
  <si>
    <t>IFT Package</t>
  </si>
  <si>
    <t>HAP Review + Final IFT Package</t>
  </si>
  <si>
    <t>Schematic Design (Arch + Str + MEP)</t>
  </si>
  <si>
    <t>IRIS 03 B.02</t>
  </si>
  <si>
    <t>IRIS 03 - Structure Packages</t>
  </si>
  <si>
    <t>100% Str Detailed Design Peer Review</t>
  </si>
  <si>
    <t>HAP</t>
  </si>
  <si>
    <t>Tender Package for 2 Buildings + Basement Inprogress Package</t>
  </si>
  <si>
    <t>Tender Package  Peer Review</t>
  </si>
  <si>
    <t>Final Tender Package for 2 Buildings + Basement Final Package</t>
  </si>
  <si>
    <t>IRIS 03 - Masterplan</t>
  </si>
  <si>
    <t>YBA</t>
  </si>
  <si>
    <t>Ministerial Decree</t>
  </si>
  <si>
    <t>IRIS 03 Infra</t>
  </si>
  <si>
    <t>IFT Revised Package for IRIS 03</t>
  </si>
  <si>
    <t>HAP Review + IFT Final Package</t>
  </si>
  <si>
    <t>Landscape - IRIS 03</t>
  </si>
  <si>
    <t>Concept Design - IRIS 03</t>
  </si>
  <si>
    <t>Cracknell</t>
  </si>
  <si>
    <t>50% Schematic Design - Iris 03</t>
  </si>
  <si>
    <t>Nour / Hoda</t>
  </si>
  <si>
    <t>100% Schematic Design - Iris 03</t>
  </si>
  <si>
    <t>Landscape Schematic Review &amp; validation</t>
  </si>
  <si>
    <t>Cost Plan</t>
  </si>
  <si>
    <t>50% Design Development</t>
  </si>
  <si>
    <t>100% Design Development</t>
  </si>
  <si>
    <t>Landscape IFT</t>
  </si>
  <si>
    <t>Authorities - IRIS 03</t>
  </si>
  <si>
    <t>Ministerial decree</t>
  </si>
  <si>
    <t>Egyptian Institution for Construction Civil Liability Insurance</t>
  </si>
  <si>
    <t>Permits</t>
  </si>
  <si>
    <t>Plot Fences - IRIS 03</t>
  </si>
  <si>
    <t>Adham</t>
  </si>
  <si>
    <t>Parcel Fence - IRIS 03</t>
  </si>
  <si>
    <t>HAP For IFT Package</t>
  </si>
  <si>
    <t>Parcel 07</t>
  </si>
  <si>
    <t>Infra - Shaker (Parcel 07 &amp; Parcel 14)</t>
  </si>
  <si>
    <t>Infra IFC Submission</t>
  </si>
  <si>
    <t>HAP Review + Final IFC Submission</t>
  </si>
  <si>
    <t>RMC - MEP Packages &amp; ID - KH Studio</t>
  </si>
  <si>
    <t>Revised Submission for Patch 01 Buildings IFT</t>
  </si>
  <si>
    <t>Revised Submission for Basement &amp; Incl. ID 15-Jun-25</t>
  </si>
  <si>
    <t>Revised Submission for Patch 02 Buildings IFT (B01,03,04)</t>
  </si>
  <si>
    <t>Revised Submission for Patch 03 Buildings IFT (A12,A13)</t>
  </si>
  <si>
    <t>Tenant manual</t>
  </si>
  <si>
    <t>Tenant manual  - Parcel 07</t>
  </si>
  <si>
    <t>Shops Tenant Manual (Sample)</t>
  </si>
  <si>
    <t>RMC</t>
  </si>
  <si>
    <t>Office Tenant Manual (Sample)</t>
  </si>
  <si>
    <t>Authorities - Parcel 07</t>
  </si>
  <si>
    <t xml:space="preserve">Ministerial decree </t>
  </si>
  <si>
    <t>LEED Certificate</t>
  </si>
  <si>
    <t>LEED Certificate Process</t>
  </si>
  <si>
    <t>LEED Online Documentation Design phase)</t>
  </si>
  <si>
    <t>ES</t>
  </si>
  <si>
    <t>Preliminary Design review Fees</t>
  </si>
  <si>
    <t>Preliminary Design review</t>
  </si>
  <si>
    <t>USGBC</t>
  </si>
  <si>
    <t>LEED Consultant response</t>
  </si>
  <si>
    <t>Final design review</t>
  </si>
  <si>
    <t>Construction phase</t>
  </si>
  <si>
    <t>Hotel</t>
  </si>
  <si>
    <t>Concept &amp; Schematic Design Stage</t>
  </si>
  <si>
    <t xml:space="preserve">Comencment Date </t>
  </si>
  <si>
    <t>Project Build up</t>
  </si>
  <si>
    <t>Offices 50% Concept Design – Architecture</t>
  </si>
  <si>
    <t>HOTEL 50% Concept Design – Architecture</t>
  </si>
  <si>
    <t>Project Build-up (Hotel &amp; Offices)</t>
  </si>
  <si>
    <t>Adha Vacation</t>
  </si>
  <si>
    <t>50% Masterplan and Architecture Concept 
(Hotel and Office Buildings</t>
  </si>
  <si>
    <t>Project Budget Review and Vaildation 1</t>
  </si>
  <si>
    <t>Offices 100% Concept Design – Architecture &amp; Masterplan</t>
  </si>
  <si>
    <t>HOTEL 100% Concept Design – Architecture &amp; Masterplan</t>
  </si>
  <si>
    <t>Project Budget Review and Vaildation 2</t>
  </si>
  <si>
    <t>HOTEL 100% Concept Design – Interior Design</t>
  </si>
  <si>
    <t>Offices 100% Concept Design – Interior Design</t>
  </si>
  <si>
    <t>Project Budget Review and Vaildation 3</t>
  </si>
  <si>
    <t>Marketing Material - Development</t>
  </si>
  <si>
    <t>Marketing Material - Marketing</t>
  </si>
  <si>
    <t>Budget &amp; Cashflow</t>
  </si>
  <si>
    <t>Run BM &amp; Pricing</t>
  </si>
  <si>
    <t>Sales Induction</t>
  </si>
  <si>
    <t>100% Schematic Design
(Hotel and Office Buildings)</t>
  </si>
  <si>
    <t>Operator Review</t>
  </si>
  <si>
    <t>Conslidated Comments</t>
  </si>
  <si>
    <t>100% Interior Schematic Design
(Hotel and Office Buildings)</t>
  </si>
  <si>
    <t>Mockup Package</t>
  </si>
  <si>
    <t>Local Design Tender</t>
  </si>
  <si>
    <t>Tender to Assign Consultant</t>
  </si>
  <si>
    <t>Buildings Including ID</t>
  </si>
  <si>
    <t>Commencement date</t>
  </si>
  <si>
    <t>Peer Review (Concept Validation)</t>
  </si>
  <si>
    <t>Schematic Validation</t>
  </si>
  <si>
    <t>Detailed Design 50% &amp; Specialist Consultant (Kitchen, Sauna&amp; ETC..)</t>
  </si>
  <si>
    <t>Detailed Design 100% &amp; Specialist Consultant (Kitchen, Sauna&amp; ETC..)</t>
  </si>
  <si>
    <t>Enabling Package (Skeleton Package)</t>
  </si>
  <si>
    <t>VO With YBA</t>
  </si>
  <si>
    <t>100% Schematic Design (Grading Package)</t>
  </si>
  <si>
    <t>Grading Package</t>
  </si>
  <si>
    <t>Hap Review</t>
  </si>
  <si>
    <t>VO With Sites</t>
  </si>
  <si>
    <t xml:space="preserve">50% Schematic </t>
  </si>
  <si>
    <t>100% Schematic</t>
  </si>
  <si>
    <t>Mockup Tender Process</t>
  </si>
  <si>
    <t>Contractor Awarding</t>
  </si>
  <si>
    <t>Earth Work Contractor Awarding</t>
  </si>
  <si>
    <t>Tender Process for Enabling package</t>
  </si>
  <si>
    <t>Authorities Issuance</t>
  </si>
  <si>
    <t>Rough Grading and Earth Work</t>
  </si>
  <si>
    <t>Touristic Licenses</t>
  </si>
  <si>
    <t>Construction</t>
  </si>
  <si>
    <t>Mockup Construction</t>
  </si>
  <si>
    <t>Earth Work &amp; Rough Grading</t>
  </si>
  <si>
    <t>Engineering and Mobilization</t>
  </si>
  <si>
    <t>Construction of Enabling Package (Skeleton &amp; Podium Package)</t>
  </si>
  <si>
    <t>Buildings Construction (Arch + MEP)</t>
  </si>
  <si>
    <t>Roads</t>
  </si>
  <si>
    <t>Long Lead Items Procurement</t>
  </si>
  <si>
    <t xml:space="preserve">Hotel Opertional Licenses </t>
  </si>
  <si>
    <t>Compliance with Civil Defense Requirements</t>
  </si>
  <si>
    <t>Security Authorities</t>
  </si>
  <si>
    <t>Hotel Soft Openeing</t>
  </si>
  <si>
    <t>Soft Openeing</t>
  </si>
  <si>
    <t>Parcel 15</t>
  </si>
  <si>
    <t>Masterplan - Detailed Design</t>
  </si>
  <si>
    <t>Revised Package</t>
  </si>
  <si>
    <t>Schematic Submission</t>
  </si>
  <si>
    <t>DD Submission</t>
  </si>
  <si>
    <t>IFT Submission</t>
  </si>
  <si>
    <t>IFC Submission</t>
  </si>
  <si>
    <t>Buffer Zone</t>
  </si>
  <si>
    <t>Landscape - SITES</t>
  </si>
  <si>
    <t>Baseplan</t>
  </si>
  <si>
    <t>Boulevard</t>
  </si>
  <si>
    <t>100% IFT Phase.01</t>
  </si>
  <si>
    <t>100% IFT Phase.02</t>
  </si>
  <si>
    <t>Hoda / Ayman</t>
  </si>
  <si>
    <t>Main Valley</t>
  </si>
  <si>
    <t>Detailed Design</t>
  </si>
  <si>
    <t>Parcel 11</t>
  </si>
  <si>
    <t>100 % Tender Package</t>
  </si>
  <si>
    <t>Parcel 12</t>
  </si>
  <si>
    <t>Landscape (Signage)</t>
  </si>
  <si>
    <t>Parcel 14</t>
  </si>
  <si>
    <t>CRI</t>
  </si>
  <si>
    <t>HPT</t>
  </si>
  <si>
    <t>Ph.01&amp;02</t>
  </si>
  <si>
    <t>Villas All 6 types - Phase #1&amp;2</t>
  </si>
  <si>
    <t>Concept validation</t>
  </si>
  <si>
    <t>Schematic Design</t>
  </si>
  <si>
    <t>Cost Plan for Schematic Design</t>
  </si>
  <si>
    <t>Detailed Design 50%</t>
  </si>
  <si>
    <t>Detailed Design 100%</t>
  </si>
  <si>
    <t>Cost Plan for Detailed Design</t>
  </si>
  <si>
    <t>Mineral licenses</t>
  </si>
  <si>
    <t>Mineral licenses Duration</t>
  </si>
  <si>
    <t>Mineral licenses Renew</t>
  </si>
  <si>
    <t>Master Plan Schematic Design Validation</t>
  </si>
  <si>
    <t>Master Plan Detailed Design 50%</t>
  </si>
  <si>
    <t>Master Plan Detailed Design 100%</t>
  </si>
  <si>
    <t>Ph.03&amp;04</t>
  </si>
  <si>
    <t>Villas All 7 types-Phase#03&amp;4</t>
  </si>
  <si>
    <t>Permits DWGs</t>
  </si>
  <si>
    <t>Permits Issuance - Ph.03, 04</t>
  </si>
  <si>
    <t>Egyptian Institution for Construction Deccenial Liability Insurance</t>
  </si>
  <si>
    <t>Ph. 01, 02, 03 &amp; 04</t>
  </si>
  <si>
    <t>Interior Ph. 01, 02, 03 &amp; 04</t>
  </si>
  <si>
    <t>Osama / Lina</t>
  </si>
  <si>
    <t>Master Planning</t>
  </si>
  <si>
    <t>IFT For Plot Fences</t>
  </si>
  <si>
    <t>Overall Infrastructure &amp; roads (Main Utilities)</t>
  </si>
  <si>
    <t>Concept Design + (BODR)</t>
  </si>
  <si>
    <t>Infrastructure IFP</t>
  </si>
  <si>
    <t>HAP Review + Auth. Approval</t>
  </si>
  <si>
    <t>Infrastructure IFT + Permit Drawings</t>
  </si>
  <si>
    <t>Midar Approval'</t>
  </si>
  <si>
    <t>Valleys</t>
  </si>
  <si>
    <t>Overall Landscape</t>
  </si>
  <si>
    <t>Receive Master Plan after review</t>
  </si>
  <si>
    <t>Landscape Concept</t>
  </si>
  <si>
    <t>50% Schematic</t>
  </si>
  <si>
    <t>100% Schematic Development</t>
  </si>
  <si>
    <t>Ph.01</t>
  </si>
  <si>
    <t>Phase 01 Landscape</t>
  </si>
  <si>
    <t>Ph.02</t>
  </si>
  <si>
    <t>Phase 02 Landscape</t>
  </si>
  <si>
    <t>Ph.03</t>
  </si>
  <si>
    <t>Phase 03 Landscape</t>
  </si>
  <si>
    <t>Ph.04</t>
  </si>
  <si>
    <t>Phase 04 Landscape</t>
  </si>
  <si>
    <t>FM Building</t>
  </si>
  <si>
    <t>Buildings - FM</t>
  </si>
  <si>
    <t>KMA</t>
  </si>
  <si>
    <t>Peer Review - 100% DD</t>
  </si>
  <si>
    <t>KH Studio</t>
  </si>
  <si>
    <t>Peer Review - TD</t>
  </si>
  <si>
    <t>Permits Issuance - FM</t>
  </si>
  <si>
    <t>Ministerial decree-MIDAR</t>
  </si>
  <si>
    <t>Interior - FM</t>
  </si>
  <si>
    <t xml:space="preserve">Commencement </t>
  </si>
  <si>
    <t>Clubhouse</t>
  </si>
  <si>
    <t>Clubhouse - Building (Include ID)</t>
  </si>
  <si>
    <t>Dina / Wahby</t>
  </si>
  <si>
    <t>Marketing Materials &amp; Renders</t>
  </si>
  <si>
    <t>DRJ</t>
  </si>
  <si>
    <t>Park 226</t>
  </si>
  <si>
    <t>Permits Issuance - Park 226</t>
  </si>
  <si>
    <t>Master Planning  - Park 226</t>
  </si>
  <si>
    <t xml:space="preserve">Master Plan Concept </t>
  </si>
  <si>
    <t>Done</t>
  </si>
  <si>
    <t>MD Approval 1st round</t>
  </si>
  <si>
    <t xml:space="preserve">Master Plan Schematic Design </t>
  </si>
  <si>
    <t>Master Plan Detailed Design (Staking and Levels)</t>
  </si>
  <si>
    <t>MD Preparation</t>
  </si>
  <si>
    <t>MD Approval Updated 2nd Round (mostkbal comments)</t>
  </si>
  <si>
    <t>MD Approval Updated 2nd Round</t>
  </si>
  <si>
    <t>Infrastructure &amp; roads - Park 226</t>
  </si>
  <si>
    <t>Detailed Design Redesign</t>
  </si>
  <si>
    <t>Mostakbal city approval</t>
  </si>
  <si>
    <t>Mostakbal city approval (Rev.02 - Due to Kioshks)</t>
  </si>
  <si>
    <t>Infrastructure IFT</t>
  </si>
  <si>
    <t>External Works - Park 226</t>
  </si>
  <si>
    <t>Landscape Concept Review &amp; validation</t>
  </si>
  <si>
    <t>Linear Park</t>
  </si>
  <si>
    <t>Landscape - Linear Park</t>
  </si>
  <si>
    <t>Tender Package - (Phase.01)</t>
  </si>
  <si>
    <t>HAP Review - TD (Phase.01)</t>
  </si>
  <si>
    <t>Tender Package - (Phase.02)</t>
  </si>
  <si>
    <t>HAP Review - TD (Phase.02)</t>
  </si>
  <si>
    <t>Community Club</t>
  </si>
  <si>
    <t>Masterplan, Landscape, Infra, Blgds (Include ID)</t>
  </si>
  <si>
    <t>Ph.01 Community Club</t>
  </si>
  <si>
    <t>Phase 01 (Playground and Changing Room)</t>
  </si>
  <si>
    <t>HAP Review and Consultant Validation</t>
  </si>
  <si>
    <t>Permits Issuance - Ph.01 Community Club</t>
  </si>
  <si>
    <t>Ministerial Decree - Club</t>
  </si>
  <si>
    <t>Ph.02 Community Club</t>
  </si>
  <si>
    <t>Phase 02 Community Club</t>
  </si>
  <si>
    <t>100% Concept Design - Gym Building</t>
  </si>
  <si>
    <t>Osama / Ramadan</t>
  </si>
  <si>
    <t>HAP Review - 100% CD Gym Building</t>
  </si>
  <si>
    <t>100% Schematic Design - Gym Building</t>
  </si>
  <si>
    <t>HAP Review - 100% SD Gym Building</t>
  </si>
  <si>
    <t>Permits Issuance Ph.02 Community Club</t>
  </si>
  <si>
    <t>Ministerial decree - Club</t>
  </si>
  <si>
    <t>Commercial</t>
  </si>
  <si>
    <t>Buildings - Commercial</t>
  </si>
  <si>
    <t>Mostafa Abdel-Aziz</t>
  </si>
  <si>
    <t>Price Negotiations and Contract</t>
  </si>
  <si>
    <t>Kick-off</t>
  </si>
  <si>
    <t>Pre-Concept Design</t>
  </si>
  <si>
    <t>Raeef Fahmy</t>
  </si>
  <si>
    <t>Colored Plans (Marketing Material)</t>
  </si>
  <si>
    <t>Plans Annexes (Marketing Materials)</t>
  </si>
  <si>
    <t>Master Plan - Commercial</t>
  </si>
  <si>
    <t>MP Annexes (Marketing Materials)</t>
  </si>
  <si>
    <t>Ministerial decree Package</t>
  </si>
  <si>
    <t>Landscape - Commercial</t>
  </si>
  <si>
    <t>Colored MP (Marketing Materials)</t>
  </si>
  <si>
    <t>Authorities Issuance - Commercial</t>
  </si>
  <si>
    <t xml:space="preserve">DRJ </t>
  </si>
  <si>
    <t>Ministerial Decrees</t>
  </si>
  <si>
    <t>Phase-01 (1A, 2B, 2A, 2E &amp; 2D right)</t>
  </si>
  <si>
    <t>Phase-02 (Villas + Towers)</t>
  </si>
  <si>
    <t>Phase-03 (Commercial)</t>
  </si>
  <si>
    <t>General Landscape ( Concept To Schematic)</t>
  </si>
  <si>
    <t>50% Concept Design Review (International Consultant)</t>
  </si>
  <si>
    <t>Cracnell</t>
  </si>
  <si>
    <t>100% Concept Design Review (International Consultant)</t>
  </si>
  <si>
    <t>50% Schematic Design For Central Park (International Consultant)</t>
  </si>
  <si>
    <t>HAP Review For Centeral Park</t>
  </si>
  <si>
    <t>50% Schematic Design For Remaining Project (International Consultant)</t>
  </si>
  <si>
    <t>HAP Review For Remaining Project</t>
  </si>
  <si>
    <t>100% Schematic Design For Central Park (International Consultant)</t>
  </si>
  <si>
    <t>HAP Review For Central Park</t>
  </si>
  <si>
    <t>100% Schematic Design for Remaining Project (International Consultant)</t>
  </si>
  <si>
    <t>Landscape Park Central (1B, 2C) &amp; Teracces (1A) &amp; Great Lawn (2A, 2B) &amp; (2E, 2D)</t>
  </si>
  <si>
    <t>50% Schematic Validation For Central Park</t>
  </si>
  <si>
    <t>50% Schematic Validation For Remaining Project</t>
  </si>
  <si>
    <t>100% Schematic Validation For Central Park</t>
  </si>
  <si>
    <t>100% Schematic Validation For Remaining Project</t>
  </si>
  <si>
    <t>Centeral Park</t>
  </si>
  <si>
    <t>Landscape Centeral Park Including Courts</t>
  </si>
  <si>
    <t>Tender Package For Central Park</t>
  </si>
  <si>
    <t>RW - Centeral Park</t>
  </si>
  <si>
    <t>Retaining Walls</t>
  </si>
  <si>
    <t>100% Schematic Verification</t>
  </si>
  <si>
    <t>CH - Centeral Park</t>
  </si>
  <si>
    <t>Club House Park Central</t>
  </si>
  <si>
    <t>Schematic Verification</t>
  </si>
  <si>
    <t>Kiosks - Centeral Park</t>
  </si>
  <si>
    <t>F&amp;B Kiosks</t>
  </si>
  <si>
    <t>Ph - 1A</t>
  </si>
  <si>
    <t>Apartment Buildings Terraces ( 3 Prototypes ) PHASE 1-A ( Core&amp;shell Scope )</t>
  </si>
  <si>
    <t>Ashraf / Qadry</t>
  </si>
  <si>
    <t>Authorities Issuance 1-A</t>
  </si>
  <si>
    <t>Ministerial decree-Midar</t>
  </si>
  <si>
    <t>Plot Fences 1-A</t>
  </si>
  <si>
    <t>Fit-Out ( 3 Prototypes ) PHASE 1-A</t>
  </si>
  <si>
    <t>Mood Board has been considered from SLR Concept</t>
  </si>
  <si>
    <t>BOQ Preperation</t>
  </si>
  <si>
    <t>Master Planning (PHASE - 1A) Apartment Buildings Terraces</t>
  </si>
  <si>
    <t>100% Concept Design Review</t>
  </si>
  <si>
    <t>100% Schematic Design &amp; BODR</t>
  </si>
  <si>
    <t>Ministerial Decree Package</t>
  </si>
  <si>
    <t>Infrastructure &amp; roads (PHASE - 1A) Apartment Buildings Terraces</t>
  </si>
  <si>
    <t>MIDAR Approval - 1A</t>
  </si>
  <si>
    <t>Ashraf / Qadry / Afifi</t>
  </si>
  <si>
    <t>IFT Submission After Midar Comments</t>
  </si>
  <si>
    <t>Ph - 1A Ancillary Buildings</t>
  </si>
  <si>
    <t>Authorities Issuance (Ancillary Buildings)</t>
  </si>
  <si>
    <t>Construction licenses- Ancillary Buildings Permits</t>
  </si>
  <si>
    <t>Landscape Phase 1-A (Teracces)</t>
  </si>
  <si>
    <t>Tender Package - 1A Left</t>
  </si>
  <si>
    <t>HAP Review - TD 1A Left</t>
  </si>
  <si>
    <t>Tender Package - 1A Right</t>
  </si>
  <si>
    <t>HAP Review - TD 1A Right</t>
  </si>
  <si>
    <t>Ph - 2A 2B</t>
  </si>
  <si>
    <t>2 buildings of the great lawn (Phase - 2A 2B) &amp; Teracce 2</t>
  </si>
  <si>
    <t xml:space="preserve">HAP &amp; Consultant Review - 100% Concept Verification </t>
  </si>
  <si>
    <t>Structure Peer Review - 100% DD</t>
  </si>
  <si>
    <t>Tender Package (Great Lawn B1&amp;B2)</t>
  </si>
  <si>
    <t>HAP Review - TD (Great Lawn B1&amp;B2)</t>
  </si>
  <si>
    <t>Design Development  - Teracce 01&amp;02</t>
  </si>
  <si>
    <t>HAP Review - DD Teracce 01&amp;02</t>
  </si>
  <si>
    <t>Tender Package - Teracce 01&amp;02</t>
  </si>
  <si>
    <t>HAP Review - TD Teracce 01&amp;02</t>
  </si>
  <si>
    <t>Master Planning (PHASE - Buildings 2A 2B) Great Lawn</t>
  </si>
  <si>
    <t>50% Concept Design Review</t>
  </si>
  <si>
    <t>Infrastructure &amp; roads (PHASE - Buildings 2A 2B) Great Lawn</t>
  </si>
  <si>
    <t>MIDAR Approval</t>
  </si>
  <si>
    <t>Landscape Phase 2A &amp; 2B Great Lawn</t>
  </si>
  <si>
    <t>Tender Package - 2B</t>
  </si>
  <si>
    <t>HAP Review - TD 2B</t>
  </si>
  <si>
    <t>Tender Package - 2A</t>
  </si>
  <si>
    <t>HAP Review - TD 2A</t>
  </si>
  <si>
    <t>Ph - 1B</t>
  </si>
  <si>
    <t>Phase-1B Standalone Villas ( 7 Prototypes Twins&amp;Towns &amp;Standalone)</t>
  </si>
  <si>
    <t>Ph - 1B 2C</t>
  </si>
  <si>
    <t xml:space="preserve">Tender to assign Consultant </t>
  </si>
  <si>
    <t xml:space="preserve">Concept Verification </t>
  </si>
  <si>
    <t>Permits Drawings - 1B</t>
  </si>
  <si>
    <t>Structure Peer Review - TD</t>
  </si>
  <si>
    <t>BLDGs Construction Tender</t>
  </si>
  <si>
    <t>Ph - 1B 2C &amp; Towers</t>
  </si>
  <si>
    <t>Ministerial decree NUCA (Villas)</t>
  </si>
  <si>
    <t>Master Planning (PHASE - Villas 1B &amp; 2C)</t>
  </si>
  <si>
    <t>Ministerial Decree Package - Phase 2 (Villas)</t>
  </si>
  <si>
    <t>Updated Ministerial Decree Package - Phase 2 (Villas), Phase 2E &amp; 2D</t>
  </si>
  <si>
    <t>Infrastructure &amp; roads (PHASE - Villas 1B &amp; 2C)</t>
  </si>
  <si>
    <t>Midar Approval - 1B &amp; 2C</t>
  </si>
  <si>
    <t>Landscape Phase 1-B Villas</t>
  </si>
  <si>
    <t>Ph - 2C</t>
  </si>
  <si>
    <t>Landscape Phase 2-C Villas</t>
  </si>
  <si>
    <t>External Fences and Gates</t>
  </si>
  <si>
    <t>100% Concept Design (International Consultant)</t>
  </si>
  <si>
    <t xml:space="preserve">Midar Approval </t>
  </si>
  <si>
    <t>100% Schematic Design  (International Consultant) VO</t>
  </si>
  <si>
    <t>HAP Review - SV</t>
  </si>
  <si>
    <t xml:space="preserve">Permits Drawings </t>
  </si>
  <si>
    <t>Authorities Issuance (Fences and Gates)</t>
  </si>
  <si>
    <t>Construction licenses- Fences Buildings Permits</t>
  </si>
  <si>
    <t>Ph - 2D 2E</t>
  </si>
  <si>
    <t>Master Planning (PHASE - Apartments 2D 2E)</t>
  </si>
  <si>
    <t>Infrastructure &amp; roads (PHASE - Apartments 2D 2E)</t>
  </si>
  <si>
    <t>Landscape Phase 2E &amp; 2D Apartments</t>
  </si>
  <si>
    <t>Tender Package - 2E</t>
  </si>
  <si>
    <t>HAP Review - TD 2E</t>
  </si>
  <si>
    <t>Tender Package - 2D</t>
  </si>
  <si>
    <t>HAP Review - TD 2D</t>
  </si>
  <si>
    <t>Commercial Buildings</t>
  </si>
  <si>
    <t>Submission of Concept Design - 50%</t>
  </si>
  <si>
    <t>Submission of Concept Design - 100%</t>
  </si>
  <si>
    <t>Genral</t>
  </si>
  <si>
    <t>Overall Disciplines</t>
  </si>
  <si>
    <t xml:space="preserve">RFP - Overall Disciplines </t>
  </si>
  <si>
    <t>Tender to assign consultant  - Overall Disciplines</t>
  </si>
  <si>
    <t>BODR</t>
  </si>
  <si>
    <t>HAP Review - BODR</t>
  </si>
  <si>
    <t>Two types (B1&amp;B2)</t>
  </si>
  <si>
    <t>Structure IFC PKG</t>
  </si>
  <si>
    <t>100% Detailed Design (Finishes)</t>
  </si>
  <si>
    <t>Tender Package (Full Fit-Out PKGS)</t>
  </si>
  <si>
    <t>One type (B3)</t>
  </si>
  <si>
    <t>Structure IFT PKG</t>
  </si>
  <si>
    <t>Tender Package ( Full Fit-Out PKG)</t>
  </si>
  <si>
    <t>TDA Permits</t>
  </si>
  <si>
    <t>Crystal Lagoon</t>
  </si>
  <si>
    <t>Zero Geometry</t>
  </si>
  <si>
    <t>Tark</t>
  </si>
  <si>
    <t>HAP Review - Zero Geometry</t>
  </si>
  <si>
    <t>Design Criteria Package - Crystal Lagoon</t>
  </si>
  <si>
    <t xml:space="preserve">RFP - Crystal Lagoon </t>
  </si>
  <si>
    <t>Tender to assign consultant  - Crystal Lagoon</t>
  </si>
  <si>
    <t xml:space="preserve">Full Package Design </t>
  </si>
  <si>
    <t>HAP + Crystal Lagoon Review</t>
  </si>
  <si>
    <t>HAP Review - 50% DD + Crystal Lagoon Review</t>
  </si>
  <si>
    <t>HAP Review - 100% DD + Crystal Lagoon Review</t>
  </si>
  <si>
    <t>HAP Review - TD + Crystal Lagoon Review</t>
  </si>
  <si>
    <t>Landscape  DD, IFT &amp; IFC</t>
  </si>
  <si>
    <t>IFT ( Modifications regarding Kiosks)</t>
  </si>
  <si>
    <t>SLW NOA</t>
  </si>
  <si>
    <t>NOA Masterplan</t>
  </si>
  <si>
    <t>Final NOA MP Direction From Development</t>
  </si>
  <si>
    <t>Osama / Ahmed Ramadan</t>
  </si>
  <si>
    <t>Shaker &amp; (MY&amp;A)</t>
  </si>
  <si>
    <t xml:space="preserve">VO With Shaker </t>
  </si>
  <si>
    <t>Nour  /  Ali</t>
  </si>
  <si>
    <t>100% Schematic Design (Icluding Grading Levels)</t>
  </si>
  <si>
    <t>Ministerial Decree Package (For NOA)</t>
  </si>
  <si>
    <t>NOA Infra &amp; Roads</t>
  </si>
  <si>
    <t>Kick-off - NOA Infra &amp; Roads</t>
  </si>
  <si>
    <t>Retaining walls</t>
  </si>
  <si>
    <t>NOA RWs</t>
  </si>
  <si>
    <t xml:space="preserve"> NOA RWs Early Package</t>
  </si>
  <si>
    <t>Crancnell</t>
  </si>
  <si>
    <t>HAP Review - EP</t>
  </si>
  <si>
    <t>NOA Landscape</t>
  </si>
  <si>
    <t>50% Concept Design (Including NOA RWs)</t>
  </si>
  <si>
    <t xml:space="preserve">Nour  /  Ali </t>
  </si>
  <si>
    <t>Twain Apartments-Phase 5</t>
  </si>
  <si>
    <t>Delay in Commencing Schematic Design</t>
  </si>
  <si>
    <t>50% Detailed Design (Incl. Permits PKG)</t>
  </si>
  <si>
    <t>Structure Peer Review</t>
  </si>
  <si>
    <t>Tender Package (Flexi Finish)</t>
  </si>
  <si>
    <t>HAP Review - TD (Flexi Finish)</t>
  </si>
  <si>
    <t>Tender Package ( Fully Finished)</t>
  </si>
  <si>
    <t>Authorities Twain Apartments-Phase 5</t>
  </si>
  <si>
    <t>MD Approval  2 [Phases 5A, 5B, 5C-1, 6A]</t>
  </si>
  <si>
    <t>Civil Defense  /  Decenial Liability [Phases 5A, 5B, 5C-1, 6A]</t>
  </si>
  <si>
    <t>Permits Approval  [Phases 5A, 5B, 5C-1, 6A]</t>
  </si>
  <si>
    <t>Mineral License</t>
  </si>
  <si>
    <t>One Story Villas-Ph5</t>
  </si>
  <si>
    <t>100% Concept Design (Arch.)</t>
  </si>
  <si>
    <t>HAP Review - 100% CD (Arch)</t>
  </si>
  <si>
    <t>100% Concept Design (Str. &amp; MEP)</t>
  </si>
  <si>
    <t>HAP Review - 100% CD (Str. &amp; MEP)</t>
  </si>
  <si>
    <t>Postponing Design for Workload Purpose</t>
  </si>
  <si>
    <t>Revised Tender Package (Regarding BOQs Splitting)</t>
  </si>
  <si>
    <t>Authorities One Story Villas-Ph5</t>
  </si>
  <si>
    <t>Permits Approval [Phases 5A, 5B, 5C-1, 6A]</t>
  </si>
  <si>
    <t>Single Story Villas (E &amp; D) -Ph6</t>
  </si>
  <si>
    <t>Structure Peer Review (ABCG)</t>
  </si>
  <si>
    <t>Tender Package (+Permits DWGs)</t>
  </si>
  <si>
    <t>Authorities - Single Story Villas (E &amp; D) -Ph6</t>
  </si>
  <si>
    <t>MD Approval  3 [Phases 05-C, 06]</t>
  </si>
  <si>
    <t>Civil Defense  /  Decenial Liability [Phases 05-C, 06]</t>
  </si>
  <si>
    <t>Permits Approval [Phases 05-C, 06]</t>
  </si>
  <si>
    <t>Type A Shimmers</t>
  </si>
  <si>
    <t>100% Concept Design (Arch.) VNour  /  Alidation</t>
  </si>
  <si>
    <t>Delay in Commencing Remaining Design</t>
  </si>
  <si>
    <t>Tender Package (Incl. Permits PKG) - For Flexi Finish</t>
  </si>
  <si>
    <t>Tender Package (Incl. Permits PKG) For Fully Finished</t>
  </si>
  <si>
    <t>Type D Shimmers</t>
  </si>
  <si>
    <t>100% Detailed Design (Incl. Permits PKG)</t>
  </si>
  <si>
    <t>Authorities - Shimmers</t>
  </si>
  <si>
    <t>Solos</t>
  </si>
  <si>
    <t>Delay in Commencing Concept Design</t>
  </si>
  <si>
    <t>100% Concept Design (Plans and Renders)</t>
  </si>
  <si>
    <t>100% Concept Design - BODR</t>
  </si>
  <si>
    <t>HAP Review - 100% CD BODR</t>
  </si>
  <si>
    <t>Authorities Solos</t>
  </si>
  <si>
    <t>Cabannas</t>
  </si>
  <si>
    <t>RFP - Cabannas</t>
  </si>
  <si>
    <t>Tender to assign consultant  - Cabannas</t>
  </si>
  <si>
    <t>Kick-off - Cabannas</t>
  </si>
  <si>
    <t>Preconcept Design</t>
  </si>
  <si>
    <t>Cost Plan - PC</t>
  </si>
  <si>
    <t>Mariam</t>
  </si>
  <si>
    <t>Ahmed Ragheb</t>
  </si>
  <si>
    <t>BODR &amp; Design  validation</t>
  </si>
  <si>
    <t>50% Detailed Design - Inprogress PKG</t>
  </si>
  <si>
    <t>HAP Review - 50% DD inprogress</t>
  </si>
  <si>
    <t>50% Detailed Design  - Final PKG</t>
  </si>
  <si>
    <t>HAP Review - 50% DD Final</t>
  </si>
  <si>
    <t>100% Detailed Design - Inprogress PKG</t>
  </si>
  <si>
    <t>HAP Review - 100% DD Inprogress</t>
  </si>
  <si>
    <t>100% Detailed Design - Final PKG</t>
  </si>
  <si>
    <t>HAP Review - 100% DD Final</t>
  </si>
  <si>
    <t>Authorities -Cabannas</t>
  </si>
  <si>
    <t xml:space="preserve">MD Approval  3 </t>
  </si>
  <si>
    <t xml:space="preserve">Civil Defense  /  Decenial Liability </t>
  </si>
  <si>
    <t xml:space="preserve">Permits Approval </t>
  </si>
  <si>
    <t xml:space="preserve">Mineral License </t>
  </si>
  <si>
    <t>Lagoon</t>
  </si>
  <si>
    <t xml:space="preserve">Tender to assign Water wells Cunslutent </t>
  </si>
  <si>
    <t>Tender to assign Cunslutent - Lagoon</t>
  </si>
  <si>
    <t xml:space="preserve">100% Schematic Design Verification </t>
  </si>
  <si>
    <t>RFP And Contract Signing</t>
  </si>
  <si>
    <t>Eyad</t>
  </si>
  <si>
    <t>Local Consultant</t>
  </si>
  <si>
    <t>Ghoneimi</t>
  </si>
  <si>
    <t>Eyad / Osama</t>
  </si>
  <si>
    <t>Cost Plan - 50% SD</t>
  </si>
  <si>
    <t>HAP Review - MD</t>
  </si>
  <si>
    <t>HAP Review - MP</t>
  </si>
  <si>
    <t>100% Detailed Design (Including BOQs)</t>
  </si>
  <si>
    <t>Masterplan - Hotel</t>
  </si>
  <si>
    <t>Landscape - Hotel</t>
  </si>
  <si>
    <t>VO With Cracknell</t>
  </si>
  <si>
    <t>Roshdy</t>
  </si>
  <si>
    <t>Interior - Hotel</t>
  </si>
  <si>
    <t>Authorities Issuance - Hotel</t>
  </si>
  <si>
    <t>Master Plan - Boomerang</t>
  </si>
  <si>
    <t>Internation Consultant</t>
  </si>
  <si>
    <t>100% Conceptt</t>
  </si>
  <si>
    <t xml:space="preserve">Launch Material </t>
  </si>
  <si>
    <t>Landscape  - Boomerang</t>
  </si>
  <si>
    <t>Kickoff</t>
  </si>
  <si>
    <t>50% Schematic Deisgn</t>
  </si>
  <si>
    <t xml:space="preserve">HAP REVIEW  /  Cost Verification </t>
  </si>
  <si>
    <t>Buildings - Boomerang</t>
  </si>
  <si>
    <t>Launch Materials</t>
  </si>
  <si>
    <t>50% Schemtic Design (Arch)</t>
  </si>
  <si>
    <t>50% Schemtic Design (STR &amp; MEP)</t>
  </si>
  <si>
    <t>Interior - Boomerang</t>
  </si>
  <si>
    <t>Signle Source to KH Studio</t>
  </si>
  <si>
    <t>Projects TRACKER Refresh</t>
  </si>
  <si>
    <t xml:space="preserve">Hassan Allam Properties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</si>
</sst>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m\-yyyy"/>
    <numFmt numFmtId="165" formatCode="0;[Red]\-0"/>
    <numFmt numFmtId="166" formatCode="yyyy\-mm\-dd\ h:mm:ss"/>
  </numFmts>
  <fonts count="11" x14ac:knownFonts="1">
    <font>
      <sz val="11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555555"/>
      <name val="Arial"/>
      <family val="2"/>
    </font>
    <font>
      <b/>
      <sz val="9"/>
      <color rgb="FFFFFFFF"/>
      <name val="Arial"/>
      <family val="2"/>
    </font>
    <font>
      <sz val="9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26"/>
      <color rgb="FFFFFFFF"/>
      <name val="Lato"/>
      <family val="2"/>
    </font>
    <font>
      <u/>
      <sz val="10"/>
      <color theme="10"/>
      <name val="Arial"/>
      <family val="2"/>
    </font>
    <font>
      <b/>
      <sz val="10"/>
      <color rgb="FFFFFFFF"/>
      <name val="Lato"/>
      <family val="2"/>
    </font>
    <font>
      <i/>
      <sz val="9"/>
      <color rgb="FF6E7FA3"/>
      <name val="Lato"/>
      <family val="2"/>
    </font>
  </fonts>
  <fills count="7">
    <fill>
      <patternFill patternType="none"/>
    </fill>
    <fill>
      <patternFill patternType="gray125"/>
    </fill>
    <fill>
      <patternFill patternType="solid">
        <fgColor rgb="FF1F3A5F"/>
        <bgColor rgb="FF223A5E"/>
      </patternFill>
    </fill>
    <fill>
      <patternFill patternType="solid">
        <fgColor rgb="FF2E6DA4"/>
        <bgColor rgb="FF4F81BD"/>
      </patternFill>
    </fill>
    <fill>
      <patternFill patternType="solid">
        <fgColor rgb="FF0B1B3A"/>
        <bgColor indexed="64"/>
      </patternFill>
    </fill>
    <fill>
      <patternFill patternType="solid">
        <fgColor rgb="FFC9A227"/>
        <bgColor indexed="64"/>
      </patternFill>
    </fill>
    <fill>
      <patternFill patternType="solid">
        <fgColor rgb="FF142A52"/>
        <bgColor indexed="64"/>
      </patternFill>
    </fill>
  </fills>
  <borders count="4">
    <border>
      <left/>
      <right/>
      <top/>
      <bottom/>
      <diagonal/>
    </border>
    <border>
      <left style="thin">
        <color rgb="FFD0D7DE"/>
      </left>
      <right style="thin">
        <color rgb="FFD0D7DE"/>
      </right>
      <top style="thin">
        <color rgb="FFD0D7DE"/>
      </top>
      <bottom style="thin">
        <color rgb="FFD0D7DE"/>
      </bottom>
      <diagonal/>
    </border>
    <border>
      <left style="thin">
        <color rgb="FF22407A"/>
      </left>
      <right/>
      <top style="thin">
        <color rgb="FF22407A"/>
      </top>
      <bottom style="medium">
        <color rgb="FFC9A227"/>
      </bottom>
      <diagonal/>
    </border>
    <border>
      <left/>
      <right style="thin">
        <color rgb="FF22407A"/>
      </right>
      <top style="thin">
        <color rgb="FF22407A"/>
      </top>
      <bottom style="medium">
        <color rgb="FFC9A227"/>
      </bottom>
      <diagonal/>
    </border>
  </borders>
  <cellStyleXfs count="4">
    <xf numFmtId="0" fontId="0" fillId="0" borderId="0"/>
    <xf numFmtId="0" fontId="5" fillId="0" borderId="0"/>
    <xf numFmtId="0" fontId="6" fillId="0" borderId="0"/>
    <xf numFmtId="0" fontId="8" fillId="0" borderId="0" applyNumberFormat="0" applyFill="0" applyBorder="0" applyAlignment="0" applyProtection="0"/>
  </cellStyleXfs>
  <cellXfs count="24">
    <xf numFmtId="0" fontId="0" fillId="0" borderId="0" xfId="0"/>
    <xf numFmtId="0" fontId="3" fillId="3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left" vertical="center"/>
    </xf>
    <xf numFmtId="165" fontId="4" fillId="0" borderId="1" xfId="0" applyNumberFormat="1" applyFont="1" applyBorder="1" applyAlignment="1">
      <alignment horizontal="center" vertical="center"/>
    </xf>
    <xf numFmtId="1" fontId="4" fillId="0" borderId="1" xfId="0" applyNumberFormat="1" applyFont="1" applyBorder="1" applyAlignment="1">
      <alignment horizontal="center" vertical="center"/>
    </xf>
    <xf numFmtId="166" fontId="4" fillId="0" borderId="1" xfId="0" applyNumberFormat="1" applyFont="1" applyBorder="1" applyAlignment="1">
      <alignment horizontal="left" vertical="center" wrapText="1"/>
    </xf>
    <xf numFmtId="164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0" fontId="1" fillId="2" borderId="0" xfId="0" applyFont="1" applyFill="1" applyAlignment="1">
      <alignment horizontal="center" vertical="center"/>
    </xf>
    <xf numFmtId="0" fontId="5" fillId="4" borderId="0" xfId="1" applyFill="1"/>
    <xf numFmtId="0" fontId="5" fillId="0" borderId="0" xfId="1"/>
    <xf numFmtId="0" fontId="6" fillId="0" borderId="0" xfId="2" applyAlignment="1">
      <alignment wrapText="1"/>
    </xf>
    <xf numFmtId="0" fontId="5" fillId="5" borderId="0" xfId="1" applyFill="1"/>
    <xf numFmtId="0" fontId="2" fillId="0" borderId="0" xfId="0" applyFont="1"/>
    <xf numFmtId="0" fontId="0" fillId="0" borderId="0" xfId="0"/>
    <xf numFmtId="0" fontId="10" fillId="4" borderId="0" xfId="1" applyFont="1" applyFill="1" applyAlignment="1">
      <alignment horizontal="center" vertical="center"/>
    </xf>
    <xf numFmtId="0" fontId="5" fillId="4" borderId="0" xfId="1" applyFill="1"/>
    <xf numFmtId="0" fontId="7" fillId="4" borderId="0" xfId="1" applyFont="1" applyFill="1" applyAlignment="1">
      <alignment horizontal="center" vertical="center"/>
    </xf>
    <xf numFmtId="0" fontId="9" fillId="6" borderId="2" xfId="3" applyFont="1" applyFill="1" applyBorder="1" applyAlignment="1">
      <alignment horizontal="center" vertical="center"/>
    </xf>
    <xf numFmtId="0" fontId="9" fillId="6" borderId="3" xfId="1" applyFont="1" applyFill="1" applyBorder="1" applyAlignment="1">
      <alignment horizontal="center" vertical="center"/>
    </xf>
  </cellXfs>
  <cellStyles count="4">
    <cellStyle name="Hyperlink" xfId="3" builtinId="8"/>
    <cellStyle name="Normal" xfId="0" builtinId="0"/>
    <cellStyle name="Normal 2" xfId="1" xr:uid="{6C9BCF7F-3C15-46B3-A1FB-654E157CABA9}"/>
    <cellStyle name="Normal 5" xfId="2" xr:uid="{E0C64C13-FA63-4813-9AEA-408A20B8E768}"/>
  </cellStyles>
  <dxfs count="334"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843C0C"/>
      </font>
      <fill>
        <patternFill patternType="solid">
          <fgColor indexed="64"/>
          <bgColor rgb="FFF4B183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b/>
        <sz val="9"/>
        <color rgb="FFC62828"/>
        <name val="Arial"/>
        <charset val="1"/>
      </font>
      <fill>
        <patternFill>
          <bgColor rgb="FFF6C9C9"/>
        </patternFill>
      </fill>
    </dxf>
    <dxf>
      <font>
        <b/>
        <sz val="9"/>
        <color rgb="FFB26A00"/>
        <name val="Arial"/>
        <charset val="1"/>
      </font>
      <fill>
        <patternFill>
          <bgColor rgb="FFFFE7A8"/>
        </patternFill>
      </fill>
    </dxf>
    <dxf>
      <font>
        <b/>
        <sz val="9"/>
        <color rgb="FF2E7D32"/>
        <name val="Arial"/>
        <charset val="1"/>
      </font>
      <fill>
        <patternFill>
          <bgColor rgb="FFC8E6C9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843C0C"/>
      </font>
      <fill>
        <patternFill patternType="solid">
          <fgColor indexed="64"/>
          <bgColor rgb="FFF4B183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b/>
        <sz val="9"/>
        <color rgb="FFC62828"/>
        <name val="Arial"/>
        <charset val="1"/>
      </font>
      <fill>
        <patternFill>
          <bgColor rgb="FFF6C9C9"/>
        </patternFill>
      </fill>
    </dxf>
    <dxf>
      <font>
        <b/>
        <sz val="9"/>
        <color rgb="FFB26A00"/>
        <name val="Arial"/>
        <charset val="1"/>
      </font>
      <fill>
        <patternFill>
          <bgColor rgb="FFFFE7A8"/>
        </patternFill>
      </fill>
    </dxf>
    <dxf>
      <font>
        <b/>
        <sz val="9"/>
        <color rgb="FF2E7D32"/>
        <name val="Arial"/>
        <charset val="1"/>
      </font>
      <fill>
        <patternFill>
          <bgColor rgb="FFC8E6C9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843C0C"/>
      </font>
      <fill>
        <patternFill patternType="solid">
          <fgColor indexed="64"/>
          <bgColor rgb="FFF4B183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b/>
        <sz val="9"/>
        <color rgb="FFC62828"/>
        <name val="Arial"/>
        <charset val="1"/>
      </font>
      <fill>
        <patternFill>
          <bgColor rgb="FFF6C9C9"/>
        </patternFill>
      </fill>
    </dxf>
    <dxf>
      <font>
        <b/>
        <sz val="9"/>
        <color rgb="FFB26A00"/>
        <name val="Arial"/>
        <charset val="1"/>
      </font>
      <fill>
        <patternFill>
          <bgColor rgb="FFFFE7A8"/>
        </patternFill>
      </fill>
    </dxf>
    <dxf>
      <font>
        <b/>
        <sz val="9"/>
        <color rgb="FF2E7D32"/>
        <name val="Arial"/>
        <charset val="1"/>
      </font>
      <fill>
        <patternFill>
          <bgColor rgb="FFC8E6C9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843C0C"/>
      </font>
      <fill>
        <patternFill patternType="solid">
          <fgColor indexed="64"/>
          <bgColor rgb="FFF4B183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b/>
        <sz val="9"/>
        <color rgb="FFC62828"/>
        <name val="Arial"/>
        <charset val="1"/>
      </font>
      <fill>
        <patternFill>
          <bgColor rgb="FFF6C9C9"/>
        </patternFill>
      </fill>
    </dxf>
    <dxf>
      <font>
        <b/>
        <sz val="9"/>
        <color rgb="FFB26A00"/>
        <name val="Arial"/>
        <charset val="1"/>
      </font>
      <fill>
        <patternFill>
          <bgColor rgb="FFFFE7A8"/>
        </patternFill>
      </fill>
    </dxf>
    <dxf>
      <font>
        <b/>
        <sz val="9"/>
        <color rgb="FF2E7D32"/>
        <name val="Arial"/>
        <charset val="1"/>
      </font>
      <fill>
        <patternFill>
          <bgColor rgb="FFC8E6C9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843C0C"/>
      </font>
      <fill>
        <patternFill patternType="solid">
          <fgColor indexed="64"/>
          <bgColor rgb="FFF4B183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b/>
        <sz val="9"/>
        <color rgb="FFC62828"/>
        <name val="Arial"/>
        <charset val="1"/>
      </font>
      <fill>
        <patternFill>
          <bgColor rgb="FFF6C9C9"/>
        </patternFill>
      </fill>
    </dxf>
    <dxf>
      <font>
        <b/>
        <sz val="9"/>
        <color rgb="FFB26A00"/>
        <name val="Arial"/>
        <charset val="1"/>
      </font>
      <fill>
        <patternFill>
          <bgColor rgb="FFFFE7A8"/>
        </patternFill>
      </fill>
    </dxf>
    <dxf>
      <font>
        <b/>
        <sz val="9"/>
        <color rgb="FF2E7D32"/>
        <name val="Arial"/>
        <charset val="1"/>
      </font>
      <fill>
        <patternFill>
          <bgColor rgb="FFC8E6C9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843C0C"/>
      </font>
      <fill>
        <patternFill patternType="solid">
          <fgColor indexed="64"/>
          <bgColor rgb="FFF4B183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b/>
        <sz val="9"/>
        <color rgb="FFC62828"/>
        <name val="Arial"/>
        <charset val="1"/>
      </font>
      <fill>
        <patternFill>
          <bgColor rgb="FFF6C9C9"/>
        </patternFill>
      </fill>
    </dxf>
    <dxf>
      <font>
        <b/>
        <sz val="9"/>
        <color rgb="FFB26A00"/>
        <name val="Arial"/>
        <charset val="1"/>
      </font>
      <fill>
        <patternFill>
          <bgColor rgb="FFFFE7A8"/>
        </patternFill>
      </fill>
    </dxf>
    <dxf>
      <font>
        <b/>
        <sz val="9"/>
        <color rgb="FF2E7D32"/>
        <name val="Arial"/>
        <charset val="1"/>
      </font>
      <fill>
        <patternFill>
          <bgColor rgb="FFC8E6C9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843C0C"/>
      </font>
      <fill>
        <patternFill patternType="solid">
          <fgColor indexed="64"/>
          <bgColor rgb="FFF4B183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b/>
        <sz val="9"/>
        <color rgb="FFC62828"/>
        <name val="Arial"/>
        <charset val="1"/>
      </font>
      <fill>
        <patternFill>
          <bgColor rgb="FFF6C9C9"/>
        </patternFill>
      </fill>
    </dxf>
    <dxf>
      <font>
        <b/>
        <sz val="9"/>
        <color rgb="FFB26A00"/>
        <name val="Arial"/>
        <charset val="1"/>
      </font>
      <fill>
        <patternFill>
          <bgColor rgb="FFFFE7A8"/>
        </patternFill>
      </fill>
    </dxf>
    <dxf>
      <font>
        <b/>
        <sz val="9"/>
        <color rgb="FF2E7D32"/>
        <name val="Arial"/>
        <charset val="1"/>
      </font>
      <fill>
        <patternFill>
          <bgColor rgb="FFC8E6C9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843C0C"/>
      </font>
      <fill>
        <patternFill patternType="solid">
          <fgColor indexed="64"/>
          <bgColor rgb="FFF4B183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b/>
        <sz val="9"/>
        <color rgb="FFC62828"/>
        <name val="Arial"/>
        <charset val="1"/>
      </font>
      <fill>
        <patternFill>
          <bgColor rgb="FFF6C9C9"/>
        </patternFill>
      </fill>
    </dxf>
    <dxf>
      <font>
        <b/>
        <sz val="9"/>
        <color rgb="FFB26A00"/>
        <name val="Arial"/>
        <charset val="1"/>
      </font>
      <fill>
        <patternFill>
          <bgColor rgb="FFFFE7A8"/>
        </patternFill>
      </fill>
    </dxf>
    <dxf>
      <font>
        <b/>
        <sz val="9"/>
        <color rgb="FF2E7D32"/>
        <name val="Arial"/>
        <charset val="1"/>
      </font>
      <fill>
        <patternFill>
          <bgColor rgb="FFC8E6C9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843C0C"/>
      </font>
      <fill>
        <patternFill patternType="solid">
          <fgColor indexed="64"/>
          <bgColor rgb="FFF4B183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b/>
        <sz val="9"/>
        <color rgb="FFC62828"/>
        <name val="Arial"/>
        <charset val="1"/>
      </font>
      <fill>
        <patternFill>
          <bgColor rgb="FFF6C9C9"/>
        </patternFill>
      </fill>
    </dxf>
    <dxf>
      <font>
        <b/>
        <sz val="9"/>
        <color rgb="FFB26A00"/>
        <name val="Arial"/>
        <charset val="1"/>
      </font>
      <fill>
        <patternFill>
          <bgColor rgb="FFFFE7A8"/>
        </patternFill>
      </fill>
    </dxf>
    <dxf>
      <font>
        <b/>
        <sz val="9"/>
        <color rgb="FF2E7D32"/>
        <name val="Arial"/>
        <charset val="1"/>
      </font>
      <fill>
        <patternFill>
          <bgColor rgb="FFC8E6C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174173</xdr:colOff>
      <xdr:row>0</xdr:row>
      <xdr:rowOff>87085</xdr:rowOff>
    </xdr:from>
    <xdr:to>
      <xdr:col>18</xdr:col>
      <xdr:colOff>294732</xdr:colOff>
      <xdr:row>11</xdr:row>
      <xdr:rowOff>128463</xdr:rowOff>
    </xdr:to>
    <xdr:pic>
      <xdr:nvPicPr>
        <xdr:cNvPr id="2" name="Picture 1" descr="Hassan Allam Properties - Pioneer Property">
          <a:extLst>
            <a:ext uri="{FF2B5EF4-FFF2-40B4-BE49-F238E27FC236}">
              <a16:creationId xmlns:a16="http://schemas.microsoft.com/office/drawing/2014/main" id="{EDA27948-989E-4ADA-A9F8-6294F83B5F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18563" y="88990"/>
          <a:ext cx="5995579" cy="25331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32657</xdr:colOff>
      <xdr:row>18</xdr:row>
      <xdr:rowOff>54427</xdr:rowOff>
    </xdr:from>
    <xdr:to>
      <xdr:col>7</xdr:col>
      <xdr:colOff>685800</xdr:colOff>
      <xdr:row>18</xdr:row>
      <xdr:rowOff>293913</xdr:rowOff>
    </xdr:to>
    <xdr:sp macro="[0]!RefreshAllData" textlink="">
      <xdr:nvSpPr>
        <xdr:cNvPr id="4" name="TextBox 3">
          <a:extLst>
            <a:ext uri="{FF2B5EF4-FFF2-40B4-BE49-F238E27FC236}">
              <a16:creationId xmlns:a16="http://schemas.microsoft.com/office/drawing/2014/main" id="{DA7F7504-1A38-4FD2-B0BB-E7408FCBF7FF}"/>
            </a:ext>
          </a:extLst>
        </xdr:cNvPr>
        <xdr:cNvSpPr txBox="1"/>
      </xdr:nvSpPr>
      <xdr:spPr>
        <a:xfrm>
          <a:off x="3974102" y="3944437"/>
          <a:ext cx="1359898" cy="233771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All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U:\10%20General\02.General%20Forms\8.11.2025.Project,%20Preliminary%20Budget.Rev.00.xlsx" TargetMode="External"/><Relationship Id="rId1" Type="http://schemas.openxmlformats.org/officeDocument/2006/relationships/externalLinkPath" Target="https://haporg-my.sharepoint.com/10%20General/02.General%20Forms/8.11.2025.Project,%20Preliminary%20Budget.Rev.00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otamamm\AppData\Local\Microsoft\Windows\INetCache\Content.Outlook\N0W2XO4U\Park%20Central%20+%20Valleys%20-%20Design%20Programme%20Dashboard%20(5).xlsx" TargetMode="External"/><Relationship Id="rId1" Type="http://schemas.openxmlformats.org/officeDocument/2006/relationships/externalLinkPath" Target="file:///C:\Users\otamamm\AppData\Local\Microsoft\Windows\INetCache\Content.Outlook\N0W2XO4U\Park%20Central%20+%20Valleys%20-%20Design%20Programme%20Dashboard%20(5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dex"/>
      <sheetName val="Schedule"/>
      <sheetName val="Budget"/>
      <sheetName val="Duration"/>
      <sheetName val="Benchmark Villas"/>
      <sheetName val="Benchmark BLDG "/>
      <sheetName val="Benchmark Basement-Com"/>
      <sheetName val="Benchmark Com. BLDG"/>
      <sheetName val="Benchmark Retail BLDG"/>
      <sheetName val="Benchmark Basement-BLDG"/>
      <sheetName val="Golf course BD"/>
      <sheetName val="Benchmark-EGP"/>
      <sheetName val="04 Cost Base"/>
      <sheetName val="DDL"/>
      <sheetName val="Public Infra (BD)"/>
      <sheetName val="8.11.2025"/>
    </sheetNames>
    <definedNames>
      <definedName name="End_Bal" refersTo="#REF!"/>
      <definedName name="Header_Row" refersTo="#REF!"/>
    </defined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ad Me"/>
      <sheetName val="East Projects Dashboard"/>
      <sheetName val="CEO Dashboard"/>
      <sheetName val="Development Dashboard"/>
      <sheetName val="Design Dashboard"/>
      <sheetName val="Consultant Load"/>
      <sheetName val="Calc"/>
      <sheetName val="Data"/>
      <sheetName val="Valleys Data"/>
    </sheetNames>
    <sheetDataSet>
      <sheetData sheetId="0" refreshError="1">
        <row r="4">
          <cell r="B4">
            <v>46187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1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4CDF0DE-2B6A-4718-9696-41142B1FD245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5678b913-01d5-469d-a7db-2167b9e57296&quot;"/>
  </we:properties>
  <we:bindings/>
  <we:snapshot xmlns:r="http://schemas.openxmlformats.org/officeDocument/2006/relationships"/>
</we:webextension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B10AB-0710-47A7-BBF6-58EA75CD921E}">
  <sheetPr codeName="Sheet10">
    <tabColor rgb="FF777777"/>
  </sheetPr>
  <dimension ref="A1:R1109"/>
  <sheetViews>
    <sheetView showGridLines="0" tabSelected="1" zoomScaleNormal="10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I9" sqref="I9"/>
    </sheetView>
  </sheetViews>
  <sheetFormatPr defaultColWidth="8.6640625" defaultRowHeight="14.4" x14ac:dyDescent="0.3"/>
  <cols>
    <col min="1" max="1" width="20" customWidth="1"/>
    <col min="2" max="2" width="17" customWidth="1"/>
    <col min="3" max="3" width="27.33203125" customWidth="1"/>
    <col min="4" max="4" width="30" customWidth="1"/>
    <col min="5" max="5" width="21.77734375" bestFit="1" customWidth="1"/>
    <col min="6" max="6" width="18" bestFit="1" customWidth="1"/>
    <col min="7" max="7" width="15.109375" bestFit="1" customWidth="1"/>
    <col min="8" max="8" width="16.77734375" customWidth="1"/>
    <col min="9" max="9" width="12" customWidth="1"/>
    <col min="10" max="11" width="8" customWidth="1"/>
    <col min="12" max="12" width="19.109375" customWidth="1"/>
    <col min="13" max="13" width="7" hidden="1" customWidth="1"/>
    <col min="14" max="14" width="26" customWidth="1"/>
    <col min="15" max="18" width="3" hidden="1" customWidth="1"/>
  </cols>
  <sheetData>
    <row r="1" spans="1:18" ht="24" customHeight="1" x14ac:dyDescent="0.3">
      <c r="A1" s="10" t="s">
        <v>660</v>
      </c>
      <c r="B1" s="10"/>
      <c r="C1" s="10"/>
      <c r="D1" s="10"/>
      <c r="E1" s="10"/>
      <c r="F1" s="10"/>
      <c r="G1" s="11">
        <f>+MAX(G4:G2000)</f>
        <v>46531</v>
      </c>
      <c r="H1" s="11">
        <f>+MAX(H4:H2000)</f>
        <v>46567</v>
      </c>
      <c r="I1" s="10"/>
      <c r="J1" s="12">
        <f t="shared" ref="J1" si="0">IF(OR($G1="",$H1=""),"",$H1-$G1)</f>
        <v>36</v>
      </c>
      <c r="K1" s="10"/>
      <c r="L1" s="10"/>
      <c r="M1" s="10"/>
      <c r="N1" s="10"/>
    </row>
    <row r="2" spans="1:18" ht="14.25" customHeight="1" x14ac:dyDescent="0.3">
      <c r="A2" s="17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8" ht="30" customHeight="1" x14ac:dyDescent="0.3">
      <c r="A3" s="1" t="s">
        <v>0</v>
      </c>
      <c r="B3" s="1" t="s">
        <v>24</v>
      </c>
      <c r="C3" s="1" t="s">
        <v>25</v>
      </c>
      <c r="D3" s="1" t="s">
        <v>26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59</v>
      </c>
      <c r="M3" s="1" t="s">
        <v>8</v>
      </c>
      <c r="N3" s="1" t="s">
        <v>9</v>
      </c>
      <c r="O3" s="1" t="s">
        <v>10</v>
      </c>
      <c r="P3" s="1" t="s">
        <v>11</v>
      </c>
      <c r="Q3" s="1" t="s">
        <v>12</v>
      </c>
      <c r="R3" s="1" t="s">
        <v>13</v>
      </c>
    </row>
    <row r="4" spans="1:18" ht="33.75" customHeight="1" x14ac:dyDescent="0.3">
      <c r="A4" s="2" t="s">
        <v>140</v>
      </c>
      <c r="B4" s="2" t="s">
        <v>140</v>
      </c>
      <c r="C4" s="3"/>
      <c r="D4" s="3"/>
      <c r="E4" s="2"/>
      <c r="F4" s="2"/>
      <c r="G4" s="5">
        <v>46265</v>
      </c>
      <c r="H4" s="5">
        <v>46301</v>
      </c>
      <c r="I4" s="2"/>
      <c r="J4" s="6">
        <f t="shared" ref="J4:J67" si="1">IF(OR($G4="",$H4=""),"",$H4-$G4)</f>
        <v>36</v>
      </c>
      <c r="K4" s="4" t="str">
        <f t="shared" ref="K4:K67" ca="1" si="2">IF(C4="","",IF(H4="","",IF($I4="completed","-",IF($H4&gt;TODAY(),"No","Yes"))))</f>
        <v/>
      </c>
      <c r="L4" s="7">
        <f ca="1">IF(I4="Completed",0,IF(H4="","",H4-TODAY()))</f>
        <v>93</v>
      </c>
      <c r="M4" s="4" t="str">
        <f>IF($I4="Complete","Green",IF($H4="","Amber",IF($H4&lt;'[2]Read Me'!$B$4,"Red",IF($H4-'[2]Read Me'!$B$4&lt;=21,"Amber","Green"))))</f>
        <v>Green</v>
      </c>
      <c r="N4" s="3"/>
      <c r="O4" t="e">
        <f>IF($I4&lt;&gt;"Complete",IF(COUNTIFS(#REF!,$A4,#REF!,$B4,#REF!,"&lt;&gt;Complete")=0,$A4&amp;"|"&amp;$B4,""),"")</f>
        <v>#REF!</v>
      </c>
      <c r="P4" t="str">
        <f ca="1">IF($K4="Yes",COUNTIFS($K$4:$K4,"Yes"),"")</f>
        <v/>
      </c>
      <c r="Q4">
        <f t="shared" ref="Q4:Q67" ca="1" si="3">IF(OR($I4="In Progress",$K4="Yes"),1,0)</f>
        <v>0</v>
      </c>
      <c r="R4" t="str">
        <f ca="1">IF($Q4=1,SUM($Q$4:$Q4),"")</f>
        <v/>
      </c>
    </row>
    <row r="5" spans="1:18" ht="33.75" customHeight="1" x14ac:dyDescent="0.3">
      <c r="A5" s="2" t="s">
        <v>140</v>
      </c>
      <c r="B5" s="2" t="s">
        <v>140</v>
      </c>
      <c r="C5" s="3" t="s">
        <v>661</v>
      </c>
      <c r="D5" s="3" t="s">
        <v>662</v>
      </c>
      <c r="E5" s="2" t="s">
        <v>663</v>
      </c>
      <c r="F5" s="2" t="s">
        <v>664</v>
      </c>
      <c r="G5" s="5">
        <v>46111</v>
      </c>
      <c r="H5" s="5">
        <v>46111</v>
      </c>
      <c r="I5" s="2" t="s">
        <v>31</v>
      </c>
      <c r="J5" s="6">
        <f t="shared" si="1"/>
        <v>0</v>
      </c>
      <c r="K5" s="4" t="str">
        <f t="shared" ca="1" si="2"/>
        <v>-</v>
      </c>
      <c r="L5" s="7">
        <f t="shared" ref="L5:L68" ca="1" si="4">IF(I5="Completed",0,IF(H5="","",H5-TODAY()))</f>
        <v>0</v>
      </c>
      <c r="M5" s="4" t="str">
        <f>IF($I5="Complete","Green",IF($H5="","Amber",IF($H5&lt;'[2]Read Me'!$B$4,"Red",IF($H5-'[2]Read Me'!$B$4&lt;=21,"Amber","Green"))))</f>
        <v>Red</v>
      </c>
      <c r="N5" s="3"/>
      <c r="O5" t="str">
        <f>IF($I5&lt;&gt;"Complete",IF(COUNTIFS($A$4:$A4,$A5,$B$4:$B4,$B5,$I$4:$I4,"&lt;&gt;Complete")=0,$A5&amp;"|"&amp;$B5,""),"")</f>
        <v/>
      </c>
      <c r="P5" t="str">
        <f ca="1">IF($K5="Yes",COUNTIFS($K$4:$K5,"Yes"),"")</f>
        <v/>
      </c>
      <c r="Q5">
        <f t="shared" ca="1" si="3"/>
        <v>0</v>
      </c>
      <c r="R5" t="str">
        <f ca="1">IF($Q5=1,SUM($Q$4:$Q5),"")</f>
        <v/>
      </c>
    </row>
    <row r="6" spans="1:18" ht="33.75" customHeight="1" x14ac:dyDescent="0.3">
      <c r="A6" s="2" t="s">
        <v>140</v>
      </c>
      <c r="B6" s="2" t="s">
        <v>140</v>
      </c>
      <c r="C6" s="3" t="s">
        <v>661</v>
      </c>
      <c r="D6" s="3" t="s">
        <v>665</v>
      </c>
      <c r="E6" s="2" t="s">
        <v>666</v>
      </c>
      <c r="F6" s="2" t="s">
        <v>664</v>
      </c>
      <c r="G6" s="5">
        <v>46125</v>
      </c>
      <c r="H6" s="5">
        <v>46202</v>
      </c>
      <c r="I6" s="2" t="s">
        <v>31</v>
      </c>
      <c r="J6" s="6">
        <f t="shared" si="1"/>
        <v>77</v>
      </c>
      <c r="K6" s="4" t="str">
        <f t="shared" ca="1" si="2"/>
        <v>-</v>
      </c>
      <c r="L6" s="7">
        <f t="shared" ca="1" si="4"/>
        <v>0</v>
      </c>
      <c r="M6" s="4" t="str">
        <f>IF($I6="Complete","Green",IF($H6="","Amber",IF($H6&lt;'[2]Read Me'!$B$4,"Red",IF($H6-'[2]Read Me'!$B$4&lt;=21,"Amber","Green"))))</f>
        <v>Amber</v>
      </c>
      <c r="N6" s="3"/>
      <c r="O6" t="str">
        <f>IF($I6&lt;&gt;"Complete",IF(COUNTIFS($A$4:$A5,$A6,$B$4:$B5,$B6,$I$4:$I5,"&lt;&gt;Complete")=0,$A6&amp;"|"&amp;$B6,""),"")</f>
        <v/>
      </c>
      <c r="P6" t="str">
        <f ca="1">IF($K6="Yes",COUNTIFS($K$4:$K6,"Yes"),"")</f>
        <v/>
      </c>
      <c r="Q6">
        <f t="shared" ca="1" si="3"/>
        <v>0</v>
      </c>
      <c r="R6" t="str">
        <f ca="1">IF($Q6=1,SUM($Q$4:$Q6),"")</f>
        <v/>
      </c>
    </row>
    <row r="7" spans="1:18" ht="33.75" customHeight="1" x14ac:dyDescent="0.3">
      <c r="A7" s="2" t="s">
        <v>140</v>
      </c>
      <c r="B7" s="2" t="s">
        <v>140</v>
      </c>
      <c r="C7" s="3" t="s">
        <v>661</v>
      </c>
      <c r="D7" s="3" t="s">
        <v>667</v>
      </c>
      <c r="E7" s="2" t="s">
        <v>663</v>
      </c>
      <c r="F7" s="2" t="s">
        <v>664</v>
      </c>
      <c r="G7" s="5">
        <v>46153</v>
      </c>
      <c r="H7" s="5">
        <v>46184</v>
      </c>
      <c r="I7" s="2" t="s">
        <v>31</v>
      </c>
      <c r="J7" s="6">
        <f t="shared" si="1"/>
        <v>31</v>
      </c>
      <c r="K7" s="4" t="str">
        <f t="shared" ca="1" si="2"/>
        <v>-</v>
      </c>
      <c r="L7" s="7">
        <f t="shared" ca="1" si="4"/>
        <v>0</v>
      </c>
      <c r="M7" s="4" t="str">
        <f>IF($I7="Complete","Green",IF($H7="","Amber",IF($H7&lt;'[2]Read Me'!$B$4,"Red",IF($H7-'[2]Read Me'!$B$4&lt;=21,"Amber","Green"))))</f>
        <v>Red</v>
      </c>
      <c r="N7" s="3"/>
      <c r="O7" t="str">
        <f>IF($I7&lt;&gt;"Complete",IF(COUNTIFS($A$4:$A6,$A7,$B$4:$B6,$B7,$I$4:$I6,"&lt;&gt;Complete")=0,$A7&amp;"|"&amp;$B7,""),"")</f>
        <v/>
      </c>
      <c r="P7" t="str">
        <f ca="1">IF($K7="Yes",COUNTIFS($K$4:$K7,"Yes"),"")</f>
        <v/>
      </c>
      <c r="Q7">
        <f t="shared" ca="1" si="3"/>
        <v>0</v>
      </c>
      <c r="R7" t="str">
        <f ca="1">IF($Q7=1,SUM($Q$4:$Q7),"")</f>
        <v/>
      </c>
    </row>
    <row r="8" spans="1:18" ht="33.75" customHeight="1" x14ac:dyDescent="0.3">
      <c r="A8" s="2" t="s">
        <v>140</v>
      </c>
      <c r="B8" s="2" t="s">
        <v>140</v>
      </c>
      <c r="C8" s="3" t="s">
        <v>661</v>
      </c>
      <c r="D8" s="3" t="s">
        <v>668</v>
      </c>
      <c r="E8" s="2" t="s">
        <v>663</v>
      </c>
      <c r="F8" s="2" t="s">
        <v>664</v>
      </c>
      <c r="G8" s="5">
        <v>46153</v>
      </c>
      <c r="H8" s="5">
        <v>46153</v>
      </c>
      <c r="I8" s="2" t="s">
        <v>31</v>
      </c>
      <c r="J8" s="6">
        <f t="shared" si="1"/>
        <v>0</v>
      </c>
      <c r="K8" s="4" t="str">
        <f t="shared" ca="1" si="2"/>
        <v>-</v>
      </c>
      <c r="L8" s="7">
        <f t="shared" ca="1" si="4"/>
        <v>0</v>
      </c>
      <c r="M8" s="4" t="str">
        <f>IF($I8="Complete","Green",IF($H8="","Amber",IF($H8&lt;'[2]Read Me'!$B$4,"Red",IF($H8-'[2]Read Me'!$B$4&lt;=21,"Amber","Green"))))</f>
        <v>Red</v>
      </c>
      <c r="N8" s="3"/>
      <c r="O8" t="str">
        <f>IF($I8&lt;&gt;"Complete",IF(COUNTIFS($A$4:$A7,$A8,$B$4:$B7,$B8,$I$4:$I7,"&lt;&gt;Complete")=0,$A8&amp;"|"&amp;$B8,""),"")</f>
        <v/>
      </c>
      <c r="P8" t="str">
        <f ca="1">IF($K8="Yes",COUNTIFS($K$4:$K8,"Yes"),"")</f>
        <v/>
      </c>
      <c r="Q8">
        <f t="shared" ca="1" si="3"/>
        <v>0</v>
      </c>
      <c r="R8" t="str">
        <f ca="1">IF($Q8=1,SUM($Q$4:$Q8),"")</f>
        <v/>
      </c>
    </row>
    <row r="9" spans="1:18" ht="33.75" customHeight="1" x14ac:dyDescent="0.3">
      <c r="A9" s="2" t="s">
        <v>140</v>
      </c>
      <c r="B9" s="2" t="s">
        <v>140</v>
      </c>
      <c r="C9" s="3" t="s">
        <v>661</v>
      </c>
      <c r="D9" s="3" t="s">
        <v>32</v>
      </c>
      <c r="E9" s="2" t="s">
        <v>663</v>
      </c>
      <c r="F9" s="2" t="s">
        <v>265</v>
      </c>
      <c r="G9" s="5">
        <v>46167</v>
      </c>
      <c r="H9" s="5">
        <v>46203</v>
      </c>
      <c r="I9" s="2" t="s">
        <v>46</v>
      </c>
      <c r="J9" s="6">
        <f t="shared" si="1"/>
        <v>36</v>
      </c>
      <c r="K9" s="4" t="str">
        <f t="shared" ca="1" si="2"/>
        <v>Yes</v>
      </c>
      <c r="L9" s="7">
        <f t="shared" ca="1" si="4"/>
        <v>-5</v>
      </c>
      <c r="M9" s="4" t="str">
        <f>IF($I9="Complete","Green",IF($H9="","Amber",IF($H9&lt;'[2]Read Me'!$B$4,"Red",IF($H9-'[2]Read Me'!$B$4&lt;=21,"Amber","Green"))))</f>
        <v>Amber</v>
      </c>
      <c r="N9" s="3"/>
      <c r="O9" t="str">
        <f>IF($I9&lt;&gt;"Complete",IF(COUNTIFS($A$4:$A8,$A9,$B$4:$B8,$B9,$I$4:$I8,"&lt;&gt;Complete")=0,$A9&amp;"|"&amp;$B9,""),"")</f>
        <v/>
      </c>
      <c r="P9">
        <f ca="1">IF($K9="Yes",COUNTIFS($K$4:$K9,"Yes"),"")</f>
        <v>1</v>
      </c>
      <c r="Q9">
        <f t="shared" ca="1" si="3"/>
        <v>1</v>
      </c>
      <c r="R9">
        <f ca="1">IF($Q9=1,SUM($Q$4:$Q9),"")</f>
        <v>1</v>
      </c>
    </row>
    <row r="10" spans="1:18" ht="33.75" customHeight="1" x14ac:dyDescent="0.3">
      <c r="A10" s="2" t="s">
        <v>140</v>
      </c>
      <c r="B10" s="2" t="s">
        <v>140</v>
      </c>
      <c r="C10" s="3" t="s">
        <v>661</v>
      </c>
      <c r="D10" s="3" t="s">
        <v>15</v>
      </c>
      <c r="E10" s="2" t="s">
        <v>663</v>
      </c>
      <c r="F10" s="2" t="s">
        <v>664</v>
      </c>
      <c r="G10" s="5">
        <v>46223</v>
      </c>
      <c r="H10" s="5">
        <v>46252</v>
      </c>
      <c r="I10" s="2" t="s">
        <v>17</v>
      </c>
      <c r="J10" s="6">
        <f t="shared" si="1"/>
        <v>29</v>
      </c>
      <c r="K10" s="4" t="str">
        <f t="shared" ca="1" si="2"/>
        <v>No</v>
      </c>
      <c r="L10" s="7">
        <f t="shared" ca="1" si="4"/>
        <v>44</v>
      </c>
      <c r="M10" s="4" t="str">
        <f>IF($I10="Complete","Green",IF($H10="","Amber",IF($H10&lt;'[2]Read Me'!$B$4,"Red",IF($H10-'[2]Read Me'!$B$4&lt;=21,"Amber","Green"))))</f>
        <v>Green</v>
      </c>
      <c r="N10" s="3"/>
      <c r="O10" t="str">
        <f>IF($I10&lt;&gt;"Complete",IF(COUNTIFS($A$4:$A9,$A10,$B$4:$B9,$B10,$I$4:$I9,"&lt;&gt;Complete")=0,$A10&amp;"|"&amp;$B10,""),"")</f>
        <v/>
      </c>
      <c r="P10" t="str">
        <f ca="1">IF($K10="Yes",COUNTIFS($K$4:$K10,"Yes"),"")</f>
        <v/>
      </c>
      <c r="Q10">
        <f t="shared" ca="1" si="3"/>
        <v>0</v>
      </c>
      <c r="R10" t="str">
        <f ca="1">IF($Q10=1,SUM($Q$4:$Q10),"")</f>
        <v/>
      </c>
    </row>
    <row r="11" spans="1:18" ht="33.75" customHeight="1" x14ac:dyDescent="0.3">
      <c r="A11" s="2" t="s">
        <v>140</v>
      </c>
      <c r="B11" s="2" t="s">
        <v>140</v>
      </c>
      <c r="C11" s="3" t="s">
        <v>661</v>
      </c>
      <c r="D11" s="3" t="s">
        <v>35</v>
      </c>
      <c r="E11" s="2" t="s">
        <v>663</v>
      </c>
      <c r="F11" s="2" t="s">
        <v>265</v>
      </c>
      <c r="G11" s="5">
        <v>46237</v>
      </c>
      <c r="H11" s="5">
        <v>46259</v>
      </c>
      <c r="I11" s="2" t="s">
        <v>17</v>
      </c>
      <c r="J11" s="6">
        <f t="shared" si="1"/>
        <v>22</v>
      </c>
      <c r="K11" s="4" t="str">
        <f t="shared" ca="1" si="2"/>
        <v>No</v>
      </c>
      <c r="L11" s="7">
        <f t="shared" ca="1" si="4"/>
        <v>51</v>
      </c>
      <c r="M11" s="4" t="str">
        <f>IF($I11="Complete","Green",IF($H11="","Amber",IF($H11&lt;'[2]Read Me'!$B$4,"Red",IF($H11-'[2]Read Me'!$B$4&lt;=21,"Amber","Green"))))</f>
        <v>Green</v>
      </c>
      <c r="N11" s="3"/>
      <c r="O11" t="str">
        <f>IF($I11&lt;&gt;"Complete",IF(COUNTIFS($A$4:$A10,$A11,$B$4:$B10,$B11,$I$4:$I10,"&lt;&gt;Complete")=0,$A11&amp;"|"&amp;$B11,""),"")</f>
        <v/>
      </c>
      <c r="P11" t="str">
        <f ca="1">IF($K11="Yes",COUNTIFS($K$4:$K11,"Yes"),"")</f>
        <v/>
      </c>
      <c r="Q11">
        <f t="shared" ca="1" si="3"/>
        <v>0</v>
      </c>
      <c r="R11" t="str">
        <f ca="1">IF($Q11=1,SUM($Q$4:$Q11),"")</f>
        <v/>
      </c>
    </row>
    <row r="12" spans="1:18" ht="33.75" customHeight="1" x14ac:dyDescent="0.3">
      <c r="A12" s="2" t="s">
        <v>140</v>
      </c>
      <c r="B12" s="2" t="s">
        <v>140</v>
      </c>
      <c r="C12" s="3" t="s">
        <v>661</v>
      </c>
      <c r="D12" s="3" t="s">
        <v>16</v>
      </c>
      <c r="E12" s="2" t="s">
        <v>663</v>
      </c>
      <c r="F12" s="2" t="s">
        <v>664</v>
      </c>
      <c r="G12" s="5">
        <v>46251</v>
      </c>
      <c r="H12" s="5">
        <v>46292</v>
      </c>
      <c r="I12" s="2" t="s">
        <v>17</v>
      </c>
      <c r="J12" s="6">
        <f t="shared" si="1"/>
        <v>41</v>
      </c>
      <c r="K12" s="4" t="str">
        <f t="shared" ca="1" si="2"/>
        <v>No</v>
      </c>
      <c r="L12" s="7">
        <f t="shared" ca="1" si="4"/>
        <v>84</v>
      </c>
      <c r="M12" s="4" t="str">
        <f>IF($I12="Complete","Green",IF($H12="","Amber",IF($H12&lt;'[2]Read Me'!$B$4,"Red",IF($H12-'[2]Read Me'!$B$4&lt;=21,"Amber","Green"))))</f>
        <v>Green</v>
      </c>
      <c r="N12" s="3"/>
      <c r="O12" t="str">
        <f>IF($I12&lt;&gt;"Complete",IF(COUNTIFS($A$4:$A11,$A12,$B$4:$B11,$B12,$I$4:$I11,"&lt;&gt;Complete")=0,$A12&amp;"|"&amp;$B12,""),"")</f>
        <v/>
      </c>
      <c r="P12" t="str">
        <f ca="1">IF($K12="Yes",COUNTIFS($K$4:$K12,"Yes"),"")</f>
        <v/>
      </c>
      <c r="Q12">
        <f t="shared" ca="1" si="3"/>
        <v>0</v>
      </c>
      <c r="R12" t="str">
        <f ca="1">IF($Q12=1,SUM($Q$4:$Q12),"")</f>
        <v/>
      </c>
    </row>
    <row r="13" spans="1:18" ht="33.75" customHeight="1" x14ac:dyDescent="0.3">
      <c r="A13" s="2" t="s">
        <v>140</v>
      </c>
      <c r="B13" s="2" t="s">
        <v>140</v>
      </c>
      <c r="C13" s="3" t="s">
        <v>661</v>
      </c>
      <c r="D13" s="3" t="s">
        <v>37</v>
      </c>
      <c r="E13" s="2" t="s">
        <v>663</v>
      </c>
      <c r="F13" s="2" t="s">
        <v>265</v>
      </c>
      <c r="G13" s="5">
        <v>46265</v>
      </c>
      <c r="H13" s="5">
        <v>46301</v>
      </c>
      <c r="I13" s="2" t="s">
        <v>17</v>
      </c>
      <c r="J13" s="6">
        <f t="shared" si="1"/>
        <v>36</v>
      </c>
      <c r="K13" s="4" t="str">
        <f t="shared" ca="1" si="2"/>
        <v>No</v>
      </c>
      <c r="L13" s="7">
        <f t="shared" ca="1" si="4"/>
        <v>93</v>
      </c>
      <c r="M13" s="4" t="str">
        <f>IF($I13="Complete","Green",IF($H13="","Amber",IF($H13&lt;'[2]Read Me'!$B$4,"Red",IF($H13-'[2]Read Me'!$B$4&lt;=21,"Amber","Green"))))</f>
        <v>Green</v>
      </c>
      <c r="N13" s="3"/>
      <c r="O13" t="str">
        <f>IF($I13&lt;&gt;"Complete",IF(COUNTIFS($A$4:$A12,$A13,$B$4:$B12,$B13,$I$4:$I12,"&lt;&gt;Complete")=0,$A13&amp;"|"&amp;$B13,""),"")</f>
        <v/>
      </c>
      <c r="P13" t="str">
        <f ca="1">IF($K13="Yes",COUNTIFS($K$4:$K13,"Yes"),"")</f>
        <v/>
      </c>
      <c r="Q13">
        <f t="shared" ca="1" si="3"/>
        <v>0</v>
      </c>
      <c r="R13" t="str">
        <f ca="1">IF($Q13=1,SUM($Q$4:$Q13),"")</f>
        <v/>
      </c>
    </row>
    <row r="14" spans="1:18" ht="33.75" customHeight="1" x14ac:dyDescent="0.3">
      <c r="A14" s="2" t="s">
        <v>171</v>
      </c>
      <c r="B14" s="2" t="s">
        <v>171</v>
      </c>
      <c r="C14" s="3"/>
      <c r="D14" s="3"/>
      <c r="E14" s="2"/>
      <c r="F14" s="2"/>
      <c r="G14" s="5">
        <v>46265</v>
      </c>
      <c r="H14" s="5">
        <v>46297</v>
      </c>
      <c r="I14" s="2"/>
      <c r="J14" s="6">
        <f t="shared" si="1"/>
        <v>32</v>
      </c>
      <c r="K14" s="4" t="str">
        <f t="shared" ca="1" si="2"/>
        <v/>
      </c>
      <c r="L14" s="7">
        <f t="shared" ca="1" si="4"/>
        <v>89</v>
      </c>
      <c r="M14" s="4" t="str">
        <f>IF($I14="Complete","Green",IF($H14="","Amber",IF($H14&lt;'[2]Read Me'!$B$4,"Red",IF($H14-'[2]Read Me'!$B$4&lt;=21,"Amber","Green"))))</f>
        <v>Green</v>
      </c>
      <c r="N14" s="3"/>
      <c r="O14" t="str">
        <f>IF($I14&lt;&gt;"Complete",IF(COUNTIFS($A$4:$A13,$A14,$B$4:$B13,$B14,$I$4:$I13,"&lt;&gt;Complete")=0,$A14&amp;"|"&amp;$B14,""),"")</f>
        <v>Infrastructure|Infrastructure</v>
      </c>
      <c r="P14" t="str">
        <f ca="1">IF($K14="Yes",COUNTIFS($K$4:$K14,"Yes"),"")</f>
        <v/>
      </c>
      <c r="Q14">
        <f t="shared" ca="1" si="3"/>
        <v>0</v>
      </c>
      <c r="R14" t="str">
        <f ca="1">IF($Q14=1,SUM($Q$4:$Q14),"")</f>
        <v/>
      </c>
    </row>
    <row r="15" spans="1:18" ht="33.75" customHeight="1" x14ac:dyDescent="0.3">
      <c r="A15" s="2" t="s">
        <v>171</v>
      </c>
      <c r="B15" s="2" t="s">
        <v>171</v>
      </c>
      <c r="C15" s="3" t="s">
        <v>669</v>
      </c>
      <c r="D15" s="3" t="s">
        <v>662</v>
      </c>
      <c r="E15" s="2" t="s">
        <v>663</v>
      </c>
      <c r="F15" s="2"/>
      <c r="G15" s="5">
        <v>46111</v>
      </c>
      <c r="H15" s="5">
        <v>46111</v>
      </c>
      <c r="I15" s="2" t="s">
        <v>31</v>
      </c>
      <c r="J15" s="6">
        <f t="shared" si="1"/>
        <v>0</v>
      </c>
      <c r="K15" s="4" t="str">
        <f t="shared" ca="1" si="2"/>
        <v>-</v>
      </c>
      <c r="L15" s="7">
        <f t="shared" ca="1" si="4"/>
        <v>0</v>
      </c>
      <c r="M15" s="4" t="str">
        <f>IF($I15="Complete","Green",IF($H15="","Amber",IF($H15&lt;'[2]Read Me'!$B$4,"Red",IF($H15-'[2]Read Me'!$B$4&lt;=21,"Amber","Green"))))</f>
        <v>Red</v>
      </c>
      <c r="N15" s="3"/>
      <c r="O15" t="str">
        <f>IF($I15&lt;&gt;"Complete",IF(COUNTIFS($A$4:$A14,$A15,$B$4:$B14,$B15,$I$4:$I14,"&lt;&gt;Complete")=0,$A15&amp;"|"&amp;$B15,""),"")</f>
        <v/>
      </c>
      <c r="P15" t="str">
        <f ca="1">IF($K15="Yes",COUNTIFS($K$4:$K15,"Yes"),"")</f>
        <v/>
      </c>
      <c r="Q15">
        <f t="shared" ca="1" si="3"/>
        <v>0</v>
      </c>
      <c r="R15" t="str">
        <f ca="1">IF($Q15=1,SUM($Q$4:$Q15),"")</f>
        <v/>
      </c>
    </row>
    <row r="16" spans="1:18" ht="33.75" customHeight="1" x14ac:dyDescent="0.3">
      <c r="A16" s="2" t="s">
        <v>171</v>
      </c>
      <c r="B16" s="2" t="s">
        <v>171</v>
      </c>
      <c r="C16" s="3" t="s">
        <v>669</v>
      </c>
      <c r="D16" s="3" t="s">
        <v>665</v>
      </c>
      <c r="E16" s="2" t="s">
        <v>666</v>
      </c>
      <c r="F16" s="2" t="s">
        <v>176</v>
      </c>
      <c r="G16" s="5">
        <v>46125</v>
      </c>
      <c r="H16" s="5">
        <v>46202</v>
      </c>
      <c r="I16" s="2" t="s">
        <v>31</v>
      </c>
      <c r="J16" s="6">
        <f t="shared" si="1"/>
        <v>77</v>
      </c>
      <c r="K16" s="4" t="str">
        <f t="shared" ca="1" si="2"/>
        <v>-</v>
      </c>
      <c r="L16" s="7">
        <f t="shared" ca="1" si="4"/>
        <v>0</v>
      </c>
      <c r="M16" s="4" t="str">
        <f>IF($I16="Complete","Green",IF($H16="","Amber",IF($H16&lt;'[2]Read Me'!$B$4,"Red",IF($H16-'[2]Read Me'!$B$4&lt;=21,"Amber","Green"))))</f>
        <v>Amber</v>
      </c>
      <c r="N16" s="3"/>
      <c r="O16" t="str">
        <f>IF($I16&lt;&gt;"Complete",IF(COUNTIFS($A$4:$A15,$A16,$B$4:$B15,$B16,$I$4:$I15,"&lt;&gt;Complete")=0,$A16&amp;"|"&amp;$B16,""),"")</f>
        <v/>
      </c>
      <c r="P16" t="str">
        <f ca="1">IF($K16="Yes",COUNTIFS($K$4:$K16,"Yes"),"")</f>
        <v/>
      </c>
      <c r="Q16">
        <f t="shared" ca="1" si="3"/>
        <v>0</v>
      </c>
      <c r="R16" t="str">
        <f ca="1">IF($Q16=1,SUM($Q$4:$Q16),"")</f>
        <v/>
      </c>
    </row>
    <row r="17" spans="1:18" ht="33.75" customHeight="1" x14ac:dyDescent="0.3">
      <c r="A17" s="2" t="s">
        <v>171</v>
      </c>
      <c r="B17" s="2" t="s">
        <v>171</v>
      </c>
      <c r="C17" s="3" t="s">
        <v>669</v>
      </c>
      <c r="D17" s="3" t="s">
        <v>670</v>
      </c>
      <c r="E17" s="2" t="s">
        <v>663</v>
      </c>
      <c r="F17" s="2" t="s">
        <v>176</v>
      </c>
      <c r="G17" s="5"/>
      <c r="H17" s="5">
        <v>46152</v>
      </c>
      <c r="I17" s="2" t="s">
        <v>31</v>
      </c>
      <c r="J17" s="6" t="str">
        <f t="shared" si="1"/>
        <v/>
      </c>
      <c r="K17" s="4" t="str">
        <f t="shared" ca="1" si="2"/>
        <v>-</v>
      </c>
      <c r="L17" s="7">
        <f t="shared" ca="1" si="4"/>
        <v>0</v>
      </c>
      <c r="M17" s="4" t="str">
        <f>IF($I17="Complete","Green",IF($H17="","Amber",IF($H17&lt;'[2]Read Me'!$B$4,"Red",IF($H17-'[2]Read Me'!$B$4&lt;=21,"Amber","Green"))))</f>
        <v>Red</v>
      </c>
      <c r="N17" s="3"/>
      <c r="O17" t="str">
        <f>IF($I17&lt;&gt;"Complete",IF(COUNTIFS($A$4:$A16,$A17,$B$4:$B16,$B17,$I$4:$I16,"&lt;&gt;Complete")=0,$A17&amp;"|"&amp;$B17,""),"")</f>
        <v/>
      </c>
      <c r="P17" t="str">
        <f ca="1">IF($K17="Yes",COUNTIFS($K$4:$K17,"Yes"),"")</f>
        <v/>
      </c>
      <c r="Q17">
        <f t="shared" ca="1" si="3"/>
        <v>0</v>
      </c>
      <c r="R17" t="str">
        <f ca="1">IF($Q17=1,SUM($Q$4:$Q17),"")</f>
        <v/>
      </c>
    </row>
    <row r="18" spans="1:18" ht="33.75" customHeight="1" x14ac:dyDescent="0.3">
      <c r="A18" s="2" t="s">
        <v>171</v>
      </c>
      <c r="B18" s="2" t="s">
        <v>171</v>
      </c>
      <c r="C18" s="3" t="s">
        <v>669</v>
      </c>
      <c r="D18" s="3" t="s">
        <v>18</v>
      </c>
      <c r="E18" s="2" t="s">
        <v>663</v>
      </c>
      <c r="F18" s="2" t="s">
        <v>176</v>
      </c>
      <c r="G18" s="5">
        <v>46153</v>
      </c>
      <c r="H18" s="5">
        <v>46184</v>
      </c>
      <c r="I18" s="2" t="s">
        <v>31</v>
      </c>
      <c r="J18" s="6">
        <f t="shared" si="1"/>
        <v>31</v>
      </c>
      <c r="K18" s="4" t="str">
        <f t="shared" ca="1" si="2"/>
        <v>-</v>
      </c>
      <c r="L18" s="7">
        <f t="shared" ca="1" si="4"/>
        <v>0</v>
      </c>
      <c r="M18" s="4" t="str">
        <f>IF($I18="Complete","Green",IF($H18="","Amber",IF($H18&lt;'[2]Read Me'!$B$4,"Red",IF($H18-'[2]Read Me'!$B$4&lt;=21,"Amber","Green"))))</f>
        <v>Red</v>
      </c>
      <c r="N18" s="3"/>
      <c r="O18" t="str">
        <f>IF($I18&lt;&gt;"Complete",IF(COUNTIFS($A$4:$A17,$A18,$B$4:$B17,$B18,$I$4:$I17,"&lt;&gt;Complete")=0,$A18&amp;"|"&amp;$B18,""),"")</f>
        <v/>
      </c>
      <c r="P18" t="str">
        <f ca="1">IF($K18="Yes",COUNTIFS($K$4:$K18,"Yes"),"")</f>
        <v/>
      </c>
      <c r="Q18">
        <f t="shared" ca="1" si="3"/>
        <v>0</v>
      </c>
      <c r="R18" t="str">
        <f ca="1">IF($Q18=1,SUM($Q$4:$Q18),"")</f>
        <v/>
      </c>
    </row>
    <row r="19" spans="1:18" ht="33.75" customHeight="1" x14ac:dyDescent="0.3">
      <c r="A19" s="2" t="s">
        <v>171</v>
      </c>
      <c r="B19" s="2" t="s">
        <v>171</v>
      </c>
      <c r="C19" s="3" t="s">
        <v>669</v>
      </c>
      <c r="D19" s="3" t="s">
        <v>32</v>
      </c>
      <c r="E19" s="2" t="s">
        <v>663</v>
      </c>
      <c r="F19" s="2" t="s">
        <v>265</v>
      </c>
      <c r="G19" s="5">
        <v>46167</v>
      </c>
      <c r="H19" s="5">
        <v>46203</v>
      </c>
      <c r="I19" s="2" t="s">
        <v>46</v>
      </c>
      <c r="J19" s="6">
        <f t="shared" si="1"/>
        <v>36</v>
      </c>
      <c r="K19" s="4" t="str">
        <f t="shared" ca="1" si="2"/>
        <v>Yes</v>
      </c>
      <c r="L19" s="7">
        <f t="shared" ca="1" si="4"/>
        <v>-5</v>
      </c>
      <c r="M19" s="4" t="str">
        <f>IF($I19="Complete","Green",IF($H19="","Amber",IF($H19&lt;'[2]Read Me'!$B$4,"Red",IF($H19-'[2]Read Me'!$B$4&lt;=21,"Amber","Green"))))</f>
        <v>Amber</v>
      </c>
      <c r="N19" s="3"/>
      <c r="O19" t="str">
        <f>IF($I19&lt;&gt;"Complete",IF(COUNTIFS($A$4:$A18,$A19,$B$4:$B18,$B19,$I$4:$I18,"&lt;&gt;Complete")=0,$A19&amp;"|"&amp;$B19,""),"")</f>
        <v/>
      </c>
      <c r="P19">
        <f ca="1">IF($K19="Yes",COUNTIFS($K$4:$K19,"Yes"),"")</f>
        <v>2</v>
      </c>
      <c r="Q19">
        <f t="shared" ca="1" si="3"/>
        <v>1</v>
      </c>
      <c r="R19">
        <f ca="1">IF($Q19=1,SUM($Q$4:$Q19),"")</f>
        <v>2</v>
      </c>
    </row>
    <row r="20" spans="1:18" ht="33.75" customHeight="1" x14ac:dyDescent="0.3">
      <c r="A20" s="2" t="s">
        <v>171</v>
      </c>
      <c r="B20" s="2" t="s">
        <v>171</v>
      </c>
      <c r="C20" s="3" t="s">
        <v>669</v>
      </c>
      <c r="D20" s="3" t="s">
        <v>15</v>
      </c>
      <c r="E20" s="2" t="s">
        <v>663</v>
      </c>
      <c r="F20" s="2" t="s">
        <v>176</v>
      </c>
      <c r="G20" s="5">
        <v>46223</v>
      </c>
      <c r="H20" s="5">
        <v>46252</v>
      </c>
      <c r="I20" s="2" t="s">
        <v>17</v>
      </c>
      <c r="J20" s="6">
        <f t="shared" si="1"/>
        <v>29</v>
      </c>
      <c r="K20" s="4" t="str">
        <f t="shared" ca="1" si="2"/>
        <v>No</v>
      </c>
      <c r="L20" s="7">
        <f t="shared" ca="1" si="4"/>
        <v>44</v>
      </c>
      <c r="M20" s="4" t="str">
        <f>IF($I20="Complete","Green",IF($H20="","Amber",IF($H20&lt;'[2]Read Me'!$B$4,"Red",IF($H20-'[2]Read Me'!$B$4&lt;=21,"Amber","Green"))))</f>
        <v>Green</v>
      </c>
      <c r="N20" s="3"/>
      <c r="O20" t="str">
        <f>IF($I20&lt;&gt;"Complete",IF(COUNTIFS($A$4:$A19,$A20,$B$4:$B19,$B20,$I$4:$I19,"&lt;&gt;Complete")=0,$A20&amp;"|"&amp;$B20,""),"")</f>
        <v/>
      </c>
      <c r="P20" t="str">
        <f ca="1">IF($K20="Yes",COUNTIFS($K$4:$K20,"Yes"),"")</f>
        <v/>
      </c>
      <c r="Q20">
        <f t="shared" ca="1" si="3"/>
        <v>0</v>
      </c>
      <c r="R20" t="str">
        <f ca="1">IF($Q20=1,SUM($Q$4:$Q20),"")</f>
        <v/>
      </c>
    </row>
    <row r="21" spans="1:18" ht="33.75" customHeight="1" x14ac:dyDescent="0.3">
      <c r="A21" s="2" t="s">
        <v>171</v>
      </c>
      <c r="B21" s="2" t="s">
        <v>171</v>
      </c>
      <c r="C21" s="3" t="s">
        <v>669</v>
      </c>
      <c r="D21" s="3" t="s">
        <v>35</v>
      </c>
      <c r="E21" s="2" t="s">
        <v>663</v>
      </c>
      <c r="F21" s="2" t="s">
        <v>265</v>
      </c>
      <c r="G21" s="5">
        <v>46237</v>
      </c>
      <c r="H21" s="5">
        <v>46259</v>
      </c>
      <c r="I21" s="2" t="s">
        <v>17</v>
      </c>
      <c r="J21" s="6">
        <f t="shared" si="1"/>
        <v>22</v>
      </c>
      <c r="K21" s="4" t="str">
        <f t="shared" ca="1" si="2"/>
        <v>No</v>
      </c>
      <c r="L21" s="7">
        <f t="shared" ca="1" si="4"/>
        <v>51</v>
      </c>
      <c r="M21" s="4" t="str">
        <f>IF($I21="Complete","Green",IF($H21="","Amber",IF($H21&lt;'[2]Read Me'!$B$4,"Red",IF($H21-'[2]Read Me'!$B$4&lt;=21,"Amber","Green"))))</f>
        <v>Green</v>
      </c>
      <c r="N21" s="3"/>
      <c r="O21" t="str">
        <f>IF($I21&lt;&gt;"Complete",IF(COUNTIFS($A$4:$A20,$A21,$B$4:$B20,$B21,$I$4:$I20,"&lt;&gt;Complete")=0,$A21&amp;"|"&amp;$B21,""),"")</f>
        <v/>
      </c>
      <c r="P21" t="str">
        <f ca="1">IF($K21="Yes",COUNTIFS($K$4:$K21,"Yes"),"")</f>
        <v/>
      </c>
      <c r="Q21">
        <f t="shared" ca="1" si="3"/>
        <v>0</v>
      </c>
      <c r="R21" t="str">
        <f ca="1">IF($Q21=1,SUM($Q$4:$Q21),"")</f>
        <v/>
      </c>
    </row>
    <row r="22" spans="1:18" ht="33.75" customHeight="1" x14ac:dyDescent="0.3">
      <c r="A22" s="2" t="s">
        <v>171</v>
      </c>
      <c r="B22" s="2" t="s">
        <v>171</v>
      </c>
      <c r="C22" s="3" t="s">
        <v>669</v>
      </c>
      <c r="D22" s="3" t="s">
        <v>16</v>
      </c>
      <c r="E22" s="2" t="s">
        <v>663</v>
      </c>
      <c r="F22" s="2" t="s">
        <v>176</v>
      </c>
      <c r="G22" s="5">
        <v>46251</v>
      </c>
      <c r="H22" s="5">
        <v>46290</v>
      </c>
      <c r="I22" s="2" t="s">
        <v>17</v>
      </c>
      <c r="J22" s="6">
        <f t="shared" si="1"/>
        <v>39</v>
      </c>
      <c r="K22" s="4" t="str">
        <f t="shared" ca="1" si="2"/>
        <v>No</v>
      </c>
      <c r="L22" s="7">
        <f t="shared" ca="1" si="4"/>
        <v>82</v>
      </c>
      <c r="M22" s="4" t="str">
        <f>IF($I22="Complete","Green",IF($H22="","Amber",IF($H22&lt;'[2]Read Me'!$B$4,"Red",IF($H22-'[2]Read Me'!$B$4&lt;=21,"Amber","Green"))))</f>
        <v>Green</v>
      </c>
      <c r="N22" s="3"/>
      <c r="O22" t="str">
        <f>IF($I22&lt;&gt;"Complete",IF(COUNTIFS($A$4:$A21,$A22,$B$4:$B21,$B22,$I$4:$I21,"&lt;&gt;Complete")=0,$A22&amp;"|"&amp;$B22,""),"")</f>
        <v/>
      </c>
      <c r="P22" t="str">
        <f ca="1">IF($K22="Yes",COUNTIFS($K$4:$K22,"Yes"),"")</f>
        <v/>
      </c>
      <c r="Q22">
        <f t="shared" ca="1" si="3"/>
        <v>0</v>
      </c>
      <c r="R22" t="str">
        <f ca="1">IF($Q22=1,SUM($Q$4:$Q22),"")</f>
        <v/>
      </c>
    </row>
    <row r="23" spans="1:18" ht="33.75" customHeight="1" x14ac:dyDescent="0.3">
      <c r="A23" s="2" t="s">
        <v>171</v>
      </c>
      <c r="B23" s="2" t="s">
        <v>171</v>
      </c>
      <c r="C23" s="3" t="s">
        <v>669</v>
      </c>
      <c r="D23" s="3" t="s">
        <v>37</v>
      </c>
      <c r="E23" s="2" t="s">
        <v>663</v>
      </c>
      <c r="F23" s="2" t="s">
        <v>265</v>
      </c>
      <c r="G23" s="5">
        <v>46265</v>
      </c>
      <c r="H23" s="5">
        <v>46297</v>
      </c>
      <c r="I23" s="2" t="s">
        <v>17</v>
      </c>
      <c r="J23" s="6">
        <f t="shared" si="1"/>
        <v>32</v>
      </c>
      <c r="K23" s="4" t="str">
        <f t="shared" ca="1" si="2"/>
        <v>No</v>
      </c>
      <c r="L23" s="7">
        <f t="shared" ca="1" si="4"/>
        <v>89</v>
      </c>
      <c r="M23" s="4" t="str">
        <f>IF($I23="Complete","Green",IF($H23="","Amber",IF($H23&lt;'[2]Read Me'!$B$4,"Red",IF($H23-'[2]Read Me'!$B$4&lt;=21,"Amber","Green"))))</f>
        <v>Green</v>
      </c>
      <c r="N23" s="3"/>
      <c r="O23" t="str">
        <f>IF($I23&lt;&gt;"Complete",IF(COUNTIFS($A$4:$A22,$A23,$B$4:$B22,$B23,$I$4:$I22,"&lt;&gt;Complete")=0,$A23&amp;"|"&amp;$B23,""),"")</f>
        <v/>
      </c>
      <c r="P23" t="str">
        <f ca="1">IF($K23="Yes",COUNTIFS($K$4:$K23,"Yes"),"")</f>
        <v/>
      </c>
      <c r="Q23">
        <f t="shared" ca="1" si="3"/>
        <v>0</v>
      </c>
      <c r="R23" t="str">
        <f ca="1">IF($Q23=1,SUM($Q$4:$Q23),"")</f>
        <v/>
      </c>
    </row>
    <row r="24" spans="1:18" ht="33.75" customHeight="1" x14ac:dyDescent="0.3">
      <c r="A24" s="2" t="s">
        <v>671</v>
      </c>
      <c r="B24" s="2" t="s">
        <v>671</v>
      </c>
      <c r="C24" s="3"/>
      <c r="D24" s="3"/>
      <c r="E24" s="2"/>
      <c r="F24" s="2"/>
      <c r="G24" s="5">
        <v>46202</v>
      </c>
      <c r="H24" s="5">
        <v>46238</v>
      </c>
      <c r="I24" s="2"/>
      <c r="J24" s="6">
        <f t="shared" si="1"/>
        <v>36</v>
      </c>
      <c r="K24" s="4" t="str">
        <f t="shared" ca="1" si="2"/>
        <v/>
      </c>
      <c r="L24" s="7">
        <f t="shared" ca="1" si="4"/>
        <v>30</v>
      </c>
      <c r="M24" s="4" t="str">
        <f>IF($I24="Complete","Green",IF($H24="","Amber",IF($H24&lt;'[2]Read Me'!$B$4,"Red",IF($H24-'[2]Read Me'!$B$4&lt;=21,"Amber","Green"))))</f>
        <v>Green</v>
      </c>
      <c r="N24" s="3"/>
      <c r="O24" t="str">
        <f>IF($I24&lt;&gt;"Complete",IF(COUNTIFS($A$4:$A23,$A24,$B$4:$B23,$B24,$I$4:$I23,"&lt;&gt;Complete")=0,$A24&amp;"|"&amp;$B24,""),"")</f>
        <v>Retaining walls|Retaining walls</v>
      </c>
      <c r="P24" t="str">
        <f ca="1">IF($K24="Yes",COUNTIFS($K$4:$K24,"Yes"),"")</f>
        <v/>
      </c>
      <c r="Q24">
        <f t="shared" ca="1" si="3"/>
        <v>0</v>
      </c>
      <c r="R24" t="str">
        <f ca="1">IF($Q24=1,SUM($Q$4:$Q24),"")</f>
        <v/>
      </c>
    </row>
    <row r="25" spans="1:18" ht="33.75" customHeight="1" x14ac:dyDescent="0.3">
      <c r="A25" s="2" t="s">
        <v>671</v>
      </c>
      <c r="B25" s="2" t="s">
        <v>671</v>
      </c>
      <c r="C25" s="3" t="s">
        <v>672</v>
      </c>
      <c r="D25" s="3" t="s">
        <v>673</v>
      </c>
      <c r="E25" s="2" t="s">
        <v>215</v>
      </c>
      <c r="F25" s="2" t="s">
        <v>674</v>
      </c>
      <c r="G25" s="5">
        <v>46195</v>
      </c>
      <c r="H25" s="5">
        <v>46231</v>
      </c>
      <c r="I25" s="2" t="s">
        <v>17</v>
      </c>
      <c r="J25" s="6">
        <f t="shared" si="1"/>
        <v>36</v>
      </c>
      <c r="K25" s="4" t="str">
        <f t="shared" ca="1" si="2"/>
        <v>No</v>
      </c>
      <c r="L25" s="7">
        <f t="shared" ca="1" si="4"/>
        <v>23</v>
      </c>
      <c r="M25" s="4" t="str">
        <f>IF($I25="Complete","Green",IF($H25="","Amber",IF($H25&lt;'[2]Read Me'!$B$4,"Red",IF($H25-'[2]Read Me'!$B$4&lt;=21,"Amber","Green"))))</f>
        <v>Green</v>
      </c>
      <c r="N25" s="3"/>
      <c r="O25" t="str">
        <f>IF($I25&lt;&gt;"Complete",IF(COUNTIFS($A$4:$A24,$A25,$B$4:$B24,$B25,$I$4:$I24,"&lt;&gt;Complete")=0,$A25&amp;"|"&amp;$B25,""),"")</f>
        <v/>
      </c>
      <c r="P25" t="str">
        <f ca="1">IF($K25="Yes",COUNTIFS($K$4:$K25,"Yes"),"")</f>
        <v/>
      </c>
      <c r="Q25">
        <f t="shared" ca="1" si="3"/>
        <v>0</v>
      </c>
      <c r="R25" t="str">
        <f ca="1">IF($Q25=1,SUM($Q$4:$Q25),"")</f>
        <v/>
      </c>
    </row>
    <row r="26" spans="1:18" ht="33.75" customHeight="1" x14ac:dyDescent="0.3">
      <c r="A26" s="2" t="s">
        <v>671</v>
      </c>
      <c r="B26" s="2" t="s">
        <v>671</v>
      </c>
      <c r="C26" s="3" t="s">
        <v>672</v>
      </c>
      <c r="D26" s="3" t="s">
        <v>675</v>
      </c>
      <c r="E26" s="2" t="s">
        <v>215</v>
      </c>
      <c r="F26" s="2" t="s">
        <v>265</v>
      </c>
      <c r="G26" s="5">
        <v>46202</v>
      </c>
      <c r="H26" s="5">
        <v>46238</v>
      </c>
      <c r="I26" s="2" t="s">
        <v>17</v>
      </c>
      <c r="J26" s="6">
        <f t="shared" si="1"/>
        <v>36</v>
      </c>
      <c r="K26" s="4" t="str">
        <f t="shared" ca="1" si="2"/>
        <v>No</v>
      </c>
      <c r="L26" s="7">
        <f t="shared" ca="1" si="4"/>
        <v>30</v>
      </c>
      <c r="M26" s="4" t="str">
        <f>IF($I26="Complete","Green",IF($H26="","Amber",IF($H26&lt;'[2]Read Me'!$B$4,"Red",IF($H26-'[2]Read Me'!$B$4&lt;=21,"Amber","Green"))))</f>
        <v>Green</v>
      </c>
      <c r="N26" s="3"/>
      <c r="O26" t="str">
        <f>IF($I26&lt;&gt;"Complete",IF(COUNTIFS($A$4:$A25,$A26,$B$4:$B25,$B26,$I$4:$I25,"&lt;&gt;Complete")=0,$A26&amp;"|"&amp;$B26,""),"")</f>
        <v/>
      </c>
      <c r="P26" t="str">
        <f ca="1">IF($K26="Yes",COUNTIFS($K$4:$K26,"Yes"),"")</f>
        <v/>
      </c>
      <c r="Q26">
        <f t="shared" ca="1" si="3"/>
        <v>0</v>
      </c>
      <c r="R26" t="str">
        <f ca="1">IF($Q26=1,SUM($Q$4:$Q26),"")</f>
        <v/>
      </c>
    </row>
    <row r="27" spans="1:18" ht="33.75" customHeight="1" x14ac:dyDescent="0.3">
      <c r="A27" s="2" t="s">
        <v>21</v>
      </c>
      <c r="B27" s="2" t="s">
        <v>21</v>
      </c>
      <c r="C27" s="3"/>
      <c r="D27" s="3"/>
      <c r="E27" s="2"/>
      <c r="F27" s="2"/>
      <c r="G27" s="5">
        <v>46398</v>
      </c>
      <c r="H27" s="5">
        <v>46398</v>
      </c>
      <c r="I27" s="2"/>
      <c r="J27" s="6">
        <f t="shared" si="1"/>
        <v>0</v>
      </c>
      <c r="K27" s="4" t="str">
        <f t="shared" ca="1" si="2"/>
        <v/>
      </c>
      <c r="L27" s="7">
        <f t="shared" ca="1" si="4"/>
        <v>190</v>
      </c>
      <c r="M27" s="4" t="str">
        <f>IF($I27="Complete","Green",IF($H27="","Amber",IF($H27&lt;'[2]Read Me'!$B$4,"Red",IF($H27-'[2]Read Me'!$B$4&lt;=21,"Amber","Green"))))</f>
        <v>Green</v>
      </c>
      <c r="N27" s="3"/>
      <c r="O27" t="str">
        <f>IF($I27&lt;&gt;"Complete",IF(COUNTIFS($A$4:$A26,$A27,$B$4:$B26,$B27,$I$4:$I26,"&lt;&gt;Complete")=0,$A27&amp;"|"&amp;$B27,""),"")</f>
        <v>Landscape|Landscape</v>
      </c>
      <c r="P27" t="str">
        <f ca="1">IF($K27="Yes",COUNTIFS($K$4:$K27,"Yes"),"")</f>
        <v/>
      </c>
      <c r="Q27">
        <f t="shared" ca="1" si="3"/>
        <v>0</v>
      </c>
      <c r="R27" t="str">
        <f ca="1">IF($Q27=1,SUM($Q$4:$Q27),"")</f>
        <v/>
      </c>
    </row>
    <row r="28" spans="1:18" ht="33.75" customHeight="1" x14ac:dyDescent="0.3">
      <c r="A28" s="2" t="s">
        <v>21</v>
      </c>
      <c r="B28" s="2" t="s">
        <v>21</v>
      </c>
      <c r="C28" s="3" t="s">
        <v>676</v>
      </c>
      <c r="D28" s="3" t="s">
        <v>677</v>
      </c>
      <c r="E28" s="2" t="s">
        <v>215</v>
      </c>
      <c r="F28" s="2" t="s">
        <v>674</v>
      </c>
      <c r="G28" s="5">
        <v>46223</v>
      </c>
      <c r="H28" s="5">
        <v>46259</v>
      </c>
      <c r="I28" s="2" t="s">
        <v>17</v>
      </c>
      <c r="J28" s="6">
        <f t="shared" si="1"/>
        <v>36</v>
      </c>
      <c r="K28" s="4" t="str">
        <f t="shared" ca="1" si="2"/>
        <v>No</v>
      </c>
      <c r="L28" s="7">
        <f t="shared" ca="1" si="4"/>
        <v>51</v>
      </c>
      <c r="M28" s="4" t="str">
        <f>IF($I28="Complete","Green",IF($H28="","Amber",IF($H28&lt;'[2]Read Me'!$B$4,"Red",IF($H28-'[2]Read Me'!$B$4&lt;=21,"Amber","Green"))))</f>
        <v>Green</v>
      </c>
      <c r="N28" s="3"/>
      <c r="O28" t="str">
        <f>IF($I28&lt;&gt;"Complete",IF(COUNTIFS($A$4:$A27,$A28,$B$4:$B27,$B28,$I$4:$I27,"&lt;&gt;Complete")=0,$A28&amp;"|"&amp;$B28,""),"")</f>
        <v/>
      </c>
      <c r="P28" t="str">
        <f ca="1">IF($K28="Yes",COUNTIFS($K$4:$K28,"Yes"),"")</f>
        <v/>
      </c>
      <c r="Q28">
        <f t="shared" ca="1" si="3"/>
        <v>0</v>
      </c>
      <c r="R28" t="str">
        <f ca="1">IF($Q28=1,SUM($Q$4:$Q28),"")</f>
        <v/>
      </c>
    </row>
    <row r="29" spans="1:18" ht="33.75" customHeight="1" x14ac:dyDescent="0.3">
      <c r="A29" s="2" t="s">
        <v>21</v>
      </c>
      <c r="B29" s="2" t="s">
        <v>21</v>
      </c>
      <c r="C29" s="3" t="s">
        <v>676</v>
      </c>
      <c r="D29" s="3" t="s">
        <v>70</v>
      </c>
      <c r="E29" s="2" t="s">
        <v>215</v>
      </c>
      <c r="F29" s="2" t="s">
        <v>265</v>
      </c>
      <c r="G29" s="5">
        <v>46237</v>
      </c>
      <c r="H29" s="5">
        <v>46273</v>
      </c>
      <c r="I29" s="2" t="s">
        <v>17</v>
      </c>
      <c r="J29" s="6">
        <f t="shared" si="1"/>
        <v>36</v>
      </c>
      <c r="K29" s="4" t="str">
        <f t="shared" ca="1" si="2"/>
        <v>No</v>
      </c>
      <c r="L29" s="7">
        <f t="shared" ca="1" si="4"/>
        <v>65</v>
      </c>
      <c r="M29" s="4" t="str">
        <f>IF($I29="Complete","Green",IF($H29="","Amber",IF($H29&lt;'[2]Read Me'!$B$4,"Red",IF($H29-'[2]Read Me'!$B$4&lt;=21,"Amber","Green"))))</f>
        <v>Green</v>
      </c>
      <c r="N29" s="3"/>
      <c r="O29" t="str">
        <f>IF($I29&lt;&gt;"Complete",IF(COUNTIFS($A$4:$A28,$A29,$B$4:$B28,$B29,$I$4:$I28,"&lt;&gt;Complete")=0,$A29&amp;"|"&amp;$B29,""),"")</f>
        <v/>
      </c>
      <c r="P29" t="str">
        <f ca="1">IF($K29="Yes",COUNTIFS($K$4:$K29,"Yes"),"")</f>
        <v/>
      </c>
      <c r="Q29">
        <f t="shared" ca="1" si="3"/>
        <v>0</v>
      </c>
      <c r="R29" t="str">
        <f ca="1">IF($Q29=1,SUM($Q$4:$Q29),"")</f>
        <v/>
      </c>
    </row>
    <row r="30" spans="1:18" ht="33.75" customHeight="1" x14ac:dyDescent="0.3">
      <c r="A30" s="2" t="s">
        <v>21</v>
      </c>
      <c r="B30" s="2" t="s">
        <v>21</v>
      </c>
      <c r="C30" s="3" t="s">
        <v>676</v>
      </c>
      <c r="D30" s="3" t="s">
        <v>98</v>
      </c>
      <c r="E30" s="2" t="s">
        <v>215</v>
      </c>
      <c r="F30" s="2" t="s">
        <v>674</v>
      </c>
      <c r="G30" s="5">
        <v>46293</v>
      </c>
      <c r="H30" s="5">
        <v>46329</v>
      </c>
      <c r="I30" s="2" t="s">
        <v>17</v>
      </c>
      <c r="J30" s="6">
        <f t="shared" si="1"/>
        <v>36</v>
      </c>
      <c r="K30" s="4" t="str">
        <f t="shared" ca="1" si="2"/>
        <v>No</v>
      </c>
      <c r="L30" s="7">
        <f t="shared" ca="1" si="4"/>
        <v>121</v>
      </c>
      <c r="M30" s="4" t="str">
        <f>IF($I30="Complete","Green",IF($H30="","Amber",IF($H30&lt;'[2]Read Me'!$B$4,"Red",IF($H30-'[2]Read Me'!$B$4&lt;=21,"Amber","Green"))))</f>
        <v>Green</v>
      </c>
      <c r="N30" s="3"/>
      <c r="O30" t="str">
        <f>IF($I30&lt;&gt;"Complete",IF(COUNTIFS($A$4:$A29,$A30,$B$4:$B29,$B30,$I$4:$I29,"&lt;&gt;Complete")=0,$A30&amp;"|"&amp;$B30,""),"")</f>
        <v/>
      </c>
      <c r="P30" t="str">
        <f ca="1">IF($K30="Yes",COUNTIFS($K$4:$K30,"Yes"),"")</f>
        <v/>
      </c>
      <c r="Q30">
        <f t="shared" ca="1" si="3"/>
        <v>0</v>
      </c>
      <c r="R30" t="str">
        <f ca="1">IF($Q30=1,SUM($Q$4:$Q30),"")</f>
        <v/>
      </c>
    </row>
    <row r="31" spans="1:18" ht="14.25" customHeight="1" x14ac:dyDescent="0.3">
      <c r="A31" s="2" t="s">
        <v>21</v>
      </c>
      <c r="B31" s="2" t="s">
        <v>21</v>
      </c>
      <c r="C31" s="3" t="s">
        <v>676</v>
      </c>
      <c r="D31" s="3" t="s">
        <v>47</v>
      </c>
      <c r="E31" s="2" t="s">
        <v>215</v>
      </c>
      <c r="F31" s="2" t="s">
        <v>265</v>
      </c>
      <c r="G31" s="5">
        <v>46307</v>
      </c>
      <c r="H31" s="5">
        <v>46343</v>
      </c>
      <c r="I31" s="2" t="s">
        <v>17</v>
      </c>
      <c r="J31" s="6">
        <f t="shared" si="1"/>
        <v>36</v>
      </c>
      <c r="K31" s="4" t="str">
        <f t="shared" ca="1" si="2"/>
        <v>No</v>
      </c>
      <c r="L31" s="7">
        <f t="shared" ca="1" si="4"/>
        <v>135</v>
      </c>
      <c r="M31" s="4" t="str">
        <f>IF($I31="Complete","Green",IF($H31="","Amber",IF($H31&lt;'[2]Read Me'!$B$4,"Red",IF($H31-'[2]Read Me'!$B$4&lt;=21,"Amber","Green"))))</f>
        <v>Green</v>
      </c>
      <c r="N31" s="3"/>
      <c r="O31" t="str">
        <f>IF($I31&lt;&gt;"Complete",IF(COUNTIFS($A$4:$A30,$A31,$B$4:$B30,$B31,$I$4:$I30,"&lt;&gt;Complete")=0,$A31&amp;"|"&amp;$B31,""),"")</f>
        <v/>
      </c>
      <c r="P31" t="str">
        <f ca="1">IF($K31="Yes",COUNTIFS($K$4:$K31,"Yes"),"")</f>
        <v/>
      </c>
      <c r="Q31">
        <f t="shared" ca="1" si="3"/>
        <v>0</v>
      </c>
      <c r="R31" t="str">
        <f ca="1">IF($Q31=1,SUM($Q$4:$Q31),"")</f>
        <v/>
      </c>
    </row>
    <row r="32" spans="1:18" ht="14.25" customHeight="1" x14ac:dyDescent="0.3">
      <c r="A32" s="2" t="s">
        <v>21</v>
      </c>
      <c r="B32" s="2" t="s">
        <v>21</v>
      </c>
      <c r="C32" s="3" t="s">
        <v>676</v>
      </c>
      <c r="D32" s="3" t="s">
        <v>132</v>
      </c>
      <c r="E32" s="2" t="s">
        <v>678</v>
      </c>
      <c r="F32" s="2" t="s">
        <v>81</v>
      </c>
      <c r="G32" s="5">
        <v>46314</v>
      </c>
      <c r="H32" s="5">
        <v>46350</v>
      </c>
      <c r="I32" s="2" t="s">
        <v>17</v>
      </c>
      <c r="J32" s="6">
        <f t="shared" si="1"/>
        <v>36</v>
      </c>
      <c r="K32" s="4" t="str">
        <f t="shared" ca="1" si="2"/>
        <v>No</v>
      </c>
      <c r="L32" s="7">
        <f t="shared" ca="1" si="4"/>
        <v>142</v>
      </c>
      <c r="M32" s="4" t="str">
        <f>IF($I32="Complete","Green",IF($H32="","Amber",IF($H32&lt;'[2]Read Me'!$B$4,"Red",IF($H32-'[2]Read Me'!$B$4&lt;=21,"Amber","Green"))))</f>
        <v>Green</v>
      </c>
      <c r="N32" s="3"/>
      <c r="O32" t="str">
        <f>IF($I32&lt;&gt;"Complete",IF(COUNTIFS($A$4:$A31,$A32,$B$4:$B31,$B32,$I$4:$I31,"&lt;&gt;Complete")=0,$A32&amp;"|"&amp;$B32,""),"")</f>
        <v/>
      </c>
      <c r="P32" t="str">
        <f ca="1">IF($K32="Yes",COUNTIFS($K$4:$K32,"Yes"),"")</f>
        <v/>
      </c>
      <c r="Q32">
        <f t="shared" ca="1" si="3"/>
        <v>0</v>
      </c>
      <c r="R32" t="str">
        <f ca="1">IF($Q32=1,SUM($Q$4:$Q32),"")</f>
        <v/>
      </c>
    </row>
    <row r="33" spans="1:18" ht="14.25" customHeight="1" x14ac:dyDescent="0.3">
      <c r="A33" s="2" t="s">
        <v>21</v>
      </c>
      <c r="B33" s="2" t="s">
        <v>21</v>
      </c>
      <c r="C33" s="3" t="s">
        <v>676</v>
      </c>
      <c r="D33" s="3" t="s">
        <v>133</v>
      </c>
      <c r="E33" s="2" t="s">
        <v>215</v>
      </c>
      <c r="F33" s="2" t="s">
        <v>674</v>
      </c>
      <c r="G33" s="5">
        <v>46335</v>
      </c>
      <c r="H33" s="5">
        <v>46335</v>
      </c>
      <c r="I33" s="2" t="s">
        <v>17</v>
      </c>
      <c r="J33" s="6">
        <f t="shared" si="1"/>
        <v>0</v>
      </c>
      <c r="K33" s="4" t="str">
        <f t="shared" ca="1" si="2"/>
        <v>No</v>
      </c>
      <c r="L33" s="7">
        <f t="shared" ca="1" si="4"/>
        <v>127</v>
      </c>
      <c r="M33" s="4" t="str">
        <f>IF($I33="Complete","Green",IF($H33="","Amber",IF($H33&lt;'[2]Read Me'!$B$4,"Red",IF($H33-'[2]Read Me'!$B$4&lt;=21,"Amber","Green"))))</f>
        <v>Green</v>
      </c>
      <c r="N33" s="3"/>
      <c r="O33" t="str">
        <f>IF($I33&lt;&gt;"Complete",IF(COUNTIFS($A$4:$A32,$A33,$B$4:$B32,$B33,$I$4:$I32,"&lt;&gt;Complete")=0,$A33&amp;"|"&amp;$B33,""),"")</f>
        <v/>
      </c>
      <c r="P33" t="str">
        <f ca="1">IF($K33="Yes",COUNTIFS($K$4:$K33,"Yes"),"")</f>
        <v/>
      </c>
      <c r="Q33">
        <f t="shared" ca="1" si="3"/>
        <v>0</v>
      </c>
      <c r="R33" t="str">
        <f ca="1">IF($Q33=1,SUM($Q$4:$Q33),"")</f>
        <v/>
      </c>
    </row>
    <row r="34" spans="1:18" ht="14.25" customHeight="1" x14ac:dyDescent="0.3">
      <c r="A34" s="2" t="s">
        <v>21</v>
      </c>
      <c r="B34" s="2" t="s">
        <v>21</v>
      </c>
      <c r="C34" s="3" t="s">
        <v>676</v>
      </c>
      <c r="D34" s="3" t="s">
        <v>134</v>
      </c>
      <c r="E34" s="2" t="s">
        <v>215</v>
      </c>
      <c r="F34" s="2" t="s">
        <v>265</v>
      </c>
      <c r="G34" s="5">
        <v>46349</v>
      </c>
      <c r="H34" s="5">
        <v>46349</v>
      </c>
      <c r="I34" s="2" t="s">
        <v>17</v>
      </c>
      <c r="J34" s="6">
        <f t="shared" si="1"/>
        <v>0</v>
      </c>
      <c r="K34" s="4" t="str">
        <f t="shared" ca="1" si="2"/>
        <v>No</v>
      </c>
      <c r="L34" s="7">
        <f t="shared" ca="1" si="4"/>
        <v>141</v>
      </c>
      <c r="M34" s="4" t="str">
        <f>IF($I34="Complete","Green",IF($H34="","Amber",IF($H34&lt;'[2]Read Me'!$B$4,"Red",IF($H34-'[2]Read Me'!$B$4&lt;=21,"Amber","Green"))))</f>
        <v>Green</v>
      </c>
      <c r="N34" s="3"/>
      <c r="O34" t="str">
        <f>IF($I34&lt;&gt;"Complete",IF(COUNTIFS($A$4:$A33,$A34,$B$4:$B33,$B34,$I$4:$I33,"&lt;&gt;Complete")=0,$A34&amp;"|"&amp;$B34,""),"")</f>
        <v/>
      </c>
      <c r="P34" t="str">
        <f ca="1">IF($K34="Yes",COUNTIFS($K$4:$K34,"Yes"),"")</f>
        <v/>
      </c>
      <c r="Q34">
        <f t="shared" ca="1" si="3"/>
        <v>0</v>
      </c>
      <c r="R34" t="str">
        <f ca="1">IF($Q34=1,SUM($Q$4:$Q34),"")</f>
        <v/>
      </c>
    </row>
    <row r="35" spans="1:18" ht="14.25" customHeight="1" x14ac:dyDescent="0.3">
      <c r="A35" s="2" t="s">
        <v>21</v>
      </c>
      <c r="B35" s="2" t="s">
        <v>21</v>
      </c>
      <c r="C35" s="3" t="s">
        <v>676</v>
      </c>
      <c r="D35" s="3" t="s">
        <v>18</v>
      </c>
      <c r="E35" s="2" t="s">
        <v>215</v>
      </c>
      <c r="F35" s="2" t="s">
        <v>674</v>
      </c>
      <c r="G35" s="5">
        <v>46377</v>
      </c>
      <c r="H35" s="5">
        <v>46377</v>
      </c>
      <c r="I35" s="2" t="s">
        <v>17</v>
      </c>
      <c r="J35" s="6">
        <f t="shared" si="1"/>
        <v>0</v>
      </c>
      <c r="K35" s="4" t="str">
        <f t="shared" ca="1" si="2"/>
        <v>No</v>
      </c>
      <c r="L35" s="7">
        <f t="shared" ca="1" si="4"/>
        <v>169</v>
      </c>
      <c r="M35" s="4" t="str">
        <f>IF($I35="Complete","Green",IF($H35="","Amber",IF($H35&lt;'[2]Read Me'!$B$4,"Red",IF($H35-'[2]Read Me'!$B$4&lt;=21,"Amber","Green"))))</f>
        <v>Green</v>
      </c>
      <c r="N35" s="3"/>
      <c r="O35" t="str">
        <f>IF($I35&lt;&gt;"Complete",IF(COUNTIFS($A$4:$A34,$A35,$B$4:$B34,$B35,$I$4:$I34,"&lt;&gt;Complete")=0,$A35&amp;"|"&amp;$B35,""),"")</f>
        <v/>
      </c>
      <c r="P35" t="str">
        <f ca="1">IF($K35="Yes",COUNTIFS($K$4:$K35,"Yes"),"")</f>
        <v/>
      </c>
      <c r="Q35">
        <f t="shared" ca="1" si="3"/>
        <v>0</v>
      </c>
      <c r="R35" t="str">
        <f ca="1">IF($Q35=1,SUM($Q$4:$Q35),"")</f>
        <v/>
      </c>
    </row>
    <row r="36" spans="1:18" ht="14.25" customHeight="1" x14ac:dyDescent="0.3">
      <c r="A36" s="2" t="s">
        <v>21</v>
      </c>
      <c r="B36" s="2" t="s">
        <v>21</v>
      </c>
      <c r="C36" s="3" t="s">
        <v>676</v>
      </c>
      <c r="D36" s="3" t="s">
        <v>32</v>
      </c>
      <c r="E36" s="2" t="s">
        <v>215</v>
      </c>
      <c r="F36" s="2" t="s">
        <v>265</v>
      </c>
      <c r="G36" s="5">
        <v>46391</v>
      </c>
      <c r="H36" s="5">
        <v>46391</v>
      </c>
      <c r="I36" s="2" t="s">
        <v>17</v>
      </c>
      <c r="J36" s="6">
        <f t="shared" si="1"/>
        <v>0</v>
      </c>
      <c r="K36" s="4" t="str">
        <f t="shared" ca="1" si="2"/>
        <v>No</v>
      </c>
      <c r="L36" s="7">
        <f t="shared" ca="1" si="4"/>
        <v>183</v>
      </c>
      <c r="M36" s="4" t="str">
        <f>IF($I36="Complete","Green",IF($H36="","Amber",IF($H36&lt;'[2]Read Me'!$B$4,"Red",IF($H36-'[2]Read Me'!$B$4&lt;=21,"Amber","Green"))))</f>
        <v>Green</v>
      </c>
      <c r="N36" s="3"/>
      <c r="O36" t="str">
        <f>IF($I36&lt;&gt;"Complete",IF(COUNTIFS($A$4:$A35,$A36,$B$4:$B35,$B36,$I$4:$I35,"&lt;&gt;Complete")=0,$A36&amp;"|"&amp;$B36,""),"")</f>
        <v/>
      </c>
      <c r="P36" t="str">
        <f ca="1">IF($K36="Yes",COUNTIFS($K$4:$K36,"Yes"),"")</f>
        <v/>
      </c>
      <c r="Q36">
        <f t="shared" ca="1" si="3"/>
        <v>0</v>
      </c>
      <c r="R36" t="str">
        <f ca="1">IF($Q36=1,SUM($Q$4:$Q36),"")</f>
        <v/>
      </c>
    </row>
    <row r="37" spans="1:18" ht="14.25" customHeight="1" x14ac:dyDescent="0.3">
      <c r="A37" s="2" t="s">
        <v>21</v>
      </c>
      <c r="B37" s="2" t="s">
        <v>21</v>
      </c>
      <c r="C37" s="3" t="s">
        <v>676</v>
      </c>
      <c r="D37" s="3" t="s">
        <v>19</v>
      </c>
      <c r="E37" s="2" t="s">
        <v>666</v>
      </c>
      <c r="F37" s="2" t="s">
        <v>81</v>
      </c>
      <c r="G37" s="5">
        <v>46398</v>
      </c>
      <c r="H37" s="5">
        <v>46398</v>
      </c>
      <c r="I37" s="2" t="s">
        <v>17</v>
      </c>
      <c r="J37" s="6">
        <f t="shared" si="1"/>
        <v>0</v>
      </c>
      <c r="K37" s="4" t="str">
        <f t="shared" ca="1" si="2"/>
        <v>No</v>
      </c>
      <c r="L37" s="7">
        <f t="shared" ca="1" si="4"/>
        <v>190</v>
      </c>
      <c r="M37" s="4" t="str">
        <f>IF($I37="Complete","Green",IF($H37="","Amber",IF($H37&lt;'[2]Read Me'!$B$4,"Red",IF($H37-'[2]Read Me'!$B$4&lt;=21,"Amber","Green"))))</f>
        <v>Green</v>
      </c>
      <c r="N37" s="3"/>
      <c r="O37" t="str">
        <f>IF($I37&lt;&gt;"Complete",IF(COUNTIFS($A$4:$A36,$A37,$B$4:$B36,$B37,$I$4:$I36,"&lt;&gt;Complete")=0,$A37&amp;"|"&amp;$B37,""),"")</f>
        <v/>
      </c>
      <c r="P37" t="str">
        <f ca="1">IF($K37="Yes",COUNTIFS($K$4:$K37,"Yes"),"")</f>
        <v/>
      </c>
      <c r="Q37">
        <f t="shared" ca="1" si="3"/>
        <v>0</v>
      </c>
      <c r="R37" t="str">
        <f ca="1">IF($Q37=1,SUM($Q$4:$Q37),"")</f>
        <v/>
      </c>
    </row>
    <row r="38" spans="1:18" ht="14.25" customHeight="1" x14ac:dyDescent="0.3">
      <c r="A38" s="2" t="s">
        <v>679</v>
      </c>
      <c r="B38" s="2" t="s">
        <v>62</v>
      </c>
      <c r="C38" s="3"/>
      <c r="D38" s="3"/>
      <c r="E38" s="2"/>
      <c r="F38" s="2"/>
      <c r="G38" s="5">
        <v>45796</v>
      </c>
      <c r="H38" s="5">
        <v>46223</v>
      </c>
      <c r="I38" s="2"/>
      <c r="J38" s="6">
        <f t="shared" si="1"/>
        <v>427</v>
      </c>
      <c r="K38" s="4" t="str">
        <f t="shared" ca="1" si="2"/>
        <v/>
      </c>
      <c r="L38" s="7">
        <f t="shared" ca="1" si="4"/>
        <v>15</v>
      </c>
      <c r="M38" s="4" t="str">
        <f>IF($I38="Complete","Green",IF($H38="","Amber",IF($H38&lt;'[2]Read Me'!$B$4,"Red",IF($H38-'[2]Read Me'!$B$4&lt;=21,"Amber","Green"))))</f>
        <v>Green</v>
      </c>
      <c r="N38" s="3"/>
      <c r="O38" t="str">
        <f>IF($I38&lt;&gt;"Complete",IF(COUNTIFS($A$4:$A37,$A38,$B$4:$B37,$B38,$I$4:$I37,"&lt;&gt;Complete")=0,$A38&amp;"|"&amp;$B38,""),"")</f>
        <v>Twain Apartments-Phase 5|Buildings</v>
      </c>
      <c r="P38" t="str">
        <f ca="1">IF($K38="Yes",COUNTIFS($K$4:$K38,"Yes"),"")</f>
        <v/>
      </c>
      <c r="Q38">
        <f t="shared" ca="1" si="3"/>
        <v>0</v>
      </c>
      <c r="R38" t="str">
        <f ca="1">IF($Q38=1,SUM($Q$4:$Q38),"")</f>
        <v/>
      </c>
    </row>
    <row r="39" spans="1:18" ht="14.25" customHeight="1" x14ac:dyDescent="0.3">
      <c r="A39" s="2" t="s">
        <v>679</v>
      </c>
      <c r="B39" s="2" t="s">
        <v>62</v>
      </c>
      <c r="C39" s="3" t="s">
        <v>679</v>
      </c>
      <c r="D39" s="3" t="s">
        <v>98</v>
      </c>
      <c r="E39" s="2"/>
      <c r="F39" s="2" t="s">
        <v>197</v>
      </c>
      <c r="G39" s="5">
        <v>45158</v>
      </c>
      <c r="H39" s="5">
        <v>45158</v>
      </c>
      <c r="I39" s="2" t="s">
        <v>31</v>
      </c>
      <c r="J39" s="6">
        <f t="shared" si="1"/>
        <v>0</v>
      </c>
      <c r="K39" s="4" t="str">
        <f t="shared" ca="1" si="2"/>
        <v>-</v>
      </c>
      <c r="L39" s="7">
        <f t="shared" ca="1" si="4"/>
        <v>0</v>
      </c>
      <c r="M39" s="4" t="str">
        <f>IF($I39="Complete","Green",IF($H39="","Amber",IF($H39&lt;'[2]Read Me'!$B$4,"Red",IF($H39-'[2]Read Me'!$B$4&lt;=21,"Amber","Green"))))</f>
        <v>Red</v>
      </c>
      <c r="N39" s="3"/>
      <c r="O39" t="str">
        <f>IF($I39&lt;&gt;"Complete",IF(COUNTIFS($A$4:$A38,$A39,$B$4:$B38,$B39,$I$4:$I38,"&lt;&gt;Complete")=0,$A39&amp;"|"&amp;$B39,""),"")</f>
        <v/>
      </c>
      <c r="P39" t="str">
        <f ca="1">IF($K39="Yes",COUNTIFS($K$4:$K39,"Yes"),"")</f>
        <v/>
      </c>
      <c r="Q39">
        <f t="shared" ca="1" si="3"/>
        <v>0</v>
      </c>
      <c r="R39" t="str">
        <f ca="1">IF($Q39=1,SUM($Q$4:$Q39),"")</f>
        <v/>
      </c>
    </row>
    <row r="40" spans="1:18" ht="14.25" customHeight="1" x14ac:dyDescent="0.3">
      <c r="A40" s="2" t="s">
        <v>679</v>
      </c>
      <c r="B40" s="2" t="s">
        <v>62</v>
      </c>
      <c r="C40" s="3" t="s">
        <v>679</v>
      </c>
      <c r="D40" s="3" t="s">
        <v>47</v>
      </c>
      <c r="E40" s="2"/>
      <c r="F40" s="2" t="s">
        <v>265</v>
      </c>
      <c r="G40" s="5">
        <v>45172</v>
      </c>
      <c r="H40" s="5">
        <v>45172</v>
      </c>
      <c r="I40" s="2" t="s">
        <v>31</v>
      </c>
      <c r="J40" s="6">
        <f t="shared" si="1"/>
        <v>0</v>
      </c>
      <c r="K40" s="4" t="str">
        <f t="shared" ca="1" si="2"/>
        <v>-</v>
      </c>
      <c r="L40" s="7">
        <f t="shared" ca="1" si="4"/>
        <v>0</v>
      </c>
      <c r="M40" s="4" t="str">
        <f>IF($I40="Complete","Green",IF($H40="","Amber",IF($H40&lt;'[2]Read Me'!$B$4,"Red",IF($H40-'[2]Read Me'!$B$4&lt;=21,"Amber","Green"))))</f>
        <v>Red</v>
      </c>
      <c r="N40" s="3"/>
      <c r="O40" t="str">
        <f>IF($I40&lt;&gt;"Complete",IF(COUNTIFS($A$4:$A39,$A40,$B$4:$B39,$B40,$I$4:$I39,"&lt;&gt;Complete")=0,$A40&amp;"|"&amp;$B40,""),"")</f>
        <v/>
      </c>
      <c r="P40" t="str">
        <f ca="1">IF($K40="Yes",COUNTIFS($K$4:$K40,"Yes"),"")</f>
        <v/>
      </c>
      <c r="Q40">
        <f t="shared" ca="1" si="3"/>
        <v>0</v>
      </c>
      <c r="R40" t="str">
        <f ca="1">IF($Q40=1,SUM($Q$4:$Q40),"")</f>
        <v/>
      </c>
    </row>
    <row r="41" spans="1:18" ht="14.25" customHeight="1" x14ac:dyDescent="0.3">
      <c r="A41" s="2" t="s">
        <v>679</v>
      </c>
      <c r="B41" s="2" t="s">
        <v>62</v>
      </c>
      <c r="C41" s="3" t="s">
        <v>679</v>
      </c>
      <c r="D41" s="3" t="s">
        <v>680</v>
      </c>
      <c r="E41" s="2"/>
      <c r="F41" s="2" t="s">
        <v>197</v>
      </c>
      <c r="G41" s="5"/>
      <c r="H41" s="5"/>
      <c r="I41" s="2" t="s">
        <v>46</v>
      </c>
      <c r="J41" s="6" t="str">
        <f t="shared" si="1"/>
        <v/>
      </c>
      <c r="K41" s="4" t="str">
        <f t="shared" ca="1" si="2"/>
        <v/>
      </c>
      <c r="L41" s="7" t="str">
        <f t="shared" ca="1" si="4"/>
        <v/>
      </c>
      <c r="M41" s="4" t="str">
        <f>IF($I41="Complete","Green",IF($H41="","Amber",IF($H41&lt;'[2]Read Me'!$B$4,"Red",IF($H41-'[2]Read Me'!$B$4&lt;=21,"Amber","Green"))))</f>
        <v>Amber</v>
      </c>
      <c r="N41" s="3"/>
      <c r="O41" t="str">
        <f>IF($I41&lt;&gt;"Complete",IF(COUNTIFS($A$4:$A40,$A41,$B$4:$B40,$B41,$I$4:$I40,"&lt;&gt;Complete")=0,$A41&amp;"|"&amp;$B41,""),"")</f>
        <v/>
      </c>
      <c r="P41" t="str">
        <f ca="1">IF($K41="Yes",COUNTIFS($K$4:$K41,"Yes"),"")</f>
        <v/>
      </c>
      <c r="Q41">
        <f t="shared" ca="1" si="3"/>
        <v>0</v>
      </c>
      <c r="R41" t="str">
        <f ca="1">IF($Q41=1,SUM($Q$4:$Q41),"")</f>
        <v/>
      </c>
    </row>
    <row r="42" spans="1:18" ht="22.5" customHeight="1" x14ac:dyDescent="0.3">
      <c r="A42" s="2" t="s">
        <v>679</v>
      </c>
      <c r="B42" s="2" t="s">
        <v>62</v>
      </c>
      <c r="C42" s="3" t="s">
        <v>679</v>
      </c>
      <c r="D42" s="3" t="s">
        <v>18</v>
      </c>
      <c r="E42" s="2"/>
      <c r="F42" s="2" t="s">
        <v>197</v>
      </c>
      <c r="G42" s="5">
        <v>45469</v>
      </c>
      <c r="H42" s="5">
        <v>45469</v>
      </c>
      <c r="I42" s="2" t="s">
        <v>31</v>
      </c>
      <c r="J42" s="6">
        <f t="shared" si="1"/>
        <v>0</v>
      </c>
      <c r="K42" s="4" t="str">
        <f t="shared" ca="1" si="2"/>
        <v>-</v>
      </c>
      <c r="L42" s="7">
        <f t="shared" ca="1" si="4"/>
        <v>0</v>
      </c>
      <c r="M42" s="4" t="str">
        <f>IF($I42="Complete","Green",IF($H42="","Amber",IF($H42&lt;'[2]Read Me'!$B$4,"Red",IF($H42-'[2]Read Me'!$B$4&lt;=21,"Amber","Green"))))</f>
        <v>Red</v>
      </c>
      <c r="N42" s="3"/>
      <c r="O42" t="str">
        <f>IF($I42&lt;&gt;"Complete",IF(COUNTIFS($A$4:$A41,$A42,$B$4:$B41,$B42,$I$4:$I41,"&lt;&gt;Complete")=0,$A42&amp;"|"&amp;$B42,""),"")</f>
        <v/>
      </c>
      <c r="P42" t="str">
        <f ca="1">IF($K42="Yes",COUNTIFS($K$4:$K42,"Yes"),"")</f>
        <v/>
      </c>
      <c r="Q42">
        <f t="shared" ca="1" si="3"/>
        <v>0</v>
      </c>
      <c r="R42" t="str">
        <f ca="1">IF($Q42=1,SUM($Q$4:$Q42),"")</f>
        <v/>
      </c>
    </row>
    <row r="43" spans="1:18" ht="22.5" customHeight="1" x14ac:dyDescent="0.3">
      <c r="A43" s="2" t="s">
        <v>679</v>
      </c>
      <c r="B43" s="2" t="s">
        <v>62</v>
      </c>
      <c r="C43" s="3" t="s">
        <v>679</v>
      </c>
      <c r="D43" s="3" t="s">
        <v>32</v>
      </c>
      <c r="E43" s="2"/>
      <c r="F43" s="2" t="s">
        <v>265</v>
      </c>
      <c r="G43" s="5">
        <v>45483</v>
      </c>
      <c r="H43" s="5">
        <v>45483</v>
      </c>
      <c r="I43" s="2" t="s">
        <v>31</v>
      </c>
      <c r="J43" s="6">
        <f t="shared" si="1"/>
        <v>0</v>
      </c>
      <c r="K43" s="4" t="str">
        <f t="shared" ca="1" si="2"/>
        <v>-</v>
      </c>
      <c r="L43" s="7">
        <f t="shared" ca="1" si="4"/>
        <v>0</v>
      </c>
      <c r="M43" s="4" t="str">
        <f>IF($I43="Complete","Green",IF($H43="","Amber",IF($H43&lt;'[2]Read Me'!$B$4,"Red",IF($H43-'[2]Read Me'!$B$4&lt;=21,"Amber","Green"))))</f>
        <v>Red</v>
      </c>
      <c r="N43" s="3"/>
      <c r="O43" t="str">
        <f>IF($I43&lt;&gt;"Complete",IF(COUNTIFS($A$4:$A42,$A43,$B$4:$B42,$B43,$I$4:$I42,"&lt;&gt;Complete")=0,$A43&amp;"|"&amp;$B43,""),"")</f>
        <v/>
      </c>
      <c r="P43" t="str">
        <f ca="1">IF($K43="Yes",COUNTIFS($K$4:$K43,"Yes"),"")</f>
        <v/>
      </c>
      <c r="Q43">
        <f t="shared" ca="1" si="3"/>
        <v>0</v>
      </c>
      <c r="R43" t="str">
        <f ca="1">IF($Q43=1,SUM($Q$4:$Q43),"")</f>
        <v/>
      </c>
    </row>
    <row r="44" spans="1:18" ht="14.25" customHeight="1" x14ac:dyDescent="0.3">
      <c r="A44" s="2" t="s">
        <v>679</v>
      </c>
      <c r="B44" s="2" t="s">
        <v>62</v>
      </c>
      <c r="C44" s="3" t="s">
        <v>679</v>
      </c>
      <c r="D44" s="3" t="s">
        <v>19</v>
      </c>
      <c r="E44" s="2" t="s">
        <v>666</v>
      </c>
      <c r="F44" s="2" t="s">
        <v>81</v>
      </c>
      <c r="G44" s="5">
        <v>45483</v>
      </c>
      <c r="H44" s="5">
        <v>45483</v>
      </c>
      <c r="I44" s="4" t="s">
        <v>31</v>
      </c>
      <c r="J44" s="6">
        <f t="shared" si="1"/>
        <v>0</v>
      </c>
      <c r="K44" s="4" t="str">
        <f t="shared" ca="1" si="2"/>
        <v>-</v>
      </c>
      <c r="L44" s="7">
        <f t="shared" ca="1" si="4"/>
        <v>0</v>
      </c>
      <c r="M44" s="4" t="str">
        <f>IF($I44="Complete","Green",IF($H44="","Amber",IF($H44&lt;'[2]Read Me'!$B$4,"Red",IF($H44-'[2]Read Me'!$B$4&lt;=21,"Amber","Green"))))</f>
        <v>Red</v>
      </c>
      <c r="N44" s="3"/>
      <c r="O44" t="str">
        <f>IF($I44&lt;&gt;"Complete",IF(COUNTIFS($A$4:$A43,$A44,$B$4:$B43,$B44,$I$4:$I43,"&lt;&gt;Complete")=0,$A44&amp;"|"&amp;$B44,""),"")</f>
        <v/>
      </c>
      <c r="P44" t="str">
        <f ca="1">IF($K44="Yes",COUNTIFS($K$4:$K44,"Yes"),"")</f>
        <v/>
      </c>
      <c r="Q44">
        <f t="shared" ca="1" si="3"/>
        <v>0</v>
      </c>
      <c r="R44" t="str">
        <f ca="1">IF($Q44=1,SUM($Q$4:$Q44),"")</f>
        <v/>
      </c>
    </row>
    <row r="45" spans="1:18" ht="14.25" customHeight="1" x14ac:dyDescent="0.3">
      <c r="A45" s="2" t="s">
        <v>679</v>
      </c>
      <c r="B45" s="2" t="s">
        <v>62</v>
      </c>
      <c r="C45" s="3" t="s">
        <v>679</v>
      </c>
      <c r="D45" s="3" t="s">
        <v>681</v>
      </c>
      <c r="E45" s="2"/>
      <c r="F45" s="2" t="s">
        <v>197</v>
      </c>
      <c r="G45" s="5">
        <v>45549</v>
      </c>
      <c r="H45" s="5">
        <v>45549</v>
      </c>
      <c r="I45" s="4" t="s">
        <v>31</v>
      </c>
      <c r="J45" s="6">
        <f t="shared" si="1"/>
        <v>0</v>
      </c>
      <c r="K45" s="4" t="str">
        <f t="shared" ca="1" si="2"/>
        <v>-</v>
      </c>
      <c r="L45" s="7">
        <f t="shared" ca="1" si="4"/>
        <v>0</v>
      </c>
      <c r="M45" s="4" t="str">
        <f>IF($I45="Complete","Green",IF($H45="","Amber",IF($H45&lt;'[2]Read Me'!$B$4,"Red",IF($H45-'[2]Read Me'!$B$4&lt;=21,"Amber","Green"))))</f>
        <v>Red</v>
      </c>
      <c r="N45" s="3"/>
      <c r="O45" t="str">
        <f>IF($I45&lt;&gt;"Complete",IF(COUNTIFS($A$4:$A44,$A45,$B$4:$B44,$B45,$I$4:$I44,"&lt;&gt;Complete")=0,$A45&amp;"|"&amp;$B45,""),"")</f>
        <v/>
      </c>
      <c r="P45" t="str">
        <f ca="1">IF($K45="Yes",COUNTIFS($K$4:$K45,"Yes"),"")</f>
        <v/>
      </c>
      <c r="Q45">
        <f t="shared" ca="1" si="3"/>
        <v>0</v>
      </c>
      <c r="R45" t="str">
        <f ca="1">IF($Q45=1,SUM($Q$4:$Q45),"")</f>
        <v/>
      </c>
    </row>
    <row r="46" spans="1:18" ht="22.5" customHeight="1" x14ac:dyDescent="0.3">
      <c r="A46" s="2" t="s">
        <v>679</v>
      </c>
      <c r="B46" s="2" t="s">
        <v>62</v>
      </c>
      <c r="C46" s="3" t="s">
        <v>679</v>
      </c>
      <c r="D46" s="3" t="s">
        <v>15</v>
      </c>
      <c r="E46" s="2"/>
      <c r="F46" s="2" t="s">
        <v>197</v>
      </c>
      <c r="G46" s="5">
        <v>45608</v>
      </c>
      <c r="H46" s="5">
        <v>45613</v>
      </c>
      <c r="I46" s="4" t="s">
        <v>31</v>
      </c>
      <c r="J46" s="6">
        <f t="shared" si="1"/>
        <v>5</v>
      </c>
      <c r="K46" s="4" t="str">
        <f t="shared" ca="1" si="2"/>
        <v>-</v>
      </c>
      <c r="L46" s="7">
        <f t="shared" ca="1" si="4"/>
        <v>0</v>
      </c>
      <c r="M46" s="4" t="str">
        <f>IF($I46="Complete","Green",IF($H46="","Amber",IF($H46&lt;'[2]Read Me'!$B$4,"Red",IF($H46-'[2]Read Me'!$B$4&lt;=21,"Amber","Green"))))</f>
        <v>Red</v>
      </c>
      <c r="N46" s="3"/>
      <c r="O46" t="str">
        <f>IF($I46&lt;&gt;"Complete",IF(COUNTIFS($A$4:$A45,$A46,$B$4:$B45,$B46,$I$4:$I45,"&lt;&gt;Complete")=0,$A46&amp;"|"&amp;$B46,""),"")</f>
        <v/>
      </c>
      <c r="P46" t="str">
        <f ca="1">IF($K46="Yes",COUNTIFS($K$4:$K46,"Yes"),"")</f>
        <v/>
      </c>
      <c r="Q46">
        <f t="shared" ca="1" si="3"/>
        <v>0</v>
      </c>
      <c r="R46" t="str">
        <f ca="1">IF($Q46=1,SUM($Q$4:$Q46),"")</f>
        <v/>
      </c>
    </row>
    <row r="47" spans="1:18" ht="14.25" customHeight="1" x14ac:dyDescent="0.3">
      <c r="A47" s="2" t="s">
        <v>679</v>
      </c>
      <c r="B47" s="2" t="s">
        <v>62</v>
      </c>
      <c r="C47" s="3" t="s">
        <v>679</v>
      </c>
      <c r="D47" s="3" t="s">
        <v>35</v>
      </c>
      <c r="E47" s="2"/>
      <c r="F47" s="2" t="s">
        <v>265</v>
      </c>
      <c r="G47" s="5">
        <v>45630</v>
      </c>
      <c r="H47" s="5">
        <v>45656</v>
      </c>
      <c r="I47" s="4" t="s">
        <v>31</v>
      </c>
      <c r="J47" s="6">
        <f t="shared" si="1"/>
        <v>26</v>
      </c>
      <c r="K47" s="4" t="str">
        <f t="shared" ca="1" si="2"/>
        <v>-</v>
      </c>
      <c r="L47" s="7">
        <f t="shared" ca="1" si="4"/>
        <v>0</v>
      </c>
      <c r="M47" s="4" t="str">
        <f>IF($I47="Complete","Green",IF($H47="","Amber",IF($H47&lt;'[2]Read Me'!$B$4,"Red",IF($H47-'[2]Read Me'!$B$4&lt;=21,"Amber","Green"))))</f>
        <v>Red</v>
      </c>
      <c r="N47" s="3"/>
      <c r="O47" t="str">
        <f>IF($I47&lt;&gt;"Complete",IF(COUNTIFS($A$4:$A46,$A47,$B$4:$B46,$B47,$I$4:$I46,"&lt;&gt;Complete")=0,$A47&amp;"|"&amp;$B47,""),"")</f>
        <v/>
      </c>
      <c r="P47" t="str">
        <f ca="1">IF($K47="Yes",COUNTIFS($K$4:$K47,"Yes"),"")</f>
        <v/>
      </c>
      <c r="Q47">
        <f t="shared" ca="1" si="3"/>
        <v>0</v>
      </c>
      <c r="R47" t="str">
        <f ca="1">IF($Q47=1,SUM($Q$4:$Q47),"")</f>
        <v/>
      </c>
    </row>
    <row r="48" spans="1:18" ht="14.25" customHeight="1" x14ac:dyDescent="0.3">
      <c r="A48" s="2" t="s">
        <v>679</v>
      </c>
      <c r="B48" s="2" t="s">
        <v>62</v>
      </c>
      <c r="C48" s="3" t="s">
        <v>679</v>
      </c>
      <c r="D48" s="3" t="s">
        <v>682</v>
      </c>
      <c r="E48" s="2"/>
      <c r="F48" s="2" t="s">
        <v>197</v>
      </c>
      <c r="G48" s="5">
        <v>45630</v>
      </c>
      <c r="H48" s="5">
        <v>45656</v>
      </c>
      <c r="I48" s="4" t="s">
        <v>31</v>
      </c>
      <c r="J48" s="6">
        <f t="shared" si="1"/>
        <v>26</v>
      </c>
      <c r="K48" s="4" t="str">
        <f t="shared" ca="1" si="2"/>
        <v>-</v>
      </c>
      <c r="L48" s="7">
        <f t="shared" ca="1" si="4"/>
        <v>0</v>
      </c>
      <c r="M48" s="4" t="str">
        <f>IF($I48="Complete","Green",IF($H48="","Amber",IF($H48&lt;'[2]Read Me'!$B$4,"Red",IF($H48-'[2]Read Me'!$B$4&lt;=21,"Amber","Green"))))</f>
        <v>Red</v>
      </c>
      <c r="N48" s="3"/>
      <c r="O48" t="str">
        <f>IF($I48&lt;&gt;"Complete",IF(COUNTIFS($A$4:$A47,$A48,$B$4:$B47,$B48,$I$4:$I47,"&lt;&gt;Complete")=0,$A48&amp;"|"&amp;$B48,""),"")</f>
        <v/>
      </c>
      <c r="P48" t="str">
        <f ca="1">IF($K48="Yes",COUNTIFS($K$4:$K48,"Yes"),"")</f>
        <v/>
      </c>
      <c r="Q48">
        <f t="shared" ca="1" si="3"/>
        <v>0</v>
      </c>
      <c r="R48" t="str">
        <f ca="1">IF($Q48=1,SUM($Q$4:$Q48),"")</f>
        <v/>
      </c>
    </row>
    <row r="49" spans="1:18" ht="14.25" customHeight="1" x14ac:dyDescent="0.3">
      <c r="A49" s="2" t="s">
        <v>679</v>
      </c>
      <c r="B49" s="2" t="s">
        <v>62</v>
      </c>
      <c r="C49" s="3" t="s">
        <v>679</v>
      </c>
      <c r="D49" s="3" t="s">
        <v>20</v>
      </c>
      <c r="E49" s="2" t="s">
        <v>666</v>
      </c>
      <c r="F49" s="2" t="s">
        <v>81</v>
      </c>
      <c r="G49" s="5">
        <v>45630</v>
      </c>
      <c r="H49" s="5">
        <v>45656</v>
      </c>
      <c r="I49" s="4" t="s">
        <v>31</v>
      </c>
      <c r="J49" s="6">
        <f t="shared" si="1"/>
        <v>26</v>
      </c>
      <c r="K49" s="4" t="str">
        <f t="shared" ca="1" si="2"/>
        <v>-</v>
      </c>
      <c r="L49" s="7">
        <f t="shared" ca="1" si="4"/>
        <v>0</v>
      </c>
      <c r="M49" s="4" t="str">
        <f>IF($I49="Complete","Green",IF($H49="","Amber",IF($H49&lt;'[2]Read Me'!$B$4,"Red",IF($H49-'[2]Read Me'!$B$4&lt;=21,"Amber","Green"))))</f>
        <v>Red</v>
      </c>
      <c r="N49" s="3"/>
      <c r="O49" t="str">
        <f>IF($I49&lt;&gt;"Complete",IF(COUNTIFS($A$4:$A48,$A49,$B$4:$B48,$B49,$I$4:$I48,"&lt;&gt;Complete")=0,$A49&amp;"|"&amp;$B49,""),"")</f>
        <v/>
      </c>
      <c r="P49" t="str">
        <f ca="1">IF($K49="Yes",COUNTIFS($K$4:$K49,"Yes"),"")</f>
        <v/>
      </c>
      <c r="Q49">
        <f t="shared" ca="1" si="3"/>
        <v>0</v>
      </c>
      <c r="R49" t="str">
        <f ca="1">IF($Q49=1,SUM($Q$4:$Q49),"")</f>
        <v/>
      </c>
    </row>
    <row r="50" spans="1:18" ht="14.25" customHeight="1" x14ac:dyDescent="0.3">
      <c r="A50" s="2" t="s">
        <v>679</v>
      </c>
      <c r="B50" s="2" t="s">
        <v>62</v>
      </c>
      <c r="C50" s="3" t="s">
        <v>679</v>
      </c>
      <c r="D50" s="3" t="s">
        <v>683</v>
      </c>
      <c r="E50" s="2"/>
      <c r="F50" s="2" t="s">
        <v>197</v>
      </c>
      <c r="G50" s="5">
        <v>45775</v>
      </c>
      <c r="H50" s="5">
        <v>45775</v>
      </c>
      <c r="I50" s="4" t="s">
        <v>31</v>
      </c>
      <c r="J50" s="6">
        <f t="shared" si="1"/>
        <v>0</v>
      </c>
      <c r="K50" s="4" t="str">
        <f t="shared" ca="1" si="2"/>
        <v>-</v>
      </c>
      <c r="L50" s="7">
        <f t="shared" ca="1" si="4"/>
        <v>0</v>
      </c>
      <c r="M50" s="4" t="str">
        <f>IF($I50="Complete","Green",IF($H50="","Amber",IF($H50&lt;'[2]Read Me'!$B$4,"Red",IF($H50-'[2]Read Me'!$B$4&lt;=21,"Amber","Green"))))</f>
        <v>Red</v>
      </c>
      <c r="N50" s="3"/>
      <c r="O50" t="str">
        <f>IF($I50&lt;&gt;"Complete",IF(COUNTIFS($A$4:$A49,$A50,$B$4:$B49,$B50,$I$4:$I49,"&lt;&gt;Complete")=0,$A50&amp;"|"&amp;$B50,""),"")</f>
        <v/>
      </c>
      <c r="P50" t="str">
        <f ca="1">IF($K50="Yes",COUNTIFS($K$4:$K50,"Yes"),"")</f>
        <v/>
      </c>
      <c r="Q50">
        <f t="shared" ca="1" si="3"/>
        <v>0</v>
      </c>
      <c r="R50" t="str">
        <f ca="1">IF($Q50=1,SUM($Q$4:$Q50),"")</f>
        <v/>
      </c>
    </row>
    <row r="51" spans="1:18" ht="22.5" customHeight="1" x14ac:dyDescent="0.3">
      <c r="A51" s="2" t="s">
        <v>679</v>
      </c>
      <c r="B51" s="2" t="s">
        <v>62</v>
      </c>
      <c r="C51" s="3" t="s">
        <v>679</v>
      </c>
      <c r="D51" s="3" t="s">
        <v>684</v>
      </c>
      <c r="E51" s="2"/>
      <c r="F51" s="2" t="s">
        <v>265</v>
      </c>
      <c r="G51" s="5">
        <v>45796</v>
      </c>
      <c r="H51" s="5">
        <v>45796</v>
      </c>
      <c r="I51" s="4" t="s">
        <v>31</v>
      </c>
      <c r="J51" s="6">
        <f t="shared" si="1"/>
        <v>0</v>
      </c>
      <c r="K51" s="4" t="str">
        <f t="shared" ca="1" si="2"/>
        <v>-</v>
      </c>
      <c r="L51" s="7">
        <f t="shared" ca="1" si="4"/>
        <v>0</v>
      </c>
      <c r="M51" s="4" t="str">
        <f>IF($I51="Complete","Green",IF($H51="","Amber",IF($H51&lt;'[2]Read Me'!$B$4,"Red",IF($H51-'[2]Read Me'!$B$4&lt;=21,"Amber","Green"))))</f>
        <v>Red</v>
      </c>
      <c r="N51" s="3"/>
      <c r="O51" t="str">
        <f>IF($I51&lt;&gt;"Complete",IF(COUNTIFS($A$4:$A50,$A51,$B$4:$B50,$B51,$I$4:$I50,"&lt;&gt;Complete")=0,$A51&amp;"|"&amp;$B51,""),"")</f>
        <v/>
      </c>
      <c r="P51" t="str">
        <f ca="1">IF($K51="Yes",COUNTIFS($K$4:$K51,"Yes"),"")</f>
        <v/>
      </c>
      <c r="Q51">
        <f t="shared" ca="1" si="3"/>
        <v>0</v>
      </c>
      <c r="R51" t="str">
        <f ca="1">IF($Q51=1,SUM($Q$4:$Q51),"")</f>
        <v/>
      </c>
    </row>
    <row r="52" spans="1:18" ht="33.75" customHeight="1" x14ac:dyDescent="0.3">
      <c r="A52" s="2" t="s">
        <v>679</v>
      </c>
      <c r="B52" s="2" t="s">
        <v>62</v>
      </c>
      <c r="C52" s="3" t="s">
        <v>679</v>
      </c>
      <c r="D52" s="3" t="s">
        <v>685</v>
      </c>
      <c r="E52" s="2" t="s">
        <v>663</v>
      </c>
      <c r="F52" s="2" t="s">
        <v>197</v>
      </c>
      <c r="G52" s="5"/>
      <c r="H52" s="5">
        <v>46209</v>
      </c>
      <c r="I52" s="4" t="s">
        <v>46</v>
      </c>
      <c r="J52" s="6" t="str">
        <f t="shared" si="1"/>
        <v/>
      </c>
      <c r="K52" s="4" t="str">
        <f t="shared" ca="1" si="2"/>
        <v>No</v>
      </c>
      <c r="L52" s="7">
        <f t="shared" ca="1" si="4"/>
        <v>1</v>
      </c>
      <c r="M52" s="4" t="str">
        <f>IF($I52="Complete","Green",IF($H52="","Amber",IF($H52&lt;'[2]Read Me'!$B$4,"Red",IF($H52-'[2]Read Me'!$B$4&lt;=21,"Amber","Green"))))</f>
        <v>Green</v>
      </c>
      <c r="N52" s="3"/>
      <c r="O52" t="str">
        <f>IF($I52&lt;&gt;"Complete",IF(COUNTIFS($A$4:$A51,$A52,$B$4:$B51,$B52,$I$4:$I51,"&lt;&gt;Complete")=0,$A52&amp;"|"&amp;$B52,""),"")</f>
        <v/>
      </c>
      <c r="P52" t="str">
        <f ca="1">IF($K52="Yes",COUNTIFS($K$4:$K52,"Yes"),"")</f>
        <v/>
      </c>
      <c r="Q52">
        <f t="shared" ca="1" si="3"/>
        <v>0</v>
      </c>
      <c r="R52" t="str">
        <f ca="1">IF($Q52=1,SUM($Q$4:$Q52),"")</f>
        <v/>
      </c>
    </row>
    <row r="53" spans="1:18" ht="14.25" customHeight="1" x14ac:dyDescent="0.3">
      <c r="A53" s="2" t="s">
        <v>679</v>
      </c>
      <c r="B53" s="2" t="s">
        <v>62</v>
      </c>
      <c r="C53" s="3" t="s">
        <v>679</v>
      </c>
      <c r="D53" s="3" t="s">
        <v>37</v>
      </c>
      <c r="E53" s="2" t="s">
        <v>663</v>
      </c>
      <c r="F53" s="2" t="s">
        <v>265</v>
      </c>
      <c r="G53" s="5"/>
      <c r="H53" s="5">
        <v>46223</v>
      </c>
      <c r="I53" s="4" t="s">
        <v>17</v>
      </c>
      <c r="J53" s="6" t="str">
        <f t="shared" si="1"/>
        <v/>
      </c>
      <c r="K53" s="4" t="str">
        <f t="shared" ca="1" si="2"/>
        <v>No</v>
      </c>
      <c r="L53" s="7">
        <f t="shared" ca="1" si="4"/>
        <v>15</v>
      </c>
      <c r="M53" s="4" t="str">
        <f>IF($I53="Complete","Green",IF($H53="","Amber",IF($H53&lt;'[2]Read Me'!$B$4,"Red",IF($H53-'[2]Read Me'!$B$4&lt;=21,"Amber","Green"))))</f>
        <v>Green</v>
      </c>
      <c r="N53" s="3"/>
      <c r="O53" t="str">
        <f>IF($I53&lt;&gt;"Complete",IF(COUNTIFS($A$4:$A52,$A53,$B$4:$B52,$B53,$I$4:$I52,"&lt;&gt;Complete")=0,$A53&amp;"|"&amp;$B53,""),"")</f>
        <v/>
      </c>
      <c r="P53" t="str">
        <f ca="1">IF($K53="Yes",COUNTIFS($K$4:$K53,"Yes"),"")</f>
        <v/>
      </c>
      <c r="Q53">
        <f t="shared" ca="1" si="3"/>
        <v>0</v>
      </c>
      <c r="R53" t="str">
        <f ca="1">IF($Q53=1,SUM($Q$4:$Q53),"")</f>
        <v/>
      </c>
    </row>
    <row r="54" spans="1:18" ht="14.25" customHeight="1" x14ac:dyDescent="0.3">
      <c r="A54" s="2" t="s">
        <v>686</v>
      </c>
      <c r="B54" s="2" t="s">
        <v>49</v>
      </c>
      <c r="C54" s="3"/>
      <c r="D54" s="3"/>
      <c r="E54" s="2"/>
      <c r="F54" s="2"/>
      <c r="G54" s="5">
        <v>46027</v>
      </c>
      <c r="H54" s="5">
        <v>46307</v>
      </c>
      <c r="I54" s="4"/>
      <c r="J54" s="6">
        <f t="shared" si="1"/>
        <v>280</v>
      </c>
      <c r="K54" s="4" t="str">
        <f t="shared" ca="1" si="2"/>
        <v/>
      </c>
      <c r="L54" s="7">
        <f t="shared" ca="1" si="4"/>
        <v>99</v>
      </c>
      <c r="M54" s="4" t="str">
        <f>IF($I54="Complete","Green",IF($H54="","Amber",IF($H54&lt;'[2]Read Me'!$B$4,"Red",IF($H54-'[2]Read Me'!$B$4&lt;=21,"Amber","Green"))))</f>
        <v>Green</v>
      </c>
      <c r="N54" s="3"/>
      <c r="O54" t="str">
        <f>IF($I54&lt;&gt;"Complete",IF(COUNTIFS($A$4:$A53,$A54,$B$4:$B53,$B54,$I$4:$I53,"&lt;&gt;Complete")=0,$A54&amp;"|"&amp;$B54,""),"")</f>
        <v>Authorities Twain Apartments-Phase 5|Authorities</v>
      </c>
      <c r="P54" t="str">
        <f ca="1">IF($K54="Yes",COUNTIFS($K$4:$K54,"Yes"),"")</f>
        <v/>
      </c>
      <c r="Q54">
        <f t="shared" ca="1" si="3"/>
        <v>0</v>
      </c>
      <c r="R54" t="str">
        <f ca="1">IF($Q54=1,SUM($Q$4:$Q54),"")</f>
        <v/>
      </c>
    </row>
    <row r="55" spans="1:18" ht="14.25" customHeight="1" x14ac:dyDescent="0.3">
      <c r="A55" s="2" t="s">
        <v>686</v>
      </c>
      <c r="B55" s="2" t="s">
        <v>49</v>
      </c>
      <c r="C55" s="3" t="s">
        <v>686</v>
      </c>
      <c r="D55" s="3" t="s">
        <v>687</v>
      </c>
      <c r="E55" s="2" t="s">
        <v>104</v>
      </c>
      <c r="F55" s="2"/>
      <c r="G55" s="5">
        <v>45943</v>
      </c>
      <c r="H55" s="5">
        <v>46113</v>
      </c>
      <c r="I55" s="4" t="s">
        <v>31</v>
      </c>
      <c r="J55" s="6">
        <f t="shared" si="1"/>
        <v>170</v>
      </c>
      <c r="K55" s="4" t="str">
        <f t="shared" ca="1" si="2"/>
        <v>-</v>
      </c>
      <c r="L55" s="7">
        <f t="shared" ca="1" si="4"/>
        <v>0</v>
      </c>
      <c r="M55" s="4" t="str">
        <f>IF($I55="Complete","Green",IF($H55="","Amber",IF($H55&lt;'[2]Read Me'!$B$4,"Red",IF($H55-'[2]Read Me'!$B$4&lt;=21,"Amber","Green"))))</f>
        <v>Red</v>
      </c>
      <c r="N55" s="3"/>
      <c r="O55" t="str">
        <f>IF($I55&lt;&gt;"Complete",IF(COUNTIFS($A$4:$A54,$A55,$B$4:$B54,$B55,$I$4:$I54,"&lt;&gt;Complete")=0,$A55&amp;"|"&amp;$B55,""),"")</f>
        <v/>
      </c>
      <c r="P55" t="str">
        <f ca="1">IF($K55="Yes",COUNTIFS($K$4:$K55,"Yes"),"")</f>
        <v/>
      </c>
      <c r="Q55">
        <f t="shared" ca="1" si="3"/>
        <v>0</v>
      </c>
      <c r="R55" t="str">
        <f ca="1">IF($Q55=1,SUM($Q$4:$Q55),"")</f>
        <v/>
      </c>
    </row>
    <row r="56" spans="1:18" ht="14.25" customHeight="1" x14ac:dyDescent="0.3">
      <c r="A56" s="2" t="s">
        <v>686</v>
      </c>
      <c r="B56" s="2" t="s">
        <v>49</v>
      </c>
      <c r="C56" s="3" t="s">
        <v>686</v>
      </c>
      <c r="D56" s="3" t="s">
        <v>688</v>
      </c>
      <c r="E56" s="2" t="s">
        <v>104</v>
      </c>
      <c r="F56" s="2"/>
      <c r="G56" s="5">
        <v>45985</v>
      </c>
      <c r="H56" s="5">
        <v>46223</v>
      </c>
      <c r="I56" s="4" t="s">
        <v>46</v>
      </c>
      <c r="J56" s="6">
        <f t="shared" si="1"/>
        <v>238</v>
      </c>
      <c r="K56" s="4" t="str">
        <f t="shared" ca="1" si="2"/>
        <v>No</v>
      </c>
      <c r="L56" s="7">
        <f t="shared" ca="1" si="4"/>
        <v>15</v>
      </c>
      <c r="M56" s="4" t="str">
        <f>IF($I56="Complete","Green",IF($H56="","Amber",IF($H56&lt;'[2]Read Me'!$B$4,"Red",IF($H56-'[2]Read Me'!$B$4&lt;=21,"Amber","Green"))))</f>
        <v>Green</v>
      </c>
      <c r="N56" s="3"/>
      <c r="O56" t="str">
        <f>IF($I56&lt;&gt;"Complete",IF(COUNTIFS($A$4:$A55,$A56,$B$4:$B55,$B56,$I$4:$I55,"&lt;&gt;Complete")=0,$A56&amp;"|"&amp;$B56,""),"")</f>
        <v/>
      </c>
      <c r="P56" t="str">
        <f ca="1">IF($K56="Yes",COUNTIFS($K$4:$K56,"Yes"),"")</f>
        <v/>
      </c>
      <c r="Q56">
        <f t="shared" ca="1" si="3"/>
        <v>0</v>
      </c>
      <c r="R56" t="str">
        <f ca="1">IF($Q56=1,SUM($Q$4:$Q56),"")</f>
        <v/>
      </c>
    </row>
    <row r="57" spans="1:18" ht="14.25" customHeight="1" x14ac:dyDescent="0.3">
      <c r="A57" s="2" t="s">
        <v>686</v>
      </c>
      <c r="B57" s="2" t="s">
        <v>49</v>
      </c>
      <c r="C57" s="3" t="s">
        <v>686</v>
      </c>
      <c r="D57" s="3" t="s">
        <v>689</v>
      </c>
      <c r="E57" s="2" t="s">
        <v>104</v>
      </c>
      <c r="F57" s="2"/>
      <c r="G57" s="5">
        <v>46027</v>
      </c>
      <c r="H57" s="5">
        <v>46265</v>
      </c>
      <c r="I57" s="4" t="s">
        <v>17</v>
      </c>
      <c r="J57" s="6">
        <f t="shared" si="1"/>
        <v>238</v>
      </c>
      <c r="K57" s="4" t="str">
        <f t="shared" ca="1" si="2"/>
        <v>No</v>
      </c>
      <c r="L57" s="7">
        <f t="shared" ca="1" si="4"/>
        <v>57</v>
      </c>
      <c r="M57" s="4" t="str">
        <f>IF($I57="Complete","Green",IF($H57="","Amber",IF($H57&lt;'[2]Read Me'!$B$4,"Red",IF($H57-'[2]Read Me'!$B$4&lt;=21,"Amber","Green"))))</f>
        <v>Green</v>
      </c>
      <c r="N57" s="3"/>
      <c r="O57" t="str">
        <f>IF($I57&lt;&gt;"Complete",IF(COUNTIFS($A$4:$A56,$A57,$B$4:$B56,$B57,$I$4:$I56,"&lt;&gt;Complete")=0,$A57&amp;"|"&amp;$B57,""),"")</f>
        <v/>
      </c>
      <c r="P57" t="str">
        <f ca="1">IF($K57="Yes",COUNTIFS($K$4:$K57,"Yes"),"")</f>
        <v/>
      </c>
      <c r="Q57">
        <f t="shared" ca="1" si="3"/>
        <v>0</v>
      </c>
      <c r="R57" t="str">
        <f ca="1">IF($Q57=1,SUM($Q$4:$Q57),"")</f>
        <v/>
      </c>
    </row>
    <row r="58" spans="1:18" ht="14.25" customHeight="1" x14ac:dyDescent="0.3">
      <c r="A58" s="2" t="s">
        <v>686</v>
      </c>
      <c r="B58" s="2" t="s">
        <v>49</v>
      </c>
      <c r="C58" s="3" t="s">
        <v>686</v>
      </c>
      <c r="D58" s="3" t="s">
        <v>690</v>
      </c>
      <c r="E58" s="2" t="s">
        <v>104</v>
      </c>
      <c r="F58" s="2"/>
      <c r="G58" s="5">
        <v>46069</v>
      </c>
      <c r="H58" s="5">
        <v>46307</v>
      </c>
      <c r="I58" s="4" t="s">
        <v>17</v>
      </c>
      <c r="J58" s="6">
        <f t="shared" si="1"/>
        <v>238</v>
      </c>
      <c r="K58" s="4" t="str">
        <f t="shared" ca="1" si="2"/>
        <v>No</v>
      </c>
      <c r="L58" s="7">
        <f t="shared" ca="1" si="4"/>
        <v>99</v>
      </c>
      <c r="M58" s="4" t="str">
        <f>IF($I58="Complete","Green",IF($H58="","Amber",IF($H58&lt;'[2]Read Me'!$B$4,"Red",IF($H58-'[2]Read Me'!$B$4&lt;=21,"Amber","Green"))))</f>
        <v>Green</v>
      </c>
      <c r="N58" s="3"/>
      <c r="O58" t="str">
        <f>IF($I58&lt;&gt;"Complete",IF(COUNTIFS($A$4:$A57,$A58,$B$4:$B57,$B58,$I$4:$I57,"&lt;&gt;Complete")=0,$A58&amp;"|"&amp;$B58,""),"")</f>
        <v/>
      </c>
      <c r="P58" t="str">
        <f ca="1">IF($K58="Yes",COUNTIFS($K$4:$K58,"Yes"),"")</f>
        <v/>
      </c>
      <c r="Q58">
        <f t="shared" ca="1" si="3"/>
        <v>0</v>
      </c>
      <c r="R58" t="str">
        <f ca="1">IF($Q58=1,SUM($Q$4:$Q58),"")</f>
        <v/>
      </c>
    </row>
    <row r="59" spans="1:18" ht="14.25" customHeight="1" x14ac:dyDescent="0.3">
      <c r="A59" s="2" t="s">
        <v>691</v>
      </c>
      <c r="B59" s="2" t="s">
        <v>62</v>
      </c>
      <c r="C59" s="3"/>
      <c r="D59" s="3"/>
      <c r="E59" s="2"/>
      <c r="F59" s="2"/>
      <c r="G59" s="5">
        <v>45830</v>
      </c>
      <c r="H59" s="5">
        <v>46174</v>
      </c>
      <c r="I59" s="4"/>
      <c r="J59" s="6">
        <f t="shared" si="1"/>
        <v>344</v>
      </c>
      <c r="K59" s="4" t="str">
        <f t="shared" ca="1" si="2"/>
        <v/>
      </c>
      <c r="L59" s="7">
        <f t="shared" ca="1" si="4"/>
        <v>-34</v>
      </c>
      <c r="M59" s="4" t="str">
        <f>IF($I59="Complete","Green",IF($H59="","Amber",IF($H59&lt;'[2]Read Me'!$B$4,"Red",IF($H59-'[2]Read Me'!$B$4&lt;=21,"Amber","Green"))))</f>
        <v>Red</v>
      </c>
      <c r="N59" s="3"/>
      <c r="O59" t="str">
        <f>IF($I59&lt;&gt;"Complete",IF(COUNTIFS($A$4:$A58,$A59,$B$4:$B58,$B59,$I$4:$I58,"&lt;&gt;Complete")=0,$A59&amp;"|"&amp;$B59,""),"")</f>
        <v>One Story Villas-Ph5|Buildings</v>
      </c>
      <c r="P59" t="str">
        <f ca="1">IF($K59="Yes",COUNTIFS($K$4:$K59,"Yes"),"")</f>
        <v/>
      </c>
      <c r="Q59">
        <f t="shared" ca="1" si="3"/>
        <v>0</v>
      </c>
      <c r="R59" t="str">
        <f ca="1">IF($Q59=1,SUM($Q$4:$Q59),"")</f>
        <v/>
      </c>
    </row>
    <row r="60" spans="1:18" ht="14.25" customHeight="1" x14ac:dyDescent="0.3">
      <c r="A60" s="2" t="s">
        <v>691</v>
      </c>
      <c r="B60" s="2" t="s">
        <v>62</v>
      </c>
      <c r="C60" s="3" t="s">
        <v>691</v>
      </c>
      <c r="D60" s="3" t="s">
        <v>692</v>
      </c>
      <c r="E60" s="2"/>
      <c r="F60" s="2" t="s">
        <v>197</v>
      </c>
      <c r="G60" s="5"/>
      <c r="H60" s="5">
        <v>45286</v>
      </c>
      <c r="I60" s="4" t="s">
        <v>31</v>
      </c>
      <c r="J60" s="6" t="str">
        <f t="shared" si="1"/>
        <v/>
      </c>
      <c r="K60" s="4" t="str">
        <f t="shared" ca="1" si="2"/>
        <v>-</v>
      </c>
      <c r="L60" s="7">
        <f t="shared" ca="1" si="4"/>
        <v>0</v>
      </c>
      <c r="M60" s="4" t="str">
        <f>IF($I60="Complete","Green",IF($H60="","Amber",IF($H60&lt;'[2]Read Me'!$B$4,"Red",IF($H60-'[2]Read Me'!$B$4&lt;=21,"Amber","Green"))))</f>
        <v>Red</v>
      </c>
      <c r="N60" s="3"/>
      <c r="O60" t="str">
        <f>IF($I60&lt;&gt;"Complete",IF(COUNTIFS($A$4:$A59,$A60,$B$4:$B59,$B60,$I$4:$I59,"&lt;&gt;Complete")=0,$A60&amp;"|"&amp;$B60,""),"")</f>
        <v/>
      </c>
      <c r="P60" t="str">
        <f ca="1">IF($K60="Yes",COUNTIFS($K$4:$K60,"Yes"),"")</f>
        <v/>
      </c>
      <c r="Q60">
        <f t="shared" ca="1" si="3"/>
        <v>0</v>
      </c>
      <c r="R60" t="str">
        <f ca="1">IF($Q60=1,SUM($Q$4:$Q60),"")</f>
        <v/>
      </c>
    </row>
    <row r="61" spans="1:18" ht="14.25" customHeight="1" x14ac:dyDescent="0.3">
      <c r="A61" s="2" t="s">
        <v>691</v>
      </c>
      <c r="B61" s="2" t="s">
        <v>62</v>
      </c>
      <c r="C61" s="3" t="s">
        <v>691</v>
      </c>
      <c r="D61" s="3" t="s">
        <v>693</v>
      </c>
      <c r="E61" s="2"/>
      <c r="F61" s="2" t="s">
        <v>265</v>
      </c>
      <c r="G61" s="5"/>
      <c r="H61" s="5">
        <v>45307</v>
      </c>
      <c r="I61" s="4" t="s">
        <v>31</v>
      </c>
      <c r="J61" s="6" t="str">
        <f t="shared" si="1"/>
        <v/>
      </c>
      <c r="K61" s="4" t="str">
        <f t="shared" ca="1" si="2"/>
        <v>-</v>
      </c>
      <c r="L61" s="7">
        <f t="shared" ca="1" si="4"/>
        <v>0</v>
      </c>
      <c r="M61" s="4" t="str">
        <f>IF($I61="Complete","Green",IF($H61="","Amber",IF($H61&lt;'[2]Read Me'!$B$4,"Red",IF($H61-'[2]Read Me'!$B$4&lt;=21,"Amber","Green"))))</f>
        <v>Red</v>
      </c>
      <c r="N61" s="3"/>
      <c r="O61" t="str">
        <f>IF($I61&lt;&gt;"Complete",IF(COUNTIFS($A$4:$A60,$A61,$B$4:$B60,$B61,$I$4:$I60,"&lt;&gt;Complete")=0,$A61&amp;"|"&amp;$B61,""),"")</f>
        <v/>
      </c>
      <c r="P61" t="str">
        <f ca="1">IF($K61="Yes",COUNTIFS($K$4:$K61,"Yes"),"")</f>
        <v/>
      </c>
      <c r="Q61">
        <f t="shared" ca="1" si="3"/>
        <v>0</v>
      </c>
      <c r="R61" t="str">
        <f ca="1">IF($Q61=1,SUM($Q$4:$Q61),"")</f>
        <v/>
      </c>
    </row>
    <row r="62" spans="1:18" ht="14.25" customHeight="1" x14ac:dyDescent="0.3">
      <c r="A62" s="2" t="s">
        <v>691</v>
      </c>
      <c r="B62" s="2" t="s">
        <v>62</v>
      </c>
      <c r="C62" s="3" t="s">
        <v>691</v>
      </c>
      <c r="D62" s="3" t="s">
        <v>132</v>
      </c>
      <c r="E62" s="2" t="s">
        <v>666</v>
      </c>
      <c r="F62" s="2" t="s">
        <v>81</v>
      </c>
      <c r="G62" s="5"/>
      <c r="H62" s="5">
        <v>45321</v>
      </c>
      <c r="I62" s="4" t="s">
        <v>31</v>
      </c>
      <c r="J62" s="6" t="str">
        <f t="shared" si="1"/>
        <v/>
      </c>
      <c r="K62" s="4" t="str">
        <f t="shared" ca="1" si="2"/>
        <v>-</v>
      </c>
      <c r="L62" s="7">
        <f t="shared" ca="1" si="4"/>
        <v>0</v>
      </c>
      <c r="M62" s="4" t="str">
        <f>IF($I62="Complete","Green",IF($H62="","Amber",IF($H62&lt;'[2]Read Me'!$B$4,"Red",IF($H62-'[2]Read Me'!$B$4&lt;=21,"Amber","Green"))))</f>
        <v>Red</v>
      </c>
      <c r="N62" s="3"/>
      <c r="O62" t="str">
        <f>IF($I62&lt;&gt;"Complete",IF(COUNTIFS($A$4:$A61,$A62,$B$4:$B61,$B62,$I$4:$I61,"&lt;&gt;Complete")=0,$A62&amp;"|"&amp;$B62,""),"")</f>
        <v/>
      </c>
      <c r="P62" t="str">
        <f ca="1">IF($K62="Yes",COUNTIFS($K$4:$K62,"Yes"),"")</f>
        <v/>
      </c>
      <c r="Q62">
        <f t="shared" ca="1" si="3"/>
        <v>0</v>
      </c>
      <c r="R62" t="str">
        <f ca="1">IF($Q62=1,SUM($Q$4:$Q62),"")</f>
        <v/>
      </c>
    </row>
    <row r="63" spans="1:18" ht="22.5" customHeight="1" x14ac:dyDescent="0.3">
      <c r="A63" s="2" t="s">
        <v>691</v>
      </c>
      <c r="B63" s="2" t="s">
        <v>62</v>
      </c>
      <c r="C63" s="3" t="s">
        <v>691</v>
      </c>
      <c r="D63" s="3" t="s">
        <v>694</v>
      </c>
      <c r="E63" s="2"/>
      <c r="F63" s="2" t="s">
        <v>197</v>
      </c>
      <c r="G63" s="5">
        <v>45286</v>
      </c>
      <c r="H63" s="5">
        <v>45458</v>
      </c>
      <c r="I63" s="4" t="s">
        <v>31</v>
      </c>
      <c r="J63" s="6">
        <f t="shared" si="1"/>
        <v>172</v>
      </c>
      <c r="K63" s="4" t="str">
        <f t="shared" ca="1" si="2"/>
        <v>-</v>
      </c>
      <c r="L63" s="7">
        <f t="shared" ca="1" si="4"/>
        <v>0</v>
      </c>
      <c r="M63" s="4" t="str">
        <f>IF($I63="Complete","Green",IF($H63="","Amber",IF($H63&lt;'[2]Read Me'!$B$4,"Red",IF($H63-'[2]Read Me'!$B$4&lt;=21,"Amber","Green"))))</f>
        <v>Red</v>
      </c>
      <c r="N63" s="3"/>
      <c r="O63" t="str">
        <f>IF($I63&lt;&gt;"Complete",IF(COUNTIFS($A$4:$A62,$A63,$B$4:$B62,$B63,$I$4:$I62,"&lt;&gt;Complete")=0,$A63&amp;"|"&amp;$B63,""),"")</f>
        <v/>
      </c>
      <c r="P63" t="str">
        <f ca="1">IF($K63="Yes",COUNTIFS($K$4:$K63,"Yes"),"")</f>
        <v/>
      </c>
      <c r="Q63">
        <f t="shared" ca="1" si="3"/>
        <v>0</v>
      </c>
      <c r="R63" t="str">
        <f ca="1">IF($Q63=1,SUM($Q$4:$Q63),"")</f>
        <v/>
      </c>
    </row>
    <row r="64" spans="1:18" ht="22.5" customHeight="1" x14ac:dyDescent="0.3">
      <c r="A64" s="2" t="s">
        <v>691</v>
      </c>
      <c r="B64" s="2" t="s">
        <v>62</v>
      </c>
      <c r="C64" s="3" t="s">
        <v>691</v>
      </c>
      <c r="D64" s="3" t="s">
        <v>695</v>
      </c>
      <c r="E64" s="2"/>
      <c r="F64" s="2" t="s">
        <v>265</v>
      </c>
      <c r="G64" s="5">
        <v>45307</v>
      </c>
      <c r="H64" s="5">
        <v>45472</v>
      </c>
      <c r="I64" s="4" t="s">
        <v>31</v>
      </c>
      <c r="J64" s="6">
        <f t="shared" si="1"/>
        <v>165</v>
      </c>
      <c r="K64" s="4" t="str">
        <f t="shared" ca="1" si="2"/>
        <v>-</v>
      </c>
      <c r="L64" s="7">
        <f t="shared" ca="1" si="4"/>
        <v>0</v>
      </c>
      <c r="M64" s="4" t="str">
        <f>IF($I64="Complete","Green",IF($H64="","Amber",IF($H64&lt;'[2]Read Me'!$B$4,"Red",IF($H64-'[2]Read Me'!$B$4&lt;=21,"Amber","Green"))))</f>
        <v>Red</v>
      </c>
      <c r="N64" s="3"/>
      <c r="O64" t="str">
        <f>IF($I64&lt;&gt;"Complete",IF(COUNTIFS($A$4:$A63,$A64,$B$4:$B63,$B64,$I$4:$I63,"&lt;&gt;Complete")=0,$A64&amp;"|"&amp;$B64,""),"")</f>
        <v/>
      </c>
      <c r="P64" t="str">
        <f ca="1">IF($K64="Yes",COUNTIFS($K$4:$K64,"Yes"),"")</f>
        <v/>
      </c>
      <c r="Q64">
        <f t="shared" ca="1" si="3"/>
        <v>0</v>
      </c>
      <c r="R64" t="str">
        <f ca="1">IF($Q64=1,SUM($Q$4:$Q64),"")</f>
        <v/>
      </c>
    </row>
    <row r="65" spans="1:18" ht="22.5" customHeight="1" x14ac:dyDescent="0.3">
      <c r="A65" s="2" t="s">
        <v>691</v>
      </c>
      <c r="B65" s="2" t="s">
        <v>62</v>
      </c>
      <c r="C65" s="3" t="s">
        <v>691</v>
      </c>
      <c r="D65" s="3" t="s">
        <v>696</v>
      </c>
      <c r="E65" s="2"/>
      <c r="F65" s="2" t="s">
        <v>197</v>
      </c>
      <c r="G65" s="5"/>
      <c r="H65" s="5"/>
      <c r="I65" s="4" t="s">
        <v>31</v>
      </c>
      <c r="J65" s="6" t="str">
        <f t="shared" si="1"/>
        <v/>
      </c>
      <c r="K65" s="4" t="str">
        <f t="shared" ca="1" si="2"/>
        <v/>
      </c>
      <c r="L65" s="7">
        <f t="shared" ca="1" si="4"/>
        <v>0</v>
      </c>
      <c r="M65" s="4" t="str">
        <f>IF($I65="Complete","Green",IF($H65="","Amber",IF($H65&lt;'[2]Read Me'!$B$4,"Red",IF($H65-'[2]Read Me'!$B$4&lt;=21,"Amber","Green"))))</f>
        <v>Amber</v>
      </c>
      <c r="N65" s="3"/>
      <c r="O65" t="str">
        <f>IF($I65&lt;&gt;"Complete",IF(COUNTIFS($A$4:$A64,$A65,$B$4:$B64,$B65,$I$4:$I64,"&lt;&gt;Complete")=0,$A65&amp;"|"&amp;$B65,""),"")</f>
        <v/>
      </c>
      <c r="P65" t="str">
        <f ca="1">IF($K65="Yes",COUNTIFS($K$4:$K65,"Yes"),"")</f>
        <v/>
      </c>
      <c r="Q65">
        <f t="shared" ca="1" si="3"/>
        <v>0</v>
      </c>
      <c r="R65" t="str">
        <f ca="1">IF($Q65=1,SUM($Q$4:$Q65),"")</f>
        <v/>
      </c>
    </row>
    <row r="66" spans="1:18" ht="22.5" customHeight="1" x14ac:dyDescent="0.3">
      <c r="A66" s="2" t="s">
        <v>691</v>
      </c>
      <c r="B66" s="2" t="s">
        <v>62</v>
      </c>
      <c r="C66" s="3" t="s">
        <v>691</v>
      </c>
      <c r="D66" s="3" t="s">
        <v>18</v>
      </c>
      <c r="E66" s="2"/>
      <c r="F66" s="2" t="s">
        <v>197</v>
      </c>
      <c r="G66" s="5">
        <v>45544</v>
      </c>
      <c r="H66" s="5">
        <v>45544</v>
      </c>
      <c r="I66" s="4" t="s">
        <v>31</v>
      </c>
      <c r="J66" s="6">
        <f t="shared" si="1"/>
        <v>0</v>
      </c>
      <c r="K66" s="4" t="str">
        <f t="shared" ca="1" si="2"/>
        <v>-</v>
      </c>
      <c r="L66" s="7">
        <f t="shared" ca="1" si="4"/>
        <v>0</v>
      </c>
      <c r="M66" s="4" t="str">
        <f>IF($I66="Complete","Green",IF($H66="","Amber",IF($H66&lt;'[2]Read Me'!$B$4,"Red",IF($H66-'[2]Read Me'!$B$4&lt;=21,"Amber","Green"))))</f>
        <v>Red</v>
      </c>
      <c r="N66" s="3"/>
      <c r="O66" t="str">
        <f>IF($I66&lt;&gt;"Complete",IF(COUNTIFS($A$4:$A65,$A66,$B$4:$B65,$B66,$I$4:$I65,"&lt;&gt;Complete")=0,$A66&amp;"|"&amp;$B66,""),"")</f>
        <v/>
      </c>
      <c r="P66" t="str">
        <f ca="1">IF($K66="Yes",COUNTIFS($K$4:$K66,"Yes"),"")</f>
        <v/>
      </c>
      <c r="Q66">
        <f t="shared" ca="1" si="3"/>
        <v>0</v>
      </c>
      <c r="R66" t="str">
        <f ca="1">IF($Q66=1,SUM($Q$4:$Q66),"")</f>
        <v/>
      </c>
    </row>
    <row r="67" spans="1:18" ht="22.5" customHeight="1" x14ac:dyDescent="0.3">
      <c r="A67" s="2" t="s">
        <v>691</v>
      </c>
      <c r="B67" s="2" t="s">
        <v>62</v>
      </c>
      <c r="C67" s="3" t="s">
        <v>691</v>
      </c>
      <c r="D67" s="3" t="s">
        <v>32</v>
      </c>
      <c r="E67" s="2"/>
      <c r="F67" s="2" t="s">
        <v>265</v>
      </c>
      <c r="G67" s="5">
        <v>45585</v>
      </c>
      <c r="H67" s="5">
        <v>45585</v>
      </c>
      <c r="I67" s="4" t="s">
        <v>31</v>
      </c>
      <c r="J67" s="6">
        <f t="shared" si="1"/>
        <v>0</v>
      </c>
      <c r="K67" s="4" t="str">
        <f t="shared" ca="1" si="2"/>
        <v>-</v>
      </c>
      <c r="L67" s="7">
        <f t="shared" ca="1" si="4"/>
        <v>0</v>
      </c>
      <c r="M67" s="4" t="str">
        <f>IF($I67="Complete","Green",IF($H67="","Amber",IF($H67&lt;'[2]Read Me'!$B$4,"Red",IF($H67-'[2]Read Me'!$B$4&lt;=21,"Amber","Green"))))</f>
        <v>Red</v>
      </c>
      <c r="N67" s="3"/>
      <c r="O67" t="str">
        <f>IF($I67&lt;&gt;"Complete",IF(COUNTIFS($A$4:$A66,$A67,$B$4:$B66,$B67,$I$4:$I66,"&lt;&gt;Complete")=0,$A67&amp;"|"&amp;$B67,""),"")</f>
        <v/>
      </c>
      <c r="P67" t="str">
        <f ca="1">IF($K67="Yes",COUNTIFS($K$4:$K67,"Yes"),"")</f>
        <v/>
      </c>
      <c r="Q67">
        <f t="shared" ca="1" si="3"/>
        <v>0</v>
      </c>
      <c r="R67" t="str">
        <f ca="1">IF($Q67=1,SUM($Q$4:$Q67),"")</f>
        <v/>
      </c>
    </row>
    <row r="68" spans="1:18" ht="22.5" customHeight="1" x14ac:dyDescent="0.3">
      <c r="A68" s="2" t="s">
        <v>691</v>
      </c>
      <c r="B68" s="2" t="s">
        <v>62</v>
      </c>
      <c r="C68" s="3" t="s">
        <v>691</v>
      </c>
      <c r="D68" s="3" t="s">
        <v>19</v>
      </c>
      <c r="E68" s="2" t="s">
        <v>666</v>
      </c>
      <c r="F68" s="2" t="s">
        <v>81</v>
      </c>
      <c r="G68" s="5">
        <v>45592</v>
      </c>
      <c r="H68" s="5">
        <v>45592</v>
      </c>
      <c r="I68" s="4" t="s">
        <v>31</v>
      </c>
      <c r="J68" s="6">
        <f t="shared" ref="J68:J131" si="5">IF(OR($G68="",$H68=""),"",$H68-$G68)</f>
        <v>0</v>
      </c>
      <c r="K68" s="4" t="str">
        <f t="shared" ref="K68:K131" ca="1" si="6">IF(C68="","",IF(H68="","",IF($I68="completed","-",IF($H68&gt;TODAY(),"No","Yes"))))</f>
        <v>-</v>
      </c>
      <c r="L68" s="7">
        <f t="shared" ca="1" si="4"/>
        <v>0</v>
      </c>
      <c r="M68" s="4" t="str">
        <f>IF($I68="Complete","Green",IF($H68="","Amber",IF($H68&lt;'[2]Read Me'!$B$4,"Red",IF($H68-'[2]Read Me'!$B$4&lt;=21,"Amber","Green"))))</f>
        <v>Red</v>
      </c>
      <c r="N68" s="3"/>
      <c r="O68" t="str">
        <f>IF($I68&lt;&gt;"Complete",IF(COUNTIFS($A$4:$A67,$A68,$B$4:$B67,$B68,$I$4:$I67,"&lt;&gt;Complete")=0,$A68&amp;"|"&amp;$B68,""),"")</f>
        <v/>
      </c>
      <c r="P68" t="str">
        <f ca="1">IF($K68="Yes",COUNTIFS($K$4:$K68,"Yes"),"")</f>
        <v/>
      </c>
      <c r="Q68">
        <f t="shared" ref="Q68:Q131" ca="1" si="7">IF(OR($I68="In Progress",$K68="Yes"),1,0)</f>
        <v>0</v>
      </c>
      <c r="R68" t="str">
        <f ca="1">IF($Q68=1,SUM($Q$4:$Q68),"")</f>
        <v/>
      </c>
    </row>
    <row r="69" spans="1:18" ht="22.5" customHeight="1" x14ac:dyDescent="0.3">
      <c r="A69" s="2" t="s">
        <v>691</v>
      </c>
      <c r="B69" s="2" t="s">
        <v>62</v>
      </c>
      <c r="C69" s="3" t="s">
        <v>691</v>
      </c>
      <c r="D69" s="3" t="s">
        <v>681</v>
      </c>
      <c r="E69" s="2"/>
      <c r="F69" s="2" t="s">
        <v>197</v>
      </c>
      <c r="G69" s="5">
        <v>45613</v>
      </c>
      <c r="H69" s="5">
        <v>45606</v>
      </c>
      <c r="I69" s="4" t="s">
        <v>31</v>
      </c>
      <c r="J69" s="6">
        <f t="shared" si="5"/>
        <v>-7</v>
      </c>
      <c r="K69" s="4" t="str">
        <f t="shared" ca="1" si="6"/>
        <v>-</v>
      </c>
      <c r="L69" s="7">
        <f t="shared" ref="L69:L132" ca="1" si="8">IF(I69="Completed",0,IF(H69="","",H69-TODAY()))</f>
        <v>0</v>
      </c>
      <c r="M69" s="4" t="str">
        <f>IF($I69="Complete","Green",IF($H69="","Amber",IF($H69&lt;'[2]Read Me'!$B$4,"Red",IF($H69-'[2]Read Me'!$B$4&lt;=21,"Amber","Green"))))</f>
        <v>Red</v>
      </c>
      <c r="N69" s="3"/>
      <c r="O69" t="str">
        <f>IF($I69&lt;&gt;"Complete",IF(COUNTIFS($A$4:$A68,$A69,$B$4:$B68,$B69,$I$4:$I68,"&lt;&gt;Complete")=0,$A69&amp;"|"&amp;$B69,""),"")</f>
        <v/>
      </c>
      <c r="P69" t="str">
        <f ca="1">IF($K69="Yes",COUNTIFS($K$4:$K69,"Yes"),"")</f>
        <v/>
      </c>
      <c r="Q69">
        <f t="shared" ca="1" si="7"/>
        <v>0</v>
      </c>
      <c r="R69" t="str">
        <f ca="1">IF($Q69=1,SUM($Q$4:$Q69),"")</f>
        <v/>
      </c>
    </row>
    <row r="70" spans="1:18" ht="22.5" customHeight="1" x14ac:dyDescent="0.3">
      <c r="A70" s="2" t="s">
        <v>691</v>
      </c>
      <c r="B70" s="2" t="s">
        <v>62</v>
      </c>
      <c r="C70" s="3" t="s">
        <v>691</v>
      </c>
      <c r="D70" s="3" t="s">
        <v>15</v>
      </c>
      <c r="E70" s="2"/>
      <c r="F70" s="2" t="s">
        <v>197</v>
      </c>
      <c r="G70" s="5">
        <v>45655</v>
      </c>
      <c r="H70" s="5">
        <v>45613</v>
      </c>
      <c r="I70" s="4" t="s">
        <v>31</v>
      </c>
      <c r="J70" s="6">
        <f t="shared" si="5"/>
        <v>-42</v>
      </c>
      <c r="K70" s="4" t="str">
        <f t="shared" ca="1" si="6"/>
        <v>-</v>
      </c>
      <c r="L70" s="7">
        <f t="shared" ca="1" si="8"/>
        <v>0</v>
      </c>
      <c r="M70" s="4" t="str">
        <f>IF($I70="Complete","Green",IF($H70="","Amber",IF($H70&lt;'[2]Read Me'!$B$4,"Red",IF($H70-'[2]Read Me'!$B$4&lt;=21,"Amber","Green"))))</f>
        <v>Red</v>
      </c>
      <c r="N70" s="3"/>
      <c r="O70" t="str">
        <f>IF($I70&lt;&gt;"Complete",IF(COUNTIFS($A$4:$A69,$A70,$B$4:$B69,$B70,$I$4:$I69,"&lt;&gt;Complete")=0,$A70&amp;"|"&amp;$B70,""),"")</f>
        <v/>
      </c>
      <c r="P70" t="str">
        <f ca="1">IF($K70="Yes",COUNTIFS($K$4:$K70,"Yes"),"")</f>
        <v/>
      </c>
      <c r="Q70">
        <f t="shared" ca="1" si="7"/>
        <v>0</v>
      </c>
      <c r="R70" t="str">
        <f ca="1">IF($Q70=1,SUM($Q$4:$Q70),"")</f>
        <v/>
      </c>
    </row>
    <row r="71" spans="1:18" ht="22.5" customHeight="1" x14ac:dyDescent="0.3">
      <c r="A71" s="2" t="s">
        <v>691</v>
      </c>
      <c r="B71" s="2" t="s">
        <v>62</v>
      </c>
      <c r="C71" s="3" t="s">
        <v>691</v>
      </c>
      <c r="D71" s="3" t="s">
        <v>35</v>
      </c>
      <c r="E71" s="2"/>
      <c r="F71" s="2" t="s">
        <v>265</v>
      </c>
      <c r="G71" s="5">
        <v>45676</v>
      </c>
      <c r="H71" s="5">
        <v>45669</v>
      </c>
      <c r="I71" s="4" t="s">
        <v>31</v>
      </c>
      <c r="J71" s="6">
        <f t="shared" si="5"/>
        <v>-7</v>
      </c>
      <c r="K71" s="4" t="str">
        <f t="shared" ca="1" si="6"/>
        <v>-</v>
      </c>
      <c r="L71" s="7">
        <f t="shared" ca="1" si="8"/>
        <v>0</v>
      </c>
      <c r="M71" s="4" t="str">
        <f>IF($I71="Complete","Green",IF($H71="","Amber",IF($H71&lt;'[2]Read Me'!$B$4,"Red",IF($H71-'[2]Read Me'!$B$4&lt;=21,"Amber","Green"))))</f>
        <v>Red</v>
      </c>
      <c r="N71" s="3"/>
      <c r="O71" t="str">
        <f>IF($I71&lt;&gt;"Complete",IF(COUNTIFS($A$4:$A70,$A71,$B$4:$B70,$B71,$I$4:$I70,"&lt;&gt;Complete")=0,$A71&amp;"|"&amp;$B71,""),"")</f>
        <v/>
      </c>
      <c r="P71" t="str">
        <f ca="1">IF($K71="Yes",COUNTIFS($K$4:$K71,"Yes"),"")</f>
        <v/>
      </c>
      <c r="Q71">
        <f t="shared" ca="1" si="7"/>
        <v>0</v>
      </c>
      <c r="R71" t="str">
        <f ca="1">IF($Q71=1,SUM($Q$4:$Q71),"")</f>
        <v/>
      </c>
    </row>
    <row r="72" spans="1:18" ht="33.75" customHeight="1" x14ac:dyDescent="0.3">
      <c r="A72" s="2" t="s">
        <v>691</v>
      </c>
      <c r="B72" s="2" t="s">
        <v>62</v>
      </c>
      <c r="C72" s="3" t="s">
        <v>691</v>
      </c>
      <c r="D72" s="3" t="s">
        <v>682</v>
      </c>
      <c r="E72" s="2"/>
      <c r="F72" s="2" t="s">
        <v>197</v>
      </c>
      <c r="G72" s="5">
        <v>45676</v>
      </c>
      <c r="H72" s="5">
        <v>45669</v>
      </c>
      <c r="I72" s="4" t="s">
        <v>31</v>
      </c>
      <c r="J72" s="6">
        <f t="shared" si="5"/>
        <v>-7</v>
      </c>
      <c r="K72" s="4" t="str">
        <f t="shared" ca="1" si="6"/>
        <v>-</v>
      </c>
      <c r="L72" s="7">
        <f t="shared" ca="1" si="8"/>
        <v>0</v>
      </c>
      <c r="M72" s="4" t="str">
        <f>IF($I72="Complete","Green",IF($H72="","Amber",IF($H72&lt;'[2]Read Me'!$B$4,"Red",IF($H72-'[2]Read Me'!$B$4&lt;=21,"Amber","Green"))))</f>
        <v>Red</v>
      </c>
      <c r="N72" s="3"/>
      <c r="O72" t="str">
        <f>IF($I72&lt;&gt;"Complete",IF(COUNTIFS($A$4:$A71,$A72,$B$4:$B71,$B72,$I$4:$I71,"&lt;&gt;Complete")=0,$A72&amp;"|"&amp;$B72,""),"")</f>
        <v/>
      </c>
      <c r="P72" t="str">
        <f ca="1">IF($K72="Yes",COUNTIFS($K$4:$K72,"Yes"),"")</f>
        <v/>
      </c>
      <c r="Q72">
        <f t="shared" ca="1" si="7"/>
        <v>0</v>
      </c>
      <c r="R72" t="str">
        <f ca="1">IF($Q72=1,SUM($Q$4:$Q72),"")</f>
        <v/>
      </c>
    </row>
    <row r="73" spans="1:18" ht="33.75" customHeight="1" x14ac:dyDescent="0.3">
      <c r="A73" s="2" t="s">
        <v>691</v>
      </c>
      <c r="B73" s="2" t="s">
        <v>62</v>
      </c>
      <c r="C73" s="3" t="s">
        <v>691</v>
      </c>
      <c r="D73" s="3" t="s">
        <v>20</v>
      </c>
      <c r="E73" s="2" t="s">
        <v>666</v>
      </c>
      <c r="F73" s="2" t="s">
        <v>81</v>
      </c>
      <c r="G73" s="5">
        <v>45676</v>
      </c>
      <c r="H73" s="5">
        <v>45669</v>
      </c>
      <c r="I73" s="4" t="s">
        <v>31</v>
      </c>
      <c r="J73" s="6">
        <f t="shared" si="5"/>
        <v>-7</v>
      </c>
      <c r="K73" s="4" t="str">
        <f t="shared" ca="1" si="6"/>
        <v>-</v>
      </c>
      <c r="L73" s="7">
        <f t="shared" ca="1" si="8"/>
        <v>0</v>
      </c>
      <c r="M73" s="4" t="str">
        <f>IF($I73="Complete","Green",IF($H73="","Amber",IF($H73&lt;'[2]Read Me'!$B$4,"Red",IF($H73-'[2]Read Me'!$B$4&lt;=21,"Amber","Green"))))</f>
        <v>Red</v>
      </c>
      <c r="N73" s="3"/>
      <c r="O73" t="str">
        <f>IF($I73&lt;&gt;"Complete",IF(COUNTIFS($A$4:$A72,$A73,$B$4:$B72,$B73,$I$4:$I72,"&lt;&gt;Complete")=0,$A73&amp;"|"&amp;$B73,""),"")</f>
        <v/>
      </c>
      <c r="P73" t="str">
        <f ca="1">IF($K73="Yes",COUNTIFS($K$4:$K73,"Yes"),"")</f>
        <v/>
      </c>
      <c r="Q73">
        <f t="shared" ca="1" si="7"/>
        <v>0</v>
      </c>
      <c r="R73" t="str">
        <f ca="1">IF($Q73=1,SUM($Q$4:$Q73),"")</f>
        <v/>
      </c>
    </row>
    <row r="74" spans="1:18" ht="33.75" customHeight="1" x14ac:dyDescent="0.3">
      <c r="A74" s="2" t="s">
        <v>691</v>
      </c>
      <c r="B74" s="2" t="s">
        <v>62</v>
      </c>
      <c r="C74" s="3" t="s">
        <v>691</v>
      </c>
      <c r="D74" s="3" t="s">
        <v>16</v>
      </c>
      <c r="E74" s="2"/>
      <c r="F74" s="2" t="s">
        <v>197</v>
      </c>
      <c r="G74" s="5">
        <v>45767</v>
      </c>
      <c r="H74" s="5">
        <v>45767</v>
      </c>
      <c r="I74" s="4" t="s">
        <v>31</v>
      </c>
      <c r="J74" s="6">
        <f t="shared" si="5"/>
        <v>0</v>
      </c>
      <c r="K74" s="4" t="str">
        <f t="shared" ca="1" si="6"/>
        <v>-</v>
      </c>
      <c r="L74" s="7">
        <f t="shared" ca="1" si="8"/>
        <v>0</v>
      </c>
      <c r="M74" s="4" t="str">
        <f>IF($I74="Complete","Green",IF($H74="","Amber",IF($H74&lt;'[2]Read Me'!$B$4,"Red",IF($H74-'[2]Read Me'!$B$4&lt;=21,"Amber","Green"))))</f>
        <v>Red</v>
      </c>
      <c r="N74" s="3"/>
      <c r="O74" t="str">
        <f>IF($I74&lt;&gt;"Complete",IF(COUNTIFS($A$4:$A73,$A74,$B$4:$B73,$B74,$I$4:$I73,"&lt;&gt;Complete")=0,$A74&amp;"|"&amp;$B74,""),"")</f>
        <v/>
      </c>
      <c r="P74" t="str">
        <f ca="1">IF($K74="Yes",COUNTIFS($K$4:$K74,"Yes"),"")</f>
        <v/>
      </c>
      <c r="Q74">
        <f t="shared" ca="1" si="7"/>
        <v>0</v>
      </c>
      <c r="R74" t="str">
        <f ca="1">IF($Q74=1,SUM($Q$4:$Q74),"")</f>
        <v/>
      </c>
    </row>
    <row r="75" spans="1:18" ht="14.25" customHeight="1" x14ac:dyDescent="0.3">
      <c r="A75" s="2" t="s">
        <v>691</v>
      </c>
      <c r="B75" s="2" t="s">
        <v>62</v>
      </c>
      <c r="C75" s="3" t="s">
        <v>691</v>
      </c>
      <c r="D75" s="3" t="s">
        <v>37</v>
      </c>
      <c r="E75" s="2"/>
      <c r="F75" s="2" t="s">
        <v>265</v>
      </c>
      <c r="G75" s="5">
        <v>45830</v>
      </c>
      <c r="H75" s="5">
        <v>45830</v>
      </c>
      <c r="I75" s="4" t="s">
        <v>31</v>
      </c>
      <c r="J75" s="6">
        <f t="shared" si="5"/>
        <v>0</v>
      </c>
      <c r="K75" s="4" t="str">
        <f t="shared" ca="1" si="6"/>
        <v>-</v>
      </c>
      <c r="L75" s="7">
        <f t="shared" ca="1" si="8"/>
        <v>0</v>
      </c>
      <c r="M75" s="4" t="str">
        <f>IF($I75="Complete","Green",IF($H75="","Amber",IF($H75&lt;'[2]Read Me'!$B$4,"Red",IF($H75-'[2]Read Me'!$B$4&lt;=21,"Amber","Green"))))</f>
        <v>Red</v>
      </c>
      <c r="N75" s="3"/>
      <c r="O75" t="str">
        <f>IF($I75&lt;&gt;"Complete",IF(COUNTIFS($A$4:$A74,$A75,$B$4:$B74,$B75,$I$4:$I74,"&lt;&gt;Complete")=0,$A75&amp;"|"&amp;$B75,""),"")</f>
        <v/>
      </c>
      <c r="P75" t="str">
        <f ca="1">IF($K75="Yes",COUNTIFS($K$4:$K75,"Yes"),"")</f>
        <v/>
      </c>
      <c r="Q75">
        <f t="shared" ca="1" si="7"/>
        <v>0</v>
      </c>
      <c r="R75" t="str">
        <f ca="1">IF($Q75=1,SUM($Q$4:$Q75),"")</f>
        <v/>
      </c>
    </row>
    <row r="76" spans="1:18" ht="14.25" customHeight="1" x14ac:dyDescent="0.3">
      <c r="A76" s="2" t="s">
        <v>691</v>
      </c>
      <c r="B76" s="2" t="s">
        <v>62</v>
      </c>
      <c r="C76" s="3" t="s">
        <v>691</v>
      </c>
      <c r="D76" s="3" t="s">
        <v>697</v>
      </c>
      <c r="E76" s="2"/>
      <c r="F76" s="2" t="s">
        <v>197</v>
      </c>
      <c r="G76" s="5"/>
      <c r="H76" s="5">
        <v>46159</v>
      </c>
      <c r="I76" s="4" t="s">
        <v>31</v>
      </c>
      <c r="J76" s="6" t="str">
        <f t="shared" si="5"/>
        <v/>
      </c>
      <c r="K76" s="4" t="str">
        <f t="shared" ca="1" si="6"/>
        <v>-</v>
      </c>
      <c r="L76" s="7">
        <f t="shared" ca="1" si="8"/>
        <v>0</v>
      </c>
      <c r="M76" s="4" t="str">
        <f>IF($I76="Complete","Green",IF($H76="","Amber",IF($H76&lt;'[2]Read Me'!$B$4,"Red",IF($H76-'[2]Read Me'!$B$4&lt;=21,"Amber","Green"))))</f>
        <v>Red</v>
      </c>
      <c r="N76" s="3"/>
      <c r="O76" t="str">
        <f>IF($I76&lt;&gt;"Complete",IF(COUNTIFS($A$4:$A75,$A76,$B$4:$B75,$B76,$I$4:$I75,"&lt;&gt;Complete")=0,$A76&amp;"|"&amp;$B76,""),"")</f>
        <v/>
      </c>
      <c r="P76" t="str">
        <f ca="1">IF($K76="Yes",COUNTIFS($K$4:$K76,"Yes"),"")</f>
        <v/>
      </c>
      <c r="Q76">
        <f t="shared" ca="1" si="7"/>
        <v>0</v>
      </c>
      <c r="R76" t="str">
        <f ca="1">IF($Q76=1,SUM($Q$4:$Q76),"")</f>
        <v/>
      </c>
    </row>
    <row r="77" spans="1:18" ht="22.5" customHeight="1" x14ac:dyDescent="0.3">
      <c r="A77" s="2" t="s">
        <v>691</v>
      </c>
      <c r="B77" s="2" t="s">
        <v>62</v>
      </c>
      <c r="C77" s="3" t="s">
        <v>691</v>
      </c>
      <c r="D77" s="3" t="s">
        <v>37</v>
      </c>
      <c r="E77" s="2"/>
      <c r="F77" s="2" t="s">
        <v>265</v>
      </c>
      <c r="G77" s="5"/>
      <c r="H77" s="5">
        <v>46174</v>
      </c>
      <c r="I77" s="4" t="s">
        <v>31</v>
      </c>
      <c r="J77" s="6" t="str">
        <f t="shared" si="5"/>
        <v/>
      </c>
      <c r="K77" s="4" t="str">
        <f t="shared" ca="1" si="6"/>
        <v>-</v>
      </c>
      <c r="L77" s="7">
        <f t="shared" ca="1" si="8"/>
        <v>0</v>
      </c>
      <c r="M77" s="4" t="str">
        <f>IF($I77="Complete","Green",IF($H77="","Amber",IF($H77&lt;'[2]Read Me'!$B$4,"Red",IF($H77-'[2]Read Me'!$B$4&lt;=21,"Amber","Green"))))</f>
        <v>Red</v>
      </c>
      <c r="N77" s="3"/>
      <c r="O77" t="str">
        <f>IF($I77&lt;&gt;"Complete",IF(COUNTIFS($A$4:$A76,$A77,$B$4:$B76,$B77,$I$4:$I76,"&lt;&gt;Complete")=0,$A77&amp;"|"&amp;$B77,""),"")</f>
        <v/>
      </c>
      <c r="P77" t="str">
        <f ca="1">IF($K77="Yes",COUNTIFS($K$4:$K77,"Yes"),"")</f>
        <v/>
      </c>
      <c r="Q77">
        <f t="shared" ca="1" si="7"/>
        <v>0</v>
      </c>
      <c r="R77" t="str">
        <f ca="1">IF($Q77=1,SUM($Q$4:$Q77),"")</f>
        <v/>
      </c>
    </row>
    <row r="78" spans="1:18" ht="14.25" customHeight="1" x14ac:dyDescent="0.3">
      <c r="A78" s="2" t="s">
        <v>698</v>
      </c>
      <c r="B78" s="2" t="s">
        <v>49</v>
      </c>
      <c r="C78" s="3"/>
      <c r="D78" s="3"/>
      <c r="E78" s="2"/>
      <c r="F78" s="2"/>
      <c r="G78" s="5">
        <v>46069</v>
      </c>
      <c r="H78" s="5">
        <v>46265</v>
      </c>
      <c r="I78" s="4"/>
      <c r="J78" s="6">
        <f t="shared" si="5"/>
        <v>196</v>
      </c>
      <c r="K78" s="4" t="str">
        <f t="shared" ca="1" si="6"/>
        <v/>
      </c>
      <c r="L78" s="7">
        <f t="shared" ca="1" si="8"/>
        <v>57</v>
      </c>
      <c r="M78" s="4" t="str">
        <f>IF($I78="Complete","Green",IF($H78="","Amber",IF($H78&lt;'[2]Read Me'!$B$4,"Red",IF($H78-'[2]Read Me'!$B$4&lt;=21,"Amber","Green"))))</f>
        <v>Green</v>
      </c>
      <c r="N78" s="3"/>
      <c r="O78" t="str">
        <f>IF($I78&lt;&gt;"Complete",IF(COUNTIFS($A$4:$A77,$A78,$B$4:$B77,$B78,$I$4:$I77,"&lt;&gt;Complete")=0,$A78&amp;"|"&amp;$B78,""),"")</f>
        <v>Authorities One Story Villas-Ph5|Authorities</v>
      </c>
      <c r="P78" t="str">
        <f ca="1">IF($K78="Yes",COUNTIFS($K$4:$K78,"Yes"),"")</f>
        <v/>
      </c>
      <c r="Q78">
        <f t="shared" ca="1" si="7"/>
        <v>0</v>
      </c>
      <c r="R78" t="str">
        <f ca="1">IF($Q78=1,SUM($Q$4:$Q78),"")</f>
        <v/>
      </c>
    </row>
    <row r="79" spans="1:18" ht="33.75" customHeight="1" x14ac:dyDescent="0.3">
      <c r="A79" s="2" t="s">
        <v>698</v>
      </c>
      <c r="B79" s="2" t="s">
        <v>49</v>
      </c>
      <c r="C79" s="3" t="s">
        <v>698</v>
      </c>
      <c r="D79" s="3" t="s">
        <v>687</v>
      </c>
      <c r="E79" s="2" t="s">
        <v>104</v>
      </c>
      <c r="F79" s="2"/>
      <c r="G79" s="5">
        <v>45943</v>
      </c>
      <c r="H79" s="5">
        <v>46113</v>
      </c>
      <c r="I79" s="4" t="s">
        <v>31</v>
      </c>
      <c r="J79" s="6">
        <f t="shared" si="5"/>
        <v>170</v>
      </c>
      <c r="K79" s="4" t="str">
        <f t="shared" ca="1" si="6"/>
        <v>-</v>
      </c>
      <c r="L79" s="7">
        <f t="shared" ca="1" si="8"/>
        <v>0</v>
      </c>
      <c r="M79" s="4" t="str">
        <f>IF($I79="Complete","Green",IF($H79="","Amber",IF($H79&lt;'[2]Read Me'!$B$4,"Red",IF($H79-'[2]Read Me'!$B$4&lt;=21,"Amber","Green"))))</f>
        <v>Red</v>
      </c>
      <c r="N79" s="3"/>
      <c r="O79" t="str">
        <f>IF($I79&lt;&gt;"Complete",IF(COUNTIFS($A$4:$A78,$A79,$B$4:$B78,$B79,$I$4:$I78,"&lt;&gt;Complete")=0,$A79&amp;"|"&amp;$B79,""),"")</f>
        <v/>
      </c>
      <c r="P79" t="str">
        <f ca="1">IF($K79="Yes",COUNTIFS($K$4:$K79,"Yes"),"")</f>
        <v/>
      </c>
      <c r="Q79">
        <f t="shared" ca="1" si="7"/>
        <v>0</v>
      </c>
      <c r="R79" t="str">
        <f ca="1">IF($Q79=1,SUM($Q$4:$Q79),"")</f>
        <v/>
      </c>
    </row>
    <row r="80" spans="1:18" ht="33.75" customHeight="1" x14ac:dyDescent="0.3">
      <c r="A80" s="2" t="s">
        <v>698</v>
      </c>
      <c r="B80" s="2" t="s">
        <v>49</v>
      </c>
      <c r="C80" s="3" t="s">
        <v>698</v>
      </c>
      <c r="D80" s="3" t="s">
        <v>688</v>
      </c>
      <c r="E80" s="2" t="s">
        <v>104</v>
      </c>
      <c r="F80" s="2"/>
      <c r="G80" s="5">
        <v>45985</v>
      </c>
      <c r="H80" s="5">
        <v>46113</v>
      </c>
      <c r="I80" s="4" t="s">
        <v>31</v>
      </c>
      <c r="J80" s="6">
        <f t="shared" si="5"/>
        <v>128</v>
      </c>
      <c r="K80" s="4" t="str">
        <f t="shared" ca="1" si="6"/>
        <v>-</v>
      </c>
      <c r="L80" s="7">
        <f t="shared" ca="1" si="8"/>
        <v>0</v>
      </c>
      <c r="M80" s="4" t="str">
        <f>IF($I80="Complete","Green",IF($H80="","Amber",IF($H80&lt;'[2]Read Me'!$B$4,"Red",IF($H80-'[2]Read Me'!$B$4&lt;=21,"Amber","Green"))))</f>
        <v>Red</v>
      </c>
      <c r="N80" s="3"/>
      <c r="O80" t="str">
        <f>IF($I80&lt;&gt;"Complete",IF(COUNTIFS($A$4:$A79,$A80,$B$4:$B79,$B80,$I$4:$I79,"&lt;&gt;Complete")=0,$A80&amp;"|"&amp;$B80,""),"")</f>
        <v/>
      </c>
      <c r="P80" t="str">
        <f ca="1">IF($K80="Yes",COUNTIFS($K$4:$K80,"Yes"),"")</f>
        <v/>
      </c>
      <c r="Q80">
        <f t="shared" ca="1" si="7"/>
        <v>0</v>
      </c>
      <c r="R80" t="str">
        <f ca="1">IF($Q80=1,SUM($Q$4:$Q80),"")</f>
        <v/>
      </c>
    </row>
    <row r="81" spans="1:18" ht="33.75" customHeight="1" x14ac:dyDescent="0.3">
      <c r="A81" s="2" t="s">
        <v>698</v>
      </c>
      <c r="B81" s="2" t="s">
        <v>49</v>
      </c>
      <c r="C81" s="3" t="s">
        <v>698</v>
      </c>
      <c r="D81" s="3" t="s">
        <v>699</v>
      </c>
      <c r="E81" s="2" t="s">
        <v>104</v>
      </c>
      <c r="F81" s="2"/>
      <c r="G81" s="5">
        <v>46027</v>
      </c>
      <c r="H81" s="5">
        <v>46203</v>
      </c>
      <c r="I81" s="4" t="s">
        <v>46</v>
      </c>
      <c r="J81" s="6">
        <f t="shared" si="5"/>
        <v>176</v>
      </c>
      <c r="K81" s="4" t="str">
        <f t="shared" ca="1" si="6"/>
        <v>Yes</v>
      </c>
      <c r="L81" s="7">
        <f t="shared" ca="1" si="8"/>
        <v>-5</v>
      </c>
      <c r="M81" s="4" t="str">
        <f>IF($I81="Complete","Green",IF($H81="","Amber",IF($H81&lt;'[2]Read Me'!$B$4,"Red",IF($H81-'[2]Read Me'!$B$4&lt;=21,"Amber","Green"))))</f>
        <v>Amber</v>
      </c>
      <c r="N81" s="3"/>
      <c r="O81" t="str">
        <f>IF($I81&lt;&gt;"Complete",IF(COUNTIFS($A$4:$A80,$A81,$B$4:$B80,$B81,$I$4:$I80,"&lt;&gt;Complete")=0,$A81&amp;"|"&amp;$B81,""),"")</f>
        <v/>
      </c>
      <c r="P81">
        <f ca="1">IF($K81="Yes",COUNTIFS($K$4:$K81,"Yes"),"")</f>
        <v>3</v>
      </c>
      <c r="Q81">
        <f t="shared" ca="1" si="7"/>
        <v>1</v>
      </c>
      <c r="R81">
        <f ca="1">IF($Q81=1,SUM($Q$4:$Q81),"")</f>
        <v>3</v>
      </c>
    </row>
    <row r="82" spans="1:18" ht="33.75" customHeight="1" x14ac:dyDescent="0.3">
      <c r="A82" s="2" t="s">
        <v>698</v>
      </c>
      <c r="B82" s="2" t="s">
        <v>49</v>
      </c>
      <c r="C82" s="3" t="s">
        <v>698</v>
      </c>
      <c r="D82" s="3" t="s">
        <v>690</v>
      </c>
      <c r="E82" s="2" t="s">
        <v>104</v>
      </c>
      <c r="F82" s="2"/>
      <c r="G82" s="5">
        <v>46069</v>
      </c>
      <c r="H82" s="5">
        <v>46265</v>
      </c>
      <c r="I82" s="4" t="s">
        <v>17</v>
      </c>
      <c r="J82" s="6">
        <f t="shared" si="5"/>
        <v>196</v>
      </c>
      <c r="K82" s="4" t="str">
        <f t="shared" ca="1" si="6"/>
        <v>No</v>
      </c>
      <c r="L82" s="7">
        <f t="shared" ca="1" si="8"/>
        <v>57</v>
      </c>
      <c r="M82" s="4" t="str">
        <f>IF($I82="Complete","Green",IF($H82="","Amber",IF($H82&lt;'[2]Read Me'!$B$4,"Red",IF($H82-'[2]Read Me'!$B$4&lt;=21,"Amber","Green"))))</f>
        <v>Green</v>
      </c>
      <c r="N82" s="3"/>
      <c r="O82" t="str">
        <f>IF($I82&lt;&gt;"Complete",IF(COUNTIFS($A$4:$A81,$A82,$B$4:$B81,$B82,$I$4:$I81,"&lt;&gt;Complete")=0,$A82&amp;"|"&amp;$B82,""),"")</f>
        <v/>
      </c>
      <c r="P82" t="str">
        <f ca="1">IF($K82="Yes",COUNTIFS($K$4:$K82,"Yes"),"")</f>
        <v/>
      </c>
      <c r="Q82">
        <f t="shared" ca="1" si="7"/>
        <v>0</v>
      </c>
      <c r="R82" t="str">
        <f ca="1">IF($Q82=1,SUM($Q$4:$Q82),"")</f>
        <v/>
      </c>
    </row>
    <row r="83" spans="1:18" ht="33.75" customHeight="1" x14ac:dyDescent="0.3">
      <c r="A83" s="2" t="s">
        <v>700</v>
      </c>
      <c r="B83" s="2" t="s">
        <v>62</v>
      </c>
      <c r="C83" s="3"/>
      <c r="D83" s="3"/>
      <c r="E83" s="2"/>
      <c r="F83" s="2"/>
      <c r="G83" s="5">
        <v>45973</v>
      </c>
      <c r="H83" s="5">
        <v>46190</v>
      </c>
      <c r="I83" s="4"/>
      <c r="J83" s="6">
        <f t="shared" si="5"/>
        <v>217</v>
      </c>
      <c r="K83" s="4" t="str">
        <f t="shared" ca="1" si="6"/>
        <v/>
      </c>
      <c r="L83" s="7">
        <f t="shared" ca="1" si="8"/>
        <v>-18</v>
      </c>
      <c r="M83" s="4" t="str">
        <f>IF($I83="Complete","Green",IF($H83="","Amber",IF($H83&lt;'[2]Read Me'!$B$4,"Red",IF($H83-'[2]Read Me'!$B$4&lt;=21,"Amber","Green"))))</f>
        <v>Amber</v>
      </c>
      <c r="N83" s="3"/>
      <c r="O83" t="str">
        <f>IF($I83&lt;&gt;"Complete",IF(COUNTIFS($A$4:$A82,$A83,$B$4:$B82,$B83,$I$4:$I82,"&lt;&gt;Complete")=0,$A83&amp;"|"&amp;$B83,""),"")</f>
        <v>Single Story Villas (E &amp; D) -Ph6|Buildings</v>
      </c>
      <c r="P83" t="str">
        <f ca="1">IF($K83="Yes",COUNTIFS($K$4:$K83,"Yes"),"")</f>
        <v/>
      </c>
      <c r="Q83">
        <f t="shared" ca="1" si="7"/>
        <v>0</v>
      </c>
      <c r="R83" t="str">
        <f ca="1">IF($Q83=1,SUM($Q$4:$Q83),"")</f>
        <v/>
      </c>
    </row>
    <row r="84" spans="1:18" ht="33.75" customHeight="1" x14ac:dyDescent="0.3">
      <c r="A84" s="2" t="s">
        <v>700</v>
      </c>
      <c r="B84" s="2" t="s">
        <v>62</v>
      </c>
      <c r="C84" s="3" t="s">
        <v>700</v>
      </c>
      <c r="D84" s="3" t="s">
        <v>692</v>
      </c>
      <c r="E84" s="2"/>
      <c r="F84" s="2" t="s">
        <v>30</v>
      </c>
      <c r="G84" s="5">
        <v>45666</v>
      </c>
      <c r="H84" s="5">
        <v>45720</v>
      </c>
      <c r="I84" s="4" t="s">
        <v>31</v>
      </c>
      <c r="J84" s="6">
        <f t="shared" si="5"/>
        <v>54</v>
      </c>
      <c r="K84" s="4" t="str">
        <f t="shared" ca="1" si="6"/>
        <v>-</v>
      </c>
      <c r="L84" s="7">
        <f t="shared" ca="1" si="8"/>
        <v>0</v>
      </c>
      <c r="M84" s="4" t="str">
        <f>IF($I84="Complete","Green",IF($H84="","Amber",IF($H84&lt;'[2]Read Me'!$B$4,"Red",IF($H84-'[2]Read Me'!$B$4&lt;=21,"Amber","Green"))))</f>
        <v>Red</v>
      </c>
      <c r="N84" s="3"/>
      <c r="O84" t="str">
        <f>IF($I84&lt;&gt;"Complete",IF(COUNTIFS($A$4:$A83,$A84,$B$4:$B83,$B84,$I$4:$I83,"&lt;&gt;Complete")=0,$A84&amp;"|"&amp;$B84,""),"")</f>
        <v/>
      </c>
      <c r="P84" t="str">
        <f ca="1">IF($K84="Yes",COUNTIFS($K$4:$K84,"Yes"),"")</f>
        <v/>
      </c>
      <c r="Q84">
        <f t="shared" ca="1" si="7"/>
        <v>0</v>
      </c>
      <c r="R84" t="str">
        <f ca="1">IF($Q84=1,SUM($Q$4:$Q84),"")</f>
        <v/>
      </c>
    </row>
    <row r="85" spans="1:18" ht="33.75" customHeight="1" x14ac:dyDescent="0.3">
      <c r="A85" s="2" t="s">
        <v>700</v>
      </c>
      <c r="B85" s="2" t="s">
        <v>62</v>
      </c>
      <c r="C85" s="3" t="s">
        <v>700</v>
      </c>
      <c r="D85" s="3" t="s">
        <v>693</v>
      </c>
      <c r="E85" s="2"/>
      <c r="F85" s="2" t="s">
        <v>265</v>
      </c>
      <c r="G85" s="5">
        <v>45687</v>
      </c>
      <c r="H85" s="5">
        <v>45742</v>
      </c>
      <c r="I85" s="4" t="s">
        <v>31</v>
      </c>
      <c r="J85" s="6">
        <f t="shared" si="5"/>
        <v>55</v>
      </c>
      <c r="K85" s="4" t="str">
        <f t="shared" ca="1" si="6"/>
        <v>-</v>
      </c>
      <c r="L85" s="7">
        <f t="shared" ca="1" si="8"/>
        <v>0</v>
      </c>
      <c r="M85" s="4" t="str">
        <f>IF($I85="Complete","Green",IF($H85="","Amber",IF($H85&lt;'[2]Read Me'!$B$4,"Red",IF($H85-'[2]Read Me'!$B$4&lt;=21,"Amber","Green"))))</f>
        <v>Red</v>
      </c>
      <c r="N85" s="3"/>
      <c r="O85" t="str">
        <f>IF($I85&lt;&gt;"Complete",IF(COUNTIFS($A$4:$A84,$A85,$B$4:$B84,$B85,$I$4:$I84,"&lt;&gt;Complete")=0,$A85&amp;"|"&amp;$B85,""),"")</f>
        <v/>
      </c>
      <c r="P85" t="str">
        <f ca="1">IF($K85="Yes",COUNTIFS($K$4:$K85,"Yes"),"")</f>
        <v/>
      </c>
      <c r="Q85">
        <f t="shared" ca="1" si="7"/>
        <v>0</v>
      </c>
      <c r="R85" t="str">
        <f ca="1">IF($Q85=1,SUM($Q$4:$Q85),"")</f>
        <v/>
      </c>
    </row>
    <row r="86" spans="1:18" ht="33.75" customHeight="1" x14ac:dyDescent="0.3">
      <c r="A86" s="2" t="s">
        <v>700</v>
      </c>
      <c r="B86" s="2" t="s">
        <v>62</v>
      </c>
      <c r="C86" s="3" t="s">
        <v>700</v>
      </c>
      <c r="D86" s="3" t="s">
        <v>132</v>
      </c>
      <c r="E86" s="2" t="s">
        <v>666</v>
      </c>
      <c r="F86" s="2" t="s">
        <v>81</v>
      </c>
      <c r="G86" s="5">
        <v>45701</v>
      </c>
      <c r="H86" s="5">
        <v>45756</v>
      </c>
      <c r="I86" s="4" t="s">
        <v>31</v>
      </c>
      <c r="J86" s="6">
        <f t="shared" si="5"/>
        <v>55</v>
      </c>
      <c r="K86" s="4" t="str">
        <f t="shared" ca="1" si="6"/>
        <v>-</v>
      </c>
      <c r="L86" s="7">
        <f t="shared" ca="1" si="8"/>
        <v>0</v>
      </c>
      <c r="M86" s="4" t="str">
        <f>IF($I86="Complete","Green",IF($H86="","Amber",IF($H86&lt;'[2]Read Me'!$B$4,"Red",IF($H86-'[2]Read Me'!$B$4&lt;=21,"Amber","Green"))))</f>
        <v>Red</v>
      </c>
      <c r="N86" s="3"/>
      <c r="O86" t="str">
        <f>IF($I86&lt;&gt;"Complete",IF(COUNTIFS($A$4:$A85,$A86,$B$4:$B85,$B86,$I$4:$I85,"&lt;&gt;Complete")=0,$A86&amp;"|"&amp;$B86,""),"")</f>
        <v/>
      </c>
      <c r="P86" t="str">
        <f ca="1">IF($K86="Yes",COUNTIFS($K$4:$K86,"Yes"),"")</f>
        <v/>
      </c>
      <c r="Q86">
        <f t="shared" ca="1" si="7"/>
        <v>0</v>
      </c>
      <c r="R86" t="str">
        <f ca="1">IF($Q86=1,SUM($Q$4:$Q86),"")</f>
        <v/>
      </c>
    </row>
    <row r="87" spans="1:18" ht="33.75" customHeight="1" x14ac:dyDescent="0.3">
      <c r="A87" s="2" t="s">
        <v>700</v>
      </c>
      <c r="B87" s="2" t="s">
        <v>62</v>
      </c>
      <c r="C87" s="3" t="s">
        <v>700</v>
      </c>
      <c r="D87" s="3" t="s">
        <v>694</v>
      </c>
      <c r="E87" s="2"/>
      <c r="F87" s="2" t="s">
        <v>30</v>
      </c>
      <c r="G87" s="5">
        <v>45694</v>
      </c>
      <c r="H87" s="5">
        <v>45792</v>
      </c>
      <c r="I87" s="4" t="s">
        <v>31</v>
      </c>
      <c r="J87" s="6">
        <f t="shared" si="5"/>
        <v>98</v>
      </c>
      <c r="K87" s="4" t="str">
        <f t="shared" ca="1" si="6"/>
        <v>-</v>
      </c>
      <c r="L87" s="7">
        <f t="shared" ca="1" si="8"/>
        <v>0</v>
      </c>
      <c r="M87" s="4" t="str">
        <f>IF($I87="Complete","Green",IF($H87="","Amber",IF($H87&lt;'[2]Read Me'!$B$4,"Red",IF($H87-'[2]Read Me'!$B$4&lt;=21,"Amber","Green"))))</f>
        <v>Red</v>
      </c>
      <c r="N87" s="3"/>
      <c r="O87" t="str">
        <f>IF($I87&lt;&gt;"Complete",IF(COUNTIFS($A$4:$A86,$A87,$B$4:$B86,$B87,$I$4:$I86,"&lt;&gt;Complete")=0,$A87&amp;"|"&amp;$B87,""),"")</f>
        <v/>
      </c>
      <c r="P87" t="str">
        <f ca="1">IF($K87="Yes",COUNTIFS($K$4:$K87,"Yes"),"")</f>
        <v/>
      </c>
      <c r="Q87">
        <f t="shared" ca="1" si="7"/>
        <v>0</v>
      </c>
      <c r="R87" t="str">
        <f ca="1">IF($Q87=1,SUM($Q$4:$Q87),"")</f>
        <v/>
      </c>
    </row>
    <row r="88" spans="1:18" ht="33.75" customHeight="1" x14ac:dyDescent="0.3">
      <c r="A88" s="2" t="s">
        <v>700</v>
      </c>
      <c r="B88" s="2" t="s">
        <v>62</v>
      </c>
      <c r="C88" s="3" t="s">
        <v>700</v>
      </c>
      <c r="D88" s="3" t="s">
        <v>695</v>
      </c>
      <c r="E88" s="2"/>
      <c r="F88" s="2" t="s">
        <v>265</v>
      </c>
      <c r="G88" s="5">
        <v>45708</v>
      </c>
      <c r="H88" s="5">
        <v>45806</v>
      </c>
      <c r="I88" s="4" t="s">
        <v>31</v>
      </c>
      <c r="J88" s="6">
        <f t="shared" si="5"/>
        <v>98</v>
      </c>
      <c r="K88" s="4" t="str">
        <f t="shared" ca="1" si="6"/>
        <v>-</v>
      </c>
      <c r="L88" s="7">
        <f t="shared" ca="1" si="8"/>
        <v>0</v>
      </c>
      <c r="M88" s="4" t="str">
        <f>IF($I88="Complete","Green",IF($H88="","Amber",IF($H88&lt;'[2]Read Me'!$B$4,"Red",IF($H88-'[2]Read Me'!$B$4&lt;=21,"Amber","Green"))))</f>
        <v>Red</v>
      </c>
      <c r="N88" s="3"/>
      <c r="O88" t="str">
        <f>IF($I88&lt;&gt;"Complete",IF(COUNTIFS($A$4:$A87,$A88,$B$4:$B87,$B88,$I$4:$I87,"&lt;&gt;Complete")=0,$A88&amp;"|"&amp;$B88,""),"")</f>
        <v/>
      </c>
      <c r="P88" t="str">
        <f ca="1">IF($K88="Yes",COUNTIFS($K$4:$K88,"Yes"),"")</f>
        <v/>
      </c>
      <c r="Q88">
        <f t="shared" ca="1" si="7"/>
        <v>0</v>
      </c>
      <c r="R88" t="str">
        <f ca="1">IF($Q88=1,SUM($Q$4:$Q88),"")</f>
        <v/>
      </c>
    </row>
    <row r="89" spans="1:18" ht="33.75" customHeight="1" x14ac:dyDescent="0.3">
      <c r="A89" s="2" t="s">
        <v>700</v>
      </c>
      <c r="B89" s="2" t="s">
        <v>62</v>
      </c>
      <c r="C89" s="3" t="s">
        <v>700</v>
      </c>
      <c r="D89" s="3" t="s">
        <v>18</v>
      </c>
      <c r="E89" s="2"/>
      <c r="F89" s="2" t="s">
        <v>30</v>
      </c>
      <c r="G89" s="5">
        <v>45736</v>
      </c>
      <c r="H89" s="5">
        <v>45848</v>
      </c>
      <c r="I89" s="4" t="s">
        <v>31</v>
      </c>
      <c r="J89" s="6">
        <f t="shared" si="5"/>
        <v>112</v>
      </c>
      <c r="K89" s="4" t="str">
        <f t="shared" ca="1" si="6"/>
        <v>-</v>
      </c>
      <c r="L89" s="7">
        <f t="shared" ca="1" si="8"/>
        <v>0</v>
      </c>
      <c r="M89" s="4" t="str">
        <f>IF($I89="Complete","Green",IF($H89="","Amber",IF($H89&lt;'[2]Read Me'!$B$4,"Red",IF($H89-'[2]Read Me'!$B$4&lt;=21,"Amber","Green"))))</f>
        <v>Red</v>
      </c>
      <c r="N89" s="3"/>
      <c r="O89" t="str">
        <f>IF($I89&lt;&gt;"Complete",IF(COUNTIFS($A$4:$A88,$A89,$B$4:$B88,$B89,$I$4:$I88,"&lt;&gt;Complete")=0,$A89&amp;"|"&amp;$B89,""),"")</f>
        <v/>
      </c>
      <c r="P89" t="str">
        <f ca="1">IF($K89="Yes",COUNTIFS($K$4:$K89,"Yes"),"")</f>
        <v/>
      </c>
      <c r="Q89">
        <f t="shared" ca="1" si="7"/>
        <v>0</v>
      </c>
      <c r="R89" t="str">
        <f ca="1">IF($Q89=1,SUM($Q$4:$Q89),"")</f>
        <v/>
      </c>
    </row>
    <row r="90" spans="1:18" ht="33.75" customHeight="1" x14ac:dyDescent="0.3">
      <c r="A90" s="2" t="s">
        <v>700</v>
      </c>
      <c r="B90" s="2" t="s">
        <v>62</v>
      </c>
      <c r="C90" s="3" t="s">
        <v>700</v>
      </c>
      <c r="D90" s="3" t="s">
        <v>32</v>
      </c>
      <c r="E90" s="2"/>
      <c r="F90" s="2" t="s">
        <v>265</v>
      </c>
      <c r="G90" s="5">
        <v>45750</v>
      </c>
      <c r="H90" s="5">
        <v>45862</v>
      </c>
      <c r="I90" s="4" t="s">
        <v>31</v>
      </c>
      <c r="J90" s="6">
        <f t="shared" si="5"/>
        <v>112</v>
      </c>
      <c r="K90" s="4" t="str">
        <f t="shared" ca="1" si="6"/>
        <v>-</v>
      </c>
      <c r="L90" s="7">
        <f t="shared" ca="1" si="8"/>
        <v>0</v>
      </c>
      <c r="M90" s="4" t="str">
        <f>IF($I90="Complete","Green",IF($H90="","Amber",IF($H90&lt;'[2]Read Me'!$B$4,"Red",IF($H90-'[2]Read Me'!$B$4&lt;=21,"Amber","Green"))))</f>
        <v>Red</v>
      </c>
      <c r="N90" s="3"/>
      <c r="O90" t="str">
        <f>IF($I90&lt;&gt;"Complete",IF(COUNTIFS($A$4:$A89,$A90,$B$4:$B89,$B90,$I$4:$I89,"&lt;&gt;Complete")=0,$A90&amp;"|"&amp;$B90,""),"")</f>
        <v/>
      </c>
      <c r="P90" t="str">
        <f ca="1">IF($K90="Yes",COUNTIFS($K$4:$K90,"Yes"),"")</f>
        <v/>
      </c>
      <c r="Q90">
        <f t="shared" ca="1" si="7"/>
        <v>0</v>
      </c>
      <c r="R90" t="str">
        <f ca="1">IF($Q90=1,SUM($Q$4:$Q90),"")</f>
        <v/>
      </c>
    </row>
    <row r="91" spans="1:18" ht="33.75" customHeight="1" x14ac:dyDescent="0.3">
      <c r="A91" s="2" t="s">
        <v>700</v>
      </c>
      <c r="B91" s="2" t="s">
        <v>62</v>
      </c>
      <c r="C91" s="3" t="s">
        <v>700</v>
      </c>
      <c r="D91" s="3" t="s">
        <v>19</v>
      </c>
      <c r="E91" s="2" t="s">
        <v>666</v>
      </c>
      <c r="F91" s="2" t="s">
        <v>81</v>
      </c>
      <c r="G91" s="5">
        <v>45750</v>
      </c>
      <c r="H91" s="5">
        <v>45862</v>
      </c>
      <c r="I91" s="4" t="s">
        <v>31</v>
      </c>
      <c r="J91" s="6">
        <f t="shared" si="5"/>
        <v>112</v>
      </c>
      <c r="K91" s="4" t="str">
        <f t="shared" ca="1" si="6"/>
        <v>-</v>
      </c>
      <c r="L91" s="7">
        <f t="shared" ca="1" si="8"/>
        <v>0</v>
      </c>
      <c r="M91" s="4" t="str">
        <f>IF($I91="Complete","Green",IF($H91="","Amber",IF($H91&lt;'[2]Read Me'!$B$4,"Red",IF($H91-'[2]Read Me'!$B$4&lt;=21,"Amber","Green"))))</f>
        <v>Red</v>
      </c>
      <c r="N91" s="3"/>
      <c r="O91" t="str">
        <f>IF($I91&lt;&gt;"Complete",IF(COUNTIFS($A$4:$A90,$A91,$B$4:$B90,$B91,$I$4:$I90,"&lt;&gt;Complete")=0,$A91&amp;"|"&amp;$B91,""),"")</f>
        <v/>
      </c>
      <c r="P91" t="str">
        <f ca="1">IF($K91="Yes",COUNTIFS($K$4:$K91,"Yes"),"")</f>
        <v/>
      </c>
      <c r="Q91">
        <f t="shared" ca="1" si="7"/>
        <v>0</v>
      </c>
      <c r="R91" t="str">
        <f ca="1">IF($Q91=1,SUM($Q$4:$Q91),"")</f>
        <v/>
      </c>
    </row>
    <row r="92" spans="1:18" ht="33.75" customHeight="1" x14ac:dyDescent="0.3">
      <c r="A92" s="2" t="s">
        <v>700</v>
      </c>
      <c r="B92" s="2" t="s">
        <v>62</v>
      </c>
      <c r="C92" s="3" t="s">
        <v>700</v>
      </c>
      <c r="D92" s="3" t="s">
        <v>681</v>
      </c>
      <c r="E92" s="2"/>
      <c r="F92" s="2" t="s">
        <v>30</v>
      </c>
      <c r="G92" s="5">
        <v>45778</v>
      </c>
      <c r="H92" s="5">
        <v>45890</v>
      </c>
      <c r="I92" s="4" t="s">
        <v>31</v>
      </c>
      <c r="J92" s="6">
        <f t="shared" si="5"/>
        <v>112</v>
      </c>
      <c r="K92" s="4" t="str">
        <f t="shared" ca="1" si="6"/>
        <v>-</v>
      </c>
      <c r="L92" s="7">
        <f t="shared" ca="1" si="8"/>
        <v>0</v>
      </c>
      <c r="M92" s="4" t="str">
        <f>IF($I92="Complete","Green",IF($H92="","Amber",IF($H92&lt;'[2]Read Me'!$B$4,"Red",IF($H92-'[2]Read Me'!$B$4&lt;=21,"Amber","Green"))))</f>
        <v>Red</v>
      </c>
      <c r="N92" s="3"/>
      <c r="O92" t="str">
        <f>IF($I92&lt;&gt;"Complete",IF(COUNTIFS($A$4:$A91,$A92,$B$4:$B91,$B92,$I$4:$I91,"&lt;&gt;Complete")=0,$A92&amp;"|"&amp;$B92,""),"")</f>
        <v/>
      </c>
      <c r="P92" t="str">
        <f ca="1">IF($K92="Yes",COUNTIFS($K$4:$K92,"Yes"),"")</f>
        <v/>
      </c>
      <c r="Q92">
        <f t="shared" ca="1" si="7"/>
        <v>0</v>
      </c>
      <c r="R92" t="str">
        <f ca="1">IF($Q92=1,SUM($Q$4:$Q92),"")</f>
        <v/>
      </c>
    </row>
    <row r="93" spans="1:18" ht="33.75" customHeight="1" x14ac:dyDescent="0.3">
      <c r="A93" s="2" t="s">
        <v>700</v>
      </c>
      <c r="B93" s="2" t="s">
        <v>62</v>
      </c>
      <c r="C93" s="3" t="s">
        <v>700</v>
      </c>
      <c r="D93" s="3" t="s">
        <v>15</v>
      </c>
      <c r="E93" s="2"/>
      <c r="F93" s="2" t="s">
        <v>30</v>
      </c>
      <c r="G93" s="5">
        <v>45924</v>
      </c>
      <c r="H93" s="5">
        <v>45924</v>
      </c>
      <c r="I93" s="4" t="s">
        <v>31</v>
      </c>
      <c r="J93" s="6">
        <f t="shared" si="5"/>
        <v>0</v>
      </c>
      <c r="K93" s="4" t="str">
        <f t="shared" ca="1" si="6"/>
        <v>-</v>
      </c>
      <c r="L93" s="7">
        <f t="shared" ca="1" si="8"/>
        <v>0</v>
      </c>
      <c r="M93" s="4" t="str">
        <f>IF($I93="Complete","Green",IF($H93="","Amber",IF($H93&lt;'[2]Read Me'!$B$4,"Red",IF($H93-'[2]Read Me'!$B$4&lt;=21,"Amber","Green"))))</f>
        <v>Red</v>
      </c>
      <c r="N93" s="3"/>
      <c r="O93" t="str">
        <f>IF($I93&lt;&gt;"Complete",IF(COUNTIFS($A$4:$A92,$A93,$B$4:$B92,$B93,$I$4:$I92,"&lt;&gt;Complete")=0,$A93&amp;"|"&amp;$B93,""),"")</f>
        <v/>
      </c>
      <c r="P93" t="str">
        <f ca="1">IF($K93="Yes",COUNTIFS($K$4:$K93,"Yes"),"")</f>
        <v/>
      </c>
      <c r="Q93">
        <f t="shared" ca="1" si="7"/>
        <v>0</v>
      </c>
      <c r="R93" t="str">
        <f ca="1">IF($Q93=1,SUM($Q$4:$Q93),"")</f>
        <v/>
      </c>
    </row>
    <row r="94" spans="1:18" ht="33.75" customHeight="1" x14ac:dyDescent="0.3">
      <c r="A94" s="2" t="s">
        <v>700</v>
      </c>
      <c r="B94" s="2" t="s">
        <v>62</v>
      </c>
      <c r="C94" s="3" t="s">
        <v>700</v>
      </c>
      <c r="D94" s="3" t="s">
        <v>35</v>
      </c>
      <c r="E94" s="2"/>
      <c r="F94" s="2" t="s">
        <v>265</v>
      </c>
      <c r="G94" s="5">
        <v>45945</v>
      </c>
      <c r="H94" s="5">
        <v>45945</v>
      </c>
      <c r="I94" s="4" t="s">
        <v>31</v>
      </c>
      <c r="J94" s="6">
        <f t="shared" si="5"/>
        <v>0</v>
      </c>
      <c r="K94" s="4" t="str">
        <f t="shared" ca="1" si="6"/>
        <v>-</v>
      </c>
      <c r="L94" s="7">
        <f t="shared" ca="1" si="8"/>
        <v>0</v>
      </c>
      <c r="M94" s="4" t="str">
        <f>IF($I94="Complete","Green",IF($H94="","Amber",IF($H94&lt;'[2]Read Me'!$B$4,"Red",IF($H94-'[2]Read Me'!$B$4&lt;=21,"Amber","Green"))))</f>
        <v>Red</v>
      </c>
      <c r="N94" s="3"/>
      <c r="O94" t="str">
        <f>IF($I94&lt;&gt;"Complete",IF(COUNTIFS($A$4:$A93,$A94,$B$4:$B93,$B94,$I$4:$I93,"&lt;&gt;Complete")=0,$A94&amp;"|"&amp;$B94,""),"")</f>
        <v/>
      </c>
      <c r="P94" t="str">
        <f ca="1">IF($K94="Yes",COUNTIFS($K$4:$K94,"Yes"),"")</f>
        <v/>
      </c>
      <c r="Q94">
        <f t="shared" ca="1" si="7"/>
        <v>0</v>
      </c>
      <c r="R94" t="str">
        <f ca="1">IF($Q94=1,SUM($Q$4:$Q94),"")</f>
        <v/>
      </c>
    </row>
    <row r="95" spans="1:18" ht="33.75" customHeight="1" x14ac:dyDescent="0.3">
      <c r="A95" s="2" t="s">
        <v>700</v>
      </c>
      <c r="B95" s="2" t="s">
        <v>62</v>
      </c>
      <c r="C95" s="3" t="s">
        <v>700</v>
      </c>
      <c r="D95" s="3" t="s">
        <v>701</v>
      </c>
      <c r="E95" s="2"/>
      <c r="F95" s="2" t="s">
        <v>30</v>
      </c>
      <c r="G95" s="5">
        <v>45945</v>
      </c>
      <c r="H95" s="5">
        <v>45952</v>
      </c>
      <c r="I95" s="4" t="s">
        <v>31</v>
      </c>
      <c r="J95" s="6">
        <f t="shared" si="5"/>
        <v>7</v>
      </c>
      <c r="K95" s="4" t="str">
        <f t="shared" ca="1" si="6"/>
        <v>-</v>
      </c>
      <c r="L95" s="7">
        <f t="shared" ca="1" si="8"/>
        <v>0</v>
      </c>
      <c r="M95" s="4" t="str">
        <f>IF($I95="Complete","Green",IF($H95="","Amber",IF($H95&lt;'[2]Read Me'!$B$4,"Red",IF($H95-'[2]Read Me'!$B$4&lt;=21,"Amber","Green"))))</f>
        <v>Red</v>
      </c>
      <c r="N95" s="3"/>
      <c r="O95" t="str">
        <f>IF($I95&lt;&gt;"Complete",IF(COUNTIFS($A$4:$A94,$A95,$B$4:$B94,$B95,$I$4:$I94,"&lt;&gt;Complete")=0,$A95&amp;"|"&amp;$B95,""),"")</f>
        <v/>
      </c>
      <c r="P95" t="str">
        <f ca="1">IF($K95="Yes",COUNTIFS($K$4:$K95,"Yes"),"")</f>
        <v/>
      </c>
      <c r="Q95">
        <f t="shared" ca="1" si="7"/>
        <v>0</v>
      </c>
      <c r="R95" t="str">
        <f ca="1">IF($Q95=1,SUM($Q$4:$Q95),"")</f>
        <v/>
      </c>
    </row>
    <row r="96" spans="1:18" ht="33.75" customHeight="1" x14ac:dyDescent="0.3">
      <c r="A96" s="2" t="s">
        <v>700</v>
      </c>
      <c r="B96" s="2" t="s">
        <v>62</v>
      </c>
      <c r="C96" s="3" t="s">
        <v>700</v>
      </c>
      <c r="D96" s="3" t="s">
        <v>20</v>
      </c>
      <c r="E96" s="2" t="s">
        <v>666</v>
      </c>
      <c r="F96" s="2" t="s">
        <v>81</v>
      </c>
      <c r="G96" s="5">
        <v>45945</v>
      </c>
      <c r="H96" s="5">
        <v>45999</v>
      </c>
      <c r="I96" s="4" t="s">
        <v>31</v>
      </c>
      <c r="J96" s="6">
        <f t="shared" si="5"/>
        <v>54</v>
      </c>
      <c r="K96" s="4" t="str">
        <f t="shared" ca="1" si="6"/>
        <v>-</v>
      </c>
      <c r="L96" s="7">
        <f t="shared" ca="1" si="8"/>
        <v>0</v>
      </c>
      <c r="M96" s="4" t="str">
        <f>IF($I96="Complete","Green",IF($H96="","Amber",IF($H96&lt;'[2]Read Me'!$B$4,"Red",IF($H96-'[2]Read Me'!$B$4&lt;=21,"Amber","Green"))))</f>
        <v>Red</v>
      </c>
      <c r="N96" s="3"/>
      <c r="O96" t="str">
        <f>IF($I96&lt;&gt;"Complete",IF(COUNTIFS($A$4:$A95,$A96,$B$4:$B95,$B96,$I$4:$I95,"&lt;&gt;Complete")=0,$A96&amp;"|"&amp;$B96,""),"")</f>
        <v/>
      </c>
      <c r="P96" t="str">
        <f ca="1">IF($K96="Yes",COUNTIFS($K$4:$K96,"Yes"),"")</f>
        <v/>
      </c>
      <c r="Q96">
        <f t="shared" ca="1" si="7"/>
        <v>0</v>
      </c>
      <c r="R96" t="str">
        <f ca="1">IF($Q96=1,SUM($Q$4:$Q96),"")</f>
        <v/>
      </c>
    </row>
    <row r="97" spans="1:18" ht="33.75" customHeight="1" x14ac:dyDescent="0.3">
      <c r="A97" s="2" t="s">
        <v>700</v>
      </c>
      <c r="B97" s="2" t="s">
        <v>62</v>
      </c>
      <c r="C97" s="3" t="s">
        <v>700</v>
      </c>
      <c r="D97" s="3" t="s">
        <v>702</v>
      </c>
      <c r="E97" s="2"/>
      <c r="F97" s="2" t="s">
        <v>30</v>
      </c>
      <c r="G97" s="5">
        <v>45959</v>
      </c>
      <c r="H97" s="5">
        <v>46141</v>
      </c>
      <c r="I97" s="4" t="s">
        <v>31</v>
      </c>
      <c r="J97" s="6">
        <f t="shared" si="5"/>
        <v>182</v>
      </c>
      <c r="K97" s="4" t="str">
        <f t="shared" ca="1" si="6"/>
        <v>-</v>
      </c>
      <c r="L97" s="7">
        <f t="shared" ca="1" si="8"/>
        <v>0</v>
      </c>
      <c r="M97" s="4" t="str">
        <f>IF($I97="Complete","Green",IF($H97="","Amber",IF($H97&lt;'[2]Read Me'!$B$4,"Red",IF($H97-'[2]Read Me'!$B$4&lt;=21,"Amber","Green"))))</f>
        <v>Red</v>
      </c>
      <c r="N97" s="3"/>
      <c r="O97" t="str">
        <f>IF($I97&lt;&gt;"Complete",IF(COUNTIFS($A$4:$A96,$A97,$B$4:$B96,$B97,$I$4:$I96,"&lt;&gt;Complete")=0,$A97&amp;"|"&amp;$B97,""),"")</f>
        <v/>
      </c>
      <c r="P97" t="str">
        <f ca="1">IF($K97="Yes",COUNTIFS($K$4:$K97,"Yes"),"")</f>
        <v/>
      </c>
      <c r="Q97">
        <f t="shared" ca="1" si="7"/>
        <v>0</v>
      </c>
      <c r="R97" t="str">
        <f ca="1">IF($Q97=1,SUM($Q$4:$Q97),"")</f>
        <v/>
      </c>
    </row>
    <row r="98" spans="1:18" ht="33.75" customHeight="1" x14ac:dyDescent="0.3">
      <c r="A98" s="2" t="s">
        <v>700</v>
      </c>
      <c r="B98" s="2" t="s">
        <v>62</v>
      </c>
      <c r="C98" s="3" t="s">
        <v>700</v>
      </c>
      <c r="D98" s="3" t="s">
        <v>37</v>
      </c>
      <c r="E98" s="2"/>
      <c r="F98" s="2" t="s">
        <v>265</v>
      </c>
      <c r="G98" s="5">
        <v>45973</v>
      </c>
      <c r="H98" s="5">
        <v>46190</v>
      </c>
      <c r="I98" s="4" t="s">
        <v>31</v>
      </c>
      <c r="J98" s="6">
        <f t="shared" si="5"/>
        <v>217</v>
      </c>
      <c r="K98" s="4" t="str">
        <f t="shared" ca="1" si="6"/>
        <v>-</v>
      </c>
      <c r="L98" s="7">
        <f t="shared" ca="1" si="8"/>
        <v>0</v>
      </c>
      <c r="M98" s="4" t="str">
        <f>IF($I98="Complete","Green",IF($H98="","Amber",IF($H98&lt;'[2]Read Me'!$B$4,"Red",IF($H98-'[2]Read Me'!$B$4&lt;=21,"Amber","Green"))))</f>
        <v>Amber</v>
      </c>
      <c r="N98" s="3"/>
      <c r="O98" t="str">
        <f>IF($I98&lt;&gt;"Complete",IF(COUNTIFS($A$4:$A97,$A98,$B$4:$B97,$B98,$I$4:$I97,"&lt;&gt;Complete")=0,$A98&amp;"|"&amp;$B98,""),"")</f>
        <v/>
      </c>
      <c r="P98" t="str">
        <f ca="1">IF($K98="Yes",COUNTIFS($K$4:$K98,"Yes"),"")</f>
        <v/>
      </c>
      <c r="Q98">
        <f t="shared" ca="1" si="7"/>
        <v>0</v>
      </c>
      <c r="R98" t="str">
        <f ca="1">IF($Q98=1,SUM($Q$4:$Q98),"")</f>
        <v/>
      </c>
    </row>
    <row r="99" spans="1:18" ht="33.75" customHeight="1" x14ac:dyDescent="0.3">
      <c r="A99" s="2" t="s">
        <v>703</v>
      </c>
      <c r="B99" s="2" t="s">
        <v>49</v>
      </c>
      <c r="C99" s="3"/>
      <c r="D99" s="3"/>
      <c r="E99" s="2"/>
      <c r="F99" s="2"/>
      <c r="G99" s="5">
        <v>46181</v>
      </c>
      <c r="H99" s="5">
        <v>46441</v>
      </c>
      <c r="I99" s="4"/>
      <c r="J99" s="6">
        <f t="shared" si="5"/>
        <v>260</v>
      </c>
      <c r="K99" s="4" t="str">
        <f t="shared" ca="1" si="6"/>
        <v/>
      </c>
      <c r="L99" s="7">
        <f t="shared" ca="1" si="8"/>
        <v>233</v>
      </c>
      <c r="M99" s="4" t="str">
        <f>IF($I99="Complete","Green",IF($H99="","Amber",IF($H99&lt;'[2]Read Me'!$B$4,"Red",IF($H99-'[2]Read Me'!$B$4&lt;=21,"Amber","Green"))))</f>
        <v>Green</v>
      </c>
      <c r="N99" s="3"/>
      <c r="O99" t="str">
        <f>IF($I99&lt;&gt;"Complete",IF(COUNTIFS($A$4:$A98,$A99,$B$4:$B98,$B99,$I$4:$I98,"&lt;&gt;Complete")=0,$A99&amp;"|"&amp;$B99,""),"")</f>
        <v>Authorities - Single Story Villas (E &amp; D) -Ph6|Authorities</v>
      </c>
      <c r="P99" t="str">
        <f ca="1">IF($K99="Yes",COUNTIFS($K$4:$K99,"Yes"),"")</f>
        <v/>
      </c>
      <c r="Q99">
        <f t="shared" ca="1" si="7"/>
        <v>0</v>
      </c>
      <c r="R99" t="str">
        <f ca="1">IF($Q99=1,SUM($Q$4:$Q99),"")</f>
        <v/>
      </c>
    </row>
    <row r="100" spans="1:18" ht="33.75" customHeight="1" x14ac:dyDescent="0.3">
      <c r="A100" s="2" t="s">
        <v>703</v>
      </c>
      <c r="B100" s="2" t="s">
        <v>49</v>
      </c>
      <c r="C100" s="3" t="s">
        <v>703</v>
      </c>
      <c r="D100" s="3" t="s">
        <v>704</v>
      </c>
      <c r="E100" s="2" t="s">
        <v>104</v>
      </c>
      <c r="F100" s="2"/>
      <c r="G100" s="5">
        <v>46055</v>
      </c>
      <c r="H100" s="5">
        <v>46315</v>
      </c>
      <c r="I100" s="4" t="s">
        <v>17</v>
      </c>
      <c r="J100" s="6">
        <f t="shared" si="5"/>
        <v>260</v>
      </c>
      <c r="K100" s="4" t="str">
        <f t="shared" ca="1" si="6"/>
        <v>No</v>
      </c>
      <c r="L100" s="7">
        <f t="shared" ca="1" si="8"/>
        <v>107</v>
      </c>
      <c r="M100" s="4" t="str">
        <f>IF($I100="Complete","Green",IF($H100="","Amber",IF($H100&lt;'[2]Read Me'!$B$4,"Red",IF($H100-'[2]Read Me'!$B$4&lt;=21,"Amber","Green"))))</f>
        <v>Green</v>
      </c>
      <c r="N100" s="3"/>
      <c r="O100" t="str">
        <f>IF($I100&lt;&gt;"Complete",IF(COUNTIFS($A$4:$A99,$A100,$B$4:$B99,$B100,$I$4:$I99,"&lt;&gt;Complete")=0,$A100&amp;"|"&amp;$B100,""),"")</f>
        <v/>
      </c>
      <c r="P100" t="str">
        <f ca="1">IF($K100="Yes",COUNTIFS($K$4:$K100,"Yes"),"")</f>
        <v/>
      </c>
      <c r="Q100">
        <f t="shared" ca="1" si="7"/>
        <v>0</v>
      </c>
      <c r="R100" t="str">
        <f ca="1">IF($Q100=1,SUM($Q$4:$Q100),"")</f>
        <v/>
      </c>
    </row>
    <row r="101" spans="1:18" ht="33.75" customHeight="1" x14ac:dyDescent="0.3">
      <c r="A101" s="2" t="s">
        <v>703</v>
      </c>
      <c r="B101" s="2" t="s">
        <v>49</v>
      </c>
      <c r="C101" s="3" t="s">
        <v>703</v>
      </c>
      <c r="D101" s="3" t="s">
        <v>705</v>
      </c>
      <c r="E101" s="2" t="s">
        <v>104</v>
      </c>
      <c r="F101" s="2"/>
      <c r="G101" s="5">
        <v>46097</v>
      </c>
      <c r="H101" s="5">
        <v>46357</v>
      </c>
      <c r="I101" s="4" t="s">
        <v>17</v>
      </c>
      <c r="J101" s="6">
        <f t="shared" si="5"/>
        <v>260</v>
      </c>
      <c r="K101" s="4" t="str">
        <f t="shared" ca="1" si="6"/>
        <v>No</v>
      </c>
      <c r="L101" s="7">
        <f t="shared" ca="1" si="8"/>
        <v>149</v>
      </c>
      <c r="M101" s="4" t="str">
        <f>IF($I101="Complete","Green",IF($H101="","Amber",IF($H101&lt;'[2]Read Me'!$B$4,"Red",IF($H101-'[2]Read Me'!$B$4&lt;=21,"Amber","Green"))))</f>
        <v>Green</v>
      </c>
      <c r="N101" s="3"/>
      <c r="O101" t="str">
        <f>IF($I101&lt;&gt;"Complete",IF(COUNTIFS($A$4:$A100,$A101,$B$4:$B100,$B101,$I$4:$I100,"&lt;&gt;Complete")=0,$A101&amp;"|"&amp;$B101,""),"")</f>
        <v/>
      </c>
      <c r="P101" t="str">
        <f ca="1">IF($K101="Yes",COUNTIFS($K$4:$K101,"Yes"),"")</f>
        <v/>
      </c>
      <c r="Q101">
        <f t="shared" ca="1" si="7"/>
        <v>0</v>
      </c>
      <c r="R101" t="str">
        <f ca="1">IF($Q101=1,SUM($Q$4:$Q101),"")</f>
        <v/>
      </c>
    </row>
    <row r="102" spans="1:18" ht="33.75" customHeight="1" x14ac:dyDescent="0.3">
      <c r="A102" s="2" t="s">
        <v>703</v>
      </c>
      <c r="B102" s="2" t="s">
        <v>49</v>
      </c>
      <c r="C102" s="3" t="s">
        <v>703</v>
      </c>
      <c r="D102" s="3" t="s">
        <v>706</v>
      </c>
      <c r="E102" s="2" t="s">
        <v>104</v>
      </c>
      <c r="F102" s="2"/>
      <c r="G102" s="5">
        <v>46139</v>
      </c>
      <c r="H102" s="5">
        <v>46399</v>
      </c>
      <c r="I102" s="4" t="s">
        <v>17</v>
      </c>
      <c r="J102" s="6">
        <f t="shared" si="5"/>
        <v>260</v>
      </c>
      <c r="K102" s="4" t="str">
        <f t="shared" ca="1" si="6"/>
        <v>No</v>
      </c>
      <c r="L102" s="7">
        <f t="shared" ca="1" si="8"/>
        <v>191</v>
      </c>
      <c r="M102" s="4" t="str">
        <f>IF($I102="Complete","Green",IF($H102="","Amber",IF($H102&lt;'[2]Read Me'!$B$4,"Red",IF($H102-'[2]Read Me'!$B$4&lt;=21,"Amber","Green"))))</f>
        <v>Green</v>
      </c>
      <c r="N102" s="3"/>
      <c r="O102" t="str">
        <f>IF($I102&lt;&gt;"Complete",IF(COUNTIFS($A$4:$A101,$A102,$B$4:$B101,$B102,$I$4:$I101,"&lt;&gt;Complete")=0,$A102&amp;"|"&amp;$B102,""),"")</f>
        <v/>
      </c>
      <c r="P102" t="str">
        <f ca="1">IF($K102="Yes",COUNTIFS($K$4:$K102,"Yes"),"")</f>
        <v/>
      </c>
      <c r="Q102">
        <f t="shared" ca="1" si="7"/>
        <v>0</v>
      </c>
      <c r="R102" t="str">
        <f ca="1">IF($Q102=1,SUM($Q$4:$Q102),"")</f>
        <v/>
      </c>
    </row>
    <row r="103" spans="1:18" ht="33.75" customHeight="1" x14ac:dyDescent="0.3">
      <c r="A103" s="2" t="s">
        <v>703</v>
      </c>
      <c r="B103" s="2" t="s">
        <v>49</v>
      </c>
      <c r="C103" s="3" t="s">
        <v>703</v>
      </c>
      <c r="D103" s="3" t="s">
        <v>690</v>
      </c>
      <c r="E103" s="2" t="s">
        <v>104</v>
      </c>
      <c r="F103" s="2"/>
      <c r="G103" s="5">
        <v>46181</v>
      </c>
      <c r="H103" s="5">
        <v>46441</v>
      </c>
      <c r="I103" s="4" t="s">
        <v>17</v>
      </c>
      <c r="J103" s="6">
        <f t="shared" si="5"/>
        <v>260</v>
      </c>
      <c r="K103" s="4" t="str">
        <f t="shared" ca="1" si="6"/>
        <v>No</v>
      </c>
      <c r="L103" s="7">
        <f t="shared" ca="1" si="8"/>
        <v>233</v>
      </c>
      <c r="M103" s="4" t="str">
        <f>IF($I103="Complete","Green",IF($H103="","Amber",IF($H103&lt;'[2]Read Me'!$B$4,"Red",IF($H103-'[2]Read Me'!$B$4&lt;=21,"Amber","Green"))))</f>
        <v>Green</v>
      </c>
      <c r="N103" s="3"/>
      <c r="O103" t="str">
        <f>IF($I103&lt;&gt;"Complete",IF(COUNTIFS($A$4:$A102,$A103,$B$4:$B102,$B103,$I$4:$I102,"&lt;&gt;Complete")=0,$A103&amp;"|"&amp;$B103,""),"")</f>
        <v/>
      </c>
      <c r="P103" t="str">
        <f ca="1">IF($K103="Yes",COUNTIFS($K$4:$K103,"Yes"),"")</f>
        <v/>
      </c>
      <c r="Q103">
        <f t="shared" ca="1" si="7"/>
        <v>0</v>
      </c>
      <c r="R103" t="str">
        <f ca="1">IF($Q103=1,SUM($Q$4:$Q103),"")</f>
        <v/>
      </c>
    </row>
    <row r="104" spans="1:18" ht="33.75" customHeight="1" x14ac:dyDescent="0.3">
      <c r="A104" s="2" t="s">
        <v>707</v>
      </c>
      <c r="B104" s="2" t="s">
        <v>62</v>
      </c>
      <c r="C104" s="3"/>
      <c r="D104" s="3"/>
      <c r="E104" s="2"/>
      <c r="F104" s="2"/>
      <c r="G104" s="5">
        <v>45970</v>
      </c>
      <c r="H104" s="5">
        <v>46208</v>
      </c>
      <c r="I104" s="4"/>
      <c r="J104" s="6">
        <f t="shared" si="5"/>
        <v>238</v>
      </c>
      <c r="K104" s="4" t="str">
        <f t="shared" ca="1" si="6"/>
        <v/>
      </c>
      <c r="L104" s="7">
        <f t="shared" ca="1" si="8"/>
        <v>0</v>
      </c>
      <c r="M104" s="4" t="str">
        <f>IF($I104="Complete","Green",IF($H104="","Amber",IF($H104&lt;'[2]Read Me'!$B$4,"Red",IF($H104-'[2]Read Me'!$B$4&lt;=21,"Amber","Green"))))</f>
        <v>Amber</v>
      </c>
      <c r="N104" s="3"/>
      <c r="O104" t="str">
        <f>IF($I104&lt;&gt;"Complete",IF(COUNTIFS($A$4:$A103,$A104,$B$4:$B103,$B104,$I$4:$I103,"&lt;&gt;Complete")=0,$A104&amp;"|"&amp;$B104,""),"")</f>
        <v>Type A Shimmers|Buildings</v>
      </c>
      <c r="P104" t="str">
        <f ca="1">IF($K104="Yes",COUNTIFS($K$4:$K104,"Yes"),"")</f>
        <v/>
      </c>
      <c r="Q104">
        <f t="shared" ca="1" si="7"/>
        <v>0</v>
      </c>
      <c r="R104" t="str">
        <f ca="1">IF($Q104=1,SUM($Q$4:$Q104),"")</f>
        <v/>
      </c>
    </row>
    <row r="105" spans="1:18" ht="33.75" customHeight="1" x14ac:dyDescent="0.3">
      <c r="A105" s="2" t="s">
        <v>707</v>
      </c>
      <c r="B105" s="2" t="s">
        <v>62</v>
      </c>
      <c r="C105" s="3" t="s">
        <v>707</v>
      </c>
      <c r="D105" s="3" t="s">
        <v>692</v>
      </c>
      <c r="E105" s="2"/>
      <c r="F105" s="2" t="s">
        <v>30</v>
      </c>
      <c r="G105" s="5">
        <v>45301.625</v>
      </c>
      <c r="H105" s="5">
        <v>45305</v>
      </c>
      <c r="I105" s="4" t="s">
        <v>31</v>
      </c>
      <c r="J105" s="6">
        <f t="shared" si="5"/>
        <v>3.375</v>
      </c>
      <c r="K105" s="4" t="str">
        <f t="shared" ca="1" si="6"/>
        <v>-</v>
      </c>
      <c r="L105" s="7">
        <f t="shared" ca="1" si="8"/>
        <v>0</v>
      </c>
      <c r="M105" s="4" t="str">
        <f>IF($I105="Complete","Green",IF($H105="","Amber",IF($H105&lt;'[2]Read Me'!$B$4,"Red",IF($H105-'[2]Read Me'!$B$4&lt;=21,"Amber","Green"))))</f>
        <v>Red</v>
      </c>
      <c r="N105" s="3"/>
      <c r="O105" t="str">
        <f>IF($I105&lt;&gt;"Complete",IF(COUNTIFS($A$4:$A104,$A105,$B$4:$B104,$B105,$I$4:$I104,"&lt;&gt;Complete")=0,$A105&amp;"|"&amp;$B105,""),"")</f>
        <v/>
      </c>
      <c r="P105" t="str">
        <f ca="1">IF($K105="Yes",COUNTIFS($K$4:$K105,"Yes"),"")</f>
        <v/>
      </c>
      <c r="Q105">
        <f t="shared" ca="1" si="7"/>
        <v>0</v>
      </c>
      <c r="R105" t="str">
        <f ca="1">IF($Q105=1,SUM($Q$4:$Q105),"")</f>
        <v/>
      </c>
    </row>
    <row r="106" spans="1:18" ht="22.5" customHeight="1" x14ac:dyDescent="0.3">
      <c r="A106" s="2" t="s">
        <v>707</v>
      </c>
      <c r="B106" s="2" t="s">
        <v>62</v>
      </c>
      <c r="C106" s="3" t="s">
        <v>707</v>
      </c>
      <c r="D106" s="3" t="s">
        <v>693</v>
      </c>
      <c r="E106" s="2"/>
      <c r="F106" s="2" t="s">
        <v>265</v>
      </c>
      <c r="G106" s="5">
        <v>45315.625</v>
      </c>
      <c r="H106" s="5">
        <v>45327</v>
      </c>
      <c r="I106" s="4" t="s">
        <v>31</v>
      </c>
      <c r="J106" s="6">
        <f t="shared" si="5"/>
        <v>11.375</v>
      </c>
      <c r="K106" s="4" t="str">
        <f t="shared" ca="1" si="6"/>
        <v>-</v>
      </c>
      <c r="L106" s="7">
        <f t="shared" ca="1" si="8"/>
        <v>0</v>
      </c>
      <c r="M106" s="4" t="str">
        <f>IF($I106="Complete","Green",IF($H106="","Amber",IF($H106&lt;'[2]Read Me'!$B$4,"Red",IF($H106-'[2]Read Me'!$B$4&lt;=21,"Amber","Green"))))</f>
        <v>Red</v>
      </c>
      <c r="N106" s="3"/>
      <c r="O106" t="str">
        <f>IF($I106&lt;&gt;"Complete",IF(COUNTIFS($A$4:$A105,$A106,$B$4:$B105,$B106,$I$4:$I105,"&lt;&gt;Complete")=0,$A106&amp;"|"&amp;$B106,""),"")</f>
        <v/>
      </c>
      <c r="P106" t="str">
        <f ca="1">IF($K106="Yes",COUNTIFS($K$4:$K106,"Yes"),"")</f>
        <v/>
      </c>
      <c r="Q106">
        <f t="shared" ca="1" si="7"/>
        <v>0</v>
      </c>
      <c r="R106" t="str">
        <f ca="1">IF($Q106=1,SUM($Q$4:$Q106),"")</f>
        <v/>
      </c>
    </row>
    <row r="107" spans="1:18" ht="22.5" customHeight="1" x14ac:dyDescent="0.3">
      <c r="A107" s="2" t="s">
        <v>707</v>
      </c>
      <c r="B107" s="2" t="s">
        <v>62</v>
      </c>
      <c r="C107" s="3" t="s">
        <v>707</v>
      </c>
      <c r="D107" s="3" t="s">
        <v>132</v>
      </c>
      <c r="E107" s="2" t="s">
        <v>666</v>
      </c>
      <c r="F107" s="2" t="s">
        <v>81</v>
      </c>
      <c r="G107" s="5">
        <v>45315.625</v>
      </c>
      <c r="H107" s="5">
        <v>45319</v>
      </c>
      <c r="I107" s="4" t="s">
        <v>31</v>
      </c>
      <c r="J107" s="6">
        <f t="shared" si="5"/>
        <v>3.375</v>
      </c>
      <c r="K107" s="4" t="str">
        <f t="shared" ca="1" si="6"/>
        <v>-</v>
      </c>
      <c r="L107" s="7">
        <f t="shared" ca="1" si="8"/>
        <v>0</v>
      </c>
      <c r="M107" s="4" t="str">
        <f>IF($I107="Complete","Green",IF($H107="","Amber",IF($H107&lt;'[2]Read Me'!$B$4,"Red",IF($H107-'[2]Read Me'!$B$4&lt;=21,"Amber","Green"))))</f>
        <v>Red</v>
      </c>
      <c r="N107" s="3"/>
      <c r="O107" t="str">
        <f>IF($I107&lt;&gt;"Complete",IF(COUNTIFS($A$4:$A106,$A107,$B$4:$B106,$B107,$I$4:$I106,"&lt;&gt;Complete")=0,$A107&amp;"|"&amp;$B107,""),"")</f>
        <v/>
      </c>
      <c r="P107" t="str">
        <f ca="1">IF($K107="Yes",COUNTIFS($K$4:$K107,"Yes"),"")</f>
        <v/>
      </c>
      <c r="Q107">
        <f t="shared" ca="1" si="7"/>
        <v>0</v>
      </c>
      <c r="R107" t="str">
        <f ca="1">IF($Q107=1,SUM($Q$4:$Q107),"")</f>
        <v/>
      </c>
    </row>
    <row r="108" spans="1:18" ht="22.5" customHeight="1" x14ac:dyDescent="0.3">
      <c r="A108" s="2" t="s">
        <v>707</v>
      </c>
      <c r="B108" s="2" t="s">
        <v>62</v>
      </c>
      <c r="C108" s="3" t="s">
        <v>707</v>
      </c>
      <c r="D108" s="3" t="s">
        <v>708</v>
      </c>
      <c r="E108" s="2"/>
      <c r="F108" s="2" t="s">
        <v>30</v>
      </c>
      <c r="G108" s="5"/>
      <c r="H108" s="5">
        <v>45341</v>
      </c>
      <c r="I108" s="4" t="s">
        <v>31</v>
      </c>
      <c r="J108" s="6" t="str">
        <f t="shared" si="5"/>
        <v/>
      </c>
      <c r="K108" s="4" t="str">
        <f t="shared" ca="1" si="6"/>
        <v>-</v>
      </c>
      <c r="L108" s="7">
        <f t="shared" ca="1" si="8"/>
        <v>0</v>
      </c>
      <c r="M108" s="4" t="str">
        <f>IF($I108="Complete","Green",IF($H108="","Amber",IF($H108&lt;'[2]Read Me'!$B$4,"Red",IF($H108-'[2]Read Me'!$B$4&lt;=21,"Amber","Green"))))</f>
        <v>Red</v>
      </c>
      <c r="N108" s="3"/>
      <c r="O108" t="str">
        <f>IF($I108&lt;&gt;"Complete",IF(COUNTIFS($A$4:$A107,$A108,$B$4:$B107,$B108,$I$4:$I107,"&lt;&gt;Complete")=0,$A108&amp;"|"&amp;$B108,""),"")</f>
        <v/>
      </c>
      <c r="P108" t="str">
        <f ca="1">IF($K108="Yes",COUNTIFS($K$4:$K108,"Yes"),"")</f>
        <v/>
      </c>
      <c r="Q108">
        <f t="shared" ca="1" si="7"/>
        <v>0</v>
      </c>
      <c r="R108" t="str">
        <f ca="1">IF($Q108=1,SUM($Q$4:$Q108),"")</f>
        <v/>
      </c>
    </row>
    <row r="109" spans="1:18" ht="22.5" customHeight="1" x14ac:dyDescent="0.3">
      <c r="A109" s="2" t="s">
        <v>707</v>
      </c>
      <c r="B109" s="2" t="s">
        <v>62</v>
      </c>
      <c r="C109" s="3" t="s">
        <v>707</v>
      </c>
      <c r="D109" s="3" t="s">
        <v>709</v>
      </c>
      <c r="E109" s="2"/>
      <c r="F109" s="2" t="s">
        <v>30</v>
      </c>
      <c r="G109" s="5"/>
      <c r="H109" s="5"/>
      <c r="I109" s="4" t="s">
        <v>31</v>
      </c>
      <c r="J109" s="6" t="str">
        <f t="shared" si="5"/>
        <v/>
      </c>
      <c r="K109" s="4" t="str">
        <f t="shared" ca="1" si="6"/>
        <v/>
      </c>
      <c r="L109" s="7">
        <f t="shared" ca="1" si="8"/>
        <v>0</v>
      </c>
      <c r="M109" s="4" t="str">
        <f>IF($I109="Complete","Green",IF($H109="","Amber",IF($H109&lt;'[2]Read Me'!$B$4,"Red",IF($H109-'[2]Read Me'!$B$4&lt;=21,"Amber","Green"))))</f>
        <v>Amber</v>
      </c>
      <c r="N109" s="3"/>
      <c r="O109" t="str">
        <f>IF($I109&lt;&gt;"Complete",IF(COUNTIFS($A$4:$A108,$A109,$B$4:$B108,$B109,$I$4:$I108,"&lt;&gt;Complete")=0,$A109&amp;"|"&amp;$B109,""),"")</f>
        <v/>
      </c>
      <c r="P109" t="str">
        <f ca="1">IF($K109="Yes",COUNTIFS($K$4:$K109,"Yes"),"")</f>
        <v/>
      </c>
      <c r="Q109">
        <f t="shared" ca="1" si="7"/>
        <v>0</v>
      </c>
      <c r="R109" t="str">
        <f ca="1">IF($Q109=1,SUM($Q$4:$Q109),"")</f>
        <v/>
      </c>
    </row>
    <row r="110" spans="1:18" ht="22.5" customHeight="1" x14ac:dyDescent="0.3">
      <c r="A110" s="2" t="s">
        <v>707</v>
      </c>
      <c r="B110" s="2" t="s">
        <v>62</v>
      </c>
      <c r="C110" s="3" t="s">
        <v>707</v>
      </c>
      <c r="D110" s="3" t="s">
        <v>18</v>
      </c>
      <c r="E110" s="2"/>
      <c r="F110" s="2" t="s">
        <v>30</v>
      </c>
      <c r="G110" s="5">
        <v>45620</v>
      </c>
      <c r="H110" s="5">
        <v>45616</v>
      </c>
      <c r="I110" s="4" t="s">
        <v>31</v>
      </c>
      <c r="J110" s="6">
        <f t="shared" si="5"/>
        <v>-4</v>
      </c>
      <c r="K110" s="4" t="str">
        <f t="shared" ca="1" si="6"/>
        <v>-</v>
      </c>
      <c r="L110" s="7">
        <f t="shared" ca="1" si="8"/>
        <v>0</v>
      </c>
      <c r="M110" s="4" t="str">
        <f>IF($I110="Complete","Green",IF($H110="","Amber",IF($H110&lt;'[2]Read Me'!$B$4,"Red",IF($H110-'[2]Read Me'!$B$4&lt;=21,"Amber","Green"))))</f>
        <v>Red</v>
      </c>
      <c r="N110" s="3"/>
      <c r="O110" t="str">
        <f>IF($I110&lt;&gt;"Complete",IF(COUNTIFS($A$4:$A109,$A110,$B$4:$B109,$B110,$I$4:$I109,"&lt;&gt;Complete")=0,$A110&amp;"|"&amp;$B110,""),"")</f>
        <v/>
      </c>
      <c r="P110" t="str">
        <f ca="1">IF($K110="Yes",COUNTIFS($K$4:$K110,"Yes"),"")</f>
        <v/>
      </c>
      <c r="Q110">
        <f t="shared" ca="1" si="7"/>
        <v>0</v>
      </c>
      <c r="R110" t="str">
        <f ca="1">IF($Q110=1,SUM($Q$4:$Q110),"")</f>
        <v/>
      </c>
    </row>
    <row r="111" spans="1:18" ht="22.5" customHeight="1" x14ac:dyDescent="0.3">
      <c r="A111" s="2" t="s">
        <v>707</v>
      </c>
      <c r="B111" s="2" t="s">
        <v>62</v>
      </c>
      <c r="C111" s="3" t="s">
        <v>707</v>
      </c>
      <c r="D111" s="3" t="s">
        <v>32</v>
      </c>
      <c r="E111" s="2"/>
      <c r="F111" s="2" t="s">
        <v>265</v>
      </c>
      <c r="G111" s="5">
        <v>45645</v>
      </c>
      <c r="H111" s="5">
        <v>45645</v>
      </c>
      <c r="I111" s="4" t="s">
        <v>31</v>
      </c>
      <c r="J111" s="6">
        <f t="shared" si="5"/>
        <v>0</v>
      </c>
      <c r="K111" s="4" t="str">
        <f t="shared" ca="1" si="6"/>
        <v>-</v>
      </c>
      <c r="L111" s="7">
        <f t="shared" ca="1" si="8"/>
        <v>0</v>
      </c>
      <c r="M111" s="4" t="str">
        <f>IF($I111="Complete","Green",IF($H111="","Amber",IF($H111&lt;'[2]Read Me'!$B$4,"Red",IF($H111-'[2]Read Me'!$B$4&lt;=21,"Amber","Green"))))</f>
        <v>Red</v>
      </c>
      <c r="N111" s="3"/>
      <c r="O111" t="str">
        <f>IF($I111&lt;&gt;"Complete",IF(COUNTIFS($A$4:$A110,$A111,$B$4:$B110,$B111,$I$4:$I110,"&lt;&gt;Complete")=0,$A111&amp;"|"&amp;$B111,""),"")</f>
        <v/>
      </c>
      <c r="P111" t="str">
        <f ca="1">IF($K111="Yes",COUNTIFS($K$4:$K111,"Yes"),"")</f>
        <v/>
      </c>
      <c r="Q111">
        <f t="shared" ca="1" si="7"/>
        <v>0</v>
      </c>
      <c r="R111" t="str">
        <f ca="1">IF($Q111=1,SUM($Q$4:$Q111),"")</f>
        <v/>
      </c>
    </row>
    <row r="112" spans="1:18" ht="22.5" customHeight="1" x14ac:dyDescent="0.3">
      <c r="A112" s="2" t="s">
        <v>707</v>
      </c>
      <c r="B112" s="2" t="s">
        <v>62</v>
      </c>
      <c r="C112" s="3" t="s">
        <v>707</v>
      </c>
      <c r="D112" s="3" t="s">
        <v>19</v>
      </c>
      <c r="E112" s="2" t="s">
        <v>666</v>
      </c>
      <c r="F112" s="2" t="s">
        <v>81</v>
      </c>
      <c r="G112" s="5">
        <v>45683</v>
      </c>
      <c r="H112" s="5">
        <v>45683</v>
      </c>
      <c r="I112" s="4" t="s">
        <v>31</v>
      </c>
      <c r="J112" s="6">
        <f t="shared" si="5"/>
        <v>0</v>
      </c>
      <c r="K112" s="4" t="str">
        <f t="shared" ca="1" si="6"/>
        <v>-</v>
      </c>
      <c r="L112" s="7">
        <f t="shared" ca="1" si="8"/>
        <v>0</v>
      </c>
      <c r="M112" s="4" t="str">
        <f>IF($I112="Complete","Green",IF($H112="","Amber",IF($H112&lt;'[2]Read Me'!$B$4,"Red",IF($H112-'[2]Read Me'!$B$4&lt;=21,"Amber","Green"))))</f>
        <v>Red</v>
      </c>
      <c r="N112" s="3"/>
      <c r="O112" t="str">
        <f>IF($I112&lt;&gt;"Complete",IF(COUNTIFS($A$4:$A111,$A112,$B$4:$B111,$B112,$I$4:$I111,"&lt;&gt;Complete")=0,$A112&amp;"|"&amp;$B112,""),"")</f>
        <v/>
      </c>
      <c r="P112" t="str">
        <f ca="1">IF($K112="Yes",COUNTIFS($K$4:$K112,"Yes"),"")</f>
        <v/>
      </c>
      <c r="Q112">
        <f t="shared" ca="1" si="7"/>
        <v>0</v>
      </c>
      <c r="R112" t="str">
        <f ca="1">IF($Q112=1,SUM($Q$4:$Q112),"")</f>
        <v/>
      </c>
    </row>
    <row r="113" spans="1:18" ht="22.5" customHeight="1" x14ac:dyDescent="0.3">
      <c r="A113" s="2" t="s">
        <v>707</v>
      </c>
      <c r="B113" s="2" t="s">
        <v>62</v>
      </c>
      <c r="C113" s="3" t="s">
        <v>707</v>
      </c>
      <c r="D113" s="3" t="s">
        <v>681</v>
      </c>
      <c r="E113" s="2"/>
      <c r="F113" s="2" t="s">
        <v>30</v>
      </c>
      <c r="G113" s="5">
        <v>45690</v>
      </c>
      <c r="H113" s="5">
        <v>45690</v>
      </c>
      <c r="I113" s="4" t="s">
        <v>31</v>
      </c>
      <c r="J113" s="6">
        <f t="shared" si="5"/>
        <v>0</v>
      </c>
      <c r="K113" s="4" t="str">
        <f t="shared" ca="1" si="6"/>
        <v>-</v>
      </c>
      <c r="L113" s="7">
        <f t="shared" ca="1" si="8"/>
        <v>0</v>
      </c>
      <c r="M113" s="4" t="str">
        <f>IF($I113="Complete","Green",IF($H113="","Amber",IF($H113&lt;'[2]Read Me'!$B$4,"Red",IF($H113-'[2]Read Me'!$B$4&lt;=21,"Amber","Green"))))</f>
        <v>Red</v>
      </c>
      <c r="N113" s="3"/>
      <c r="O113" t="str">
        <f>IF($I113&lt;&gt;"Complete",IF(COUNTIFS($A$4:$A112,$A113,$B$4:$B112,$B113,$I$4:$I112,"&lt;&gt;Complete")=0,$A113&amp;"|"&amp;$B113,""),"")</f>
        <v/>
      </c>
      <c r="P113" t="str">
        <f ca="1">IF($K113="Yes",COUNTIFS($K$4:$K113,"Yes"),"")</f>
        <v/>
      </c>
      <c r="Q113">
        <f t="shared" ca="1" si="7"/>
        <v>0</v>
      </c>
      <c r="R113" t="str">
        <f ca="1">IF($Q113=1,SUM($Q$4:$Q113),"")</f>
        <v/>
      </c>
    </row>
    <row r="114" spans="1:18" ht="22.5" customHeight="1" x14ac:dyDescent="0.3">
      <c r="A114" s="2" t="s">
        <v>707</v>
      </c>
      <c r="B114" s="2" t="s">
        <v>62</v>
      </c>
      <c r="C114" s="3" t="s">
        <v>707</v>
      </c>
      <c r="D114" s="3" t="s">
        <v>34</v>
      </c>
      <c r="E114" s="2"/>
      <c r="F114" s="2" t="s">
        <v>265</v>
      </c>
      <c r="G114" s="5">
        <v>45704</v>
      </c>
      <c r="H114" s="5">
        <v>45704</v>
      </c>
      <c r="I114" s="4" t="s">
        <v>31</v>
      </c>
      <c r="J114" s="6">
        <f t="shared" si="5"/>
        <v>0</v>
      </c>
      <c r="K114" s="4" t="str">
        <f t="shared" ca="1" si="6"/>
        <v>-</v>
      </c>
      <c r="L114" s="7">
        <f t="shared" ca="1" si="8"/>
        <v>0</v>
      </c>
      <c r="M114" s="4" t="str">
        <f>IF($I114="Complete","Green",IF($H114="","Amber",IF($H114&lt;'[2]Read Me'!$B$4,"Red",IF($H114-'[2]Read Me'!$B$4&lt;=21,"Amber","Green"))))</f>
        <v>Red</v>
      </c>
      <c r="N114" s="3"/>
      <c r="O114" t="str">
        <f>IF($I114&lt;&gt;"Complete",IF(COUNTIFS($A$4:$A113,$A114,$B$4:$B113,$B114,$I$4:$I113,"&lt;&gt;Complete")=0,$A114&amp;"|"&amp;$B114,""),"")</f>
        <v/>
      </c>
      <c r="P114" t="str">
        <f ca="1">IF($K114="Yes",COUNTIFS($K$4:$K114,"Yes"),"")</f>
        <v/>
      </c>
      <c r="Q114">
        <f t="shared" ca="1" si="7"/>
        <v>0</v>
      </c>
      <c r="R114" t="str">
        <f ca="1">IF($Q114=1,SUM($Q$4:$Q114),"")</f>
        <v/>
      </c>
    </row>
    <row r="115" spans="1:18" ht="22.5" customHeight="1" x14ac:dyDescent="0.3">
      <c r="A115" s="2" t="s">
        <v>707</v>
      </c>
      <c r="B115" s="2" t="s">
        <v>62</v>
      </c>
      <c r="C115" s="3" t="s">
        <v>707</v>
      </c>
      <c r="D115" s="3" t="s">
        <v>15</v>
      </c>
      <c r="E115" s="2"/>
      <c r="F115" s="2" t="s">
        <v>30</v>
      </c>
      <c r="G115" s="5">
        <v>45733</v>
      </c>
      <c r="H115" s="5">
        <v>45733</v>
      </c>
      <c r="I115" s="4" t="s">
        <v>31</v>
      </c>
      <c r="J115" s="6">
        <f t="shared" si="5"/>
        <v>0</v>
      </c>
      <c r="K115" s="4" t="str">
        <f t="shared" ca="1" si="6"/>
        <v>-</v>
      </c>
      <c r="L115" s="7">
        <f t="shared" ca="1" si="8"/>
        <v>0</v>
      </c>
      <c r="M115" s="4" t="str">
        <f>IF($I115="Complete","Green",IF($H115="","Amber",IF($H115&lt;'[2]Read Me'!$B$4,"Red",IF($H115-'[2]Read Me'!$B$4&lt;=21,"Amber","Green"))))</f>
        <v>Red</v>
      </c>
      <c r="N115" s="3"/>
      <c r="O115" t="str">
        <f>IF($I115&lt;&gt;"Complete",IF(COUNTIFS($A$4:$A114,$A115,$B$4:$B114,$B115,$I$4:$I114,"&lt;&gt;Complete")=0,$A115&amp;"|"&amp;$B115,""),"")</f>
        <v/>
      </c>
      <c r="P115" t="str">
        <f ca="1">IF($K115="Yes",COUNTIFS($K$4:$K115,"Yes"),"")</f>
        <v/>
      </c>
      <c r="Q115">
        <f t="shared" ca="1" si="7"/>
        <v>0</v>
      </c>
      <c r="R115" t="str">
        <f ca="1">IF($Q115=1,SUM($Q$4:$Q115),"")</f>
        <v/>
      </c>
    </row>
    <row r="116" spans="1:18" ht="22.5" customHeight="1" x14ac:dyDescent="0.3">
      <c r="A116" s="2" t="s">
        <v>707</v>
      </c>
      <c r="B116" s="2" t="s">
        <v>62</v>
      </c>
      <c r="C116" s="3" t="s">
        <v>707</v>
      </c>
      <c r="D116" s="3" t="s">
        <v>35</v>
      </c>
      <c r="E116" s="2"/>
      <c r="F116" s="2" t="s">
        <v>265</v>
      </c>
      <c r="G116" s="5">
        <v>45777</v>
      </c>
      <c r="H116" s="5">
        <v>45777</v>
      </c>
      <c r="I116" s="4" t="s">
        <v>31</v>
      </c>
      <c r="J116" s="6">
        <f t="shared" si="5"/>
        <v>0</v>
      </c>
      <c r="K116" s="4" t="str">
        <f t="shared" ca="1" si="6"/>
        <v>-</v>
      </c>
      <c r="L116" s="7">
        <f t="shared" ca="1" si="8"/>
        <v>0</v>
      </c>
      <c r="M116" s="4" t="str">
        <f>IF($I116="Complete","Green",IF($H116="","Amber",IF($H116&lt;'[2]Read Me'!$B$4,"Red",IF($H116-'[2]Read Me'!$B$4&lt;=21,"Amber","Green"))))</f>
        <v>Red</v>
      </c>
      <c r="N116" s="3"/>
      <c r="O116" t="str">
        <f>IF($I116&lt;&gt;"Complete",IF(COUNTIFS($A$4:$A115,$A116,$B$4:$B115,$B116,$I$4:$I115,"&lt;&gt;Complete")=0,$A116&amp;"|"&amp;$B116,""),"")</f>
        <v/>
      </c>
      <c r="P116" t="str">
        <f ca="1">IF($K116="Yes",COUNTIFS($K$4:$K116,"Yes"),"")</f>
        <v/>
      </c>
      <c r="Q116">
        <f t="shared" ca="1" si="7"/>
        <v>0</v>
      </c>
      <c r="R116" t="str">
        <f ca="1">IF($Q116=1,SUM($Q$4:$Q116),"")</f>
        <v/>
      </c>
    </row>
    <row r="117" spans="1:18" ht="22.5" customHeight="1" x14ac:dyDescent="0.3">
      <c r="A117" s="2" t="s">
        <v>707</v>
      </c>
      <c r="B117" s="2" t="s">
        <v>62</v>
      </c>
      <c r="C117" s="3" t="s">
        <v>707</v>
      </c>
      <c r="D117" s="3" t="s">
        <v>682</v>
      </c>
      <c r="E117" s="2"/>
      <c r="F117" s="2" t="s">
        <v>30</v>
      </c>
      <c r="G117" s="5">
        <v>45818</v>
      </c>
      <c r="H117" s="5">
        <v>45818</v>
      </c>
      <c r="I117" s="4" t="s">
        <v>31</v>
      </c>
      <c r="J117" s="6">
        <f t="shared" si="5"/>
        <v>0</v>
      </c>
      <c r="K117" s="4" t="str">
        <f t="shared" ca="1" si="6"/>
        <v>-</v>
      </c>
      <c r="L117" s="7">
        <f t="shared" ca="1" si="8"/>
        <v>0</v>
      </c>
      <c r="M117" s="4" t="str">
        <f>IF($I117="Complete","Green",IF($H117="","Amber",IF($H117&lt;'[2]Read Me'!$B$4,"Red",IF($H117-'[2]Read Me'!$B$4&lt;=21,"Amber","Green"))))</f>
        <v>Red</v>
      </c>
      <c r="N117" s="3"/>
      <c r="O117" t="str">
        <f>IF($I117&lt;&gt;"Complete",IF(COUNTIFS($A$4:$A116,$A117,$B$4:$B116,$B117,$I$4:$I116,"&lt;&gt;Complete")=0,$A117&amp;"|"&amp;$B117,""),"")</f>
        <v/>
      </c>
      <c r="P117" t="str">
        <f ca="1">IF($K117="Yes",COUNTIFS($K$4:$K117,"Yes"),"")</f>
        <v/>
      </c>
      <c r="Q117">
        <f t="shared" ca="1" si="7"/>
        <v>0</v>
      </c>
      <c r="R117" t="str">
        <f ca="1">IF($Q117=1,SUM($Q$4:$Q117),"")</f>
        <v/>
      </c>
    </row>
    <row r="118" spans="1:18" ht="22.5" customHeight="1" x14ac:dyDescent="0.3">
      <c r="A118" s="2" t="s">
        <v>707</v>
      </c>
      <c r="B118" s="2" t="s">
        <v>62</v>
      </c>
      <c r="C118" s="3" t="s">
        <v>707</v>
      </c>
      <c r="D118" s="3" t="s">
        <v>20</v>
      </c>
      <c r="E118" s="2" t="s">
        <v>666</v>
      </c>
      <c r="F118" s="2" t="s">
        <v>81</v>
      </c>
      <c r="G118" s="5">
        <v>45782</v>
      </c>
      <c r="H118" s="5">
        <v>45782</v>
      </c>
      <c r="I118" s="4" t="s">
        <v>31</v>
      </c>
      <c r="J118" s="6">
        <f t="shared" si="5"/>
        <v>0</v>
      </c>
      <c r="K118" s="4" t="str">
        <f t="shared" ca="1" si="6"/>
        <v>-</v>
      </c>
      <c r="L118" s="7">
        <f t="shared" ca="1" si="8"/>
        <v>0</v>
      </c>
      <c r="M118" s="4" t="str">
        <f>IF($I118="Complete","Green",IF($H118="","Amber",IF($H118&lt;'[2]Read Me'!$B$4,"Red",IF($H118-'[2]Read Me'!$B$4&lt;=21,"Amber","Green"))))</f>
        <v>Red</v>
      </c>
      <c r="N118" s="3"/>
      <c r="O118" t="str">
        <f>IF($I118&lt;&gt;"Complete",IF(COUNTIFS($A$4:$A117,$A118,$B$4:$B117,$B118,$I$4:$I117,"&lt;&gt;Complete")=0,$A118&amp;"|"&amp;$B118,""),"")</f>
        <v/>
      </c>
      <c r="P118" t="str">
        <f ca="1">IF($K118="Yes",COUNTIFS($K$4:$K118,"Yes"),"")</f>
        <v/>
      </c>
      <c r="Q118">
        <f t="shared" ca="1" si="7"/>
        <v>0</v>
      </c>
      <c r="R118" t="str">
        <f ca="1">IF($Q118=1,SUM($Q$4:$Q118),"")</f>
        <v/>
      </c>
    </row>
    <row r="119" spans="1:18" ht="22.5" customHeight="1" x14ac:dyDescent="0.3">
      <c r="A119" s="2" t="s">
        <v>707</v>
      </c>
      <c r="B119" s="2" t="s">
        <v>62</v>
      </c>
      <c r="C119" s="3" t="s">
        <v>707</v>
      </c>
      <c r="D119" s="3" t="s">
        <v>710</v>
      </c>
      <c r="E119" s="2" t="s">
        <v>663</v>
      </c>
      <c r="F119" s="2" t="s">
        <v>30</v>
      </c>
      <c r="G119" s="5">
        <v>45949</v>
      </c>
      <c r="H119" s="5">
        <v>46194</v>
      </c>
      <c r="I119" s="4" t="s">
        <v>31</v>
      </c>
      <c r="J119" s="6">
        <f t="shared" si="5"/>
        <v>245</v>
      </c>
      <c r="K119" s="4" t="str">
        <f t="shared" ca="1" si="6"/>
        <v>-</v>
      </c>
      <c r="L119" s="7">
        <f t="shared" ca="1" si="8"/>
        <v>0</v>
      </c>
      <c r="M119" s="4" t="str">
        <f>IF($I119="Complete","Green",IF($H119="","Amber",IF($H119&lt;'[2]Read Me'!$B$4,"Red",IF($H119-'[2]Read Me'!$B$4&lt;=21,"Amber","Green"))))</f>
        <v>Amber</v>
      </c>
      <c r="N119" s="3"/>
      <c r="O119" t="str">
        <f>IF($I119&lt;&gt;"Complete",IF(COUNTIFS($A$4:$A118,$A119,$B$4:$B118,$B119,$I$4:$I118,"&lt;&gt;Complete")=0,$A119&amp;"|"&amp;$B119,""),"")</f>
        <v/>
      </c>
      <c r="P119" t="str">
        <f ca="1">IF($K119="Yes",COUNTIFS($K$4:$K119,"Yes"),"")</f>
        <v/>
      </c>
      <c r="Q119">
        <f t="shared" ca="1" si="7"/>
        <v>0</v>
      </c>
      <c r="R119" t="str">
        <f ca="1">IF($Q119=1,SUM($Q$4:$Q119),"")</f>
        <v/>
      </c>
    </row>
    <row r="120" spans="1:18" ht="22.5" customHeight="1" x14ac:dyDescent="0.3">
      <c r="A120" s="2" t="s">
        <v>707</v>
      </c>
      <c r="B120" s="2" t="s">
        <v>62</v>
      </c>
      <c r="C120" s="3" t="s">
        <v>707</v>
      </c>
      <c r="D120" s="3" t="s">
        <v>711</v>
      </c>
      <c r="E120" s="2" t="s">
        <v>663</v>
      </c>
      <c r="F120" s="2" t="s">
        <v>30</v>
      </c>
      <c r="G120" s="5"/>
      <c r="H120" s="5">
        <v>46194</v>
      </c>
      <c r="I120" s="4" t="s">
        <v>31</v>
      </c>
      <c r="J120" s="6" t="str">
        <f t="shared" si="5"/>
        <v/>
      </c>
      <c r="K120" s="4" t="str">
        <f t="shared" ca="1" si="6"/>
        <v>-</v>
      </c>
      <c r="L120" s="7">
        <f t="shared" ca="1" si="8"/>
        <v>0</v>
      </c>
      <c r="M120" s="4" t="str">
        <f>IF($I120="Complete","Green",IF($H120="","Amber",IF($H120&lt;'[2]Read Me'!$B$4,"Red",IF($H120-'[2]Read Me'!$B$4&lt;=21,"Amber","Green"))))</f>
        <v>Amber</v>
      </c>
      <c r="N120" s="3"/>
      <c r="O120" t="str">
        <f>IF($I120&lt;&gt;"Complete",IF(COUNTIFS($A$4:$A119,$A120,$B$4:$B119,$B120,$I$4:$I119,"&lt;&gt;Complete")=0,$A120&amp;"|"&amp;$B120,""),"")</f>
        <v/>
      </c>
      <c r="P120" t="str">
        <f ca="1">IF($K120="Yes",COUNTIFS($K$4:$K120,"Yes"),"")</f>
        <v/>
      </c>
      <c r="Q120">
        <f t="shared" ca="1" si="7"/>
        <v>0</v>
      </c>
      <c r="R120" t="str">
        <f ca="1">IF($Q120=1,SUM($Q$4:$Q120),"")</f>
        <v/>
      </c>
    </row>
    <row r="121" spans="1:18" ht="22.5" customHeight="1" x14ac:dyDescent="0.3">
      <c r="A121" s="2" t="s">
        <v>707</v>
      </c>
      <c r="B121" s="2" t="s">
        <v>62</v>
      </c>
      <c r="C121" s="3" t="s">
        <v>707</v>
      </c>
      <c r="D121" s="3" t="s">
        <v>37</v>
      </c>
      <c r="E121" s="2" t="s">
        <v>663</v>
      </c>
      <c r="F121" s="2" t="s">
        <v>265</v>
      </c>
      <c r="G121" s="5">
        <v>45970</v>
      </c>
      <c r="H121" s="5">
        <v>46208</v>
      </c>
      <c r="I121" s="4" t="s">
        <v>46</v>
      </c>
      <c r="J121" s="6">
        <f t="shared" si="5"/>
        <v>238</v>
      </c>
      <c r="K121" s="4" t="str">
        <f t="shared" ca="1" si="6"/>
        <v>Yes</v>
      </c>
      <c r="L121" s="7">
        <f t="shared" ca="1" si="8"/>
        <v>0</v>
      </c>
      <c r="M121" s="4" t="str">
        <f>IF($I121="Complete","Green",IF($H121="","Amber",IF($H121&lt;'[2]Read Me'!$B$4,"Red",IF($H121-'[2]Read Me'!$B$4&lt;=21,"Amber","Green"))))</f>
        <v>Amber</v>
      </c>
      <c r="N121" s="3"/>
      <c r="O121" t="str">
        <f>IF($I121&lt;&gt;"Complete",IF(COUNTIFS($A$4:$A120,$A121,$B$4:$B120,$B121,$I$4:$I120,"&lt;&gt;Complete")=0,$A121&amp;"|"&amp;$B121,""),"")</f>
        <v/>
      </c>
      <c r="P121">
        <f ca="1">IF($K121="Yes",COUNTIFS($K$4:$K121,"Yes"),"")</f>
        <v>4</v>
      </c>
      <c r="Q121">
        <f t="shared" ca="1" si="7"/>
        <v>1</v>
      </c>
      <c r="R121">
        <f ca="1">IF($Q121=1,SUM($Q$4:$Q121),"")</f>
        <v>4</v>
      </c>
    </row>
    <row r="122" spans="1:18" ht="22.5" customHeight="1" x14ac:dyDescent="0.3">
      <c r="A122" s="2" t="s">
        <v>712</v>
      </c>
      <c r="B122" s="2" t="s">
        <v>62</v>
      </c>
      <c r="C122" s="3"/>
      <c r="D122" s="3"/>
      <c r="E122" s="2"/>
      <c r="F122" s="2"/>
      <c r="G122" s="5">
        <v>46066</v>
      </c>
      <c r="H122" s="5">
        <v>46254</v>
      </c>
      <c r="I122" s="4"/>
      <c r="J122" s="6">
        <f t="shared" si="5"/>
        <v>188</v>
      </c>
      <c r="K122" s="4" t="str">
        <f t="shared" ca="1" si="6"/>
        <v/>
      </c>
      <c r="L122" s="7">
        <f t="shared" ca="1" si="8"/>
        <v>46</v>
      </c>
      <c r="M122" s="4" t="str">
        <f>IF($I122="Complete","Green",IF($H122="","Amber",IF($H122&lt;'[2]Read Me'!$B$4,"Red",IF($H122-'[2]Read Me'!$B$4&lt;=21,"Amber","Green"))))</f>
        <v>Green</v>
      </c>
      <c r="N122" s="3"/>
      <c r="O122" t="str">
        <f>IF($I122&lt;&gt;"Complete",IF(COUNTIFS($A$4:$A121,$A122,$B$4:$B121,$B122,$I$4:$I121,"&lt;&gt;Complete")=0,$A122&amp;"|"&amp;$B122,""),"")</f>
        <v>Type D Shimmers|Buildings</v>
      </c>
      <c r="P122" t="str">
        <f ca="1">IF($K122="Yes",COUNTIFS($K$4:$K122,"Yes"),"")</f>
        <v/>
      </c>
      <c r="Q122">
        <f t="shared" ca="1" si="7"/>
        <v>0</v>
      </c>
      <c r="R122" t="str">
        <f ca="1">IF($Q122=1,SUM($Q$4:$Q122),"")</f>
        <v/>
      </c>
    </row>
    <row r="123" spans="1:18" ht="22.5" customHeight="1" x14ac:dyDescent="0.3">
      <c r="A123" s="2" t="s">
        <v>712</v>
      </c>
      <c r="B123" s="2" t="s">
        <v>62</v>
      </c>
      <c r="C123" s="3" t="s">
        <v>712</v>
      </c>
      <c r="D123" s="3" t="s">
        <v>18</v>
      </c>
      <c r="E123" s="2"/>
      <c r="F123" s="2" t="s">
        <v>30</v>
      </c>
      <c r="G123" s="5">
        <v>45928</v>
      </c>
      <c r="H123" s="5">
        <v>46013</v>
      </c>
      <c r="I123" s="4" t="s">
        <v>31</v>
      </c>
      <c r="J123" s="6">
        <f t="shared" si="5"/>
        <v>85</v>
      </c>
      <c r="K123" s="4" t="str">
        <f t="shared" ca="1" si="6"/>
        <v>-</v>
      </c>
      <c r="L123" s="7">
        <f t="shared" ca="1" si="8"/>
        <v>0</v>
      </c>
      <c r="M123" s="4" t="str">
        <f>IF($I123="Complete","Green",IF($H123="","Amber",IF($H123&lt;'[2]Read Me'!$B$4,"Red",IF($H123-'[2]Read Me'!$B$4&lt;=21,"Amber","Green"))))</f>
        <v>Red</v>
      </c>
      <c r="N123" s="3"/>
      <c r="O123" t="str">
        <f>IF($I123&lt;&gt;"Complete",IF(COUNTIFS($A$4:$A122,$A123,$B$4:$B122,$B123,$I$4:$I122,"&lt;&gt;Complete")=0,$A123&amp;"|"&amp;$B123,""),"")</f>
        <v/>
      </c>
      <c r="P123" t="str">
        <f ca="1">IF($K123="Yes",COUNTIFS($K$4:$K123,"Yes"),"")</f>
        <v/>
      </c>
      <c r="Q123">
        <f t="shared" ca="1" si="7"/>
        <v>0</v>
      </c>
      <c r="R123" t="str">
        <f ca="1">IF($Q123=1,SUM($Q$4:$Q123),"")</f>
        <v/>
      </c>
    </row>
    <row r="124" spans="1:18" ht="22.5" customHeight="1" x14ac:dyDescent="0.3">
      <c r="A124" s="2" t="s">
        <v>712</v>
      </c>
      <c r="B124" s="2" t="s">
        <v>62</v>
      </c>
      <c r="C124" s="3" t="s">
        <v>712</v>
      </c>
      <c r="D124" s="3" t="s">
        <v>32</v>
      </c>
      <c r="E124" s="2"/>
      <c r="F124" s="2" t="s">
        <v>265</v>
      </c>
      <c r="G124" s="5">
        <v>45939</v>
      </c>
      <c r="H124" s="5">
        <v>46022</v>
      </c>
      <c r="I124" s="4" t="s">
        <v>31</v>
      </c>
      <c r="J124" s="6">
        <f t="shared" si="5"/>
        <v>83</v>
      </c>
      <c r="K124" s="4" t="str">
        <f t="shared" ca="1" si="6"/>
        <v>-</v>
      </c>
      <c r="L124" s="7">
        <f t="shared" ca="1" si="8"/>
        <v>0</v>
      </c>
      <c r="M124" s="4" t="str">
        <f>IF($I124="Complete","Green",IF($H124="","Amber",IF($H124&lt;'[2]Read Me'!$B$4,"Red",IF($H124-'[2]Read Me'!$B$4&lt;=21,"Amber","Green"))))</f>
        <v>Red</v>
      </c>
      <c r="N124" s="3"/>
      <c r="O124" t="str">
        <f>IF($I124&lt;&gt;"Complete",IF(COUNTIFS($A$4:$A123,$A124,$B$4:$B123,$B124,$I$4:$I123,"&lt;&gt;Complete")=0,$A124&amp;"|"&amp;$B124,""),"")</f>
        <v/>
      </c>
      <c r="P124" t="str">
        <f ca="1">IF($K124="Yes",COUNTIFS($K$4:$K124,"Yes"),"")</f>
        <v/>
      </c>
      <c r="Q124">
        <f t="shared" ca="1" si="7"/>
        <v>0</v>
      </c>
      <c r="R124" t="str">
        <f ca="1">IF($Q124=1,SUM($Q$4:$Q124),"")</f>
        <v/>
      </c>
    </row>
    <row r="125" spans="1:18" ht="22.5" customHeight="1" x14ac:dyDescent="0.3">
      <c r="A125" s="2" t="s">
        <v>712</v>
      </c>
      <c r="B125" s="2" t="s">
        <v>62</v>
      </c>
      <c r="C125" s="3" t="s">
        <v>712</v>
      </c>
      <c r="D125" s="3" t="s">
        <v>19</v>
      </c>
      <c r="E125" s="2" t="s">
        <v>666</v>
      </c>
      <c r="F125" s="2" t="s">
        <v>81</v>
      </c>
      <c r="G125" s="5">
        <v>45943</v>
      </c>
      <c r="H125" s="5">
        <v>46195</v>
      </c>
      <c r="I125" s="4" t="s">
        <v>46</v>
      </c>
      <c r="J125" s="6">
        <f t="shared" si="5"/>
        <v>252</v>
      </c>
      <c r="K125" s="4" t="str">
        <f t="shared" ca="1" si="6"/>
        <v>Yes</v>
      </c>
      <c r="L125" s="7">
        <f t="shared" ca="1" si="8"/>
        <v>-13</v>
      </c>
      <c r="M125" s="4" t="str">
        <f>IF($I125="Complete","Green",IF($H125="","Amber",IF($H125&lt;'[2]Read Me'!$B$4,"Red",IF($H125-'[2]Read Me'!$B$4&lt;=21,"Amber","Green"))))</f>
        <v>Amber</v>
      </c>
      <c r="N125" s="3"/>
      <c r="O125" t="str">
        <f>IF($I125&lt;&gt;"Complete",IF(COUNTIFS($A$4:$A124,$A125,$B$4:$B124,$B125,$I$4:$I124,"&lt;&gt;Complete")=0,$A125&amp;"|"&amp;$B125,""),"")</f>
        <v/>
      </c>
      <c r="P125">
        <f ca="1">IF($K125="Yes",COUNTIFS($K$4:$K125,"Yes"),"")</f>
        <v>5</v>
      </c>
      <c r="Q125">
        <f t="shared" ca="1" si="7"/>
        <v>1</v>
      </c>
      <c r="R125">
        <f ca="1">IF($Q125=1,SUM($Q$4:$Q125),"")</f>
        <v>5</v>
      </c>
    </row>
    <row r="126" spans="1:18" ht="22.5" customHeight="1" x14ac:dyDescent="0.3">
      <c r="A126" s="2" t="s">
        <v>712</v>
      </c>
      <c r="B126" s="2" t="s">
        <v>62</v>
      </c>
      <c r="C126" s="3" t="s">
        <v>712</v>
      </c>
      <c r="D126" s="3" t="s">
        <v>14</v>
      </c>
      <c r="E126" s="2"/>
      <c r="F126" s="2" t="s">
        <v>30</v>
      </c>
      <c r="G126" s="5">
        <v>45970</v>
      </c>
      <c r="H126" s="5">
        <v>46061</v>
      </c>
      <c r="I126" s="4" t="s">
        <v>31</v>
      </c>
      <c r="J126" s="6">
        <f t="shared" si="5"/>
        <v>91</v>
      </c>
      <c r="K126" s="4" t="str">
        <f t="shared" ca="1" si="6"/>
        <v>-</v>
      </c>
      <c r="L126" s="7">
        <f t="shared" ca="1" si="8"/>
        <v>0</v>
      </c>
      <c r="M126" s="4" t="str">
        <f>IF($I126="Complete","Green",IF($H126="","Amber",IF($H126&lt;'[2]Read Me'!$B$4,"Red",IF($H126-'[2]Read Me'!$B$4&lt;=21,"Amber","Green"))))</f>
        <v>Red</v>
      </c>
      <c r="N126" s="3"/>
      <c r="O126" t="str">
        <f>IF($I126&lt;&gt;"Complete",IF(COUNTIFS($A$4:$A125,$A126,$B$4:$B125,$B126,$I$4:$I125,"&lt;&gt;Complete")=0,$A126&amp;"|"&amp;$B126,""),"")</f>
        <v/>
      </c>
      <c r="P126" t="str">
        <f ca="1">IF($K126="Yes",COUNTIFS($K$4:$K126,"Yes"),"")</f>
        <v/>
      </c>
      <c r="Q126">
        <f t="shared" ca="1" si="7"/>
        <v>0</v>
      </c>
      <c r="R126" t="str">
        <f ca="1">IF($Q126=1,SUM($Q$4:$Q126),"")</f>
        <v/>
      </c>
    </row>
    <row r="127" spans="1:18" ht="22.5" customHeight="1" x14ac:dyDescent="0.3">
      <c r="A127" s="2" t="s">
        <v>712</v>
      </c>
      <c r="B127" s="2" t="s">
        <v>62</v>
      </c>
      <c r="C127" s="3" t="s">
        <v>712</v>
      </c>
      <c r="D127" s="3" t="s">
        <v>34</v>
      </c>
      <c r="E127" s="2"/>
      <c r="F127" s="2" t="s">
        <v>265</v>
      </c>
      <c r="G127" s="5">
        <v>45985</v>
      </c>
      <c r="H127" s="5">
        <v>46071</v>
      </c>
      <c r="I127" s="4" t="s">
        <v>31</v>
      </c>
      <c r="J127" s="6">
        <f t="shared" si="5"/>
        <v>86</v>
      </c>
      <c r="K127" s="4" t="str">
        <f t="shared" ca="1" si="6"/>
        <v>-</v>
      </c>
      <c r="L127" s="7">
        <f t="shared" ca="1" si="8"/>
        <v>0</v>
      </c>
      <c r="M127" s="4" t="str">
        <f>IF($I127="Complete","Green",IF($H127="","Amber",IF($H127&lt;'[2]Read Me'!$B$4,"Red",IF($H127-'[2]Read Me'!$B$4&lt;=21,"Amber","Green"))))</f>
        <v>Red</v>
      </c>
      <c r="N127" s="3"/>
      <c r="O127" t="str">
        <f>IF($I127&lt;&gt;"Complete",IF(COUNTIFS($A$4:$A126,$A127,$B$4:$B126,$B127,$I$4:$I126,"&lt;&gt;Complete")=0,$A127&amp;"|"&amp;$B127,""),"")</f>
        <v/>
      </c>
      <c r="P127" t="str">
        <f ca="1">IF($K127="Yes",COUNTIFS($K$4:$K127,"Yes"),"")</f>
        <v/>
      </c>
      <c r="Q127">
        <f t="shared" ca="1" si="7"/>
        <v>0</v>
      </c>
      <c r="R127" t="str">
        <f ca="1">IF($Q127=1,SUM($Q$4:$Q127),"")</f>
        <v/>
      </c>
    </row>
    <row r="128" spans="1:18" ht="22.5" customHeight="1" x14ac:dyDescent="0.3">
      <c r="A128" s="2" t="s">
        <v>712</v>
      </c>
      <c r="B128" s="2" t="s">
        <v>62</v>
      </c>
      <c r="C128" s="3" t="s">
        <v>712</v>
      </c>
      <c r="D128" s="3" t="s">
        <v>713</v>
      </c>
      <c r="E128" s="2" t="s">
        <v>663</v>
      </c>
      <c r="F128" s="2" t="s">
        <v>30</v>
      </c>
      <c r="G128" s="5">
        <v>46014</v>
      </c>
      <c r="H128" s="5">
        <v>46205</v>
      </c>
      <c r="I128" s="4" t="s">
        <v>46</v>
      </c>
      <c r="J128" s="6">
        <f t="shared" si="5"/>
        <v>191</v>
      </c>
      <c r="K128" s="4" t="str">
        <f t="shared" ca="1" si="6"/>
        <v>Yes</v>
      </c>
      <c r="L128" s="7">
        <f t="shared" ca="1" si="8"/>
        <v>-3</v>
      </c>
      <c r="M128" s="4" t="str">
        <f>IF($I128="Complete","Green",IF($H128="","Amber",IF($H128&lt;'[2]Read Me'!$B$4,"Red",IF($H128-'[2]Read Me'!$B$4&lt;=21,"Amber","Green"))))</f>
        <v>Amber</v>
      </c>
      <c r="N128" s="3"/>
      <c r="O128" t="str">
        <f>IF($I128&lt;&gt;"Complete",IF(COUNTIFS($A$4:$A127,$A128,$B$4:$B127,$B128,$I$4:$I127,"&lt;&gt;Complete")=0,$A128&amp;"|"&amp;$B128,""),"")</f>
        <v/>
      </c>
      <c r="P128">
        <f ca="1">IF($K128="Yes",COUNTIFS($K$4:$K128,"Yes"),"")</f>
        <v>6</v>
      </c>
      <c r="Q128">
        <f t="shared" ca="1" si="7"/>
        <v>1</v>
      </c>
      <c r="R128">
        <f ca="1">IF($Q128=1,SUM($Q$4:$Q128),"")</f>
        <v>6</v>
      </c>
    </row>
    <row r="129" spans="1:18" ht="22.5" customHeight="1" x14ac:dyDescent="0.3">
      <c r="A129" s="2" t="s">
        <v>712</v>
      </c>
      <c r="B129" s="2" t="s">
        <v>62</v>
      </c>
      <c r="C129" s="3" t="s">
        <v>712</v>
      </c>
      <c r="D129" s="3" t="s">
        <v>35</v>
      </c>
      <c r="E129" s="2" t="s">
        <v>663</v>
      </c>
      <c r="F129" s="2" t="s">
        <v>265</v>
      </c>
      <c r="G129" s="5">
        <v>46029</v>
      </c>
      <c r="H129" s="5">
        <v>46219</v>
      </c>
      <c r="I129" s="4" t="s">
        <v>17</v>
      </c>
      <c r="J129" s="6">
        <f t="shared" si="5"/>
        <v>190</v>
      </c>
      <c r="K129" s="4" t="str">
        <f t="shared" ca="1" si="6"/>
        <v>No</v>
      </c>
      <c r="L129" s="7">
        <f t="shared" ca="1" si="8"/>
        <v>11</v>
      </c>
      <c r="M129" s="4" t="str">
        <f>IF($I129="Complete","Green",IF($H129="","Amber",IF($H129&lt;'[2]Read Me'!$B$4,"Red",IF($H129-'[2]Read Me'!$B$4&lt;=21,"Amber","Green"))))</f>
        <v>Green</v>
      </c>
      <c r="N129" s="3"/>
      <c r="O129" t="str">
        <f>IF($I129&lt;&gt;"Complete",IF(COUNTIFS($A$4:$A128,$A129,$B$4:$B128,$B129,$I$4:$I128,"&lt;&gt;Complete")=0,$A129&amp;"|"&amp;$B129,""),"")</f>
        <v/>
      </c>
      <c r="P129" t="str">
        <f ca="1">IF($K129="Yes",COUNTIFS($K$4:$K129,"Yes"),"")</f>
        <v/>
      </c>
      <c r="Q129">
        <f t="shared" ca="1" si="7"/>
        <v>0</v>
      </c>
      <c r="R129" t="str">
        <f ca="1">IF($Q129=1,SUM($Q$4:$Q129),"")</f>
        <v/>
      </c>
    </row>
    <row r="130" spans="1:18" ht="22.5" customHeight="1" x14ac:dyDescent="0.3">
      <c r="A130" s="2" t="s">
        <v>712</v>
      </c>
      <c r="B130" s="2" t="s">
        <v>62</v>
      </c>
      <c r="C130" s="3" t="s">
        <v>712</v>
      </c>
      <c r="D130" s="3" t="s">
        <v>20</v>
      </c>
      <c r="E130" s="2" t="s">
        <v>666</v>
      </c>
      <c r="F130" s="2" t="s">
        <v>81</v>
      </c>
      <c r="G130" s="5">
        <v>46029</v>
      </c>
      <c r="H130" s="5">
        <v>46195</v>
      </c>
      <c r="I130" s="4" t="s">
        <v>17</v>
      </c>
      <c r="J130" s="6">
        <f t="shared" si="5"/>
        <v>166</v>
      </c>
      <c r="K130" s="4" t="str">
        <f t="shared" ca="1" si="6"/>
        <v>Yes</v>
      </c>
      <c r="L130" s="7">
        <f t="shared" ca="1" si="8"/>
        <v>-13</v>
      </c>
      <c r="M130" s="4" t="str">
        <f>IF($I130="Complete","Green",IF($H130="","Amber",IF($H130&lt;'[2]Read Me'!$B$4,"Red",IF($H130-'[2]Read Me'!$B$4&lt;=21,"Amber","Green"))))</f>
        <v>Amber</v>
      </c>
      <c r="N130" s="3"/>
      <c r="O130" t="str">
        <f>IF($I130&lt;&gt;"Complete",IF(COUNTIFS($A$4:$A129,$A130,$B$4:$B129,$B130,$I$4:$I129,"&lt;&gt;Complete")=0,$A130&amp;"|"&amp;$B130,""),"")</f>
        <v/>
      </c>
      <c r="P130">
        <f ca="1">IF($K130="Yes",COUNTIFS($K$4:$K130,"Yes"),"")</f>
        <v>7</v>
      </c>
      <c r="Q130">
        <f t="shared" ca="1" si="7"/>
        <v>1</v>
      </c>
      <c r="R130">
        <f ca="1">IF($Q130=1,SUM($Q$4:$Q130),"")</f>
        <v>7</v>
      </c>
    </row>
    <row r="131" spans="1:18" ht="22.5" customHeight="1" x14ac:dyDescent="0.3">
      <c r="A131" s="2" t="s">
        <v>712</v>
      </c>
      <c r="B131" s="2" t="s">
        <v>62</v>
      </c>
      <c r="C131" s="3" t="s">
        <v>712</v>
      </c>
      <c r="D131" s="3" t="s">
        <v>16</v>
      </c>
      <c r="E131" s="2" t="s">
        <v>663</v>
      </c>
      <c r="F131" s="2" t="s">
        <v>30</v>
      </c>
      <c r="G131" s="5">
        <v>46051</v>
      </c>
      <c r="H131" s="5">
        <v>46240</v>
      </c>
      <c r="I131" s="4" t="s">
        <v>17</v>
      </c>
      <c r="J131" s="6">
        <f t="shared" si="5"/>
        <v>189</v>
      </c>
      <c r="K131" s="4" t="str">
        <f t="shared" ca="1" si="6"/>
        <v>No</v>
      </c>
      <c r="L131" s="7">
        <f t="shared" ca="1" si="8"/>
        <v>32</v>
      </c>
      <c r="M131" s="4" t="str">
        <f>IF($I131="Complete","Green",IF($H131="","Amber",IF($H131&lt;'[2]Read Me'!$B$4,"Red",IF($H131-'[2]Read Me'!$B$4&lt;=21,"Amber","Green"))))</f>
        <v>Green</v>
      </c>
      <c r="N131" s="3"/>
      <c r="O131" t="str">
        <f>IF($I131&lt;&gt;"Complete",IF(COUNTIFS($A$4:$A130,$A131,$B$4:$B130,$B131,$I$4:$I130,"&lt;&gt;Complete")=0,$A131&amp;"|"&amp;$B131,""),"")</f>
        <v/>
      </c>
      <c r="P131" t="str">
        <f ca="1">IF($K131="Yes",COUNTIFS($K$4:$K131,"Yes"),"")</f>
        <v/>
      </c>
      <c r="Q131">
        <f t="shared" ca="1" si="7"/>
        <v>0</v>
      </c>
      <c r="R131" t="str">
        <f ca="1">IF($Q131=1,SUM($Q$4:$Q131),"")</f>
        <v/>
      </c>
    </row>
    <row r="132" spans="1:18" ht="22.5" customHeight="1" x14ac:dyDescent="0.3">
      <c r="A132" s="2" t="s">
        <v>712</v>
      </c>
      <c r="B132" s="2" t="s">
        <v>62</v>
      </c>
      <c r="C132" s="3" t="s">
        <v>712</v>
      </c>
      <c r="D132" s="3" t="s">
        <v>37</v>
      </c>
      <c r="E132" s="2" t="s">
        <v>663</v>
      </c>
      <c r="F132" s="2" t="s">
        <v>265</v>
      </c>
      <c r="G132" s="5">
        <v>46066</v>
      </c>
      <c r="H132" s="5">
        <v>46254</v>
      </c>
      <c r="I132" s="4" t="s">
        <v>17</v>
      </c>
      <c r="J132" s="6">
        <f t="shared" ref="J132:J195" si="9">IF(OR($G132="",$H132=""),"",$H132-$G132)</f>
        <v>188</v>
      </c>
      <c r="K132" s="4" t="str">
        <f t="shared" ref="K132:K195" ca="1" si="10">IF(C132="","",IF(H132="","",IF($I132="completed","-",IF($H132&gt;TODAY(),"No","Yes"))))</f>
        <v>No</v>
      </c>
      <c r="L132" s="7">
        <f t="shared" ca="1" si="8"/>
        <v>46</v>
      </c>
      <c r="M132" s="4" t="str">
        <f>IF($I132="Complete","Green",IF($H132="","Amber",IF($H132&lt;'[2]Read Me'!$B$4,"Red",IF($H132-'[2]Read Me'!$B$4&lt;=21,"Amber","Green"))))</f>
        <v>Green</v>
      </c>
      <c r="N132" s="3"/>
      <c r="O132" t="str">
        <f>IF($I132&lt;&gt;"Complete",IF(COUNTIFS($A$4:$A131,$A132,$B$4:$B131,$B132,$I$4:$I131,"&lt;&gt;Complete")=0,$A132&amp;"|"&amp;$B132,""),"")</f>
        <v/>
      </c>
      <c r="P132" t="str">
        <f ca="1">IF($K132="Yes",COUNTIFS($K$4:$K132,"Yes"),"")</f>
        <v/>
      </c>
      <c r="Q132">
        <f t="shared" ref="Q132:Q195" ca="1" si="11">IF(OR($I132="In Progress",$K132="Yes"),1,0)</f>
        <v>0</v>
      </c>
      <c r="R132" t="str">
        <f ca="1">IF($Q132=1,SUM($Q$4:$Q132),"")</f>
        <v/>
      </c>
    </row>
    <row r="133" spans="1:18" ht="22.5" customHeight="1" x14ac:dyDescent="0.3">
      <c r="A133" s="2" t="s">
        <v>714</v>
      </c>
      <c r="B133" s="2" t="s">
        <v>49</v>
      </c>
      <c r="C133" s="3"/>
      <c r="D133" s="3"/>
      <c r="E133" s="2"/>
      <c r="F133" s="2"/>
      <c r="G133" s="5">
        <v>46181</v>
      </c>
      <c r="H133" s="5">
        <v>46441</v>
      </c>
      <c r="I133" s="4"/>
      <c r="J133" s="6">
        <f t="shared" si="9"/>
        <v>260</v>
      </c>
      <c r="K133" s="4" t="str">
        <f t="shared" ca="1" si="10"/>
        <v/>
      </c>
      <c r="L133" s="7">
        <f t="shared" ref="L133:L196" ca="1" si="12">IF(I133="Completed",0,IF(H133="","",H133-TODAY()))</f>
        <v>233</v>
      </c>
      <c r="M133" s="4" t="str">
        <f>IF($I133="Complete","Green",IF($H133="","Amber",IF($H133&lt;'[2]Read Me'!$B$4,"Red",IF($H133-'[2]Read Me'!$B$4&lt;=21,"Amber","Green"))))</f>
        <v>Green</v>
      </c>
      <c r="N133" s="3"/>
      <c r="O133" t="str">
        <f>IF($I133&lt;&gt;"Complete",IF(COUNTIFS($A$4:$A132,$A133,$B$4:$B132,$B133,$I$4:$I132,"&lt;&gt;Complete")=0,$A133&amp;"|"&amp;$B133,""),"")</f>
        <v>Authorities - Shimmers|Authorities</v>
      </c>
      <c r="P133" t="str">
        <f ca="1">IF($K133="Yes",COUNTIFS($K$4:$K133,"Yes"),"")</f>
        <v/>
      </c>
      <c r="Q133">
        <f t="shared" ca="1" si="11"/>
        <v>0</v>
      </c>
      <c r="R133" t="str">
        <f ca="1">IF($Q133=1,SUM($Q$4:$Q133),"")</f>
        <v/>
      </c>
    </row>
    <row r="134" spans="1:18" ht="22.5" customHeight="1" x14ac:dyDescent="0.3">
      <c r="A134" s="2" t="s">
        <v>714</v>
      </c>
      <c r="B134" s="2" t="s">
        <v>49</v>
      </c>
      <c r="C134" s="3" t="s">
        <v>714</v>
      </c>
      <c r="D134" s="3" t="s">
        <v>704</v>
      </c>
      <c r="E134" s="2" t="s">
        <v>104</v>
      </c>
      <c r="F134" s="2"/>
      <c r="G134" s="5">
        <v>46055</v>
      </c>
      <c r="H134" s="5">
        <v>46315</v>
      </c>
      <c r="I134" s="4" t="s">
        <v>17</v>
      </c>
      <c r="J134" s="6">
        <f t="shared" si="9"/>
        <v>260</v>
      </c>
      <c r="K134" s="4" t="str">
        <f t="shared" ca="1" si="10"/>
        <v>No</v>
      </c>
      <c r="L134" s="7">
        <f t="shared" ca="1" si="12"/>
        <v>107</v>
      </c>
      <c r="M134" s="4" t="str">
        <f>IF($I134="Complete","Green",IF($H134="","Amber",IF($H134&lt;'[2]Read Me'!$B$4,"Red",IF($H134-'[2]Read Me'!$B$4&lt;=21,"Amber","Green"))))</f>
        <v>Green</v>
      </c>
      <c r="N134" s="3"/>
      <c r="O134" t="str">
        <f>IF($I134&lt;&gt;"Complete",IF(COUNTIFS($A$4:$A133,$A134,$B$4:$B133,$B134,$I$4:$I133,"&lt;&gt;Complete")=0,$A134&amp;"|"&amp;$B134,""),"")</f>
        <v/>
      </c>
      <c r="P134" t="str">
        <f ca="1">IF($K134="Yes",COUNTIFS($K$4:$K134,"Yes"),"")</f>
        <v/>
      </c>
      <c r="Q134">
        <f t="shared" ca="1" si="11"/>
        <v>0</v>
      </c>
      <c r="R134" t="str">
        <f ca="1">IF($Q134=1,SUM($Q$4:$Q134),"")</f>
        <v/>
      </c>
    </row>
    <row r="135" spans="1:18" ht="22.5" customHeight="1" x14ac:dyDescent="0.3">
      <c r="A135" s="2" t="s">
        <v>714</v>
      </c>
      <c r="B135" s="2" t="s">
        <v>49</v>
      </c>
      <c r="C135" s="3" t="s">
        <v>714</v>
      </c>
      <c r="D135" s="3" t="s">
        <v>705</v>
      </c>
      <c r="E135" s="2" t="s">
        <v>104</v>
      </c>
      <c r="F135" s="2"/>
      <c r="G135" s="5">
        <v>46097</v>
      </c>
      <c r="H135" s="5">
        <v>46357</v>
      </c>
      <c r="I135" s="4" t="s">
        <v>17</v>
      </c>
      <c r="J135" s="6">
        <f t="shared" si="9"/>
        <v>260</v>
      </c>
      <c r="K135" s="4" t="str">
        <f t="shared" ca="1" si="10"/>
        <v>No</v>
      </c>
      <c r="L135" s="7">
        <f t="shared" ca="1" si="12"/>
        <v>149</v>
      </c>
      <c r="M135" s="4" t="str">
        <f>IF($I135="Complete","Green",IF($H135="","Amber",IF($H135&lt;'[2]Read Me'!$B$4,"Red",IF($H135-'[2]Read Me'!$B$4&lt;=21,"Amber","Green"))))</f>
        <v>Green</v>
      </c>
      <c r="N135" s="3"/>
      <c r="O135" t="str">
        <f>IF($I135&lt;&gt;"Complete",IF(COUNTIFS($A$4:$A134,$A135,$B$4:$B134,$B135,$I$4:$I134,"&lt;&gt;Complete")=0,$A135&amp;"|"&amp;$B135,""),"")</f>
        <v/>
      </c>
      <c r="P135" t="str">
        <f ca="1">IF($K135="Yes",COUNTIFS($K$4:$K135,"Yes"),"")</f>
        <v/>
      </c>
      <c r="Q135">
        <f t="shared" ca="1" si="11"/>
        <v>0</v>
      </c>
      <c r="R135" t="str">
        <f ca="1">IF($Q135=1,SUM($Q$4:$Q135),"")</f>
        <v/>
      </c>
    </row>
    <row r="136" spans="1:18" ht="22.5" customHeight="1" x14ac:dyDescent="0.3">
      <c r="A136" s="2" t="s">
        <v>714</v>
      </c>
      <c r="B136" s="2" t="s">
        <v>49</v>
      </c>
      <c r="C136" s="3" t="s">
        <v>714</v>
      </c>
      <c r="D136" s="3" t="s">
        <v>706</v>
      </c>
      <c r="E136" s="2" t="s">
        <v>104</v>
      </c>
      <c r="F136" s="2"/>
      <c r="G136" s="5">
        <v>46139</v>
      </c>
      <c r="H136" s="5">
        <v>46399</v>
      </c>
      <c r="I136" s="4" t="s">
        <v>17</v>
      </c>
      <c r="J136" s="6">
        <f t="shared" si="9"/>
        <v>260</v>
      </c>
      <c r="K136" s="4" t="str">
        <f t="shared" ca="1" si="10"/>
        <v>No</v>
      </c>
      <c r="L136" s="7">
        <f t="shared" ca="1" si="12"/>
        <v>191</v>
      </c>
      <c r="M136" s="4" t="str">
        <f>IF($I136="Complete","Green",IF($H136="","Amber",IF($H136&lt;'[2]Read Me'!$B$4,"Red",IF($H136-'[2]Read Me'!$B$4&lt;=21,"Amber","Green"))))</f>
        <v>Green</v>
      </c>
      <c r="N136" s="3"/>
      <c r="O136" t="str">
        <f>IF($I136&lt;&gt;"Complete",IF(COUNTIFS($A$4:$A135,$A136,$B$4:$B135,$B136,$I$4:$I135,"&lt;&gt;Complete")=0,$A136&amp;"|"&amp;$B136,""),"")</f>
        <v/>
      </c>
      <c r="P136" t="str">
        <f ca="1">IF($K136="Yes",COUNTIFS($K$4:$K136,"Yes"),"")</f>
        <v/>
      </c>
      <c r="Q136">
        <f t="shared" ca="1" si="11"/>
        <v>0</v>
      </c>
      <c r="R136" t="str">
        <f ca="1">IF($Q136=1,SUM($Q$4:$Q136),"")</f>
        <v/>
      </c>
    </row>
    <row r="137" spans="1:18" ht="22.5" customHeight="1" x14ac:dyDescent="0.3">
      <c r="A137" s="2" t="s">
        <v>714</v>
      </c>
      <c r="B137" s="2" t="s">
        <v>49</v>
      </c>
      <c r="C137" s="3" t="s">
        <v>714</v>
      </c>
      <c r="D137" s="3" t="s">
        <v>690</v>
      </c>
      <c r="E137" s="2" t="s">
        <v>104</v>
      </c>
      <c r="F137" s="2"/>
      <c r="G137" s="5">
        <v>46181</v>
      </c>
      <c r="H137" s="5">
        <v>46441</v>
      </c>
      <c r="I137" s="4" t="s">
        <v>17</v>
      </c>
      <c r="J137" s="6">
        <f t="shared" si="9"/>
        <v>260</v>
      </c>
      <c r="K137" s="4" t="str">
        <f t="shared" ca="1" si="10"/>
        <v>No</v>
      </c>
      <c r="L137" s="7">
        <f t="shared" ca="1" si="12"/>
        <v>233</v>
      </c>
      <c r="M137" s="4" t="str">
        <f>IF($I137="Complete","Green",IF($H137="","Amber",IF($H137&lt;'[2]Read Me'!$B$4,"Red",IF($H137-'[2]Read Me'!$B$4&lt;=21,"Amber","Green"))))</f>
        <v>Green</v>
      </c>
      <c r="N137" s="3"/>
      <c r="O137" t="str">
        <f>IF($I137&lt;&gt;"Complete",IF(COUNTIFS($A$4:$A136,$A137,$B$4:$B136,$B137,$I$4:$I136,"&lt;&gt;Complete")=0,$A137&amp;"|"&amp;$B137,""),"")</f>
        <v/>
      </c>
      <c r="P137" t="str">
        <f ca="1">IF($K137="Yes",COUNTIFS($K$4:$K137,"Yes"),"")</f>
        <v/>
      </c>
      <c r="Q137">
        <f t="shared" ca="1" si="11"/>
        <v>0</v>
      </c>
      <c r="R137" t="str">
        <f ca="1">IF($Q137=1,SUM($Q$4:$Q137),"")</f>
        <v/>
      </c>
    </row>
    <row r="138" spans="1:18" ht="22.5" customHeight="1" x14ac:dyDescent="0.3">
      <c r="A138" s="2" t="s">
        <v>715</v>
      </c>
      <c r="B138" s="2" t="s">
        <v>62</v>
      </c>
      <c r="C138" s="3"/>
      <c r="D138" s="3"/>
      <c r="E138" s="2"/>
      <c r="F138" s="2"/>
      <c r="G138" s="5">
        <v>45985</v>
      </c>
      <c r="H138" s="5">
        <v>46190</v>
      </c>
      <c r="I138" s="4"/>
      <c r="J138" s="6">
        <f t="shared" si="9"/>
        <v>205</v>
      </c>
      <c r="K138" s="4" t="str">
        <f t="shared" ca="1" si="10"/>
        <v/>
      </c>
      <c r="L138" s="7">
        <f t="shared" ca="1" si="12"/>
        <v>-18</v>
      </c>
      <c r="M138" s="4" t="str">
        <f>IF($I138="Complete","Green",IF($H138="","Amber",IF($H138&lt;'[2]Read Me'!$B$4,"Red",IF($H138-'[2]Read Me'!$B$4&lt;=21,"Amber","Green"))))</f>
        <v>Amber</v>
      </c>
      <c r="N138" s="3"/>
      <c r="O138" t="str">
        <f>IF($I138&lt;&gt;"Complete",IF(COUNTIFS($A$4:$A137,$A138,$B$4:$B137,$B138,$I$4:$I137,"&lt;&gt;Complete")=0,$A138&amp;"|"&amp;$B138,""),"")</f>
        <v>Solos|Buildings</v>
      </c>
      <c r="P138" t="str">
        <f ca="1">IF($K138="Yes",COUNTIFS($K$4:$K138,"Yes"),"")</f>
        <v/>
      </c>
      <c r="Q138">
        <f t="shared" ca="1" si="11"/>
        <v>0</v>
      </c>
      <c r="R138" t="str">
        <f ca="1">IF($Q138=1,SUM($Q$4:$Q138),"")</f>
        <v/>
      </c>
    </row>
    <row r="139" spans="1:18" ht="22.5" customHeight="1" x14ac:dyDescent="0.3">
      <c r="A139" s="2" t="s">
        <v>715</v>
      </c>
      <c r="B139" s="2" t="s">
        <v>62</v>
      </c>
      <c r="C139" s="3" t="s">
        <v>715</v>
      </c>
      <c r="D139" s="3" t="s">
        <v>692</v>
      </c>
      <c r="E139" s="2"/>
      <c r="F139" s="2" t="s">
        <v>30</v>
      </c>
      <c r="G139" s="5"/>
      <c r="H139" s="5">
        <v>45720</v>
      </c>
      <c r="I139" s="4" t="s">
        <v>31</v>
      </c>
      <c r="J139" s="6" t="str">
        <f t="shared" si="9"/>
        <v/>
      </c>
      <c r="K139" s="4" t="str">
        <f t="shared" ca="1" si="10"/>
        <v>-</v>
      </c>
      <c r="L139" s="7">
        <f t="shared" ca="1" si="12"/>
        <v>0</v>
      </c>
      <c r="M139" s="4" t="str">
        <f>IF($I139="Complete","Green",IF($H139="","Amber",IF($H139&lt;'[2]Read Me'!$B$4,"Red",IF($H139-'[2]Read Me'!$B$4&lt;=21,"Amber","Green"))))</f>
        <v>Red</v>
      </c>
      <c r="N139" s="3"/>
      <c r="O139" t="str">
        <f>IF($I139&lt;&gt;"Complete",IF(COUNTIFS($A$4:$A138,$A139,$B$4:$B138,$B139,$I$4:$I138,"&lt;&gt;Complete")=0,$A139&amp;"|"&amp;$B139,""),"")</f>
        <v/>
      </c>
      <c r="P139" t="str">
        <f ca="1">IF($K139="Yes",COUNTIFS($K$4:$K139,"Yes"),"")</f>
        <v/>
      </c>
      <c r="Q139">
        <f t="shared" ca="1" si="11"/>
        <v>0</v>
      </c>
      <c r="R139" t="str">
        <f ca="1">IF($Q139=1,SUM($Q$4:$Q139),"")</f>
        <v/>
      </c>
    </row>
    <row r="140" spans="1:18" ht="22.5" customHeight="1" x14ac:dyDescent="0.3">
      <c r="A140" s="2" t="s">
        <v>715</v>
      </c>
      <c r="B140" s="2" t="s">
        <v>62</v>
      </c>
      <c r="C140" s="3" t="s">
        <v>715</v>
      </c>
      <c r="D140" s="3" t="s">
        <v>693</v>
      </c>
      <c r="E140" s="2"/>
      <c r="F140" s="2" t="s">
        <v>265</v>
      </c>
      <c r="G140" s="5"/>
      <c r="H140" s="5">
        <v>45750</v>
      </c>
      <c r="I140" s="4" t="s">
        <v>31</v>
      </c>
      <c r="J140" s="6" t="str">
        <f t="shared" si="9"/>
        <v/>
      </c>
      <c r="K140" s="4" t="str">
        <f t="shared" ca="1" si="10"/>
        <v>-</v>
      </c>
      <c r="L140" s="7">
        <f t="shared" ca="1" si="12"/>
        <v>0</v>
      </c>
      <c r="M140" s="4" t="str">
        <f>IF($I140="Complete","Green",IF($H140="","Amber",IF($H140&lt;'[2]Read Me'!$B$4,"Red",IF($H140-'[2]Read Me'!$B$4&lt;=21,"Amber","Green"))))</f>
        <v>Red</v>
      </c>
      <c r="N140" s="3"/>
      <c r="O140" t="str">
        <f>IF($I140&lt;&gt;"Complete",IF(COUNTIFS($A$4:$A139,$A140,$B$4:$B139,$B140,$I$4:$I139,"&lt;&gt;Complete")=0,$A140&amp;"|"&amp;$B140,""),"")</f>
        <v/>
      </c>
      <c r="P140" t="str">
        <f ca="1">IF($K140="Yes",COUNTIFS($K$4:$K140,"Yes"),"")</f>
        <v/>
      </c>
      <c r="Q140">
        <f t="shared" ca="1" si="11"/>
        <v>0</v>
      </c>
      <c r="R140" t="str">
        <f ca="1">IF($Q140=1,SUM($Q$4:$Q140),"")</f>
        <v/>
      </c>
    </row>
    <row r="141" spans="1:18" ht="22.5" customHeight="1" x14ac:dyDescent="0.3">
      <c r="A141" s="2" t="s">
        <v>715</v>
      </c>
      <c r="B141" s="2" t="s">
        <v>62</v>
      </c>
      <c r="C141" s="3" t="s">
        <v>715</v>
      </c>
      <c r="D141" s="3" t="s">
        <v>716</v>
      </c>
      <c r="E141" s="2"/>
      <c r="F141" s="2"/>
      <c r="G141" s="5"/>
      <c r="H141" s="5"/>
      <c r="I141" s="4" t="s">
        <v>31</v>
      </c>
      <c r="J141" s="6" t="str">
        <f t="shared" si="9"/>
        <v/>
      </c>
      <c r="K141" s="4" t="str">
        <f t="shared" ca="1" si="10"/>
        <v/>
      </c>
      <c r="L141" s="7">
        <f t="shared" ca="1" si="12"/>
        <v>0</v>
      </c>
      <c r="M141" s="4" t="str">
        <f>IF($I141="Complete","Green",IF($H141="","Amber",IF($H141&lt;'[2]Read Me'!$B$4,"Red",IF($H141-'[2]Read Me'!$B$4&lt;=21,"Amber","Green"))))</f>
        <v>Amber</v>
      </c>
      <c r="N141" s="3"/>
      <c r="O141" t="str">
        <f>IF($I141&lt;&gt;"Complete",IF(COUNTIFS($A$4:$A140,$A141,$B$4:$B140,$B141,$I$4:$I140,"&lt;&gt;Complete")=0,$A141&amp;"|"&amp;$B141,""),"")</f>
        <v/>
      </c>
      <c r="P141" t="str">
        <f ca="1">IF($K141="Yes",COUNTIFS($K$4:$K141,"Yes"),"")</f>
        <v/>
      </c>
      <c r="Q141">
        <f t="shared" ca="1" si="11"/>
        <v>0</v>
      </c>
      <c r="R141" t="str">
        <f ca="1">IF($Q141=1,SUM($Q$4:$Q141),"")</f>
        <v/>
      </c>
    </row>
    <row r="142" spans="1:18" ht="22.5" customHeight="1" x14ac:dyDescent="0.3">
      <c r="A142" s="2" t="s">
        <v>715</v>
      </c>
      <c r="B142" s="2" t="s">
        <v>62</v>
      </c>
      <c r="C142" s="3" t="s">
        <v>715</v>
      </c>
      <c r="D142" s="3" t="s">
        <v>717</v>
      </c>
      <c r="E142" s="2"/>
      <c r="F142" s="2"/>
      <c r="G142" s="5">
        <v>45672</v>
      </c>
      <c r="H142" s="5">
        <v>45781</v>
      </c>
      <c r="I142" s="4" t="s">
        <v>31</v>
      </c>
      <c r="J142" s="6">
        <f t="shared" si="9"/>
        <v>109</v>
      </c>
      <c r="K142" s="4" t="str">
        <f t="shared" ca="1" si="10"/>
        <v>-</v>
      </c>
      <c r="L142" s="7">
        <f t="shared" ca="1" si="12"/>
        <v>0</v>
      </c>
      <c r="M142" s="4" t="str">
        <f>IF($I142="Complete","Green",IF($H142="","Amber",IF($H142&lt;'[2]Read Me'!$B$4,"Red",IF($H142-'[2]Read Me'!$B$4&lt;=21,"Amber","Green"))))</f>
        <v>Red</v>
      </c>
      <c r="N142" s="3"/>
      <c r="O142" t="str">
        <f>IF($I142&lt;&gt;"Complete",IF(COUNTIFS($A$4:$A141,$A142,$B$4:$B141,$B142,$I$4:$I141,"&lt;&gt;Complete")=0,$A142&amp;"|"&amp;$B142,""),"")</f>
        <v/>
      </c>
      <c r="P142" t="str">
        <f ca="1">IF($K142="Yes",COUNTIFS($K$4:$K142,"Yes"),"")</f>
        <v/>
      </c>
      <c r="Q142">
        <f t="shared" ca="1" si="11"/>
        <v>0</v>
      </c>
      <c r="R142" t="str">
        <f ca="1">IF($Q142=1,SUM($Q$4:$Q142),"")</f>
        <v/>
      </c>
    </row>
    <row r="143" spans="1:18" ht="22.5" customHeight="1" x14ac:dyDescent="0.3">
      <c r="A143" s="2" t="s">
        <v>715</v>
      </c>
      <c r="B143" s="2" t="s">
        <v>62</v>
      </c>
      <c r="C143" s="3" t="s">
        <v>715</v>
      </c>
      <c r="D143" s="3" t="s">
        <v>47</v>
      </c>
      <c r="E143" s="2"/>
      <c r="F143" s="2" t="s">
        <v>265</v>
      </c>
      <c r="G143" s="5">
        <v>45686</v>
      </c>
      <c r="H143" s="5">
        <v>45795</v>
      </c>
      <c r="I143" s="4" t="s">
        <v>31</v>
      </c>
      <c r="J143" s="6">
        <f t="shared" si="9"/>
        <v>109</v>
      </c>
      <c r="K143" s="4" t="str">
        <f t="shared" ca="1" si="10"/>
        <v>-</v>
      </c>
      <c r="L143" s="7">
        <f t="shared" ca="1" si="12"/>
        <v>0</v>
      </c>
      <c r="M143" s="4" t="str">
        <f>IF($I143="Complete","Green",IF($H143="","Amber",IF($H143&lt;'[2]Read Me'!$B$4,"Red",IF($H143-'[2]Read Me'!$B$4&lt;=21,"Amber","Green"))))</f>
        <v>Red</v>
      </c>
      <c r="N143" s="3"/>
      <c r="O143" t="str">
        <f>IF($I143&lt;&gt;"Complete",IF(COUNTIFS($A$4:$A142,$A143,$B$4:$B142,$B143,$I$4:$I142,"&lt;&gt;Complete")=0,$A143&amp;"|"&amp;$B143,""),"")</f>
        <v/>
      </c>
      <c r="P143" t="str">
        <f ca="1">IF($K143="Yes",COUNTIFS($K$4:$K143,"Yes"),"")</f>
        <v/>
      </c>
      <c r="Q143">
        <f t="shared" ca="1" si="11"/>
        <v>0</v>
      </c>
      <c r="R143" t="str">
        <f ca="1">IF($Q143=1,SUM($Q$4:$Q143),"")</f>
        <v/>
      </c>
    </row>
    <row r="144" spans="1:18" ht="22.5" customHeight="1" x14ac:dyDescent="0.3">
      <c r="A144" s="2" t="s">
        <v>715</v>
      </c>
      <c r="B144" s="2" t="s">
        <v>62</v>
      </c>
      <c r="C144" s="3" t="s">
        <v>715</v>
      </c>
      <c r="D144" s="3" t="s">
        <v>132</v>
      </c>
      <c r="E144" s="2" t="s">
        <v>666</v>
      </c>
      <c r="F144" s="2" t="s">
        <v>81</v>
      </c>
      <c r="G144" s="5">
        <v>45686</v>
      </c>
      <c r="H144" s="5">
        <v>45795</v>
      </c>
      <c r="I144" s="4" t="s">
        <v>31</v>
      </c>
      <c r="J144" s="6">
        <f t="shared" si="9"/>
        <v>109</v>
      </c>
      <c r="K144" s="4" t="str">
        <f t="shared" ca="1" si="10"/>
        <v>-</v>
      </c>
      <c r="L144" s="7">
        <f t="shared" ca="1" si="12"/>
        <v>0</v>
      </c>
      <c r="M144" s="4" t="str">
        <f>IF($I144="Complete","Green",IF($H144="","Amber",IF($H144&lt;'[2]Read Me'!$B$4,"Red",IF($H144-'[2]Read Me'!$B$4&lt;=21,"Amber","Green"))))</f>
        <v>Red</v>
      </c>
      <c r="N144" s="3"/>
      <c r="O144" t="str">
        <f>IF($I144&lt;&gt;"Complete",IF(COUNTIFS($A$4:$A143,$A144,$B$4:$B143,$B144,$I$4:$I143,"&lt;&gt;Complete")=0,$A144&amp;"|"&amp;$B144,""),"")</f>
        <v/>
      </c>
      <c r="P144" t="str">
        <f ca="1">IF($K144="Yes",COUNTIFS($K$4:$K144,"Yes"),"")</f>
        <v/>
      </c>
      <c r="Q144">
        <f t="shared" ca="1" si="11"/>
        <v>0</v>
      </c>
      <c r="R144" t="str">
        <f ca="1">IF($Q144=1,SUM($Q$4:$Q144),"")</f>
        <v/>
      </c>
    </row>
    <row r="145" spans="1:18" ht="22.5" customHeight="1" x14ac:dyDescent="0.3">
      <c r="A145" s="2" t="s">
        <v>715</v>
      </c>
      <c r="B145" s="2" t="s">
        <v>62</v>
      </c>
      <c r="C145" s="3" t="s">
        <v>715</v>
      </c>
      <c r="D145" s="3" t="s">
        <v>718</v>
      </c>
      <c r="E145" s="2"/>
      <c r="F145" s="2" t="s">
        <v>30</v>
      </c>
      <c r="G145" s="5">
        <v>45714</v>
      </c>
      <c r="H145" s="5">
        <v>45823</v>
      </c>
      <c r="I145" s="4" t="s">
        <v>31</v>
      </c>
      <c r="J145" s="6">
        <f t="shared" si="9"/>
        <v>109</v>
      </c>
      <c r="K145" s="4" t="str">
        <f t="shared" ca="1" si="10"/>
        <v>-</v>
      </c>
      <c r="L145" s="7">
        <f t="shared" ca="1" si="12"/>
        <v>0</v>
      </c>
      <c r="M145" s="4" t="str">
        <f>IF($I145="Complete","Green",IF($H145="","Amber",IF($H145&lt;'[2]Read Me'!$B$4,"Red",IF($H145-'[2]Read Me'!$B$4&lt;=21,"Amber","Green"))))</f>
        <v>Red</v>
      </c>
      <c r="N145" s="3"/>
      <c r="O145" t="str">
        <f>IF($I145&lt;&gt;"Complete",IF(COUNTIFS($A$4:$A144,$A145,$B$4:$B144,$B145,$I$4:$I144,"&lt;&gt;Complete")=0,$A145&amp;"|"&amp;$B145,""),"")</f>
        <v/>
      </c>
      <c r="P145" t="str">
        <f ca="1">IF($K145="Yes",COUNTIFS($K$4:$K145,"Yes"),"")</f>
        <v/>
      </c>
      <c r="Q145">
        <f t="shared" ca="1" si="11"/>
        <v>0</v>
      </c>
      <c r="R145" t="str">
        <f ca="1">IF($Q145=1,SUM($Q$4:$Q145),"")</f>
        <v/>
      </c>
    </row>
    <row r="146" spans="1:18" ht="22.5" customHeight="1" x14ac:dyDescent="0.3">
      <c r="A146" s="2" t="s">
        <v>715</v>
      </c>
      <c r="B146" s="2" t="s">
        <v>62</v>
      </c>
      <c r="C146" s="3" t="s">
        <v>715</v>
      </c>
      <c r="D146" s="3" t="s">
        <v>719</v>
      </c>
      <c r="E146" s="2"/>
      <c r="F146" s="2" t="s">
        <v>265</v>
      </c>
      <c r="G146" s="5">
        <v>45728</v>
      </c>
      <c r="H146" s="5">
        <v>45837</v>
      </c>
      <c r="I146" s="4" t="s">
        <v>31</v>
      </c>
      <c r="J146" s="6">
        <f t="shared" si="9"/>
        <v>109</v>
      </c>
      <c r="K146" s="4" t="str">
        <f t="shared" ca="1" si="10"/>
        <v>-</v>
      </c>
      <c r="L146" s="7">
        <f t="shared" ca="1" si="12"/>
        <v>0</v>
      </c>
      <c r="M146" s="4" t="str">
        <f>IF($I146="Complete","Green",IF($H146="","Amber",IF($H146&lt;'[2]Read Me'!$B$4,"Red",IF($H146-'[2]Read Me'!$B$4&lt;=21,"Amber","Green"))))</f>
        <v>Red</v>
      </c>
      <c r="N146" s="3"/>
      <c r="O146" t="str">
        <f>IF($I146&lt;&gt;"Complete",IF(COUNTIFS($A$4:$A145,$A146,$B$4:$B145,$B146,$I$4:$I145,"&lt;&gt;Complete")=0,$A146&amp;"|"&amp;$B146,""),"")</f>
        <v/>
      </c>
      <c r="P146" t="str">
        <f ca="1">IF($K146="Yes",COUNTIFS($K$4:$K146,"Yes"),"")</f>
        <v/>
      </c>
      <c r="Q146">
        <f t="shared" ca="1" si="11"/>
        <v>0</v>
      </c>
      <c r="R146" t="str">
        <f ca="1">IF($Q146=1,SUM($Q$4:$Q146),"")</f>
        <v/>
      </c>
    </row>
    <row r="147" spans="1:18" ht="22.5" customHeight="1" x14ac:dyDescent="0.3">
      <c r="A147" s="2" t="s">
        <v>715</v>
      </c>
      <c r="B147" s="2" t="s">
        <v>62</v>
      </c>
      <c r="C147" s="3" t="s">
        <v>715</v>
      </c>
      <c r="D147" s="3" t="s">
        <v>18</v>
      </c>
      <c r="E147" s="2"/>
      <c r="F147" s="2" t="s">
        <v>30</v>
      </c>
      <c r="G147" s="5">
        <v>45714</v>
      </c>
      <c r="H147" s="5">
        <v>45844</v>
      </c>
      <c r="I147" s="4" t="s">
        <v>31</v>
      </c>
      <c r="J147" s="6">
        <f t="shared" si="9"/>
        <v>130</v>
      </c>
      <c r="K147" s="4" t="str">
        <f t="shared" ca="1" si="10"/>
        <v>-</v>
      </c>
      <c r="L147" s="7">
        <f t="shared" ca="1" si="12"/>
        <v>0</v>
      </c>
      <c r="M147" s="4" t="str">
        <f>IF($I147="Complete","Green",IF($H147="","Amber",IF($H147&lt;'[2]Read Me'!$B$4,"Red",IF($H147-'[2]Read Me'!$B$4&lt;=21,"Amber","Green"))))</f>
        <v>Red</v>
      </c>
      <c r="N147" s="3"/>
      <c r="O147" t="str">
        <f>IF($I147&lt;&gt;"Complete",IF(COUNTIFS($A$4:$A146,$A147,$B$4:$B146,$B147,$I$4:$I146,"&lt;&gt;Complete")=0,$A147&amp;"|"&amp;$B147,""),"")</f>
        <v/>
      </c>
      <c r="P147" t="str">
        <f ca="1">IF($K147="Yes",COUNTIFS($K$4:$K147,"Yes"),"")</f>
        <v/>
      </c>
      <c r="Q147">
        <f t="shared" ca="1" si="11"/>
        <v>0</v>
      </c>
      <c r="R147" t="str">
        <f ca="1">IF($Q147=1,SUM($Q$4:$Q147),"")</f>
        <v/>
      </c>
    </row>
    <row r="148" spans="1:18" ht="22.5" customHeight="1" x14ac:dyDescent="0.3">
      <c r="A148" s="2" t="s">
        <v>715</v>
      </c>
      <c r="B148" s="2" t="s">
        <v>62</v>
      </c>
      <c r="C148" s="3" t="s">
        <v>715</v>
      </c>
      <c r="D148" s="3" t="s">
        <v>32</v>
      </c>
      <c r="E148" s="2"/>
      <c r="F148" s="2" t="s">
        <v>265</v>
      </c>
      <c r="G148" s="5">
        <v>45728</v>
      </c>
      <c r="H148" s="5">
        <v>45858</v>
      </c>
      <c r="I148" s="4" t="s">
        <v>31</v>
      </c>
      <c r="J148" s="6">
        <f t="shared" si="9"/>
        <v>130</v>
      </c>
      <c r="K148" s="4" t="str">
        <f t="shared" ca="1" si="10"/>
        <v>-</v>
      </c>
      <c r="L148" s="7">
        <f t="shared" ca="1" si="12"/>
        <v>0</v>
      </c>
      <c r="M148" s="4" t="str">
        <f>IF($I148="Complete","Green",IF($H148="","Amber",IF($H148&lt;'[2]Read Me'!$B$4,"Red",IF($H148-'[2]Read Me'!$B$4&lt;=21,"Amber","Green"))))</f>
        <v>Red</v>
      </c>
      <c r="N148" s="3"/>
      <c r="O148" t="str">
        <f>IF($I148&lt;&gt;"Complete",IF(COUNTIFS($A$4:$A147,$A148,$B$4:$B147,$B148,$I$4:$I147,"&lt;&gt;Complete")=0,$A148&amp;"|"&amp;$B148,""),"")</f>
        <v/>
      </c>
      <c r="P148" t="str">
        <f ca="1">IF($K148="Yes",COUNTIFS($K$4:$K148,"Yes"),"")</f>
        <v/>
      </c>
      <c r="Q148">
        <f t="shared" ca="1" si="11"/>
        <v>0</v>
      </c>
      <c r="R148" t="str">
        <f ca="1">IF($Q148=1,SUM($Q$4:$Q148),"")</f>
        <v/>
      </c>
    </row>
    <row r="149" spans="1:18" ht="22.5" customHeight="1" x14ac:dyDescent="0.3">
      <c r="A149" s="2" t="s">
        <v>715</v>
      </c>
      <c r="B149" s="2" t="s">
        <v>62</v>
      </c>
      <c r="C149" s="3" t="s">
        <v>715</v>
      </c>
      <c r="D149" s="3" t="s">
        <v>19</v>
      </c>
      <c r="E149" s="2" t="s">
        <v>666</v>
      </c>
      <c r="F149" s="2" t="s">
        <v>81</v>
      </c>
      <c r="G149" s="5">
        <v>45728</v>
      </c>
      <c r="H149" s="5">
        <v>45858</v>
      </c>
      <c r="I149" s="4" t="s">
        <v>31</v>
      </c>
      <c r="J149" s="6">
        <f t="shared" si="9"/>
        <v>130</v>
      </c>
      <c r="K149" s="4" t="str">
        <f t="shared" ca="1" si="10"/>
        <v>-</v>
      </c>
      <c r="L149" s="7">
        <f t="shared" ca="1" si="12"/>
        <v>0</v>
      </c>
      <c r="M149" s="4" t="str">
        <f>IF($I149="Complete","Green",IF($H149="","Amber",IF($H149&lt;'[2]Read Me'!$B$4,"Red",IF($H149-'[2]Read Me'!$B$4&lt;=21,"Amber","Green"))))</f>
        <v>Red</v>
      </c>
      <c r="N149" s="3"/>
      <c r="O149" t="str">
        <f>IF($I149&lt;&gt;"Complete",IF(COUNTIFS($A$4:$A148,$A149,$B$4:$B148,$B149,$I$4:$I148,"&lt;&gt;Complete")=0,$A149&amp;"|"&amp;$B149,""),"")</f>
        <v/>
      </c>
      <c r="P149" t="str">
        <f ca="1">IF($K149="Yes",COUNTIFS($K$4:$K149,"Yes"),"")</f>
        <v/>
      </c>
      <c r="Q149">
        <f t="shared" ca="1" si="11"/>
        <v>0</v>
      </c>
      <c r="R149" t="str">
        <f ca="1">IF($Q149=1,SUM($Q$4:$Q149),"")</f>
        <v/>
      </c>
    </row>
    <row r="150" spans="1:18" ht="22.5" customHeight="1" x14ac:dyDescent="0.3">
      <c r="A150" s="2" t="s">
        <v>715</v>
      </c>
      <c r="B150" s="2" t="s">
        <v>62</v>
      </c>
      <c r="C150" s="3" t="s">
        <v>715</v>
      </c>
      <c r="D150" s="3" t="s">
        <v>681</v>
      </c>
      <c r="E150" s="2"/>
      <c r="F150" s="2" t="s">
        <v>30</v>
      </c>
      <c r="G150" s="5">
        <v>45756</v>
      </c>
      <c r="H150" s="5">
        <v>45886</v>
      </c>
      <c r="I150" s="4" t="s">
        <v>31</v>
      </c>
      <c r="J150" s="6">
        <f t="shared" si="9"/>
        <v>130</v>
      </c>
      <c r="K150" s="4" t="str">
        <f t="shared" ca="1" si="10"/>
        <v>-</v>
      </c>
      <c r="L150" s="7">
        <f t="shared" ca="1" si="12"/>
        <v>0</v>
      </c>
      <c r="M150" s="4" t="str">
        <f>IF($I150="Complete","Green",IF($H150="","Amber",IF($H150&lt;'[2]Read Me'!$B$4,"Red",IF($H150-'[2]Read Me'!$B$4&lt;=21,"Amber","Green"))))</f>
        <v>Red</v>
      </c>
      <c r="N150" s="3"/>
      <c r="O150" t="str">
        <f>IF($I150&lt;&gt;"Complete",IF(COUNTIFS($A$4:$A149,$A150,$B$4:$B149,$B150,$I$4:$I149,"&lt;&gt;Complete")=0,$A150&amp;"|"&amp;$B150,""),"")</f>
        <v/>
      </c>
      <c r="P150" t="str">
        <f ca="1">IF($K150="Yes",COUNTIFS($K$4:$K150,"Yes"),"")</f>
        <v/>
      </c>
      <c r="Q150">
        <f t="shared" ca="1" si="11"/>
        <v>0</v>
      </c>
      <c r="R150" t="str">
        <f ca="1">IF($Q150=1,SUM($Q$4:$Q150),"")</f>
        <v/>
      </c>
    </row>
    <row r="151" spans="1:18" ht="22.5" customHeight="1" x14ac:dyDescent="0.3">
      <c r="A151" s="2" t="s">
        <v>715</v>
      </c>
      <c r="B151" s="2" t="s">
        <v>62</v>
      </c>
      <c r="C151" s="3" t="s">
        <v>715</v>
      </c>
      <c r="D151" s="3" t="s">
        <v>15</v>
      </c>
      <c r="E151" s="2"/>
      <c r="F151" s="2" t="s">
        <v>30</v>
      </c>
      <c r="G151" s="5">
        <v>45924</v>
      </c>
      <c r="H151" s="5">
        <v>45924</v>
      </c>
      <c r="I151" s="4" t="s">
        <v>31</v>
      </c>
      <c r="J151" s="6">
        <f t="shared" si="9"/>
        <v>0</v>
      </c>
      <c r="K151" s="4" t="str">
        <f t="shared" ca="1" si="10"/>
        <v>-</v>
      </c>
      <c r="L151" s="7">
        <f t="shared" ca="1" si="12"/>
        <v>0</v>
      </c>
      <c r="M151" s="4" t="str">
        <f>IF($I151="Complete","Green",IF($H151="","Amber",IF($H151&lt;'[2]Read Me'!$B$4,"Red",IF($H151-'[2]Read Me'!$B$4&lt;=21,"Amber","Green"))))</f>
        <v>Red</v>
      </c>
      <c r="N151" s="3"/>
      <c r="O151" t="str">
        <f>IF($I151&lt;&gt;"Complete",IF(COUNTIFS($A$4:$A150,$A151,$B$4:$B150,$B151,$I$4:$I150,"&lt;&gt;Complete")=0,$A151&amp;"|"&amp;$B151,""),"")</f>
        <v/>
      </c>
      <c r="P151" t="str">
        <f ca="1">IF($K151="Yes",COUNTIFS($K$4:$K151,"Yes"),"")</f>
        <v/>
      </c>
      <c r="Q151">
        <f t="shared" ca="1" si="11"/>
        <v>0</v>
      </c>
      <c r="R151" t="str">
        <f ca="1">IF($Q151=1,SUM($Q$4:$Q151),"")</f>
        <v/>
      </c>
    </row>
    <row r="152" spans="1:18" ht="22.5" customHeight="1" x14ac:dyDescent="0.3">
      <c r="A152" s="2" t="s">
        <v>715</v>
      </c>
      <c r="B152" s="2" t="s">
        <v>62</v>
      </c>
      <c r="C152" s="3" t="s">
        <v>715</v>
      </c>
      <c r="D152" s="3" t="s">
        <v>35</v>
      </c>
      <c r="E152" s="2"/>
      <c r="F152" s="2" t="s">
        <v>265</v>
      </c>
      <c r="G152" s="5">
        <v>45945</v>
      </c>
      <c r="H152" s="5">
        <v>45945</v>
      </c>
      <c r="I152" s="4" t="s">
        <v>31</v>
      </c>
      <c r="J152" s="6">
        <f t="shared" si="9"/>
        <v>0</v>
      </c>
      <c r="K152" s="4" t="str">
        <f t="shared" ca="1" si="10"/>
        <v>-</v>
      </c>
      <c r="L152" s="7">
        <f t="shared" ca="1" si="12"/>
        <v>0</v>
      </c>
      <c r="M152" s="4" t="str">
        <f>IF($I152="Complete","Green",IF($H152="","Amber",IF($H152&lt;'[2]Read Me'!$B$4,"Red",IF($H152-'[2]Read Me'!$B$4&lt;=21,"Amber","Green"))))</f>
        <v>Red</v>
      </c>
      <c r="N152" s="3"/>
      <c r="O152" t="str">
        <f>IF($I152&lt;&gt;"Complete",IF(COUNTIFS($A$4:$A151,$A152,$B$4:$B151,$B152,$I$4:$I151,"&lt;&gt;Complete")=0,$A152&amp;"|"&amp;$B152,""),"")</f>
        <v/>
      </c>
      <c r="P152" t="str">
        <f ca="1">IF($K152="Yes",COUNTIFS($K$4:$K152,"Yes"),"")</f>
        <v/>
      </c>
      <c r="Q152">
        <f t="shared" ca="1" si="11"/>
        <v>0</v>
      </c>
      <c r="R152" t="str">
        <f ca="1">IF($Q152=1,SUM($Q$4:$Q152),"")</f>
        <v/>
      </c>
    </row>
    <row r="153" spans="1:18" ht="22.5" customHeight="1" x14ac:dyDescent="0.3">
      <c r="A153" s="2" t="s">
        <v>715</v>
      </c>
      <c r="B153" s="2" t="s">
        <v>62</v>
      </c>
      <c r="C153" s="3" t="s">
        <v>715</v>
      </c>
      <c r="D153" s="3" t="s">
        <v>682</v>
      </c>
      <c r="E153" s="2"/>
      <c r="F153" s="2" t="s">
        <v>30</v>
      </c>
      <c r="G153" s="5">
        <v>45945</v>
      </c>
      <c r="H153" s="5">
        <v>45952</v>
      </c>
      <c r="I153" s="4" t="s">
        <v>31</v>
      </c>
      <c r="J153" s="6">
        <f t="shared" si="9"/>
        <v>7</v>
      </c>
      <c r="K153" s="4" t="str">
        <f t="shared" ca="1" si="10"/>
        <v>-</v>
      </c>
      <c r="L153" s="7">
        <f t="shared" ca="1" si="12"/>
        <v>0</v>
      </c>
      <c r="M153" s="4" t="str">
        <f>IF($I153="Complete","Green",IF($H153="","Amber",IF($H153&lt;'[2]Read Me'!$B$4,"Red",IF($H153-'[2]Read Me'!$B$4&lt;=21,"Amber","Green"))))</f>
        <v>Red</v>
      </c>
      <c r="N153" s="3"/>
      <c r="O153" t="str">
        <f>IF($I153&lt;&gt;"Complete",IF(COUNTIFS($A$4:$A152,$A153,$B$4:$B152,$B153,$I$4:$I152,"&lt;&gt;Complete")=0,$A153&amp;"|"&amp;$B153,""),"")</f>
        <v/>
      </c>
      <c r="P153" t="str">
        <f ca="1">IF($K153="Yes",COUNTIFS($K$4:$K153,"Yes"),"")</f>
        <v/>
      </c>
      <c r="Q153">
        <f t="shared" ca="1" si="11"/>
        <v>0</v>
      </c>
      <c r="R153" t="str">
        <f ca="1">IF($Q153=1,SUM($Q$4:$Q153),"")</f>
        <v/>
      </c>
    </row>
    <row r="154" spans="1:18" ht="22.5" customHeight="1" x14ac:dyDescent="0.3">
      <c r="A154" s="2" t="s">
        <v>715</v>
      </c>
      <c r="B154" s="2" t="s">
        <v>62</v>
      </c>
      <c r="C154" s="3" t="s">
        <v>715</v>
      </c>
      <c r="D154" s="3" t="s">
        <v>20</v>
      </c>
      <c r="E154" s="2" t="s">
        <v>666</v>
      </c>
      <c r="F154" s="2" t="s">
        <v>81</v>
      </c>
      <c r="G154" s="5">
        <v>45945</v>
      </c>
      <c r="H154" s="5">
        <v>45999</v>
      </c>
      <c r="I154" s="4" t="s">
        <v>31</v>
      </c>
      <c r="J154" s="6">
        <f t="shared" si="9"/>
        <v>54</v>
      </c>
      <c r="K154" s="4" t="str">
        <f t="shared" ca="1" si="10"/>
        <v>-</v>
      </c>
      <c r="L154" s="7">
        <f t="shared" ca="1" si="12"/>
        <v>0</v>
      </c>
      <c r="M154" s="4" t="str">
        <f>IF($I154="Complete","Green",IF($H154="","Amber",IF($H154&lt;'[2]Read Me'!$B$4,"Red",IF($H154-'[2]Read Me'!$B$4&lt;=21,"Amber","Green"))))</f>
        <v>Red</v>
      </c>
      <c r="N154" s="3"/>
      <c r="O154" t="str">
        <f>IF($I154&lt;&gt;"Complete",IF(COUNTIFS($A$4:$A153,$A154,$B$4:$B153,$B154,$I$4:$I153,"&lt;&gt;Complete")=0,$A154&amp;"|"&amp;$B154,""),"")</f>
        <v/>
      </c>
      <c r="P154" t="str">
        <f ca="1">IF($K154="Yes",COUNTIFS($K$4:$K154,"Yes"),"")</f>
        <v/>
      </c>
      <c r="Q154">
        <f t="shared" ca="1" si="11"/>
        <v>0</v>
      </c>
      <c r="R154" t="str">
        <f ca="1">IF($Q154=1,SUM($Q$4:$Q154),"")</f>
        <v/>
      </c>
    </row>
    <row r="155" spans="1:18" ht="22.5" customHeight="1" x14ac:dyDescent="0.3">
      <c r="A155" s="2" t="s">
        <v>715</v>
      </c>
      <c r="B155" s="2" t="s">
        <v>62</v>
      </c>
      <c r="C155" s="3" t="s">
        <v>715</v>
      </c>
      <c r="D155" s="3" t="s">
        <v>16</v>
      </c>
      <c r="E155" s="2"/>
      <c r="F155" s="2" t="s">
        <v>30</v>
      </c>
      <c r="G155" s="5">
        <v>45963</v>
      </c>
      <c r="H155" s="5">
        <v>46171</v>
      </c>
      <c r="I155" s="4" t="s">
        <v>31</v>
      </c>
      <c r="J155" s="6">
        <f t="shared" si="9"/>
        <v>208</v>
      </c>
      <c r="K155" s="4" t="str">
        <f t="shared" ca="1" si="10"/>
        <v>-</v>
      </c>
      <c r="L155" s="7">
        <f t="shared" ca="1" si="12"/>
        <v>0</v>
      </c>
      <c r="M155" s="4" t="str">
        <f>IF($I155="Complete","Green",IF($H155="","Amber",IF($H155&lt;'[2]Read Me'!$B$4,"Red",IF($H155-'[2]Read Me'!$B$4&lt;=21,"Amber","Green"))))</f>
        <v>Red</v>
      </c>
      <c r="N155" s="3"/>
      <c r="O155" t="str">
        <f>IF($I155&lt;&gt;"Complete",IF(COUNTIFS($A$4:$A154,$A155,$B$4:$B154,$B155,$I$4:$I154,"&lt;&gt;Complete")=0,$A155&amp;"|"&amp;$B155,""),"")</f>
        <v/>
      </c>
      <c r="P155" t="str">
        <f ca="1">IF($K155="Yes",COUNTIFS($K$4:$K155,"Yes"),"")</f>
        <v/>
      </c>
      <c r="Q155">
        <f t="shared" ca="1" si="11"/>
        <v>0</v>
      </c>
      <c r="R155" t="str">
        <f ca="1">IF($Q155=1,SUM($Q$4:$Q155),"")</f>
        <v/>
      </c>
    </row>
    <row r="156" spans="1:18" ht="22.5" customHeight="1" x14ac:dyDescent="0.3">
      <c r="A156" s="2" t="s">
        <v>715</v>
      </c>
      <c r="B156" s="2" t="s">
        <v>62</v>
      </c>
      <c r="C156" s="3" t="s">
        <v>715</v>
      </c>
      <c r="D156" s="3" t="s">
        <v>37</v>
      </c>
      <c r="E156" s="2" t="s">
        <v>663</v>
      </c>
      <c r="F156" s="2" t="s">
        <v>265</v>
      </c>
      <c r="G156" s="5">
        <v>45985</v>
      </c>
      <c r="H156" s="5">
        <v>46190</v>
      </c>
      <c r="I156" s="4" t="s">
        <v>31</v>
      </c>
      <c r="J156" s="6">
        <f t="shared" si="9"/>
        <v>205</v>
      </c>
      <c r="K156" s="4" t="str">
        <f t="shared" ca="1" si="10"/>
        <v>-</v>
      </c>
      <c r="L156" s="7">
        <f t="shared" ca="1" si="12"/>
        <v>0</v>
      </c>
      <c r="M156" s="4" t="str">
        <f>IF($I156="Complete","Green",IF($H156="","Amber",IF($H156&lt;'[2]Read Me'!$B$4,"Red",IF($H156-'[2]Read Me'!$B$4&lt;=21,"Amber","Green"))))</f>
        <v>Amber</v>
      </c>
      <c r="N156" s="3"/>
      <c r="O156" t="str">
        <f>IF($I156&lt;&gt;"Complete",IF(COUNTIFS($A$4:$A155,$A156,$B$4:$B155,$B156,$I$4:$I155,"&lt;&gt;Complete")=0,$A156&amp;"|"&amp;$B156,""),"")</f>
        <v/>
      </c>
      <c r="P156" t="str">
        <f ca="1">IF($K156="Yes",COUNTIFS($K$4:$K156,"Yes"),"")</f>
        <v/>
      </c>
      <c r="Q156">
        <f t="shared" ca="1" si="11"/>
        <v>0</v>
      </c>
      <c r="R156" t="str">
        <f ca="1">IF($Q156=1,SUM($Q$4:$Q156),"")</f>
        <v/>
      </c>
    </row>
    <row r="157" spans="1:18" ht="33.75" customHeight="1" x14ac:dyDescent="0.3">
      <c r="A157" s="2" t="s">
        <v>720</v>
      </c>
      <c r="B157" s="2" t="s">
        <v>49</v>
      </c>
      <c r="C157" s="3"/>
      <c r="D157" s="3"/>
      <c r="E157" s="2"/>
      <c r="F157" s="2"/>
      <c r="G157" s="5">
        <v>46181</v>
      </c>
      <c r="H157" s="5">
        <v>46441</v>
      </c>
      <c r="I157" s="4"/>
      <c r="J157" s="6">
        <f t="shared" si="9"/>
        <v>260</v>
      </c>
      <c r="K157" s="4" t="str">
        <f t="shared" ca="1" si="10"/>
        <v/>
      </c>
      <c r="L157" s="7">
        <f t="shared" ca="1" si="12"/>
        <v>233</v>
      </c>
      <c r="M157" s="4" t="str">
        <f>IF($I157="Complete","Green",IF($H157="","Amber",IF($H157&lt;'[2]Read Me'!$B$4,"Red",IF($H157-'[2]Read Me'!$B$4&lt;=21,"Amber","Green"))))</f>
        <v>Green</v>
      </c>
      <c r="N157" s="3"/>
      <c r="O157" t="str">
        <f>IF($I157&lt;&gt;"Complete",IF(COUNTIFS($A$4:$A156,$A157,$B$4:$B156,$B157,$I$4:$I156,"&lt;&gt;Complete")=0,$A157&amp;"|"&amp;$B157,""),"")</f>
        <v>Authorities Solos|Authorities</v>
      </c>
      <c r="P157" t="str">
        <f ca="1">IF($K157="Yes",COUNTIFS($K$4:$K157,"Yes"),"")</f>
        <v/>
      </c>
      <c r="Q157">
        <f t="shared" ca="1" si="11"/>
        <v>0</v>
      </c>
      <c r="R157" t="str">
        <f ca="1">IF($Q157=1,SUM($Q$4:$Q157),"")</f>
        <v/>
      </c>
    </row>
    <row r="158" spans="1:18" ht="33.75" customHeight="1" x14ac:dyDescent="0.3">
      <c r="A158" s="2" t="s">
        <v>720</v>
      </c>
      <c r="B158" s="2" t="s">
        <v>49</v>
      </c>
      <c r="C158" s="3" t="s">
        <v>720</v>
      </c>
      <c r="D158" s="3" t="s">
        <v>704</v>
      </c>
      <c r="E158" s="2" t="s">
        <v>104</v>
      </c>
      <c r="F158" s="2"/>
      <c r="G158" s="5">
        <v>46055</v>
      </c>
      <c r="H158" s="5">
        <v>46315</v>
      </c>
      <c r="I158" s="4" t="s">
        <v>17</v>
      </c>
      <c r="J158" s="6">
        <f t="shared" si="9"/>
        <v>260</v>
      </c>
      <c r="K158" s="4" t="str">
        <f t="shared" ca="1" si="10"/>
        <v>No</v>
      </c>
      <c r="L158" s="7">
        <f t="shared" ca="1" si="12"/>
        <v>107</v>
      </c>
      <c r="M158" s="4" t="str">
        <f>IF($I158="Complete","Green",IF($H158="","Amber",IF($H158&lt;'[2]Read Me'!$B$4,"Red",IF($H158-'[2]Read Me'!$B$4&lt;=21,"Amber","Green"))))</f>
        <v>Green</v>
      </c>
      <c r="N158" s="3"/>
      <c r="O158" t="str">
        <f>IF($I158&lt;&gt;"Complete",IF(COUNTIFS($A$4:$A157,$A158,$B$4:$B157,$B158,$I$4:$I157,"&lt;&gt;Complete")=0,$A158&amp;"|"&amp;$B158,""),"")</f>
        <v/>
      </c>
      <c r="P158" t="str">
        <f ca="1">IF($K158="Yes",COUNTIFS($K$4:$K158,"Yes"),"")</f>
        <v/>
      </c>
      <c r="Q158">
        <f t="shared" ca="1" si="11"/>
        <v>0</v>
      </c>
      <c r="R158" t="str">
        <f ca="1">IF($Q158=1,SUM($Q$4:$Q158),"")</f>
        <v/>
      </c>
    </row>
    <row r="159" spans="1:18" ht="33.75" customHeight="1" x14ac:dyDescent="0.3">
      <c r="A159" s="2" t="s">
        <v>720</v>
      </c>
      <c r="B159" s="2" t="s">
        <v>49</v>
      </c>
      <c r="C159" s="3" t="s">
        <v>720</v>
      </c>
      <c r="D159" s="3" t="s">
        <v>705</v>
      </c>
      <c r="E159" s="2" t="s">
        <v>104</v>
      </c>
      <c r="F159" s="2"/>
      <c r="G159" s="5">
        <v>46097</v>
      </c>
      <c r="H159" s="5">
        <v>46357</v>
      </c>
      <c r="I159" s="4" t="s">
        <v>17</v>
      </c>
      <c r="J159" s="6">
        <f t="shared" si="9"/>
        <v>260</v>
      </c>
      <c r="K159" s="4" t="str">
        <f t="shared" ca="1" si="10"/>
        <v>No</v>
      </c>
      <c r="L159" s="7">
        <f t="shared" ca="1" si="12"/>
        <v>149</v>
      </c>
      <c r="M159" s="4" t="str">
        <f>IF($I159="Complete","Green",IF($H159="","Amber",IF($H159&lt;'[2]Read Me'!$B$4,"Red",IF($H159-'[2]Read Me'!$B$4&lt;=21,"Amber","Green"))))</f>
        <v>Green</v>
      </c>
      <c r="N159" s="3"/>
      <c r="O159" t="str">
        <f>IF($I159&lt;&gt;"Complete",IF(COUNTIFS($A$4:$A158,$A159,$B$4:$B158,$B159,$I$4:$I158,"&lt;&gt;Complete")=0,$A159&amp;"|"&amp;$B159,""),"")</f>
        <v/>
      </c>
      <c r="P159" t="str">
        <f ca="1">IF($K159="Yes",COUNTIFS($K$4:$K159,"Yes"),"")</f>
        <v/>
      </c>
      <c r="Q159">
        <f t="shared" ca="1" si="11"/>
        <v>0</v>
      </c>
      <c r="R159" t="str">
        <f ca="1">IF($Q159=1,SUM($Q$4:$Q159),"")</f>
        <v/>
      </c>
    </row>
    <row r="160" spans="1:18" ht="33.75" customHeight="1" x14ac:dyDescent="0.3">
      <c r="A160" s="2" t="s">
        <v>720</v>
      </c>
      <c r="B160" s="2" t="s">
        <v>49</v>
      </c>
      <c r="C160" s="3" t="s">
        <v>720</v>
      </c>
      <c r="D160" s="3" t="s">
        <v>706</v>
      </c>
      <c r="E160" s="2" t="s">
        <v>104</v>
      </c>
      <c r="F160" s="2"/>
      <c r="G160" s="5">
        <v>46139</v>
      </c>
      <c r="H160" s="5">
        <v>46399</v>
      </c>
      <c r="I160" s="4" t="s">
        <v>17</v>
      </c>
      <c r="J160" s="6">
        <f t="shared" si="9"/>
        <v>260</v>
      </c>
      <c r="K160" s="4" t="str">
        <f t="shared" ca="1" si="10"/>
        <v>No</v>
      </c>
      <c r="L160" s="7">
        <f t="shared" ca="1" si="12"/>
        <v>191</v>
      </c>
      <c r="M160" s="4" t="str">
        <f>IF($I160="Complete","Green",IF($H160="","Amber",IF($H160&lt;'[2]Read Me'!$B$4,"Red",IF($H160-'[2]Read Me'!$B$4&lt;=21,"Amber","Green"))))</f>
        <v>Green</v>
      </c>
      <c r="N160" s="3"/>
      <c r="O160" t="str">
        <f>IF($I160&lt;&gt;"Complete",IF(COUNTIFS($A$4:$A159,$A160,$B$4:$B159,$B160,$I$4:$I159,"&lt;&gt;Complete")=0,$A160&amp;"|"&amp;$B160,""),"")</f>
        <v/>
      </c>
      <c r="P160" t="str">
        <f ca="1">IF($K160="Yes",COUNTIFS($K$4:$K160,"Yes"),"")</f>
        <v/>
      </c>
      <c r="Q160">
        <f t="shared" ca="1" si="11"/>
        <v>0</v>
      </c>
      <c r="R160" t="str">
        <f ca="1">IF($Q160=1,SUM($Q$4:$Q160),"")</f>
        <v/>
      </c>
    </row>
    <row r="161" spans="1:18" ht="33.75" customHeight="1" x14ac:dyDescent="0.3">
      <c r="A161" s="2" t="s">
        <v>720</v>
      </c>
      <c r="B161" s="2" t="s">
        <v>49</v>
      </c>
      <c r="C161" s="3" t="s">
        <v>720</v>
      </c>
      <c r="D161" s="3" t="s">
        <v>690</v>
      </c>
      <c r="E161" s="2" t="s">
        <v>104</v>
      </c>
      <c r="F161" s="2"/>
      <c r="G161" s="5">
        <v>46181</v>
      </c>
      <c r="H161" s="5">
        <v>46441</v>
      </c>
      <c r="I161" s="4" t="s">
        <v>17</v>
      </c>
      <c r="J161" s="6">
        <f t="shared" si="9"/>
        <v>260</v>
      </c>
      <c r="K161" s="4" t="str">
        <f t="shared" ca="1" si="10"/>
        <v>No</v>
      </c>
      <c r="L161" s="7">
        <f t="shared" ca="1" si="12"/>
        <v>233</v>
      </c>
      <c r="M161" s="4" t="str">
        <f>IF($I161="Complete","Green",IF($H161="","Amber",IF($H161&lt;'[2]Read Me'!$B$4,"Red",IF($H161-'[2]Read Me'!$B$4&lt;=21,"Amber","Green"))))</f>
        <v>Green</v>
      </c>
      <c r="N161" s="3"/>
      <c r="O161" t="str">
        <f>IF($I161&lt;&gt;"Complete",IF(COUNTIFS($A$4:$A160,$A161,$B$4:$B160,$B161,$I$4:$I160,"&lt;&gt;Complete")=0,$A161&amp;"|"&amp;$B161,""),"")</f>
        <v/>
      </c>
      <c r="P161" t="str">
        <f ca="1">IF($K161="Yes",COUNTIFS($K$4:$K161,"Yes"),"")</f>
        <v/>
      </c>
      <c r="Q161">
        <f t="shared" ca="1" si="11"/>
        <v>0</v>
      </c>
      <c r="R161" t="str">
        <f ca="1">IF($Q161=1,SUM($Q$4:$Q161),"")</f>
        <v/>
      </c>
    </row>
    <row r="162" spans="1:18" ht="33.75" customHeight="1" x14ac:dyDescent="0.3">
      <c r="A162" s="2" t="s">
        <v>721</v>
      </c>
      <c r="B162" s="2" t="s">
        <v>62</v>
      </c>
      <c r="C162" s="3"/>
      <c r="D162" s="3"/>
      <c r="E162" s="2"/>
      <c r="F162" s="2"/>
      <c r="G162" s="5">
        <v>46350</v>
      </c>
      <c r="H162" s="5">
        <v>46391</v>
      </c>
      <c r="I162" s="4"/>
      <c r="J162" s="6">
        <f t="shared" si="9"/>
        <v>41</v>
      </c>
      <c r="K162" s="4" t="str">
        <f t="shared" ca="1" si="10"/>
        <v/>
      </c>
      <c r="L162" s="7">
        <f t="shared" ca="1" si="12"/>
        <v>183</v>
      </c>
      <c r="M162" s="4" t="str">
        <f>IF($I162="Complete","Green",IF($H162="","Amber",IF($H162&lt;'[2]Read Me'!$B$4,"Red",IF($H162-'[2]Read Me'!$B$4&lt;=21,"Amber","Green"))))</f>
        <v>Green</v>
      </c>
      <c r="N162" s="3"/>
      <c r="O162" t="str">
        <f>IF($I162&lt;&gt;"Complete",IF(COUNTIFS($A$4:$A161,$A162,$B$4:$B161,$B162,$I$4:$I161,"&lt;&gt;Complete")=0,$A162&amp;"|"&amp;$B162,""),"")</f>
        <v>Cabannas|Buildings</v>
      </c>
      <c r="P162" t="str">
        <f ca="1">IF($K162="Yes",COUNTIFS($K$4:$K162,"Yes"),"")</f>
        <v/>
      </c>
      <c r="Q162">
        <f t="shared" ca="1" si="11"/>
        <v>0</v>
      </c>
      <c r="R162" t="str">
        <f ca="1">IF($Q162=1,SUM($Q$4:$Q162),"")</f>
        <v/>
      </c>
    </row>
    <row r="163" spans="1:18" ht="33.75" customHeight="1" x14ac:dyDescent="0.3">
      <c r="A163" s="2" t="s">
        <v>721</v>
      </c>
      <c r="B163" s="2" t="s">
        <v>62</v>
      </c>
      <c r="C163" s="3" t="s">
        <v>721</v>
      </c>
      <c r="D163" s="3" t="s">
        <v>149</v>
      </c>
      <c r="E163" s="2"/>
      <c r="F163" s="2"/>
      <c r="G163" s="5">
        <v>45886</v>
      </c>
      <c r="H163" s="5">
        <v>45886</v>
      </c>
      <c r="I163" s="4" t="s">
        <v>31</v>
      </c>
      <c r="J163" s="6">
        <f t="shared" si="9"/>
        <v>0</v>
      </c>
      <c r="K163" s="4" t="str">
        <f t="shared" ca="1" si="10"/>
        <v>-</v>
      </c>
      <c r="L163" s="7">
        <f t="shared" ca="1" si="12"/>
        <v>0</v>
      </c>
      <c r="M163" s="4" t="str">
        <f>IF($I163="Complete","Green",IF($H163="","Amber",IF($H163&lt;'[2]Read Me'!$B$4,"Red",IF($H163-'[2]Read Me'!$B$4&lt;=21,"Amber","Green"))))</f>
        <v>Red</v>
      </c>
      <c r="N163" s="3"/>
      <c r="O163" t="str">
        <f>IF($I163&lt;&gt;"Complete",IF(COUNTIFS($A$4:$A162,$A163,$B$4:$B162,$B163,$I$4:$I162,"&lt;&gt;Complete")=0,$A163&amp;"|"&amp;$B163,""),"")</f>
        <v/>
      </c>
      <c r="P163" t="str">
        <f ca="1">IF($K163="Yes",COUNTIFS($K$4:$K163,"Yes"),"")</f>
        <v/>
      </c>
      <c r="Q163">
        <f t="shared" ca="1" si="11"/>
        <v>0</v>
      </c>
      <c r="R163" t="str">
        <f ca="1">IF($Q163=1,SUM($Q$4:$Q163),"")</f>
        <v/>
      </c>
    </row>
    <row r="164" spans="1:18" ht="33.75" customHeight="1" x14ac:dyDescent="0.3">
      <c r="A164" s="2" t="s">
        <v>721</v>
      </c>
      <c r="B164" s="2" t="s">
        <v>62</v>
      </c>
      <c r="C164" s="3" t="s">
        <v>721</v>
      </c>
      <c r="D164" s="3" t="s">
        <v>150</v>
      </c>
      <c r="E164" s="2"/>
      <c r="F164" s="2"/>
      <c r="G164" s="5">
        <v>45911</v>
      </c>
      <c r="H164" s="5">
        <v>45911</v>
      </c>
      <c r="I164" s="4" t="s">
        <v>31</v>
      </c>
      <c r="J164" s="6">
        <f t="shared" si="9"/>
        <v>0</v>
      </c>
      <c r="K164" s="4" t="str">
        <f t="shared" ca="1" si="10"/>
        <v>-</v>
      </c>
      <c r="L164" s="7">
        <f t="shared" ca="1" si="12"/>
        <v>0</v>
      </c>
      <c r="M164" s="4" t="str">
        <f>IF($I164="Complete","Green",IF($H164="","Amber",IF($H164&lt;'[2]Read Me'!$B$4,"Red",IF($H164-'[2]Read Me'!$B$4&lt;=21,"Amber","Green"))))</f>
        <v>Red</v>
      </c>
      <c r="N164" s="3"/>
      <c r="O164" t="str">
        <f>IF($I164&lt;&gt;"Complete",IF(COUNTIFS($A$4:$A163,$A164,$B$4:$B163,$B164,$I$4:$I163,"&lt;&gt;Complete")=0,$A164&amp;"|"&amp;$B164,""),"")</f>
        <v/>
      </c>
      <c r="P164" t="str">
        <f ca="1">IF($K164="Yes",COUNTIFS($K$4:$K164,"Yes"),"")</f>
        <v/>
      </c>
      <c r="Q164">
        <f t="shared" ca="1" si="11"/>
        <v>0</v>
      </c>
      <c r="R164" t="str">
        <f ca="1">IF($Q164=1,SUM($Q$4:$Q164),"")</f>
        <v/>
      </c>
    </row>
    <row r="165" spans="1:18" ht="33.75" customHeight="1" x14ac:dyDescent="0.3">
      <c r="A165" s="2" t="s">
        <v>721</v>
      </c>
      <c r="B165" s="2" t="s">
        <v>62</v>
      </c>
      <c r="C165" s="3" t="s">
        <v>721</v>
      </c>
      <c r="D165" s="3" t="s">
        <v>722</v>
      </c>
      <c r="E165" s="2"/>
      <c r="F165" s="2"/>
      <c r="G165" s="5">
        <v>45925</v>
      </c>
      <c r="H165" s="5">
        <v>45925</v>
      </c>
      <c r="I165" s="4" t="s">
        <v>31</v>
      </c>
      <c r="J165" s="6">
        <f t="shared" si="9"/>
        <v>0</v>
      </c>
      <c r="K165" s="4" t="str">
        <f t="shared" ca="1" si="10"/>
        <v>-</v>
      </c>
      <c r="L165" s="7">
        <f t="shared" ca="1" si="12"/>
        <v>0</v>
      </c>
      <c r="M165" s="4" t="str">
        <f>IF($I165="Complete","Green",IF($H165="","Amber",IF($H165&lt;'[2]Read Me'!$B$4,"Red",IF($H165-'[2]Read Me'!$B$4&lt;=21,"Amber","Green"))))</f>
        <v>Red</v>
      </c>
      <c r="N165" s="3"/>
      <c r="O165" t="str">
        <f>IF($I165&lt;&gt;"Complete",IF(COUNTIFS($A$4:$A164,$A165,$B$4:$B164,$B165,$I$4:$I164,"&lt;&gt;Complete")=0,$A165&amp;"|"&amp;$B165,""),"")</f>
        <v/>
      </c>
      <c r="P165" t="str">
        <f ca="1">IF($K165="Yes",COUNTIFS($K$4:$K165,"Yes"),"")</f>
        <v/>
      </c>
      <c r="Q165">
        <f t="shared" ca="1" si="11"/>
        <v>0</v>
      </c>
      <c r="R165" t="str">
        <f ca="1">IF($Q165=1,SUM($Q$4:$Q165),"")</f>
        <v/>
      </c>
    </row>
    <row r="166" spans="1:18" ht="33.75" customHeight="1" x14ac:dyDescent="0.3">
      <c r="A166" s="2" t="s">
        <v>721</v>
      </c>
      <c r="B166" s="2" t="s">
        <v>62</v>
      </c>
      <c r="C166" s="3" t="s">
        <v>721</v>
      </c>
      <c r="D166" s="3" t="s">
        <v>723</v>
      </c>
      <c r="E166" s="2"/>
      <c r="F166" s="2"/>
      <c r="G166" s="5">
        <v>45964</v>
      </c>
      <c r="H166" s="5">
        <v>45964</v>
      </c>
      <c r="I166" s="4" t="s">
        <v>31</v>
      </c>
      <c r="J166" s="6">
        <f t="shared" si="9"/>
        <v>0</v>
      </c>
      <c r="K166" s="4" t="str">
        <f t="shared" ca="1" si="10"/>
        <v>-</v>
      </c>
      <c r="L166" s="7">
        <f t="shared" ca="1" si="12"/>
        <v>0</v>
      </c>
      <c r="M166" s="4" t="str">
        <f>IF($I166="Complete","Green",IF($H166="","Amber",IF($H166&lt;'[2]Read Me'!$B$4,"Red",IF($H166-'[2]Read Me'!$B$4&lt;=21,"Amber","Green"))))</f>
        <v>Red</v>
      </c>
      <c r="N166" s="3"/>
      <c r="O166" t="str">
        <f>IF($I166&lt;&gt;"Complete",IF(COUNTIFS($A$4:$A165,$A166,$B$4:$B165,$B166,$I$4:$I165,"&lt;&gt;Complete")=0,$A166&amp;"|"&amp;$B166,""),"")</f>
        <v/>
      </c>
      <c r="P166" t="str">
        <f ca="1">IF($K166="Yes",COUNTIFS($K$4:$K166,"Yes"),"")</f>
        <v/>
      </c>
      <c r="Q166">
        <f t="shared" ca="1" si="11"/>
        <v>0</v>
      </c>
      <c r="R166" t="str">
        <f ca="1">IF($Q166=1,SUM($Q$4:$Q166),"")</f>
        <v/>
      </c>
    </row>
    <row r="167" spans="1:18" ht="33.75" customHeight="1" x14ac:dyDescent="0.3">
      <c r="A167" s="2" t="s">
        <v>721</v>
      </c>
      <c r="B167" s="2" t="s">
        <v>62</v>
      </c>
      <c r="C167" s="3" t="s">
        <v>721</v>
      </c>
      <c r="D167" s="3" t="s">
        <v>724</v>
      </c>
      <c r="E167" s="2"/>
      <c r="F167" s="2"/>
      <c r="G167" s="5">
        <v>45971</v>
      </c>
      <c r="H167" s="5">
        <v>45971</v>
      </c>
      <c r="I167" s="4" t="s">
        <v>31</v>
      </c>
      <c r="J167" s="6">
        <f t="shared" si="9"/>
        <v>0</v>
      </c>
      <c r="K167" s="4" t="str">
        <f t="shared" ca="1" si="10"/>
        <v>-</v>
      </c>
      <c r="L167" s="7">
        <f t="shared" ca="1" si="12"/>
        <v>0</v>
      </c>
      <c r="M167" s="4" t="str">
        <f>IF($I167="Complete","Green",IF($H167="","Amber",IF($H167&lt;'[2]Read Me'!$B$4,"Red",IF($H167-'[2]Read Me'!$B$4&lt;=21,"Amber","Green"))))</f>
        <v>Red</v>
      </c>
      <c r="N167" s="3"/>
      <c r="O167" t="str">
        <f>IF($I167&lt;&gt;"Complete",IF(COUNTIFS($A$4:$A166,$A167,$B$4:$B166,$B167,$I$4:$I166,"&lt;&gt;Complete")=0,$A167&amp;"|"&amp;$B167,""),"")</f>
        <v/>
      </c>
      <c r="P167" t="str">
        <f ca="1">IF($K167="Yes",COUNTIFS($K$4:$K167,"Yes"),"")</f>
        <v/>
      </c>
      <c r="Q167">
        <f t="shared" ca="1" si="11"/>
        <v>0</v>
      </c>
      <c r="R167" t="str">
        <f ca="1">IF($Q167=1,SUM($Q$4:$Q167),"")</f>
        <v/>
      </c>
    </row>
    <row r="168" spans="1:18" ht="33.75" customHeight="1" x14ac:dyDescent="0.3">
      <c r="A168" s="2" t="s">
        <v>721</v>
      </c>
      <c r="B168" s="2" t="s">
        <v>62</v>
      </c>
      <c r="C168" s="3" t="s">
        <v>721</v>
      </c>
      <c r="D168" s="3" t="s">
        <v>725</v>
      </c>
      <c r="E168" s="2"/>
      <c r="F168" s="2"/>
      <c r="G168" s="5">
        <v>46002</v>
      </c>
      <c r="H168" s="5">
        <v>46008</v>
      </c>
      <c r="I168" s="4" t="s">
        <v>31</v>
      </c>
      <c r="J168" s="6">
        <f t="shared" si="9"/>
        <v>6</v>
      </c>
      <c r="K168" s="4" t="str">
        <f t="shared" ca="1" si="10"/>
        <v>-</v>
      </c>
      <c r="L168" s="7">
        <f t="shared" ca="1" si="12"/>
        <v>0</v>
      </c>
      <c r="M168" s="4" t="str">
        <f>IF($I168="Complete","Green",IF($H168="","Amber",IF($H168&lt;'[2]Read Me'!$B$4,"Red",IF($H168-'[2]Read Me'!$B$4&lt;=21,"Amber","Green"))))</f>
        <v>Red</v>
      </c>
      <c r="N168" s="3"/>
      <c r="O168" t="str">
        <f>IF($I168&lt;&gt;"Complete",IF(COUNTIFS($A$4:$A167,$A168,$B$4:$B167,$B168,$I$4:$I167,"&lt;&gt;Complete")=0,$A168&amp;"|"&amp;$B168,""),"")</f>
        <v/>
      </c>
      <c r="P168" t="str">
        <f ca="1">IF($K168="Yes",COUNTIFS($K$4:$K168,"Yes"),"")</f>
        <v/>
      </c>
      <c r="Q168">
        <f t="shared" ca="1" si="11"/>
        <v>0</v>
      </c>
      <c r="R168" t="str">
        <f ca="1">IF($Q168=1,SUM($Q$4:$Q168),"")</f>
        <v/>
      </c>
    </row>
    <row r="169" spans="1:18" ht="33.75" customHeight="1" x14ac:dyDescent="0.3">
      <c r="A169" s="2" t="s">
        <v>721</v>
      </c>
      <c r="B169" s="2" t="s">
        <v>62</v>
      </c>
      <c r="C169" s="3" t="s">
        <v>721</v>
      </c>
      <c r="D169" s="3" t="s">
        <v>235</v>
      </c>
      <c r="E169" s="2"/>
      <c r="F169" s="2"/>
      <c r="G169" s="5">
        <v>46009</v>
      </c>
      <c r="H169" s="5">
        <v>46015</v>
      </c>
      <c r="I169" s="4" t="s">
        <v>31</v>
      </c>
      <c r="J169" s="6">
        <f t="shared" si="9"/>
        <v>6</v>
      </c>
      <c r="K169" s="4" t="str">
        <f t="shared" ca="1" si="10"/>
        <v>-</v>
      </c>
      <c r="L169" s="7">
        <f t="shared" ca="1" si="12"/>
        <v>0</v>
      </c>
      <c r="M169" s="4" t="str">
        <f>IF($I169="Complete","Green",IF($H169="","Amber",IF($H169&lt;'[2]Read Me'!$B$4,"Red",IF($H169-'[2]Read Me'!$B$4&lt;=21,"Amber","Green"))))</f>
        <v>Red</v>
      </c>
      <c r="N169" s="3"/>
      <c r="O169" t="str">
        <f>IF($I169&lt;&gt;"Complete",IF(COUNTIFS($A$4:$A168,$A169,$B$4:$B168,$B169,$I$4:$I168,"&lt;&gt;Complete")=0,$A169&amp;"|"&amp;$B169,""),"")</f>
        <v/>
      </c>
      <c r="P169" t="str">
        <f ca="1">IF($K169="Yes",COUNTIFS($K$4:$K169,"Yes"),"")</f>
        <v/>
      </c>
      <c r="Q169">
        <f t="shared" ca="1" si="11"/>
        <v>0</v>
      </c>
      <c r="R169" t="str">
        <f ca="1">IF($Q169=1,SUM($Q$4:$Q169),"")</f>
        <v/>
      </c>
    </row>
    <row r="170" spans="1:18" ht="33.75" customHeight="1" x14ac:dyDescent="0.3">
      <c r="A170" s="2" t="s">
        <v>721</v>
      </c>
      <c r="B170" s="2" t="s">
        <v>62</v>
      </c>
      <c r="C170" s="3" t="s">
        <v>721</v>
      </c>
      <c r="D170" s="3" t="s">
        <v>726</v>
      </c>
      <c r="E170" s="2" t="s">
        <v>666</v>
      </c>
      <c r="F170" s="2" t="s">
        <v>81</v>
      </c>
      <c r="G170" s="5">
        <v>46016</v>
      </c>
      <c r="H170" s="5">
        <v>46058</v>
      </c>
      <c r="I170" s="4" t="s">
        <v>31</v>
      </c>
      <c r="J170" s="6">
        <f t="shared" si="9"/>
        <v>42</v>
      </c>
      <c r="K170" s="4" t="str">
        <f t="shared" ca="1" si="10"/>
        <v>-</v>
      </c>
      <c r="L170" s="7">
        <f t="shared" ca="1" si="12"/>
        <v>0</v>
      </c>
      <c r="M170" s="4" t="str">
        <f>IF($I170="Complete","Green",IF($H170="","Amber",IF($H170&lt;'[2]Read Me'!$B$4,"Red",IF($H170-'[2]Read Me'!$B$4&lt;=21,"Amber","Green"))))</f>
        <v>Red</v>
      </c>
      <c r="N170" s="3"/>
      <c r="O170" t="str">
        <f>IF($I170&lt;&gt;"Complete",IF(COUNTIFS($A$4:$A169,$A170,$B$4:$B169,$B170,$I$4:$I169,"&lt;&gt;Complete")=0,$A170&amp;"|"&amp;$B170,""),"")</f>
        <v/>
      </c>
      <c r="P170" t="str">
        <f ca="1">IF($K170="Yes",COUNTIFS($K$4:$K170,"Yes"),"")</f>
        <v/>
      </c>
      <c r="Q170">
        <f t="shared" ca="1" si="11"/>
        <v>0</v>
      </c>
      <c r="R170" t="str">
        <f ca="1">IF($Q170=1,SUM($Q$4:$Q170),"")</f>
        <v/>
      </c>
    </row>
    <row r="171" spans="1:18" ht="33.75" customHeight="1" x14ac:dyDescent="0.3">
      <c r="A171" s="2" t="s">
        <v>721</v>
      </c>
      <c r="B171" s="2" t="s">
        <v>62</v>
      </c>
      <c r="C171" s="3" t="s">
        <v>721</v>
      </c>
      <c r="D171" s="3" t="s">
        <v>97</v>
      </c>
      <c r="E171" s="2"/>
      <c r="F171" s="2"/>
      <c r="G171" s="5">
        <v>46047</v>
      </c>
      <c r="H171" s="5">
        <v>46050</v>
      </c>
      <c r="I171" s="4" t="s">
        <v>31</v>
      </c>
      <c r="J171" s="6">
        <f t="shared" si="9"/>
        <v>3</v>
      </c>
      <c r="K171" s="4" t="str">
        <f t="shared" ca="1" si="10"/>
        <v>-</v>
      </c>
      <c r="L171" s="7">
        <f t="shared" ca="1" si="12"/>
        <v>0</v>
      </c>
      <c r="M171" s="4" t="str">
        <f>IF($I171="Complete","Green",IF($H171="","Amber",IF($H171&lt;'[2]Read Me'!$B$4,"Red",IF($H171-'[2]Read Me'!$B$4&lt;=21,"Amber","Green"))))</f>
        <v>Red</v>
      </c>
      <c r="N171" s="3"/>
      <c r="O171" t="str">
        <f>IF($I171&lt;&gt;"Complete",IF(COUNTIFS($A$4:$A170,$A171,$B$4:$B170,$B171,$I$4:$I170,"&lt;&gt;Complete")=0,$A171&amp;"|"&amp;$B171,""),"")</f>
        <v/>
      </c>
      <c r="P171" t="str">
        <f ca="1">IF($K171="Yes",COUNTIFS($K$4:$K171,"Yes"),"")</f>
        <v/>
      </c>
      <c r="Q171">
        <f t="shared" ca="1" si="11"/>
        <v>0</v>
      </c>
      <c r="R171" t="str">
        <f ca="1">IF($Q171=1,SUM($Q$4:$Q171),"")</f>
        <v/>
      </c>
    </row>
    <row r="172" spans="1:18" ht="33.75" customHeight="1" x14ac:dyDescent="0.3">
      <c r="A172" s="2" t="s">
        <v>721</v>
      </c>
      <c r="B172" s="2" t="s">
        <v>62</v>
      </c>
      <c r="C172" s="3" t="s">
        <v>721</v>
      </c>
      <c r="D172" s="3" t="s">
        <v>70</v>
      </c>
      <c r="E172" s="2"/>
      <c r="F172" s="2"/>
      <c r="G172" s="5">
        <v>46054</v>
      </c>
      <c r="H172" s="5">
        <v>46057</v>
      </c>
      <c r="I172" s="4" t="s">
        <v>31</v>
      </c>
      <c r="J172" s="6">
        <f t="shared" si="9"/>
        <v>3</v>
      </c>
      <c r="K172" s="4" t="str">
        <f t="shared" ca="1" si="10"/>
        <v>-</v>
      </c>
      <c r="L172" s="7">
        <f t="shared" ca="1" si="12"/>
        <v>0</v>
      </c>
      <c r="M172" s="4" t="str">
        <f>IF($I172="Complete","Green",IF($H172="","Amber",IF($H172&lt;'[2]Read Me'!$B$4,"Red",IF($H172-'[2]Read Me'!$B$4&lt;=21,"Amber","Green"))))</f>
        <v>Red</v>
      </c>
      <c r="N172" s="3"/>
      <c r="O172" t="str">
        <f>IF($I172&lt;&gt;"Complete",IF(COUNTIFS($A$4:$A171,$A172,$B$4:$B171,$B172,$I$4:$I171,"&lt;&gt;Complete")=0,$A172&amp;"|"&amp;$B172,""),"")</f>
        <v/>
      </c>
      <c r="P172" t="str">
        <f ca="1">IF($K172="Yes",COUNTIFS($K$4:$K172,"Yes"),"")</f>
        <v/>
      </c>
      <c r="Q172">
        <f t="shared" ca="1" si="11"/>
        <v>0</v>
      </c>
      <c r="R172" t="str">
        <f ca="1">IF($Q172=1,SUM($Q$4:$Q172),"")</f>
        <v/>
      </c>
    </row>
    <row r="173" spans="1:18" ht="33.75" customHeight="1" x14ac:dyDescent="0.3">
      <c r="A173" s="2" t="s">
        <v>721</v>
      </c>
      <c r="B173" s="2" t="s">
        <v>62</v>
      </c>
      <c r="C173" s="3" t="s">
        <v>721</v>
      </c>
      <c r="D173" s="3" t="s">
        <v>98</v>
      </c>
      <c r="E173" s="2"/>
      <c r="F173" s="2"/>
      <c r="G173" s="5">
        <v>46090</v>
      </c>
      <c r="H173" s="5">
        <v>46092</v>
      </c>
      <c r="I173" s="4" t="s">
        <v>31</v>
      </c>
      <c r="J173" s="6">
        <f t="shared" si="9"/>
        <v>2</v>
      </c>
      <c r="K173" s="4" t="str">
        <f t="shared" ca="1" si="10"/>
        <v>-</v>
      </c>
      <c r="L173" s="7">
        <f t="shared" ca="1" si="12"/>
        <v>0</v>
      </c>
      <c r="M173" s="4" t="str">
        <f>IF($I173="Complete","Green",IF($H173="","Amber",IF($H173&lt;'[2]Read Me'!$B$4,"Red",IF($H173-'[2]Read Me'!$B$4&lt;=21,"Amber","Green"))))</f>
        <v>Red</v>
      </c>
      <c r="N173" s="3"/>
      <c r="O173" t="str">
        <f>IF($I173&lt;&gt;"Complete",IF(COUNTIFS($A$4:$A172,$A173,$B$4:$B172,$B173,$I$4:$I172,"&lt;&gt;Complete")=0,$A173&amp;"|"&amp;$B173,""),"")</f>
        <v/>
      </c>
      <c r="P173" t="str">
        <f ca="1">IF($K173="Yes",COUNTIFS($K$4:$K173,"Yes"),"")</f>
        <v/>
      </c>
      <c r="Q173">
        <f t="shared" ca="1" si="11"/>
        <v>0</v>
      </c>
      <c r="R173" t="str">
        <f ca="1">IF($Q173=1,SUM($Q$4:$Q173),"")</f>
        <v/>
      </c>
    </row>
    <row r="174" spans="1:18" ht="33.75" customHeight="1" x14ac:dyDescent="0.3">
      <c r="A174" s="2" t="s">
        <v>721</v>
      </c>
      <c r="B174" s="2" t="s">
        <v>62</v>
      </c>
      <c r="C174" s="3" t="s">
        <v>721</v>
      </c>
      <c r="D174" s="3" t="s">
        <v>47</v>
      </c>
      <c r="E174" s="2"/>
      <c r="F174" s="2"/>
      <c r="G174" s="5">
        <v>46097</v>
      </c>
      <c r="H174" s="5">
        <v>46099</v>
      </c>
      <c r="I174" s="4" t="s">
        <v>31</v>
      </c>
      <c r="J174" s="6">
        <f t="shared" si="9"/>
        <v>2</v>
      </c>
      <c r="K174" s="4" t="str">
        <f t="shared" ca="1" si="10"/>
        <v>-</v>
      </c>
      <c r="L174" s="7">
        <f t="shared" ca="1" si="12"/>
        <v>0</v>
      </c>
      <c r="M174" s="4" t="str">
        <f>IF($I174="Complete","Green",IF($H174="","Amber",IF($H174&lt;'[2]Read Me'!$B$4,"Red",IF($H174-'[2]Read Me'!$B$4&lt;=21,"Amber","Green"))))</f>
        <v>Red</v>
      </c>
      <c r="N174" s="3"/>
      <c r="O174" t="str">
        <f>IF($I174&lt;&gt;"Complete",IF(COUNTIFS($A$4:$A173,$A174,$B$4:$B173,$B174,$I$4:$I173,"&lt;&gt;Complete")=0,$A174&amp;"|"&amp;$B174,""),"")</f>
        <v/>
      </c>
      <c r="P174" t="str">
        <f ca="1">IF($K174="Yes",COUNTIFS($K$4:$K174,"Yes"),"")</f>
        <v/>
      </c>
      <c r="Q174">
        <f t="shared" ca="1" si="11"/>
        <v>0</v>
      </c>
      <c r="R174" t="str">
        <f ca="1">IF($Q174=1,SUM($Q$4:$Q174),"")</f>
        <v/>
      </c>
    </row>
    <row r="175" spans="1:18" ht="33.75" customHeight="1" x14ac:dyDescent="0.3">
      <c r="A175" s="2" t="s">
        <v>721</v>
      </c>
      <c r="B175" s="2" t="s">
        <v>62</v>
      </c>
      <c r="C175" s="3" t="s">
        <v>721</v>
      </c>
      <c r="D175" s="3" t="s">
        <v>18</v>
      </c>
      <c r="E175" s="2" t="s">
        <v>727</v>
      </c>
      <c r="F175" s="2"/>
      <c r="G175" s="5">
        <v>46188</v>
      </c>
      <c r="H175" s="5">
        <v>46203</v>
      </c>
      <c r="I175" s="4" t="s">
        <v>46</v>
      </c>
      <c r="J175" s="6">
        <f t="shared" si="9"/>
        <v>15</v>
      </c>
      <c r="K175" s="4" t="str">
        <f t="shared" ca="1" si="10"/>
        <v>Yes</v>
      </c>
      <c r="L175" s="7">
        <f t="shared" ca="1" si="12"/>
        <v>-5</v>
      </c>
      <c r="M175" s="4" t="str">
        <f>IF($I175="Complete","Green",IF($H175="","Amber",IF($H175&lt;'[2]Read Me'!$B$4,"Red",IF($H175-'[2]Read Me'!$B$4&lt;=21,"Amber","Green"))))</f>
        <v>Amber</v>
      </c>
      <c r="N175" s="3"/>
      <c r="O175" t="str">
        <f>IF($I175&lt;&gt;"Complete",IF(COUNTIFS($A$4:$A174,$A175,$B$4:$B174,$B175,$I$4:$I174,"&lt;&gt;Complete")=0,$A175&amp;"|"&amp;$B175,""),"")</f>
        <v/>
      </c>
      <c r="P175">
        <f ca="1">IF($K175="Yes",COUNTIFS($K$4:$K175,"Yes"),"")</f>
        <v>8</v>
      </c>
      <c r="Q175">
        <f t="shared" ca="1" si="11"/>
        <v>1</v>
      </c>
      <c r="R175">
        <f ca="1">IF($Q175=1,SUM($Q$4:$Q175),"")</f>
        <v>8</v>
      </c>
    </row>
    <row r="176" spans="1:18" ht="22.5" customHeight="1" x14ac:dyDescent="0.3">
      <c r="A176" s="2" t="s">
        <v>721</v>
      </c>
      <c r="B176" s="2" t="s">
        <v>62</v>
      </c>
      <c r="C176" s="3" t="s">
        <v>721</v>
      </c>
      <c r="D176" s="3" t="s">
        <v>32</v>
      </c>
      <c r="E176" s="2" t="s">
        <v>727</v>
      </c>
      <c r="F176" s="2" t="s">
        <v>265</v>
      </c>
      <c r="G176" s="5">
        <v>46202</v>
      </c>
      <c r="H176" s="5">
        <v>46217</v>
      </c>
      <c r="I176" s="4" t="s">
        <v>17</v>
      </c>
      <c r="J176" s="6">
        <f t="shared" si="9"/>
        <v>15</v>
      </c>
      <c r="K176" s="4" t="str">
        <f t="shared" ca="1" si="10"/>
        <v>No</v>
      </c>
      <c r="L176" s="7">
        <f t="shared" ca="1" si="12"/>
        <v>9</v>
      </c>
      <c r="M176" s="4" t="str">
        <f>IF($I176="Complete","Green",IF($H176="","Amber",IF($H176&lt;'[2]Read Me'!$B$4,"Red",IF($H176-'[2]Read Me'!$B$4&lt;=21,"Amber","Green"))))</f>
        <v>Green</v>
      </c>
      <c r="N176" s="3"/>
      <c r="O176" t="str">
        <f>IF($I176&lt;&gt;"Complete",IF(COUNTIFS($A$4:$A175,$A176,$B$4:$B175,$B176,$I$4:$I175,"&lt;&gt;Complete")=0,$A176&amp;"|"&amp;$B176,""),"")</f>
        <v/>
      </c>
      <c r="P176" t="str">
        <f ca="1">IF($K176="Yes",COUNTIFS($K$4:$K176,"Yes"),"")</f>
        <v/>
      </c>
      <c r="Q176">
        <f t="shared" ca="1" si="11"/>
        <v>0</v>
      </c>
      <c r="R176" t="str">
        <f ca="1">IF($Q176=1,SUM($Q$4:$Q176),"")</f>
        <v/>
      </c>
    </row>
    <row r="177" spans="1:18" ht="22.5" customHeight="1" x14ac:dyDescent="0.3">
      <c r="A177" s="2" t="s">
        <v>721</v>
      </c>
      <c r="B177" s="2" t="s">
        <v>62</v>
      </c>
      <c r="C177" s="3" t="s">
        <v>721</v>
      </c>
      <c r="D177" s="3" t="s">
        <v>19</v>
      </c>
      <c r="E177" s="2" t="s">
        <v>666</v>
      </c>
      <c r="F177" s="2" t="s">
        <v>81</v>
      </c>
      <c r="G177" s="5">
        <v>46209</v>
      </c>
      <c r="H177" s="5">
        <v>46224</v>
      </c>
      <c r="I177" s="4" t="s">
        <v>17</v>
      </c>
      <c r="J177" s="6">
        <f t="shared" si="9"/>
        <v>15</v>
      </c>
      <c r="K177" s="4" t="str">
        <f t="shared" ca="1" si="10"/>
        <v>No</v>
      </c>
      <c r="L177" s="7">
        <f t="shared" ca="1" si="12"/>
        <v>16</v>
      </c>
      <c r="M177" s="4" t="str">
        <f>IF($I177="Complete","Green",IF($H177="","Amber",IF($H177&lt;'[2]Read Me'!$B$4,"Red",IF($H177-'[2]Read Me'!$B$4&lt;=21,"Amber","Green"))))</f>
        <v>Green</v>
      </c>
      <c r="N177" s="3"/>
      <c r="O177" t="str">
        <f>IF($I177&lt;&gt;"Complete",IF(COUNTIFS($A$4:$A176,$A177,$B$4:$B176,$B177,$I$4:$I176,"&lt;&gt;Complete")=0,$A177&amp;"|"&amp;$B177,""),"")</f>
        <v/>
      </c>
      <c r="P177" t="str">
        <f ca="1">IF($K177="Yes",COUNTIFS($K$4:$K177,"Yes"),"")</f>
        <v/>
      </c>
      <c r="Q177">
        <f t="shared" ca="1" si="11"/>
        <v>0</v>
      </c>
      <c r="R177" t="str">
        <f ca="1">IF($Q177=1,SUM($Q$4:$Q177),"")</f>
        <v/>
      </c>
    </row>
    <row r="178" spans="1:18" ht="22.5" customHeight="1" x14ac:dyDescent="0.3">
      <c r="A178" s="2" t="s">
        <v>721</v>
      </c>
      <c r="B178" s="2" t="s">
        <v>62</v>
      </c>
      <c r="C178" s="3" t="s">
        <v>721</v>
      </c>
      <c r="D178" s="3" t="s">
        <v>723</v>
      </c>
      <c r="E178" s="2" t="s">
        <v>728</v>
      </c>
      <c r="F178" s="2" t="s">
        <v>265</v>
      </c>
      <c r="G178" s="5">
        <v>46189</v>
      </c>
      <c r="H178" s="5">
        <v>46205</v>
      </c>
      <c r="I178" s="4" t="s">
        <v>46</v>
      </c>
      <c r="J178" s="6">
        <f t="shared" si="9"/>
        <v>16</v>
      </c>
      <c r="K178" s="4" t="str">
        <f t="shared" ca="1" si="10"/>
        <v>Yes</v>
      </c>
      <c r="L178" s="7">
        <f t="shared" ca="1" si="12"/>
        <v>-3</v>
      </c>
      <c r="M178" s="4" t="str">
        <f>IF($I178="Complete","Green",IF($H178="","Amber",IF($H178&lt;'[2]Read Me'!$B$4,"Red",IF($H178-'[2]Read Me'!$B$4&lt;=21,"Amber","Green"))))</f>
        <v>Amber</v>
      </c>
      <c r="N178" s="3"/>
      <c r="O178" t="str">
        <f>IF($I178&lt;&gt;"Complete",IF(COUNTIFS($A$4:$A177,$A178,$B$4:$B177,$B178,$I$4:$I177,"&lt;&gt;Complete")=0,$A178&amp;"|"&amp;$B178,""),"")</f>
        <v/>
      </c>
      <c r="P178">
        <f ca="1">IF($K178="Yes",COUNTIFS($K$4:$K178,"Yes"),"")</f>
        <v>9</v>
      </c>
      <c r="Q178">
        <f t="shared" ca="1" si="11"/>
        <v>1</v>
      </c>
      <c r="R178">
        <f ca="1">IF($Q178=1,SUM($Q$4:$Q178),"")</f>
        <v>9</v>
      </c>
    </row>
    <row r="179" spans="1:18" ht="22.5" customHeight="1" x14ac:dyDescent="0.3">
      <c r="A179" s="2" t="s">
        <v>721</v>
      </c>
      <c r="B179" s="2" t="s">
        <v>62</v>
      </c>
      <c r="C179" s="3" t="s">
        <v>721</v>
      </c>
      <c r="D179" s="3" t="s">
        <v>729</v>
      </c>
      <c r="E179" s="2" t="s">
        <v>663</v>
      </c>
      <c r="F179" s="2"/>
      <c r="G179" s="5">
        <v>46196</v>
      </c>
      <c r="H179" s="5">
        <v>46216</v>
      </c>
      <c r="I179" s="4" t="s">
        <v>17</v>
      </c>
      <c r="J179" s="6">
        <f t="shared" si="9"/>
        <v>20</v>
      </c>
      <c r="K179" s="4" t="str">
        <f t="shared" ca="1" si="10"/>
        <v>No</v>
      </c>
      <c r="L179" s="7">
        <f t="shared" ca="1" si="12"/>
        <v>8</v>
      </c>
      <c r="M179" s="4" t="str">
        <f>IF($I179="Complete","Green",IF($H179="","Amber",IF($H179&lt;'[2]Read Me'!$B$4,"Red",IF($H179-'[2]Read Me'!$B$4&lt;=21,"Amber","Green"))))</f>
        <v>Green</v>
      </c>
      <c r="N179" s="3"/>
      <c r="O179" t="str">
        <f>IF($I179&lt;&gt;"Complete",IF(COUNTIFS($A$4:$A178,$A179,$B$4:$B178,$B179,$I$4:$I178,"&lt;&gt;Complete")=0,$A179&amp;"|"&amp;$B179,""),"")</f>
        <v/>
      </c>
      <c r="P179" t="str">
        <f ca="1">IF($K179="Yes",COUNTIFS($K$4:$K179,"Yes"),"")</f>
        <v/>
      </c>
      <c r="Q179">
        <f t="shared" ca="1" si="11"/>
        <v>0</v>
      </c>
      <c r="R179" t="str">
        <f ca="1">IF($Q179=1,SUM($Q$4:$Q179),"")</f>
        <v/>
      </c>
    </row>
    <row r="180" spans="1:18" ht="22.5" customHeight="1" x14ac:dyDescent="0.3">
      <c r="A180" s="2" t="s">
        <v>721</v>
      </c>
      <c r="B180" s="2" t="s">
        <v>62</v>
      </c>
      <c r="C180" s="3" t="s">
        <v>721</v>
      </c>
      <c r="D180" s="3" t="s">
        <v>637</v>
      </c>
      <c r="E180" s="2" t="s">
        <v>663</v>
      </c>
      <c r="F180" s="2"/>
      <c r="G180" s="5">
        <v>46203</v>
      </c>
      <c r="H180" s="5">
        <v>46223</v>
      </c>
      <c r="I180" s="4" t="s">
        <v>17</v>
      </c>
      <c r="J180" s="6">
        <f t="shared" si="9"/>
        <v>20</v>
      </c>
      <c r="K180" s="4" t="str">
        <f t="shared" ca="1" si="10"/>
        <v>No</v>
      </c>
      <c r="L180" s="7">
        <f t="shared" ca="1" si="12"/>
        <v>15</v>
      </c>
      <c r="M180" s="4" t="str">
        <f>IF($I180="Complete","Green",IF($H180="","Amber",IF($H180&lt;'[2]Read Me'!$B$4,"Red",IF($H180-'[2]Read Me'!$B$4&lt;=21,"Amber","Green"))))</f>
        <v>Green</v>
      </c>
      <c r="N180" s="3"/>
      <c r="O180" t="str">
        <f>IF($I180&lt;&gt;"Complete",IF(COUNTIFS($A$4:$A179,$A180,$B$4:$B179,$B180,$I$4:$I179,"&lt;&gt;Complete")=0,$A180&amp;"|"&amp;$B180,""),"")</f>
        <v/>
      </c>
      <c r="P180" t="str">
        <f ca="1">IF($K180="Yes",COUNTIFS($K$4:$K180,"Yes"),"")</f>
        <v/>
      </c>
      <c r="Q180">
        <f t="shared" ca="1" si="11"/>
        <v>0</v>
      </c>
      <c r="R180" t="str">
        <f ca="1">IF($Q180=1,SUM($Q$4:$Q180),"")</f>
        <v/>
      </c>
    </row>
    <row r="181" spans="1:18" ht="22.5" customHeight="1" x14ac:dyDescent="0.3">
      <c r="A181" s="2" t="s">
        <v>721</v>
      </c>
      <c r="B181" s="2" t="s">
        <v>62</v>
      </c>
      <c r="C181" s="3" t="s">
        <v>721</v>
      </c>
      <c r="D181" s="3" t="s">
        <v>18</v>
      </c>
      <c r="E181" s="2" t="s">
        <v>663</v>
      </c>
      <c r="F181" s="2"/>
      <c r="G181" s="5">
        <v>46224</v>
      </c>
      <c r="H181" s="5">
        <v>46251</v>
      </c>
      <c r="I181" s="4" t="s">
        <v>17</v>
      </c>
      <c r="J181" s="6">
        <f t="shared" si="9"/>
        <v>27</v>
      </c>
      <c r="K181" s="4" t="str">
        <f t="shared" ca="1" si="10"/>
        <v>No</v>
      </c>
      <c r="L181" s="7">
        <f t="shared" ca="1" si="12"/>
        <v>43</v>
      </c>
      <c r="M181" s="4" t="str">
        <f>IF($I181="Complete","Green",IF($H181="","Amber",IF($H181&lt;'[2]Read Me'!$B$4,"Red",IF($H181-'[2]Read Me'!$B$4&lt;=21,"Amber","Green"))))</f>
        <v>Green</v>
      </c>
      <c r="N181" s="3"/>
      <c r="O181" t="str">
        <f>IF($I181&lt;&gt;"Complete",IF(COUNTIFS($A$4:$A180,$A181,$B$4:$B180,$B181,$I$4:$I180,"&lt;&gt;Complete")=0,$A181&amp;"|"&amp;$B181,""),"")</f>
        <v/>
      </c>
      <c r="P181" t="str">
        <f ca="1">IF($K181="Yes",COUNTIFS($K$4:$K181,"Yes"),"")</f>
        <v/>
      </c>
      <c r="Q181">
        <f t="shared" ca="1" si="11"/>
        <v>0</v>
      </c>
      <c r="R181" t="str">
        <f ca="1">IF($Q181=1,SUM($Q$4:$Q181),"")</f>
        <v/>
      </c>
    </row>
    <row r="182" spans="1:18" ht="22.5" customHeight="1" x14ac:dyDescent="0.3">
      <c r="A182" s="2" t="s">
        <v>721</v>
      </c>
      <c r="B182" s="2" t="s">
        <v>62</v>
      </c>
      <c r="C182" s="3" t="s">
        <v>721</v>
      </c>
      <c r="D182" s="3" t="s">
        <v>32</v>
      </c>
      <c r="E182" s="2" t="s">
        <v>663</v>
      </c>
      <c r="F182" s="2"/>
      <c r="G182" s="5">
        <v>46238</v>
      </c>
      <c r="H182" s="5">
        <v>46265</v>
      </c>
      <c r="I182" s="4" t="s">
        <v>17</v>
      </c>
      <c r="J182" s="6">
        <f t="shared" si="9"/>
        <v>27</v>
      </c>
      <c r="K182" s="4" t="str">
        <f t="shared" ca="1" si="10"/>
        <v>No</v>
      </c>
      <c r="L182" s="7">
        <f t="shared" ca="1" si="12"/>
        <v>57</v>
      </c>
      <c r="M182" s="4" t="str">
        <f>IF($I182="Complete","Green",IF($H182="","Amber",IF($H182&lt;'[2]Read Me'!$B$4,"Red",IF($H182-'[2]Read Me'!$B$4&lt;=21,"Amber","Green"))))</f>
        <v>Green</v>
      </c>
      <c r="N182" s="3"/>
      <c r="O182" t="str">
        <f>IF($I182&lt;&gt;"Complete",IF(COUNTIFS($A$4:$A181,$A182,$B$4:$B181,$B182,$I$4:$I181,"&lt;&gt;Complete")=0,$A182&amp;"|"&amp;$B182,""),"")</f>
        <v/>
      </c>
      <c r="P182" t="str">
        <f ca="1">IF($K182="Yes",COUNTIFS($K$4:$K182,"Yes"),"")</f>
        <v/>
      </c>
      <c r="Q182">
        <f t="shared" ca="1" si="11"/>
        <v>0</v>
      </c>
      <c r="R182" t="str">
        <f ca="1">IF($Q182=1,SUM($Q$4:$Q182),"")</f>
        <v/>
      </c>
    </row>
    <row r="183" spans="1:18" ht="22.5" customHeight="1" x14ac:dyDescent="0.3">
      <c r="A183" s="2" t="s">
        <v>721</v>
      </c>
      <c r="B183" s="2" t="s">
        <v>62</v>
      </c>
      <c r="C183" s="3" t="s">
        <v>721</v>
      </c>
      <c r="D183" s="3" t="s">
        <v>730</v>
      </c>
      <c r="E183" s="2" t="s">
        <v>663</v>
      </c>
      <c r="F183" s="2"/>
      <c r="G183" s="5">
        <v>46245</v>
      </c>
      <c r="H183" s="5">
        <v>46279</v>
      </c>
      <c r="I183" s="4" t="s">
        <v>17</v>
      </c>
      <c r="J183" s="6">
        <f t="shared" si="9"/>
        <v>34</v>
      </c>
      <c r="K183" s="4" t="str">
        <f t="shared" ca="1" si="10"/>
        <v>No</v>
      </c>
      <c r="L183" s="7">
        <f t="shared" ca="1" si="12"/>
        <v>71</v>
      </c>
      <c r="M183" s="4" t="str">
        <f>IF($I183="Complete","Green",IF($H183="","Amber",IF($H183&lt;'[2]Read Me'!$B$4,"Red",IF($H183-'[2]Read Me'!$B$4&lt;=21,"Amber","Green"))))</f>
        <v>Green</v>
      </c>
      <c r="N183" s="3"/>
      <c r="O183" t="str">
        <f>IF($I183&lt;&gt;"Complete",IF(COUNTIFS($A$4:$A182,$A183,$B$4:$B182,$B183,$I$4:$I182,"&lt;&gt;Complete")=0,$A183&amp;"|"&amp;$B183,""),"")</f>
        <v/>
      </c>
      <c r="P183" t="str">
        <f ca="1">IF($K183="Yes",COUNTIFS($K$4:$K183,"Yes"),"")</f>
        <v/>
      </c>
      <c r="Q183">
        <f t="shared" ca="1" si="11"/>
        <v>0</v>
      </c>
      <c r="R183" t="str">
        <f ca="1">IF($Q183=1,SUM($Q$4:$Q183),"")</f>
        <v/>
      </c>
    </row>
    <row r="184" spans="1:18" ht="22.5" customHeight="1" x14ac:dyDescent="0.3">
      <c r="A184" s="2" t="s">
        <v>721</v>
      </c>
      <c r="B184" s="2" t="s">
        <v>62</v>
      </c>
      <c r="C184" s="3" t="s">
        <v>721</v>
      </c>
      <c r="D184" s="3" t="s">
        <v>731</v>
      </c>
      <c r="E184" s="2" t="s">
        <v>663</v>
      </c>
      <c r="F184" s="2"/>
      <c r="G184" s="5">
        <v>46252</v>
      </c>
      <c r="H184" s="5">
        <v>46286</v>
      </c>
      <c r="I184" s="4" t="s">
        <v>17</v>
      </c>
      <c r="J184" s="6">
        <f t="shared" si="9"/>
        <v>34</v>
      </c>
      <c r="K184" s="4" t="str">
        <f t="shared" ca="1" si="10"/>
        <v>No</v>
      </c>
      <c r="L184" s="7">
        <f t="shared" ca="1" si="12"/>
        <v>78</v>
      </c>
      <c r="M184" s="4" t="str">
        <f>IF($I184="Complete","Green",IF($H184="","Amber",IF($H184&lt;'[2]Read Me'!$B$4,"Red",IF($H184-'[2]Read Me'!$B$4&lt;=21,"Amber","Green"))))</f>
        <v>Green</v>
      </c>
      <c r="N184" s="3"/>
      <c r="O184" t="str">
        <f>IF($I184&lt;&gt;"Complete",IF(COUNTIFS($A$4:$A183,$A184,$B$4:$B183,$B184,$I$4:$I183,"&lt;&gt;Complete")=0,$A184&amp;"|"&amp;$B184,""),"")</f>
        <v/>
      </c>
      <c r="P184" t="str">
        <f ca="1">IF($K184="Yes",COUNTIFS($K$4:$K184,"Yes"),"")</f>
        <v/>
      </c>
      <c r="Q184">
        <f t="shared" ca="1" si="11"/>
        <v>0</v>
      </c>
      <c r="R184" t="str">
        <f ca="1">IF($Q184=1,SUM($Q$4:$Q184),"")</f>
        <v/>
      </c>
    </row>
    <row r="185" spans="1:18" ht="22.5" customHeight="1" x14ac:dyDescent="0.3">
      <c r="A185" s="2" t="s">
        <v>721</v>
      </c>
      <c r="B185" s="2" t="s">
        <v>62</v>
      </c>
      <c r="C185" s="3" t="s">
        <v>721</v>
      </c>
      <c r="D185" s="3" t="s">
        <v>732</v>
      </c>
      <c r="E185" s="2" t="s">
        <v>663</v>
      </c>
      <c r="F185" s="2"/>
      <c r="G185" s="5">
        <v>46259</v>
      </c>
      <c r="H185" s="5">
        <v>46300</v>
      </c>
      <c r="I185" s="4" t="s">
        <v>17</v>
      </c>
      <c r="J185" s="6">
        <f t="shared" si="9"/>
        <v>41</v>
      </c>
      <c r="K185" s="4" t="str">
        <f t="shared" ca="1" si="10"/>
        <v>No</v>
      </c>
      <c r="L185" s="7">
        <f t="shared" ca="1" si="12"/>
        <v>92</v>
      </c>
      <c r="M185" s="4" t="str">
        <f>IF($I185="Complete","Green",IF($H185="","Amber",IF($H185&lt;'[2]Read Me'!$B$4,"Red",IF($H185-'[2]Read Me'!$B$4&lt;=21,"Amber","Green"))))</f>
        <v>Green</v>
      </c>
      <c r="N185" s="3"/>
      <c r="O185" t="str">
        <f>IF($I185&lt;&gt;"Complete",IF(COUNTIFS($A$4:$A184,$A185,$B$4:$B184,$B185,$I$4:$I184,"&lt;&gt;Complete")=0,$A185&amp;"|"&amp;$B185,""),"")</f>
        <v/>
      </c>
      <c r="P185" t="str">
        <f ca="1">IF($K185="Yes",COUNTIFS($K$4:$K185,"Yes"),"")</f>
        <v/>
      </c>
      <c r="Q185">
        <f t="shared" ca="1" si="11"/>
        <v>0</v>
      </c>
      <c r="R185" t="str">
        <f ca="1">IF($Q185=1,SUM($Q$4:$Q185),"")</f>
        <v/>
      </c>
    </row>
    <row r="186" spans="1:18" ht="22.5" customHeight="1" x14ac:dyDescent="0.3">
      <c r="A186" s="2" t="s">
        <v>721</v>
      </c>
      <c r="B186" s="2" t="s">
        <v>62</v>
      </c>
      <c r="C186" s="3" t="s">
        <v>721</v>
      </c>
      <c r="D186" s="3" t="s">
        <v>733</v>
      </c>
      <c r="E186" s="2" t="s">
        <v>663</v>
      </c>
      <c r="F186" s="2"/>
      <c r="G186" s="5">
        <v>46273</v>
      </c>
      <c r="H186" s="5">
        <v>46314</v>
      </c>
      <c r="I186" s="4" t="s">
        <v>17</v>
      </c>
      <c r="J186" s="6">
        <f t="shared" si="9"/>
        <v>41</v>
      </c>
      <c r="K186" s="4" t="str">
        <f t="shared" ca="1" si="10"/>
        <v>No</v>
      </c>
      <c r="L186" s="7">
        <f t="shared" ca="1" si="12"/>
        <v>106</v>
      </c>
      <c r="M186" s="4" t="str">
        <f>IF($I186="Complete","Green",IF($H186="","Amber",IF($H186&lt;'[2]Read Me'!$B$4,"Red",IF($H186-'[2]Read Me'!$B$4&lt;=21,"Amber","Green"))))</f>
        <v>Green</v>
      </c>
      <c r="N186" s="3"/>
      <c r="O186" t="str">
        <f>IF($I186&lt;&gt;"Complete",IF(COUNTIFS($A$4:$A185,$A186,$B$4:$B185,$B186,$I$4:$I185,"&lt;&gt;Complete")=0,$A186&amp;"|"&amp;$B186,""),"")</f>
        <v/>
      </c>
      <c r="P186" t="str">
        <f ca="1">IF($K186="Yes",COUNTIFS($K$4:$K186,"Yes"),"")</f>
        <v/>
      </c>
      <c r="Q186">
        <f t="shared" ca="1" si="11"/>
        <v>0</v>
      </c>
      <c r="R186" t="str">
        <f ca="1">IF($Q186=1,SUM($Q$4:$Q186),"")</f>
        <v/>
      </c>
    </row>
    <row r="187" spans="1:18" ht="22.5" customHeight="1" x14ac:dyDescent="0.3">
      <c r="A187" s="2" t="s">
        <v>721</v>
      </c>
      <c r="B187" s="2" t="s">
        <v>62</v>
      </c>
      <c r="C187" s="3" t="s">
        <v>721</v>
      </c>
      <c r="D187" s="3" t="s">
        <v>734</v>
      </c>
      <c r="E187" s="2" t="s">
        <v>663</v>
      </c>
      <c r="F187" s="2"/>
      <c r="G187" s="5">
        <v>46287</v>
      </c>
      <c r="H187" s="5">
        <v>46328</v>
      </c>
      <c r="I187" s="4" t="s">
        <v>17</v>
      </c>
      <c r="J187" s="6">
        <f t="shared" si="9"/>
        <v>41</v>
      </c>
      <c r="K187" s="4" t="str">
        <f t="shared" ca="1" si="10"/>
        <v>No</v>
      </c>
      <c r="L187" s="7">
        <f t="shared" ca="1" si="12"/>
        <v>120</v>
      </c>
      <c r="M187" s="4" t="str">
        <f>IF($I187="Complete","Green",IF($H187="","Amber",IF($H187&lt;'[2]Read Me'!$B$4,"Red",IF($H187-'[2]Read Me'!$B$4&lt;=21,"Amber","Green"))))</f>
        <v>Green</v>
      </c>
      <c r="N187" s="3"/>
      <c r="O187" t="str">
        <f>IF($I187&lt;&gt;"Complete",IF(COUNTIFS($A$4:$A186,$A187,$B$4:$B186,$B187,$I$4:$I186,"&lt;&gt;Complete")=0,$A187&amp;"|"&amp;$B187,""),"")</f>
        <v/>
      </c>
      <c r="P187" t="str">
        <f ca="1">IF($K187="Yes",COUNTIFS($K$4:$K187,"Yes"),"")</f>
        <v/>
      </c>
      <c r="Q187">
        <f t="shared" ca="1" si="11"/>
        <v>0</v>
      </c>
      <c r="R187" t="str">
        <f ca="1">IF($Q187=1,SUM($Q$4:$Q187),"")</f>
        <v/>
      </c>
    </row>
    <row r="188" spans="1:18" ht="22.5" customHeight="1" x14ac:dyDescent="0.3">
      <c r="A188" s="2" t="s">
        <v>721</v>
      </c>
      <c r="B188" s="2" t="s">
        <v>62</v>
      </c>
      <c r="C188" s="3" t="s">
        <v>721</v>
      </c>
      <c r="D188" s="3" t="s">
        <v>735</v>
      </c>
      <c r="E188" s="2" t="s">
        <v>663</v>
      </c>
      <c r="F188" s="2"/>
      <c r="G188" s="5">
        <v>46294</v>
      </c>
      <c r="H188" s="5">
        <v>46335</v>
      </c>
      <c r="I188" s="4" t="s">
        <v>17</v>
      </c>
      <c r="J188" s="6">
        <f t="shared" si="9"/>
        <v>41</v>
      </c>
      <c r="K188" s="4" t="str">
        <f t="shared" ca="1" si="10"/>
        <v>No</v>
      </c>
      <c r="L188" s="7">
        <f t="shared" ca="1" si="12"/>
        <v>127</v>
      </c>
      <c r="M188" s="4" t="str">
        <f>IF($I188="Complete","Green",IF($H188="","Amber",IF($H188&lt;'[2]Read Me'!$B$4,"Red",IF($H188-'[2]Read Me'!$B$4&lt;=21,"Amber","Green"))))</f>
        <v>Green</v>
      </c>
      <c r="N188" s="3"/>
      <c r="O188" t="str">
        <f>IF($I188&lt;&gt;"Complete",IF(COUNTIFS($A$4:$A187,$A188,$B$4:$B187,$B188,$I$4:$I187,"&lt;&gt;Complete")=0,$A188&amp;"|"&amp;$B188,""),"")</f>
        <v/>
      </c>
      <c r="P188" t="str">
        <f ca="1">IF($K188="Yes",COUNTIFS($K$4:$K188,"Yes"),"")</f>
        <v/>
      </c>
      <c r="Q188">
        <f t="shared" ca="1" si="11"/>
        <v>0</v>
      </c>
      <c r="R188" t="str">
        <f ca="1">IF($Q188=1,SUM($Q$4:$Q188),"")</f>
        <v/>
      </c>
    </row>
    <row r="189" spans="1:18" ht="22.5" customHeight="1" x14ac:dyDescent="0.3">
      <c r="A189" s="2" t="s">
        <v>721</v>
      </c>
      <c r="B189" s="2" t="s">
        <v>62</v>
      </c>
      <c r="C189" s="3" t="s">
        <v>721</v>
      </c>
      <c r="D189" s="3" t="s">
        <v>736</v>
      </c>
      <c r="E189" s="2" t="s">
        <v>663</v>
      </c>
      <c r="F189" s="2"/>
      <c r="G189" s="5">
        <v>46308</v>
      </c>
      <c r="H189" s="5">
        <v>46349</v>
      </c>
      <c r="I189" s="4" t="s">
        <v>17</v>
      </c>
      <c r="J189" s="6">
        <f t="shared" si="9"/>
        <v>41</v>
      </c>
      <c r="K189" s="4" t="str">
        <f t="shared" ca="1" si="10"/>
        <v>No</v>
      </c>
      <c r="L189" s="7">
        <f t="shared" ca="1" si="12"/>
        <v>141</v>
      </c>
      <c r="M189" s="4" t="str">
        <f>IF($I189="Complete","Green",IF($H189="","Amber",IF($H189&lt;'[2]Read Me'!$B$4,"Red",IF($H189-'[2]Read Me'!$B$4&lt;=21,"Amber","Green"))))</f>
        <v>Green</v>
      </c>
      <c r="N189" s="3"/>
      <c r="O189" t="str">
        <f>IF($I189&lt;&gt;"Complete",IF(COUNTIFS($A$4:$A188,$A189,$B$4:$B188,$B189,$I$4:$I188,"&lt;&gt;Complete")=0,$A189&amp;"|"&amp;$B189,""),"")</f>
        <v/>
      </c>
      <c r="P189" t="str">
        <f ca="1">IF($K189="Yes",COUNTIFS($K$4:$K189,"Yes"),"")</f>
        <v/>
      </c>
      <c r="Q189">
        <f t="shared" ca="1" si="11"/>
        <v>0</v>
      </c>
      <c r="R189" t="str">
        <f ca="1">IF($Q189=1,SUM($Q$4:$Q189),"")</f>
        <v/>
      </c>
    </row>
    <row r="190" spans="1:18" ht="22.5" customHeight="1" x14ac:dyDescent="0.3">
      <c r="A190" s="2" t="s">
        <v>721</v>
      </c>
      <c r="B190" s="2" t="s">
        <v>62</v>
      </c>
      <c r="C190" s="3" t="s">
        <v>721</v>
      </c>
      <c r="D190" s="3" t="s">
        <v>737</v>
      </c>
      <c r="E190" s="2" t="s">
        <v>663</v>
      </c>
      <c r="F190" s="2"/>
      <c r="G190" s="5">
        <v>46322</v>
      </c>
      <c r="H190" s="5">
        <v>46363</v>
      </c>
      <c r="I190" s="4" t="s">
        <v>17</v>
      </c>
      <c r="J190" s="6">
        <f t="shared" si="9"/>
        <v>41</v>
      </c>
      <c r="K190" s="4" t="str">
        <f t="shared" ca="1" si="10"/>
        <v>No</v>
      </c>
      <c r="L190" s="7">
        <f t="shared" ca="1" si="12"/>
        <v>155</v>
      </c>
      <c r="M190" s="4" t="str">
        <f>IF($I190="Complete","Green",IF($H190="","Amber",IF($H190&lt;'[2]Read Me'!$B$4,"Red",IF($H190-'[2]Read Me'!$B$4&lt;=21,"Amber","Green"))))</f>
        <v>Green</v>
      </c>
      <c r="N190" s="3"/>
      <c r="O190" t="str">
        <f>IF($I190&lt;&gt;"Complete",IF(COUNTIFS($A$4:$A189,$A190,$B$4:$B189,$B190,$I$4:$I189,"&lt;&gt;Complete")=0,$A190&amp;"|"&amp;$B190,""),"")</f>
        <v/>
      </c>
      <c r="P190" t="str">
        <f ca="1">IF($K190="Yes",COUNTIFS($K$4:$K190,"Yes"),"")</f>
        <v/>
      </c>
      <c r="Q190">
        <f t="shared" ca="1" si="11"/>
        <v>0</v>
      </c>
      <c r="R190" t="str">
        <f ca="1">IF($Q190=1,SUM($Q$4:$Q190),"")</f>
        <v/>
      </c>
    </row>
    <row r="191" spans="1:18" ht="22.5" customHeight="1" x14ac:dyDescent="0.3">
      <c r="A191" s="2" t="s">
        <v>721</v>
      </c>
      <c r="B191" s="2" t="s">
        <v>62</v>
      </c>
      <c r="C191" s="3" t="s">
        <v>721</v>
      </c>
      <c r="D191" s="3" t="s">
        <v>20</v>
      </c>
      <c r="E191" s="2" t="s">
        <v>666</v>
      </c>
      <c r="F191" s="2" t="s">
        <v>81</v>
      </c>
      <c r="G191" s="5">
        <v>46329</v>
      </c>
      <c r="H191" s="5">
        <v>46370</v>
      </c>
      <c r="I191" s="4" t="s">
        <v>17</v>
      </c>
      <c r="J191" s="6">
        <f t="shared" si="9"/>
        <v>41</v>
      </c>
      <c r="K191" s="4" t="str">
        <f t="shared" ca="1" si="10"/>
        <v>No</v>
      </c>
      <c r="L191" s="7">
        <f t="shared" ca="1" si="12"/>
        <v>162</v>
      </c>
      <c r="M191" s="4" t="str">
        <f>IF($I191="Complete","Green",IF($H191="","Amber",IF($H191&lt;'[2]Read Me'!$B$4,"Red",IF($H191-'[2]Read Me'!$B$4&lt;=21,"Amber","Green"))))</f>
        <v>Green</v>
      </c>
      <c r="N191" s="3"/>
      <c r="O191" t="str">
        <f>IF($I191&lt;&gt;"Complete",IF(COUNTIFS($A$4:$A190,$A191,$B$4:$B190,$B191,$I$4:$I190,"&lt;&gt;Complete")=0,$A191&amp;"|"&amp;$B191,""),"")</f>
        <v/>
      </c>
      <c r="P191" t="str">
        <f ca="1">IF($K191="Yes",COUNTIFS($K$4:$K191,"Yes"),"")</f>
        <v/>
      </c>
      <c r="Q191">
        <f t="shared" ca="1" si="11"/>
        <v>0</v>
      </c>
      <c r="R191" t="str">
        <f ca="1">IF($Q191=1,SUM($Q$4:$Q191),"")</f>
        <v/>
      </c>
    </row>
    <row r="192" spans="1:18" ht="33.75" customHeight="1" x14ac:dyDescent="0.3">
      <c r="A192" s="2" t="s">
        <v>721</v>
      </c>
      <c r="B192" s="2" t="s">
        <v>62</v>
      </c>
      <c r="C192" s="3" t="s">
        <v>721</v>
      </c>
      <c r="D192" s="3" t="s">
        <v>83</v>
      </c>
      <c r="E192" s="2" t="s">
        <v>663</v>
      </c>
      <c r="F192" s="2"/>
      <c r="G192" s="5">
        <v>46336</v>
      </c>
      <c r="H192" s="5">
        <v>46377</v>
      </c>
      <c r="I192" s="4" t="s">
        <v>17</v>
      </c>
      <c r="J192" s="6">
        <f t="shared" si="9"/>
        <v>41</v>
      </c>
      <c r="K192" s="4" t="str">
        <f t="shared" ca="1" si="10"/>
        <v>No</v>
      </c>
      <c r="L192" s="7">
        <f t="shared" ca="1" si="12"/>
        <v>169</v>
      </c>
      <c r="M192" s="4" t="str">
        <f>IF($I192="Complete","Green",IF($H192="","Amber",IF($H192&lt;'[2]Read Me'!$B$4,"Red",IF($H192-'[2]Read Me'!$B$4&lt;=21,"Amber","Green"))))</f>
        <v>Green</v>
      </c>
      <c r="N192" s="3"/>
      <c r="O192" t="str">
        <f>IF($I192&lt;&gt;"Complete",IF(COUNTIFS($A$4:$A191,$A192,$B$4:$B191,$B192,$I$4:$I191,"&lt;&gt;Complete")=0,$A192&amp;"|"&amp;$B192,""),"")</f>
        <v/>
      </c>
      <c r="P192" t="str">
        <f ca="1">IF($K192="Yes",COUNTIFS($K$4:$K192,"Yes"),"")</f>
        <v/>
      </c>
      <c r="Q192">
        <f t="shared" ca="1" si="11"/>
        <v>0</v>
      </c>
      <c r="R192" t="str">
        <f ca="1">IF($Q192=1,SUM($Q$4:$Q192),"")</f>
        <v/>
      </c>
    </row>
    <row r="193" spans="1:18" ht="33.75" customHeight="1" x14ac:dyDescent="0.3">
      <c r="A193" s="2" t="s">
        <v>721</v>
      </c>
      <c r="B193" s="2" t="s">
        <v>62</v>
      </c>
      <c r="C193" s="3" t="s">
        <v>721</v>
      </c>
      <c r="D193" s="3" t="s">
        <v>16</v>
      </c>
      <c r="E193" s="2" t="s">
        <v>663</v>
      </c>
      <c r="F193" s="2"/>
      <c r="G193" s="5">
        <v>46336</v>
      </c>
      <c r="H193" s="5">
        <v>46377</v>
      </c>
      <c r="I193" s="4" t="s">
        <v>17</v>
      </c>
      <c r="J193" s="6">
        <f t="shared" si="9"/>
        <v>41</v>
      </c>
      <c r="K193" s="4" t="str">
        <f t="shared" ca="1" si="10"/>
        <v>No</v>
      </c>
      <c r="L193" s="7">
        <f t="shared" ca="1" si="12"/>
        <v>169</v>
      </c>
      <c r="M193" s="4" t="str">
        <f>IF($I193="Complete","Green",IF($H193="","Amber",IF($H193&lt;'[2]Read Me'!$B$4,"Red",IF($H193-'[2]Read Me'!$B$4&lt;=21,"Amber","Green"))))</f>
        <v>Green</v>
      </c>
      <c r="N193" s="3"/>
      <c r="O193" t="str">
        <f>IF($I193&lt;&gt;"Complete",IF(COUNTIFS($A$4:$A192,$A193,$B$4:$B192,$B193,$I$4:$I192,"&lt;&gt;Complete")=0,$A193&amp;"|"&amp;$B193,""),"")</f>
        <v/>
      </c>
      <c r="P193" t="str">
        <f ca="1">IF($K193="Yes",COUNTIFS($K$4:$K193,"Yes"),"")</f>
        <v/>
      </c>
      <c r="Q193">
        <f t="shared" ca="1" si="11"/>
        <v>0</v>
      </c>
      <c r="R193" t="str">
        <f ca="1">IF($Q193=1,SUM($Q$4:$Q193),"")</f>
        <v/>
      </c>
    </row>
    <row r="194" spans="1:18" ht="33.75" customHeight="1" x14ac:dyDescent="0.3">
      <c r="A194" s="2" t="s">
        <v>721</v>
      </c>
      <c r="B194" s="2" t="s">
        <v>62</v>
      </c>
      <c r="C194" s="3" t="s">
        <v>721</v>
      </c>
      <c r="D194" s="3" t="s">
        <v>37</v>
      </c>
      <c r="E194" s="2" t="s">
        <v>663</v>
      </c>
      <c r="F194" s="2"/>
      <c r="G194" s="5">
        <v>46350</v>
      </c>
      <c r="H194" s="5">
        <v>46391</v>
      </c>
      <c r="I194" s="4" t="s">
        <v>17</v>
      </c>
      <c r="J194" s="6">
        <f t="shared" si="9"/>
        <v>41</v>
      </c>
      <c r="K194" s="4" t="str">
        <f t="shared" ca="1" si="10"/>
        <v>No</v>
      </c>
      <c r="L194" s="7">
        <f t="shared" ca="1" si="12"/>
        <v>183</v>
      </c>
      <c r="M194" s="4" t="str">
        <f>IF($I194="Complete","Green",IF($H194="","Amber",IF($H194&lt;'[2]Read Me'!$B$4,"Red",IF($H194-'[2]Read Me'!$B$4&lt;=21,"Amber","Green"))))</f>
        <v>Green</v>
      </c>
      <c r="N194" s="3"/>
      <c r="O194" t="str">
        <f>IF($I194&lt;&gt;"Complete",IF(COUNTIFS($A$4:$A193,$A194,$B$4:$B193,$B194,$I$4:$I193,"&lt;&gt;Complete")=0,$A194&amp;"|"&amp;$B194,""),"")</f>
        <v/>
      </c>
      <c r="P194" t="str">
        <f ca="1">IF($K194="Yes",COUNTIFS($K$4:$K194,"Yes"),"")</f>
        <v/>
      </c>
      <c r="Q194">
        <f t="shared" ca="1" si="11"/>
        <v>0</v>
      </c>
      <c r="R194" t="str">
        <f ca="1">IF($Q194=1,SUM($Q$4:$Q194),"")</f>
        <v/>
      </c>
    </row>
    <row r="195" spans="1:18" ht="33.75" customHeight="1" x14ac:dyDescent="0.3">
      <c r="A195" s="2" t="s">
        <v>738</v>
      </c>
      <c r="B195" s="2" t="s">
        <v>49</v>
      </c>
      <c r="C195" s="3"/>
      <c r="D195" s="3"/>
      <c r="E195" s="2"/>
      <c r="F195" s="2"/>
      <c r="G195" s="5">
        <v>46462</v>
      </c>
      <c r="H195" s="5">
        <v>46441</v>
      </c>
      <c r="I195" s="4"/>
      <c r="J195" s="6">
        <f t="shared" si="9"/>
        <v>-21</v>
      </c>
      <c r="K195" s="4" t="str">
        <f t="shared" ca="1" si="10"/>
        <v/>
      </c>
      <c r="L195" s="7">
        <f t="shared" ca="1" si="12"/>
        <v>233</v>
      </c>
      <c r="M195" s="4" t="str">
        <f>IF($I195="Complete","Green",IF($H195="","Amber",IF($H195&lt;'[2]Read Me'!$B$4,"Red",IF($H195-'[2]Read Me'!$B$4&lt;=21,"Amber","Green"))))</f>
        <v>Green</v>
      </c>
      <c r="N195" s="3"/>
      <c r="O195" t="str">
        <f>IF($I195&lt;&gt;"Complete",IF(COUNTIFS($A$4:$A194,$A195,$B$4:$B194,$B195,$I$4:$I194,"&lt;&gt;Complete")=0,$A195&amp;"|"&amp;$B195,""),"")</f>
        <v>Authorities -Cabannas|Authorities</v>
      </c>
      <c r="P195" t="str">
        <f ca="1">IF($K195="Yes",COUNTIFS($K$4:$K195,"Yes"),"")</f>
        <v/>
      </c>
      <c r="Q195">
        <f t="shared" ca="1" si="11"/>
        <v>0</v>
      </c>
      <c r="R195" t="str">
        <f ca="1">IF($Q195=1,SUM($Q$4:$Q195),"")</f>
        <v/>
      </c>
    </row>
    <row r="196" spans="1:18" ht="33.75" customHeight="1" x14ac:dyDescent="0.3">
      <c r="A196" s="2" t="s">
        <v>738</v>
      </c>
      <c r="B196" s="2" t="s">
        <v>49</v>
      </c>
      <c r="C196" s="3" t="s">
        <v>738</v>
      </c>
      <c r="D196" s="3" t="s">
        <v>739</v>
      </c>
      <c r="E196" s="2" t="s">
        <v>104</v>
      </c>
      <c r="F196" s="2"/>
      <c r="G196" s="5">
        <v>46306</v>
      </c>
      <c r="H196" s="5">
        <v>46315</v>
      </c>
      <c r="I196" s="4" t="s">
        <v>17</v>
      </c>
      <c r="J196" s="6">
        <f t="shared" ref="J196:J259" si="13">IF(OR($G196="",$H196=""),"",$H196-$G196)</f>
        <v>9</v>
      </c>
      <c r="K196" s="4" t="str">
        <f t="shared" ref="K196:K243" ca="1" si="14">IF(C196="","",IF(H196="","",IF($I196="completed","-",IF($H196&gt;TODAY(),"No","Yes"))))</f>
        <v>No</v>
      </c>
      <c r="L196" s="7">
        <f t="shared" ca="1" si="12"/>
        <v>107</v>
      </c>
      <c r="M196" s="4" t="str">
        <f>IF($I196="Complete","Green",IF($H196="","Amber",IF($H196&lt;'[2]Read Me'!$B$4,"Red",IF($H196-'[2]Read Me'!$B$4&lt;=21,"Amber","Green"))))</f>
        <v>Green</v>
      </c>
      <c r="N196" s="3"/>
      <c r="O196" t="str">
        <f>IF($I196&lt;&gt;"Complete",IF(COUNTIFS($A$4:$A195,$A196,$B$4:$B195,$B196,$I$4:$I195,"&lt;&gt;Complete")=0,$A196&amp;"|"&amp;$B196,""),"")</f>
        <v/>
      </c>
      <c r="P196" t="str">
        <f ca="1">IF($K196="Yes",COUNTIFS($K$4:$K196,"Yes"),"")</f>
        <v/>
      </c>
      <c r="Q196">
        <f t="shared" ref="Q196:Q259" ca="1" si="15">IF(OR($I196="In Progress",$K196="Yes"),1,0)</f>
        <v>0</v>
      </c>
      <c r="R196" t="str">
        <f ca="1">IF($Q196=1,SUM($Q$4:$Q196),"")</f>
        <v/>
      </c>
    </row>
    <row r="197" spans="1:18" ht="22.5" customHeight="1" x14ac:dyDescent="0.3">
      <c r="A197" s="2" t="s">
        <v>738</v>
      </c>
      <c r="B197" s="2" t="s">
        <v>49</v>
      </c>
      <c r="C197" s="3" t="s">
        <v>738</v>
      </c>
      <c r="D197" s="3" t="s">
        <v>740</v>
      </c>
      <c r="E197" s="2" t="s">
        <v>104</v>
      </c>
      <c r="F197" s="2"/>
      <c r="G197" s="5">
        <v>46392</v>
      </c>
      <c r="H197" s="5">
        <v>46371</v>
      </c>
      <c r="I197" s="4" t="s">
        <v>17</v>
      </c>
      <c r="J197" s="6">
        <f t="shared" si="13"/>
        <v>-21</v>
      </c>
      <c r="K197" s="4" t="str">
        <f t="shared" ca="1" si="14"/>
        <v>No</v>
      </c>
      <c r="L197" s="7">
        <f t="shared" ref="L197:L260" ca="1" si="16">IF(I197="Completed",0,IF(H197="","",H197-TODAY()))</f>
        <v>163</v>
      </c>
      <c r="M197" s="4" t="str">
        <f>IF($I197="Complete","Green",IF($H197="","Amber",IF($H197&lt;'[2]Read Me'!$B$4,"Red",IF($H197-'[2]Read Me'!$B$4&lt;=21,"Amber","Green"))))</f>
        <v>Green</v>
      </c>
      <c r="N197" s="3"/>
      <c r="O197" t="str">
        <f>IF($I197&lt;&gt;"Complete",IF(COUNTIFS($A$4:$A196,$A197,$B$4:$B196,$B197,$I$4:$I196,"&lt;&gt;Complete")=0,$A197&amp;"|"&amp;$B197,""),"")</f>
        <v/>
      </c>
      <c r="P197" t="str">
        <f ca="1">IF($K197="Yes",COUNTIFS($K$4:$K197,"Yes"),"")</f>
        <v/>
      </c>
      <c r="Q197">
        <f t="shared" ca="1" si="15"/>
        <v>0</v>
      </c>
      <c r="R197" t="str">
        <f ca="1">IF($Q197=1,SUM($Q$4:$Q197),"")</f>
        <v/>
      </c>
    </row>
    <row r="198" spans="1:18" ht="22.5" customHeight="1" x14ac:dyDescent="0.3">
      <c r="A198" s="2" t="s">
        <v>738</v>
      </c>
      <c r="B198" s="2" t="s">
        <v>49</v>
      </c>
      <c r="C198" s="3" t="s">
        <v>738</v>
      </c>
      <c r="D198" s="3" t="s">
        <v>741</v>
      </c>
      <c r="E198" s="2" t="s">
        <v>104</v>
      </c>
      <c r="F198" s="2"/>
      <c r="G198" s="5">
        <v>46420</v>
      </c>
      <c r="H198" s="5">
        <v>46399</v>
      </c>
      <c r="I198" s="4" t="s">
        <v>17</v>
      </c>
      <c r="J198" s="6">
        <f t="shared" si="13"/>
        <v>-21</v>
      </c>
      <c r="K198" s="4" t="str">
        <f t="shared" ca="1" si="14"/>
        <v>No</v>
      </c>
      <c r="L198" s="7">
        <f t="shared" ca="1" si="16"/>
        <v>191</v>
      </c>
      <c r="M198" s="4" t="str">
        <f>IF($I198="Complete","Green",IF($H198="","Amber",IF($H198&lt;'[2]Read Me'!$B$4,"Red",IF($H198-'[2]Read Me'!$B$4&lt;=21,"Amber","Green"))))</f>
        <v>Green</v>
      </c>
      <c r="N198" s="3"/>
      <c r="O198" t="str">
        <f>IF($I198&lt;&gt;"Complete",IF(COUNTIFS($A$4:$A197,$A198,$B$4:$B197,$B198,$I$4:$I197,"&lt;&gt;Complete")=0,$A198&amp;"|"&amp;$B198,""),"")</f>
        <v/>
      </c>
      <c r="P198" t="str">
        <f ca="1">IF($K198="Yes",COUNTIFS($K$4:$K198,"Yes"),"")</f>
        <v/>
      </c>
      <c r="Q198">
        <f t="shared" ca="1" si="15"/>
        <v>0</v>
      </c>
      <c r="R198" t="str">
        <f ca="1">IF($Q198=1,SUM($Q$4:$Q198),"")</f>
        <v/>
      </c>
    </row>
    <row r="199" spans="1:18" ht="22.5" customHeight="1" x14ac:dyDescent="0.3">
      <c r="A199" s="2" t="s">
        <v>738</v>
      </c>
      <c r="B199" s="2" t="s">
        <v>49</v>
      </c>
      <c r="C199" s="3" t="s">
        <v>738</v>
      </c>
      <c r="D199" s="3" t="s">
        <v>742</v>
      </c>
      <c r="E199" s="2" t="s">
        <v>104</v>
      </c>
      <c r="F199" s="2"/>
      <c r="G199" s="5">
        <v>46462</v>
      </c>
      <c r="H199" s="5">
        <v>46441</v>
      </c>
      <c r="I199" s="4" t="s">
        <v>17</v>
      </c>
      <c r="J199" s="6">
        <f t="shared" si="13"/>
        <v>-21</v>
      </c>
      <c r="K199" s="4" t="str">
        <f t="shared" ca="1" si="14"/>
        <v>No</v>
      </c>
      <c r="L199" s="7">
        <f t="shared" ca="1" si="16"/>
        <v>233</v>
      </c>
      <c r="M199" s="4" t="str">
        <f>IF($I199="Complete","Green",IF($H199="","Amber",IF($H199&lt;'[2]Read Me'!$B$4,"Red",IF($H199-'[2]Read Me'!$B$4&lt;=21,"Amber","Green"))))</f>
        <v>Green</v>
      </c>
      <c r="N199" s="3"/>
      <c r="O199" t="str">
        <f>IF($I199&lt;&gt;"Complete",IF(COUNTIFS($A$4:$A198,$A199,$B$4:$B198,$B199,$I$4:$I198,"&lt;&gt;Complete")=0,$A199&amp;"|"&amp;$B199,""),"")</f>
        <v/>
      </c>
      <c r="P199" t="str">
        <f ca="1">IF($K199="Yes",COUNTIFS($K$4:$K199,"Yes"),"")</f>
        <v/>
      </c>
      <c r="Q199">
        <f t="shared" ca="1" si="15"/>
        <v>0</v>
      </c>
      <c r="R199" t="str">
        <f ca="1">IF($Q199=1,SUM($Q$4:$Q199),"")</f>
        <v/>
      </c>
    </row>
    <row r="200" spans="1:18" ht="22.5" customHeight="1" x14ac:dyDescent="0.3">
      <c r="A200" s="2" t="s">
        <v>743</v>
      </c>
      <c r="B200" s="2" t="s">
        <v>743</v>
      </c>
      <c r="C200" s="3"/>
      <c r="D200" s="3"/>
      <c r="E200" s="2"/>
      <c r="F200" s="2"/>
      <c r="G200" s="5">
        <v>46531</v>
      </c>
      <c r="H200" s="5">
        <v>46531</v>
      </c>
      <c r="I200" s="4"/>
      <c r="J200" s="6">
        <f t="shared" si="13"/>
        <v>0</v>
      </c>
      <c r="K200" s="4" t="str">
        <f t="shared" ca="1" si="14"/>
        <v/>
      </c>
      <c r="L200" s="7">
        <f t="shared" ca="1" si="16"/>
        <v>323</v>
      </c>
      <c r="M200" s="4" t="str">
        <f>IF($I200="Complete","Green",IF($H200="","Amber",IF($H200&lt;'[2]Read Me'!$B$4,"Red",IF($H200-'[2]Read Me'!$B$4&lt;=21,"Amber","Green"))))</f>
        <v>Green</v>
      </c>
      <c r="N200" s="3"/>
      <c r="O200" t="str">
        <f>IF($I200&lt;&gt;"Complete",IF(COUNTIFS($A$4:$A199,$A200,$B$4:$B199,$B200,$I$4:$I199,"&lt;&gt;Complete")=0,$A200&amp;"|"&amp;$B200,""),"")</f>
        <v>Lagoon|Lagoon</v>
      </c>
      <c r="P200" t="str">
        <f ca="1">IF($K200="Yes",COUNTIFS($K$4:$K200,"Yes"),"")</f>
        <v/>
      </c>
      <c r="Q200">
        <f t="shared" ca="1" si="15"/>
        <v>0</v>
      </c>
      <c r="R200" t="str">
        <f ca="1">IF($Q200=1,SUM($Q$4:$Q200),"")</f>
        <v/>
      </c>
    </row>
    <row r="201" spans="1:18" ht="22.5" customHeight="1" x14ac:dyDescent="0.3">
      <c r="A201" s="2"/>
      <c r="B201" s="2"/>
      <c r="C201" s="3" t="s">
        <v>743</v>
      </c>
      <c r="D201" s="3" t="s">
        <v>744</v>
      </c>
      <c r="E201" s="2"/>
      <c r="F201" s="2"/>
      <c r="G201" s="5"/>
      <c r="H201" s="5"/>
      <c r="I201" s="4" t="s">
        <v>17</v>
      </c>
      <c r="J201" s="6" t="str">
        <f t="shared" si="13"/>
        <v/>
      </c>
      <c r="K201" s="4" t="str">
        <f t="shared" ca="1" si="14"/>
        <v/>
      </c>
      <c r="L201" s="7" t="str">
        <f t="shared" ca="1" si="16"/>
        <v/>
      </c>
      <c r="M201" s="4" t="str">
        <f>IF($I201="Complete","Green",IF($H201="","Amber",IF($H201&lt;'[2]Read Me'!$B$4,"Red",IF($H201-'[2]Read Me'!$B$4&lt;=21,"Amber","Green"))))</f>
        <v>Amber</v>
      </c>
      <c r="N201" s="3"/>
      <c r="O201" t="str">
        <f>IF($I201&lt;&gt;"Complete",IF(COUNTIFS($A$4:$A200,$A201,$B$4:$B200,$B201,$I$4:$I200,"&lt;&gt;Complete")=0,$A201&amp;"|"&amp;$B201,""),"")</f>
        <v>|</v>
      </c>
      <c r="P201" t="str">
        <f ca="1">IF($K201="Yes",COUNTIFS($K$4:$K201,"Yes"),"")</f>
        <v/>
      </c>
      <c r="Q201">
        <f t="shared" ca="1" si="15"/>
        <v>0</v>
      </c>
      <c r="R201" t="str">
        <f ca="1">IF($Q201=1,SUM($Q$4:$Q201),"")</f>
        <v/>
      </c>
    </row>
    <row r="202" spans="1:18" ht="22.5" customHeight="1" x14ac:dyDescent="0.3">
      <c r="A202" s="2"/>
      <c r="B202" s="2"/>
      <c r="C202" s="3" t="s">
        <v>743</v>
      </c>
      <c r="D202" s="3" t="s">
        <v>599</v>
      </c>
      <c r="E202" s="2"/>
      <c r="F202" s="2"/>
      <c r="G202" s="5"/>
      <c r="H202" s="5"/>
      <c r="I202" s="4" t="s">
        <v>17</v>
      </c>
      <c r="J202" s="6" t="str">
        <f t="shared" si="13"/>
        <v/>
      </c>
      <c r="K202" s="4" t="str">
        <f t="shared" ca="1" si="14"/>
        <v/>
      </c>
      <c r="L202" s="7" t="str">
        <f t="shared" ca="1" si="16"/>
        <v/>
      </c>
      <c r="M202" s="4" t="str">
        <f>IF($I202="Complete","Green",IF($H202="","Amber",IF($H202&lt;'[2]Read Me'!$B$4,"Red",IF($H202-'[2]Read Me'!$B$4&lt;=21,"Amber","Green"))))</f>
        <v>Amber</v>
      </c>
      <c r="N202" s="3"/>
      <c r="O202" t="str">
        <f>IF($I202&lt;&gt;"Complete",IF(COUNTIFS($A$4:$A201,$A202,$B$4:$B201,$B202,$I$4:$I201,"&lt;&gt;Complete")=0,$A202&amp;"|"&amp;$B202,""),"")</f>
        <v>|</v>
      </c>
      <c r="P202" t="str">
        <f ca="1">IF($K202="Yes",COUNTIFS($K$4:$K202,"Yes"),"")</f>
        <v/>
      </c>
      <c r="Q202">
        <f t="shared" ca="1" si="15"/>
        <v>0</v>
      </c>
      <c r="R202" t="str">
        <f ca="1">IF($Q202=1,SUM($Q$4:$Q202),"")</f>
        <v/>
      </c>
    </row>
    <row r="203" spans="1:18" ht="22.5" customHeight="1" x14ac:dyDescent="0.3">
      <c r="A203" s="2" t="s">
        <v>743</v>
      </c>
      <c r="B203" s="2" t="s">
        <v>743</v>
      </c>
      <c r="C203" s="3" t="s">
        <v>743</v>
      </c>
      <c r="D203" s="3" t="s">
        <v>745</v>
      </c>
      <c r="E203" s="2" t="s">
        <v>215</v>
      </c>
      <c r="F203" s="2"/>
      <c r="G203" s="5">
        <v>46377</v>
      </c>
      <c r="H203" s="5">
        <v>46377</v>
      </c>
      <c r="I203" s="4" t="s">
        <v>17</v>
      </c>
      <c r="J203" s="6">
        <f t="shared" si="13"/>
        <v>0</v>
      </c>
      <c r="K203" s="4" t="str">
        <f t="shared" ca="1" si="14"/>
        <v>No</v>
      </c>
      <c r="L203" s="7">
        <f t="shared" ca="1" si="16"/>
        <v>169</v>
      </c>
      <c r="M203" s="4" t="str">
        <f>IF($I203="Complete","Green",IF($H203="","Amber",IF($H203&lt;'[2]Read Me'!$B$4,"Red",IF($H203-'[2]Read Me'!$B$4&lt;=21,"Amber","Green"))))</f>
        <v>Green</v>
      </c>
      <c r="N203" s="3"/>
      <c r="O203" t="str">
        <f>IF($I203&lt;&gt;"Complete",IF(COUNTIFS($A$4:$A202,$A203,$B$4:$B202,$B203,$I$4:$I202,"&lt;&gt;Complete")=0,$A203&amp;"|"&amp;$B203,""),"")</f>
        <v/>
      </c>
      <c r="P203" t="str">
        <f ca="1">IF($K203="Yes",COUNTIFS($K$4:$K203,"Yes"),"")</f>
        <v/>
      </c>
      <c r="Q203">
        <f t="shared" ca="1" si="15"/>
        <v>0</v>
      </c>
      <c r="R203" t="str">
        <f ca="1">IF($Q203=1,SUM($Q$4:$Q203),"")</f>
        <v/>
      </c>
    </row>
    <row r="204" spans="1:18" ht="33.75" customHeight="1" x14ac:dyDescent="0.3">
      <c r="A204" s="2" t="s">
        <v>743</v>
      </c>
      <c r="B204" s="2" t="s">
        <v>743</v>
      </c>
      <c r="C204" s="3" t="s">
        <v>743</v>
      </c>
      <c r="D204" s="3" t="s">
        <v>746</v>
      </c>
      <c r="E204" s="2" t="s">
        <v>215</v>
      </c>
      <c r="F204" s="2"/>
      <c r="G204" s="5">
        <v>46405</v>
      </c>
      <c r="H204" s="5">
        <v>46405</v>
      </c>
      <c r="I204" s="4" t="s">
        <v>17</v>
      </c>
      <c r="J204" s="6">
        <f t="shared" si="13"/>
        <v>0</v>
      </c>
      <c r="K204" s="4" t="str">
        <f t="shared" ca="1" si="14"/>
        <v>No</v>
      </c>
      <c r="L204" s="7">
        <f t="shared" ca="1" si="16"/>
        <v>197</v>
      </c>
      <c r="M204" s="4" t="str">
        <f>IF($I204="Complete","Green",IF($H204="","Amber",IF($H204&lt;'[2]Read Me'!$B$4,"Red",IF($H204-'[2]Read Me'!$B$4&lt;=21,"Amber","Green"))))</f>
        <v>Green</v>
      </c>
      <c r="N204" s="3"/>
      <c r="O204" t="str">
        <f>IF($I204&lt;&gt;"Complete",IF(COUNTIFS($A$4:$A203,$A204,$B$4:$B203,$B204,$I$4:$I203,"&lt;&gt;Complete")=0,$A204&amp;"|"&amp;$B204,""),"")</f>
        <v/>
      </c>
      <c r="P204" t="str">
        <f ca="1">IF($K204="Yes",COUNTIFS($K$4:$K204,"Yes"),"")</f>
        <v/>
      </c>
      <c r="Q204">
        <f t="shared" ca="1" si="15"/>
        <v>0</v>
      </c>
      <c r="R204" t="str">
        <f ca="1">IF($Q204=1,SUM($Q$4:$Q204),"")</f>
        <v/>
      </c>
    </row>
    <row r="205" spans="1:18" ht="33.75" customHeight="1" x14ac:dyDescent="0.3">
      <c r="A205" s="2" t="s">
        <v>743</v>
      </c>
      <c r="B205" s="2" t="s">
        <v>743</v>
      </c>
      <c r="C205" s="3" t="s">
        <v>743</v>
      </c>
      <c r="D205" s="3" t="s">
        <v>32</v>
      </c>
      <c r="E205" s="2" t="s">
        <v>215</v>
      </c>
      <c r="F205" s="2"/>
      <c r="G205" s="5">
        <v>46412</v>
      </c>
      <c r="H205" s="5">
        <v>46412</v>
      </c>
      <c r="I205" s="4" t="s">
        <v>17</v>
      </c>
      <c r="J205" s="6">
        <f t="shared" si="13"/>
        <v>0</v>
      </c>
      <c r="K205" s="4" t="str">
        <f t="shared" ca="1" si="14"/>
        <v>No</v>
      </c>
      <c r="L205" s="7">
        <f t="shared" ca="1" si="16"/>
        <v>204</v>
      </c>
      <c r="M205" s="4" t="str">
        <f>IF($I205="Complete","Green",IF($H205="","Amber",IF($H205&lt;'[2]Read Me'!$B$4,"Red",IF($H205-'[2]Read Me'!$B$4&lt;=21,"Amber","Green"))))</f>
        <v>Green</v>
      </c>
      <c r="N205" s="3"/>
      <c r="O205" t="str">
        <f>IF($I205&lt;&gt;"Complete",IF(COUNTIFS($A$4:$A204,$A205,$B$4:$B204,$B205,$I$4:$I204,"&lt;&gt;Complete")=0,$A205&amp;"|"&amp;$B205,""),"")</f>
        <v/>
      </c>
      <c r="P205" t="str">
        <f ca="1">IF($K205="Yes",COUNTIFS($K$4:$K205,"Yes"),"")</f>
        <v/>
      </c>
      <c r="Q205">
        <f t="shared" ca="1" si="15"/>
        <v>0</v>
      </c>
      <c r="R205" t="str">
        <f ca="1">IF($Q205=1,SUM($Q$4:$Q205),"")</f>
        <v/>
      </c>
    </row>
    <row r="206" spans="1:18" ht="33.75" customHeight="1" x14ac:dyDescent="0.3">
      <c r="A206" s="2" t="s">
        <v>743</v>
      </c>
      <c r="B206" s="2" t="s">
        <v>743</v>
      </c>
      <c r="C206" s="3" t="s">
        <v>743</v>
      </c>
      <c r="D206" s="3" t="s">
        <v>14</v>
      </c>
      <c r="E206" s="2" t="s">
        <v>215</v>
      </c>
      <c r="F206" s="2"/>
      <c r="G206" s="5">
        <v>46440</v>
      </c>
      <c r="H206" s="5">
        <v>46440</v>
      </c>
      <c r="I206" s="4" t="s">
        <v>17</v>
      </c>
      <c r="J206" s="6">
        <f t="shared" si="13"/>
        <v>0</v>
      </c>
      <c r="K206" s="4" t="str">
        <f t="shared" ca="1" si="14"/>
        <v>No</v>
      </c>
      <c r="L206" s="7">
        <f t="shared" ca="1" si="16"/>
        <v>232</v>
      </c>
      <c r="M206" s="4" t="str">
        <f>IF($I206="Complete","Green",IF($H206="","Amber",IF($H206&lt;'[2]Read Me'!$B$4,"Red",IF($H206-'[2]Read Me'!$B$4&lt;=21,"Amber","Green"))))</f>
        <v>Green</v>
      </c>
      <c r="N206" s="3"/>
      <c r="O206" t="str">
        <f>IF($I206&lt;&gt;"Complete",IF(COUNTIFS($A$4:$A205,$A206,$B$4:$B205,$B206,$I$4:$I205,"&lt;&gt;Complete")=0,$A206&amp;"|"&amp;$B206,""),"")</f>
        <v/>
      </c>
      <c r="P206" t="str">
        <f ca="1">IF($K206="Yes",COUNTIFS($K$4:$K206,"Yes"),"")</f>
        <v/>
      </c>
      <c r="Q206">
        <f t="shared" ca="1" si="15"/>
        <v>0</v>
      </c>
      <c r="R206" t="str">
        <f ca="1">IF($Q206=1,SUM($Q$4:$Q206),"")</f>
        <v/>
      </c>
    </row>
    <row r="207" spans="1:18" ht="33.75" customHeight="1" x14ac:dyDescent="0.3">
      <c r="A207" s="2" t="s">
        <v>743</v>
      </c>
      <c r="B207" s="2" t="s">
        <v>743</v>
      </c>
      <c r="C207" s="3" t="s">
        <v>743</v>
      </c>
      <c r="D207" s="3" t="s">
        <v>34</v>
      </c>
      <c r="E207" s="2" t="s">
        <v>215</v>
      </c>
      <c r="F207" s="2"/>
      <c r="G207" s="5">
        <v>46454</v>
      </c>
      <c r="H207" s="5">
        <v>46454</v>
      </c>
      <c r="I207" s="4" t="s">
        <v>17</v>
      </c>
      <c r="J207" s="6">
        <f t="shared" si="13"/>
        <v>0</v>
      </c>
      <c r="K207" s="4" t="str">
        <f t="shared" ca="1" si="14"/>
        <v>No</v>
      </c>
      <c r="L207" s="7">
        <f t="shared" ca="1" si="16"/>
        <v>246</v>
      </c>
      <c r="M207" s="4" t="str">
        <f>IF($I207="Complete","Green",IF($H207="","Amber",IF($H207&lt;'[2]Read Me'!$B$4,"Red",IF($H207-'[2]Read Me'!$B$4&lt;=21,"Amber","Green"))))</f>
        <v>Green</v>
      </c>
      <c r="N207" s="3"/>
      <c r="O207" t="str">
        <f>IF($I207&lt;&gt;"Complete",IF(COUNTIFS($A$4:$A206,$A207,$B$4:$B206,$B207,$I$4:$I206,"&lt;&gt;Complete")=0,$A207&amp;"|"&amp;$B207,""),"")</f>
        <v/>
      </c>
      <c r="P207" t="str">
        <f ca="1">IF($K207="Yes",COUNTIFS($K$4:$K207,"Yes"),"")</f>
        <v/>
      </c>
      <c r="Q207">
        <f t="shared" ca="1" si="15"/>
        <v>0</v>
      </c>
      <c r="R207" t="str">
        <f ca="1">IF($Q207=1,SUM($Q$4:$Q207),"")</f>
        <v/>
      </c>
    </row>
    <row r="208" spans="1:18" ht="33.75" customHeight="1" x14ac:dyDescent="0.3">
      <c r="A208" s="2" t="s">
        <v>743</v>
      </c>
      <c r="B208" s="2" t="s">
        <v>743</v>
      </c>
      <c r="C208" s="3" t="s">
        <v>743</v>
      </c>
      <c r="D208" s="3" t="s">
        <v>15</v>
      </c>
      <c r="E208" s="2" t="s">
        <v>215</v>
      </c>
      <c r="F208" s="2"/>
      <c r="G208" s="5">
        <v>46482</v>
      </c>
      <c r="H208" s="5">
        <v>46482</v>
      </c>
      <c r="I208" s="4" t="s">
        <v>17</v>
      </c>
      <c r="J208" s="6">
        <f t="shared" si="13"/>
        <v>0</v>
      </c>
      <c r="K208" s="4" t="str">
        <f t="shared" ca="1" si="14"/>
        <v>No</v>
      </c>
      <c r="L208" s="7">
        <f t="shared" ca="1" si="16"/>
        <v>274</v>
      </c>
      <c r="M208" s="4" t="str">
        <f>IF($I208="Complete","Green",IF($H208="","Amber",IF($H208&lt;'[2]Read Me'!$B$4,"Red",IF($H208-'[2]Read Me'!$B$4&lt;=21,"Amber","Green"))))</f>
        <v>Green</v>
      </c>
      <c r="N208" s="3"/>
      <c r="O208" t="str">
        <f>IF($I208&lt;&gt;"Complete",IF(COUNTIFS($A$4:$A207,$A208,$B$4:$B207,$B208,$I$4:$I207,"&lt;&gt;Complete")=0,$A208&amp;"|"&amp;$B208,""),"")</f>
        <v/>
      </c>
      <c r="P208" t="str">
        <f ca="1">IF($K208="Yes",COUNTIFS($K$4:$K208,"Yes"),"")</f>
        <v/>
      </c>
      <c r="Q208">
        <f t="shared" ca="1" si="15"/>
        <v>0</v>
      </c>
      <c r="R208" t="str">
        <f ca="1">IF($Q208=1,SUM($Q$4:$Q208),"")</f>
        <v/>
      </c>
    </row>
    <row r="209" spans="1:18" ht="33.75" customHeight="1" x14ac:dyDescent="0.3">
      <c r="A209" s="2" t="s">
        <v>743</v>
      </c>
      <c r="B209" s="2" t="s">
        <v>743</v>
      </c>
      <c r="C209" s="3" t="s">
        <v>743</v>
      </c>
      <c r="D209" s="3" t="s">
        <v>35</v>
      </c>
      <c r="E209" s="2" t="s">
        <v>215</v>
      </c>
      <c r="F209" s="2"/>
      <c r="G209" s="5">
        <v>46496</v>
      </c>
      <c r="H209" s="5">
        <v>46496</v>
      </c>
      <c r="I209" s="4" t="s">
        <v>17</v>
      </c>
      <c r="J209" s="6">
        <f t="shared" si="13"/>
        <v>0</v>
      </c>
      <c r="K209" s="4" t="str">
        <f t="shared" ca="1" si="14"/>
        <v>No</v>
      </c>
      <c r="L209" s="7">
        <f t="shared" ca="1" si="16"/>
        <v>288</v>
      </c>
      <c r="M209" s="4" t="str">
        <f>IF($I209="Complete","Green",IF($H209="","Amber",IF($H209&lt;'[2]Read Me'!$B$4,"Red",IF($H209-'[2]Read Me'!$B$4&lt;=21,"Amber","Green"))))</f>
        <v>Green</v>
      </c>
      <c r="N209" s="3"/>
      <c r="O209" t="str">
        <f>IF($I209&lt;&gt;"Complete",IF(COUNTIFS($A$4:$A208,$A209,$B$4:$B208,$B209,$I$4:$I208,"&lt;&gt;Complete")=0,$A209&amp;"|"&amp;$B209,""),"")</f>
        <v/>
      </c>
      <c r="P209" t="str">
        <f ca="1">IF($K209="Yes",COUNTIFS($K$4:$K209,"Yes"),"")</f>
        <v/>
      </c>
      <c r="Q209">
        <f t="shared" ca="1" si="15"/>
        <v>0</v>
      </c>
      <c r="R209" t="str">
        <f ca="1">IF($Q209=1,SUM($Q$4:$Q209),"")</f>
        <v/>
      </c>
    </row>
    <row r="210" spans="1:18" ht="33.75" customHeight="1" x14ac:dyDescent="0.3">
      <c r="A210" s="2" t="s">
        <v>743</v>
      </c>
      <c r="B210" s="2" t="s">
        <v>743</v>
      </c>
      <c r="C210" s="3" t="s">
        <v>743</v>
      </c>
      <c r="D210" s="3" t="s">
        <v>20</v>
      </c>
      <c r="E210" s="2" t="s">
        <v>666</v>
      </c>
      <c r="F210" s="2" t="s">
        <v>81</v>
      </c>
      <c r="G210" s="5">
        <v>46503</v>
      </c>
      <c r="H210" s="5">
        <v>46503</v>
      </c>
      <c r="I210" s="4" t="s">
        <v>17</v>
      </c>
      <c r="J210" s="6">
        <f t="shared" si="13"/>
        <v>0</v>
      </c>
      <c r="K210" s="4" t="str">
        <f t="shared" ca="1" si="14"/>
        <v>No</v>
      </c>
      <c r="L210" s="7">
        <f t="shared" ca="1" si="16"/>
        <v>295</v>
      </c>
      <c r="M210" s="4" t="str">
        <f>IF($I210="Complete","Green",IF($H210="","Amber",IF($H210&lt;'[2]Read Me'!$B$4,"Red",IF($H210-'[2]Read Me'!$B$4&lt;=21,"Amber","Green"))))</f>
        <v>Green</v>
      </c>
      <c r="N210" s="3"/>
      <c r="O210" t="str">
        <f>IF($I210&lt;&gt;"Complete",IF(COUNTIFS($A$4:$A209,$A210,$B$4:$B209,$B210,$I$4:$I209,"&lt;&gt;Complete")=0,$A210&amp;"|"&amp;$B210,""),"")</f>
        <v/>
      </c>
      <c r="P210" t="str">
        <f ca="1">IF($K210="Yes",COUNTIFS($K$4:$K210,"Yes"),"")</f>
        <v/>
      </c>
      <c r="Q210">
        <f t="shared" ca="1" si="15"/>
        <v>0</v>
      </c>
      <c r="R210" t="str">
        <f ca="1">IF($Q210=1,SUM($Q$4:$Q210),"")</f>
        <v/>
      </c>
    </row>
    <row r="211" spans="1:18" ht="22.5" customHeight="1" x14ac:dyDescent="0.3">
      <c r="A211" s="2" t="s">
        <v>743</v>
      </c>
      <c r="B211" s="2" t="s">
        <v>743</v>
      </c>
      <c r="C211" s="3" t="s">
        <v>743</v>
      </c>
      <c r="D211" s="3" t="s">
        <v>16</v>
      </c>
      <c r="E211" s="2" t="s">
        <v>215</v>
      </c>
      <c r="F211" s="2"/>
      <c r="G211" s="5">
        <v>46517</v>
      </c>
      <c r="H211" s="5">
        <v>46517</v>
      </c>
      <c r="I211" s="4" t="s">
        <v>17</v>
      </c>
      <c r="J211" s="6">
        <f t="shared" si="13"/>
        <v>0</v>
      </c>
      <c r="K211" s="4" t="str">
        <f t="shared" ca="1" si="14"/>
        <v>No</v>
      </c>
      <c r="L211" s="7">
        <f t="shared" ca="1" si="16"/>
        <v>309</v>
      </c>
      <c r="M211" s="4" t="str">
        <f>IF($I211="Complete","Green",IF($H211="","Amber",IF($H211&lt;'[2]Read Me'!$B$4,"Red",IF($H211-'[2]Read Me'!$B$4&lt;=21,"Amber","Green"))))</f>
        <v>Green</v>
      </c>
      <c r="N211" s="3"/>
      <c r="O211" t="str">
        <f>IF($I211&lt;&gt;"Complete",IF(COUNTIFS($A$4:$A210,$A211,$B$4:$B210,$B211,$I$4:$I210,"&lt;&gt;Complete")=0,$A211&amp;"|"&amp;$B211,""),"")</f>
        <v/>
      </c>
      <c r="P211" t="str">
        <f ca="1">IF($K211="Yes",COUNTIFS($K$4:$K211,"Yes"),"")</f>
        <v/>
      </c>
      <c r="Q211">
        <f t="shared" ca="1" si="15"/>
        <v>0</v>
      </c>
      <c r="R211" t="str">
        <f ca="1">IF($Q211=1,SUM($Q$4:$Q211),"")</f>
        <v/>
      </c>
    </row>
    <row r="212" spans="1:18" ht="22.5" customHeight="1" x14ac:dyDescent="0.3">
      <c r="A212" s="2" t="s">
        <v>743</v>
      </c>
      <c r="B212" s="2" t="s">
        <v>743</v>
      </c>
      <c r="C212" s="3" t="s">
        <v>743</v>
      </c>
      <c r="D212" s="3" t="s">
        <v>37</v>
      </c>
      <c r="E212" s="2" t="s">
        <v>215</v>
      </c>
      <c r="F212" s="2"/>
      <c r="G212" s="5">
        <v>46531</v>
      </c>
      <c r="H212" s="5">
        <v>46531</v>
      </c>
      <c r="I212" s="4" t="s">
        <v>17</v>
      </c>
      <c r="J212" s="6">
        <f t="shared" si="13"/>
        <v>0</v>
      </c>
      <c r="K212" s="4" t="str">
        <f t="shared" ca="1" si="14"/>
        <v>No</v>
      </c>
      <c r="L212" s="7">
        <f t="shared" ca="1" si="16"/>
        <v>323</v>
      </c>
      <c r="M212" s="4" t="str">
        <f>IF($I212="Complete","Green",IF($H212="","Amber",IF($H212&lt;'[2]Read Me'!$B$4,"Red",IF($H212-'[2]Read Me'!$B$4&lt;=21,"Amber","Green"))))</f>
        <v>Green</v>
      </c>
      <c r="N212" s="3"/>
      <c r="O212" t="str">
        <f>IF($I212&lt;&gt;"Complete",IF(COUNTIFS($A$4:$A211,$A212,$B$4:$B211,$B212,$I$4:$I211,"&lt;&gt;Complete")=0,$A212&amp;"|"&amp;$B212,""),"")</f>
        <v/>
      </c>
      <c r="P212" t="str">
        <f ca="1">IF($K212="Yes",COUNTIFS($K$4:$K212,"Yes"),"")</f>
        <v/>
      </c>
      <c r="Q212">
        <f t="shared" ca="1" si="15"/>
        <v>0</v>
      </c>
      <c r="R212" t="str">
        <f ca="1">IF($Q212=1,SUM($Q$4:$Q212),"")</f>
        <v/>
      </c>
    </row>
    <row r="213" spans="1:18" ht="22.5" customHeight="1" x14ac:dyDescent="0.3">
      <c r="A213" s="2" t="s">
        <v>320</v>
      </c>
      <c r="B213" s="2" t="s">
        <v>62</v>
      </c>
      <c r="C213" s="3"/>
      <c r="D213" s="3"/>
      <c r="E213" s="2"/>
      <c r="F213" s="2"/>
      <c r="G213" s="5">
        <v>46433</v>
      </c>
      <c r="H213" s="5">
        <v>46497</v>
      </c>
      <c r="I213" s="4"/>
      <c r="J213" s="6">
        <f t="shared" si="13"/>
        <v>64</v>
      </c>
      <c r="K213" s="4" t="str">
        <f t="shared" ca="1" si="14"/>
        <v/>
      </c>
      <c r="L213" s="7">
        <f t="shared" ca="1" si="16"/>
        <v>289</v>
      </c>
      <c r="M213" s="4" t="str">
        <f>IF($I213="Complete","Green",IF($H213="","Amber",IF($H213&lt;'[2]Read Me'!$B$4,"Red",IF($H213-'[2]Read Me'!$B$4&lt;=21,"Amber","Green"))))</f>
        <v>Green</v>
      </c>
      <c r="N213" s="3"/>
      <c r="O213" t="str">
        <f>IF($I213&lt;&gt;"Complete",IF(COUNTIFS($A$4:$A212,$A213,$B$4:$B212,$B213,$I$4:$I212,"&lt;&gt;Complete")=0,$A213&amp;"|"&amp;$B213,""),"")</f>
        <v>Hotel|Buildings</v>
      </c>
      <c r="P213" t="str">
        <f ca="1">IF($K213="Yes",COUNTIFS($K$4:$K213,"Yes"),"")</f>
        <v/>
      </c>
      <c r="Q213">
        <f t="shared" ca="1" si="15"/>
        <v>0</v>
      </c>
      <c r="R213" t="str">
        <f ca="1">IF($Q213=1,SUM($Q$4:$Q213),"")</f>
        <v/>
      </c>
    </row>
    <row r="214" spans="1:18" ht="22.5" customHeight="1" x14ac:dyDescent="0.3">
      <c r="A214" s="2" t="s">
        <v>320</v>
      </c>
      <c r="B214" s="2" t="s">
        <v>62</v>
      </c>
      <c r="C214" s="3" t="s">
        <v>320</v>
      </c>
      <c r="D214" s="3" t="s">
        <v>747</v>
      </c>
      <c r="E214" s="2" t="s">
        <v>748</v>
      </c>
      <c r="F214" s="2" t="s">
        <v>749</v>
      </c>
      <c r="G214" s="5">
        <v>46096</v>
      </c>
      <c r="H214" s="5">
        <v>46096</v>
      </c>
      <c r="I214" s="4" t="s">
        <v>31</v>
      </c>
      <c r="J214" s="6">
        <f t="shared" si="13"/>
        <v>0</v>
      </c>
      <c r="K214" s="4" t="str">
        <f t="shared" ca="1" si="14"/>
        <v>-</v>
      </c>
      <c r="L214" s="7">
        <f t="shared" ca="1" si="16"/>
        <v>0</v>
      </c>
      <c r="M214" s="4" t="str">
        <f>IF($I214="Complete","Green",IF($H214="","Amber",IF($H214&lt;'[2]Read Me'!$B$4,"Red",IF($H214-'[2]Read Me'!$B$4&lt;=21,"Amber","Green"))))</f>
        <v>Red</v>
      </c>
      <c r="N214" s="3"/>
      <c r="O214" t="str">
        <f>IF($I214&lt;&gt;"Complete",IF(COUNTIFS($A$4:$A213,$A214,$B$4:$B213,$B214,$I$4:$I213,"&lt;&gt;Complete")=0,$A214&amp;"|"&amp;$B214,""),"")</f>
        <v/>
      </c>
      <c r="P214" t="str">
        <f ca="1">IF($K214="Yes",COUNTIFS($K$4:$K214,"Yes"),"")</f>
        <v/>
      </c>
      <c r="Q214">
        <f t="shared" ca="1" si="15"/>
        <v>0</v>
      </c>
      <c r="R214" t="str">
        <f ca="1">IF($Q214=1,SUM($Q$4:$Q214),"")</f>
        <v/>
      </c>
    </row>
    <row r="215" spans="1:18" ht="22.5" customHeight="1" x14ac:dyDescent="0.3">
      <c r="A215" s="2" t="s">
        <v>320</v>
      </c>
      <c r="B215" s="2" t="s">
        <v>62</v>
      </c>
      <c r="C215" s="3" t="s">
        <v>320</v>
      </c>
      <c r="D215" s="3" t="s">
        <v>349</v>
      </c>
      <c r="E215" s="2" t="s">
        <v>748</v>
      </c>
      <c r="F215" s="2" t="s">
        <v>749</v>
      </c>
      <c r="G215" s="5">
        <v>46096</v>
      </c>
      <c r="H215" s="5">
        <v>46096</v>
      </c>
      <c r="I215" s="4" t="s">
        <v>31</v>
      </c>
      <c r="J215" s="6">
        <f t="shared" si="13"/>
        <v>0</v>
      </c>
      <c r="K215" s="4" t="str">
        <f t="shared" ca="1" si="14"/>
        <v>-</v>
      </c>
      <c r="L215" s="7">
        <f t="shared" ca="1" si="16"/>
        <v>0</v>
      </c>
      <c r="M215" s="4" t="str">
        <f>IF($I215="Complete","Green",IF($H215="","Amber",IF($H215&lt;'[2]Read Me'!$B$4,"Red",IF($H215-'[2]Read Me'!$B$4&lt;=21,"Amber","Green"))))</f>
        <v>Red</v>
      </c>
      <c r="N215" s="3"/>
      <c r="O215" t="str">
        <f>IF($I215&lt;&gt;"Complete",IF(COUNTIFS($A$4:$A214,$A215,$B$4:$B214,$B215,$I$4:$I214,"&lt;&gt;Complete")=0,$A215&amp;"|"&amp;$B215,""),"")</f>
        <v/>
      </c>
      <c r="P215" t="str">
        <f ca="1">IF($K215="Yes",COUNTIFS($K$4:$K215,"Yes"),"")</f>
        <v/>
      </c>
      <c r="Q215">
        <f t="shared" ca="1" si="15"/>
        <v>0</v>
      </c>
      <c r="R215" t="str">
        <f ca="1">IF($Q215=1,SUM($Q$4:$Q215),"")</f>
        <v/>
      </c>
    </row>
    <row r="216" spans="1:18" ht="22.5" customHeight="1" x14ac:dyDescent="0.3">
      <c r="A216" s="2" t="s">
        <v>320</v>
      </c>
      <c r="B216" s="2" t="s">
        <v>62</v>
      </c>
      <c r="C216" s="3" t="s">
        <v>320</v>
      </c>
      <c r="D216" s="3" t="s">
        <v>133</v>
      </c>
      <c r="E216" s="2"/>
      <c r="F216" s="2" t="s">
        <v>750</v>
      </c>
      <c r="G216" s="5">
        <v>46125</v>
      </c>
      <c r="H216" s="5">
        <v>46176</v>
      </c>
      <c r="I216" s="4" t="s">
        <v>31</v>
      </c>
      <c r="J216" s="6">
        <f t="shared" si="13"/>
        <v>51</v>
      </c>
      <c r="K216" s="4" t="str">
        <f t="shared" ca="1" si="14"/>
        <v>-</v>
      </c>
      <c r="L216" s="7">
        <f t="shared" ca="1" si="16"/>
        <v>0</v>
      </c>
      <c r="M216" s="4" t="str">
        <f>IF($I216="Complete","Green",IF($H216="","Amber",IF($H216&lt;'[2]Read Me'!$B$4,"Red",IF($H216-'[2]Read Me'!$B$4&lt;=21,"Amber","Green"))))</f>
        <v>Red</v>
      </c>
      <c r="N216" s="3"/>
      <c r="O216" t="str">
        <f>IF($I216&lt;&gt;"Complete",IF(COUNTIFS($A$4:$A215,$A216,$B$4:$B215,$B216,$I$4:$I215,"&lt;&gt;Complete")=0,$A216&amp;"|"&amp;$B216,""),"")</f>
        <v/>
      </c>
      <c r="P216" t="str">
        <f ca="1">IF($K216="Yes",COUNTIFS($K$4:$K216,"Yes"),"")</f>
        <v/>
      </c>
      <c r="Q216">
        <f t="shared" ca="1" si="15"/>
        <v>0</v>
      </c>
      <c r="R216" t="str">
        <f ca="1">IF($Q216=1,SUM($Q$4:$Q216),"")</f>
        <v/>
      </c>
    </row>
    <row r="217" spans="1:18" ht="22.5" customHeight="1" x14ac:dyDescent="0.3">
      <c r="A217" s="2" t="s">
        <v>320</v>
      </c>
      <c r="B217" s="2" t="s">
        <v>62</v>
      </c>
      <c r="C217" s="3" t="s">
        <v>320</v>
      </c>
      <c r="D217" s="3" t="s">
        <v>342</v>
      </c>
      <c r="E217" s="2" t="s">
        <v>751</v>
      </c>
      <c r="F217" s="2" t="s">
        <v>265</v>
      </c>
      <c r="G217" s="5">
        <v>46139</v>
      </c>
      <c r="H217" s="5">
        <v>46203</v>
      </c>
      <c r="I217" s="4" t="s">
        <v>46</v>
      </c>
      <c r="J217" s="6">
        <f t="shared" si="13"/>
        <v>64</v>
      </c>
      <c r="K217" s="4" t="str">
        <f t="shared" ca="1" si="14"/>
        <v>Yes</v>
      </c>
      <c r="L217" s="7">
        <f t="shared" ca="1" si="16"/>
        <v>-5</v>
      </c>
      <c r="M217" s="4" t="str">
        <f>IF($I217="Complete","Green",IF($H217="","Amber",IF($H217&lt;'[2]Read Me'!$B$4,"Red",IF($H217-'[2]Read Me'!$B$4&lt;=21,"Amber","Green"))))</f>
        <v>Amber</v>
      </c>
      <c r="N217" s="3"/>
      <c r="O217" t="str">
        <f>IF($I217&lt;&gt;"Complete",IF(COUNTIFS($A$4:$A216,$A217,$B$4:$B216,$B217,$I$4:$I216,"&lt;&gt;Complete")=0,$A217&amp;"|"&amp;$B217,""),"")</f>
        <v/>
      </c>
      <c r="P217">
        <f ca="1">IF($K217="Yes",COUNTIFS($K$4:$K217,"Yes"),"")</f>
        <v>10</v>
      </c>
      <c r="Q217">
        <f t="shared" ca="1" si="15"/>
        <v>1</v>
      </c>
      <c r="R217">
        <f ca="1">IF($Q217=1,SUM($Q$4:$Q217),"")</f>
        <v>10</v>
      </c>
    </row>
    <row r="218" spans="1:18" ht="22.5" customHeight="1" x14ac:dyDescent="0.3">
      <c r="A218" s="2" t="s">
        <v>320</v>
      </c>
      <c r="B218" s="2" t="s">
        <v>62</v>
      </c>
      <c r="C218" s="3" t="s">
        <v>320</v>
      </c>
      <c r="D218" s="3" t="s">
        <v>134</v>
      </c>
      <c r="E218" s="2" t="s">
        <v>751</v>
      </c>
      <c r="F218" s="2" t="s">
        <v>265</v>
      </c>
      <c r="G218" s="5">
        <v>46139</v>
      </c>
      <c r="H218" s="5">
        <v>46190</v>
      </c>
      <c r="I218" s="4" t="s">
        <v>31</v>
      </c>
      <c r="J218" s="6">
        <f t="shared" si="13"/>
        <v>51</v>
      </c>
      <c r="K218" s="4" t="str">
        <f t="shared" ca="1" si="14"/>
        <v>-</v>
      </c>
      <c r="L218" s="7">
        <f t="shared" ca="1" si="16"/>
        <v>0</v>
      </c>
      <c r="M218" s="4" t="str">
        <f>IF($I218="Complete","Green",IF($H218="","Amber",IF($H218&lt;'[2]Read Me'!$B$4,"Red",IF($H218-'[2]Read Me'!$B$4&lt;=21,"Amber","Green"))))</f>
        <v>Amber</v>
      </c>
      <c r="N218" s="3"/>
      <c r="O218" t="str">
        <f>IF($I218&lt;&gt;"Complete",IF(COUNTIFS($A$4:$A217,$A218,$B$4:$B217,$B218,$I$4:$I217,"&lt;&gt;Complete")=0,$A218&amp;"|"&amp;$B218,""),"")</f>
        <v/>
      </c>
      <c r="P218" t="str">
        <f ca="1">IF($K218="Yes",COUNTIFS($K$4:$K218,"Yes"),"")</f>
        <v/>
      </c>
      <c r="Q218">
        <f t="shared" ca="1" si="15"/>
        <v>0</v>
      </c>
      <c r="R218" t="str">
        <f ca="1">IF($Q218=1,SUM($Q$4:$Q218),"")</f>
        <v/>
      </c>
    </row>
    <row r="219" spans="1:18" ht="22.5" customHeight="1" x14ac:dyDescent="0.3">
      <c r="A219" s="2" t="s">
        <v>320</v>
      </c>
      <c r="B219" s="2" t="s">
        <v>62</v>
      </c>
      <c r="C219" s="3" t="s">
        <v>320</v>
      </c>
      <c r="D219" s="3" t="s">
        <v>343</v>
      </c>
      <c r="E219" s="2" t="s">
        <v>751</v>
      </c>
      <c r="F219" s="2" t="s">
        <v>265</v>
      </c>
      <c r="G219" s="5">
        <v>46146</v>
      </c>
      <c r="H219" s="5">
        <v>46210</v>
      </c>
      <c r="I219" s="4" t="s">
        <v>46</v>
      </c>
      <c r="J219" s="6">
        <f t="shared" si="13"/>
        <v>64</v>
      </c>
      <c r="K219" s="4" t="str">
        <f t="shared" ca="1" si="14"/>
        <v>No</v>
      </c>
      <c r="L219" s="7">
        <f t="shared" ca="1" si="16"/>
        <v>2</v>
      </c>
      <c r="M219" s="4" t="str">
        <f>IF($I219="Complete","Green",IF($H219="","Amber",IF($H219&lt;'[2]Read Me'!$B$4,"Red",IF($H219-'[2]Read Me'!$B$4&lt;=21,"Amber","Green"))))</f>
        <v>Green</v>
      </c>
      <c r="N219" s="3"/>
      <c r="O219" t="str">
        <f>IF($I219&lt;&gt;"Complete",IF(COUNTIFS($A$4:$A218,$A219,$B$4:$B218,$B219,$I$4:$I218,"&lt;&gt;Complete")=0,$A219&amp;"|"&amp;$B219,""),"")</f>
        <v/>
      </c>
      <c r="P219" t="str">
        <f ca="1">IF($K219="Yes",COUNTIFS($K$4:$K219,"Yes"),"")</f>
        <v/>
      </c>
      <c r="Q219">
        <f t="shared" ca="1" si="15"/>
        <v>0</v>
      </c>
      <c r="R219" t="str">
        <f ca="1">IF($Q219=1,SUM($Q$4:$Q219),"")</f>
        <v/>
      </c>
    </row>
    <row r="220" spans="1:18" ht="22.5" customHeight="1" x14ac:dyDescent="0.3">
      <c r="A220" s="2" t="s">
        <v>320</v>
      </c>
      <c r="B220" s="2" t="s">
        <v>62</v>
      </c>
      <c r="C220" s="3" t="s">
        <v>320</v>
      </c>
      <c r="D220" s="3" t="s">
        <v>752</v>
      </c>
      <c r="E220" s="2" t="s">
        <v>666</v>
      </c>
      <c r="F220" s="2" t="s">
        <v>81</v>
      </c>
      <c r="G220" s="5">
        <v>46146</v>
      </c>
      <c r="H220" s="5">
        <v>46197</v>
      </c>
      <c r="I220" s="4" t="s">
        <v>17</v>
      </c>
      <c r="J220" s="6">
        <f t="shared" si="13"/>
        <v>51</v>
      </c>
      <c r="K220" s="4" t="str">
        <f t="shared" ca="1" si="14"/>
        <v>Yes</v>
      </c>
      <c r="L220" s="7">
        <f t="shared" ca="1" si="16"/>
        <v>-11</v>
      </c>
      <c r="M220" s="4" t="str">
        <f>IF($I220="Complete","Green",IF($H220="","Amber",IF($H220&lt;'[2]Read Me'!$B$4,"Red",IF($H220-'[2]Read Me'!$B$4&lt;=21,"Amber","Green"))))</f>
        <v>Amber</v>
      </c>
      <c r="N220" s="3"/>
      <c r="O220" t="str">
        <f>IF($I220&lt;&gt;"Complete",IF(COUNTIFS($A$4:$A219,$A220,$B$4:$B219,$B220,$I$4:$I219,"&lt;&gt;Complete")=0,$A220&amp;"|"&amp;$B220,""),"")</f>
        <v/>
      </c>
      <c r="P220">
        <f ca="1">IF($K220="Yes",COUNTIFS($K$4:$K220,"Yes"),"")</f>
        <v>11</v>
      </c>
      <c r="Q220">
        <f t="shared" ca="1" si="15"/>
        <v>1</v>
      </c>
      <c r="R220">
        <f ca="1">IF($Q220=1,SUM($Q$4:$Q220),"")</f>
        <v>11</v>
      </c>
    </row>
    <row r="221" spans="1:18" ht="22.5" customHeight="1" x14ac:dyDescent="0.3">
      <c r="A221" s="2" t="s">
        <v>320</v>
      </c>
      <c r="B221" s="2" t="s">
        <v>62</v>
      </c>
      <c r="C221" s="3" t="s">
        <v>320</v>
      </c>
      <c r="D221" s="3" t="s">
        <v>18</v>
      </c>
      <c r="E221" s="2" t="s">
        <v>751</v>
      </c>
      <c r="F221" s="2" t="s">
        <v>750</v>
      </c>
      <c r="G221" s="5">
        <v>46174</v>
      </c>
      <c r="H221" s="5">
        <v>46238</v>
      </c>
      <c r="I221" s="4" t="s">
        <v>17</v>
      </c>
      <c r="J221" s="6">
        <f t="shared" si="13"/>
        <v>64</v>
      </c>
      <c r="K221" s="4" t="str">
        <f t="shared" ca="1" si="14"/>
        <v>No</v>
      </c>
      <c r="L221" s="7">
        <f t="shared" ca="1" si="16"/>
        <v>30</v>
      </c>
      <c r="M221" s="4" t="str">
        <f>IF($I221="Complete","Green",IF($H221="","Amber",IF($H221&lt;'[2]Read Me'!$B$4,"Red",IF($H221-'[2]Read Me'!$B$4&lt;=21,"Amber","Green"))))</f>
        <v>Green</v>
      </c>
      <c r="N221" s="3"/>
      <c r="O221" t="str">
        <f>IF($I221&lt;&gt;"Complete",IF(COUNTIFS($A$4:$A220,$A221,$B$4:$B220,$B221,$I$4:$I220,"&lt;&gt;Complete")=0,$A221&amp;"|"&amp;$B221,""),"")</f>
        <v/>
      </c>
      <c r="P221" t="str">
        <f ca="1">IF($K221="Yes",COUNTIFS($K$4:$K221,"Yes"),"")</f>
        <v/>
      </c>
      <c r="Q221">
        <f t="shared" ca="1" si="15"/>
        <v>0</v>
      </c>
      <c r="R221" t="str">
        <f ca="1">IF($Q221=1,SUM($Q$4:$Q221),"")</f>
        <v/>
      </c>
    </row>
    <row r="222" spans="1:18" ht="22.5" customHeight="1" x14ac:dyDescent="0.3">
      <c r="A222" s="2" t="s">
        <v>320</v>
      </c>
      <c r="B222" s="2" t="s">
        <v>62</v>
      </c>
      <c r="C222" s="3" t="s">
        <v>320</v>
      </c>
      <c r="D222" s="3" t="s">
        <v>342</v>
      </c>
      <c r="E222" s="2" t="s">
        <v>751</v>
      </c>
      <c r="F222" s="2" t="s">
        <v>265</v>
      </c>
      <c r="G222" s="5">
        <v>46188</v>
      </c>
      <c r="H222" s="5">
        <v>46252</v>
      </c>
      <c r="I222" s="4" t="s">
        <v>17</v>
      </c>
      <c r="J222" s="6">
        <f t="shared" si="13"/>
        <v>64</v>
      </c>
      <c r="K222" s="4" t="str">
        <f t="shared" ca="1" si="14"/>
        <v>No</v>
      </c>
      <c r="L222" s="7">
        <f t="shared" ca="1" si="16"/>
        <v>44</v>
      </c>
      <c r="M222" s="4" t="str">
        <f>IF($I222="Complete","Green",IF($H222="","Amber",IF($H222&lt;'[2]Read Me'!$B$4,"Red",IF($H222-'[2]Read Me'!$B$4&lt;=21,"Amber","Green"))))</f>
        <v>Green</v>
      </c>
      <c r="N222" s="3"/>
      <c r="O222" t="str">
        <f>IF($I222&lt;&gt;"Complete",IF(COUNTIFS($A$4:$A221,$A222,$B$4:$B221,$B222,$I$4:$I221,"&lt;&gt;Complete")=0,$A222&amp;"|"&amp;$B222,""),"")</f>
        <v/>
      </c>
      <c r="P222" t="str">
        <f ca="1">IF($K222="Yes",COUNTIFS($K$4:$K222,"Yes"),"")</f>
        <v/>
      </c>
      <c r="Q222">
        <f t="shared" ca="1" si="15"/>
        <v>0</v>
      </c>
      <c r="R222" t="str">
        <f ca="1">IF($Q222=1,SUM($Q$4:$Q222),"")</f>
        <v/>
      </c>
    </row>
    <row r="223" spans="1:18" ht="22.5" customHeight="1" x14ac:dyDescent="0.3">
      <c r="A223" s="2" t="s">
        <v>320</v>
      </c>
      <c r="B223" s="2" t="s">
        <v>62</v>
      </c>
      <c r="C223" s="3" t="s">
        <v>320</v>
      </c>
      <c r="D223" s="3" t="s">
        <v>32</v>
      </c>
      <c r="E223" s="2" t="s">
        <v>751</v>
      </c>
      <c r="F223" s="2" t="s">
        <v>265</v>
      </c>
      <c r="G223" s="5">
        <v>46188</v>
      </c>
      <c r="H223" s="5">
        <v>46252</v>
      </c>
      <c r="I223" s="4" t="s">
        <v>17</v>
      </c>
      <c r="J223" s="6">
        <f t="shared" si="13"/>
        <v>64</v>
      </c>
      <c r="K223" s="4" t="str">
        <f t="shared" ca="1" si="14"/>
        <v>No</v>
      </c>
      <c r="L223" s="7">
        <f t="shared" ca="1" si="16"/>
        <v>44</v>
      </c>
      <c r="M223" s="4" t="str">
        <f>IF($I223="Complete","Green",IF($H223="","Amber",IF($H223&lt;'[2]Read Me'!$B$4,"Red",IF($H223-'[2]Read Me'!$B$4&lt;=21,"Amber","Green"))))</f>
        <v>Green</v>
      </c>
      <c r="N223" s="3"/>
      <c r="O223" t="str">
        <f>IF($I223&lt;&gt;"Complete",IF(COUNTIFS($A$4:$A222,$A223,$B$4:$B222,$B223,$I$4:$I222,"&lt;&gt;Complete")=0,$A223&amp;"|"&amp;$B223,""),"")</f>
        <v/>
      </c>
      <c r="P223" t="str">
        <f ca="1">IF($K223="Yes",COUNTIFS($K$4:$K223,"Yes"),"")</f>
        <v/>
      </c>
      <c r="Q223">
        <f t="shared" ca="1" si="15"/>
        <v>0</v>
      </c>
      <c r="R223" t="str">
        <f ca="1">IF($Q223=1,SUM($Q$4:$Q223),"")</f>
        <v/>
      </c>
    </row>
    <row r="224" spans="1:18" ht="22.5" customHeight="1" x14ac:dyDescent="0.3">
      <c r="A224" s="2" t="s">
        <v>320</v>
      </c>
      <c r="B224" s="2" t="s">
        <v>62</v>
      </c>
      <c r="C224" s="3" t="s">
        <v>320</v>
      </c>
      <c r="D224" s="3" t="s">
        <v>343</v>
      </c>
      <c r="E224" s="2" t="s">
        <v>751</v>
      </c>
      <c r="F224" s="2" t="s">
        <v>265</v>
      </c>
      <c r="G224" s="5">
        <v>46195</v>
      </c>
      <c r="H224" s="5">
        <v>46259</v>
      </c>
      <c r="I224" s="4" t="s">
        <v>17</v>
      </c>
      <c r="J224" s="6">
        <f t="shared" si="13"/>
        <v>64</v>
      </c>
      <c r="K224" s="4" t="str">
        <f t="shared" ca="1" si="14"/>
        <v>No</v>
      </c>
      <c r="L224" s="7">
        <f t="shared" ca="1" si="16"/>
        <v>51</v>
      </c>
      <c r="M224" s="4" t="str">
        <f>IF($I224="Complete","Green",IF($H224="","Amber",IF($H224&lt;'[2]Read Me'!$B$4,"Red",IF($H224-'[2]Read Me'!$B$4&lt;=21,"Amber","Green"))))</f>
        <v>Green</v>
      </c>
      <c r="N224" s="3"/>
      <c r="O224" t="str">
        <f>IF($I224&lt;&gt;"Complete",IF(COUNTIFS($A$4:$A223,$A224,$B$4:$B223,$B224,$I$4:$I223,"&lt;&gt;Complete")=0,$A224&amp;"|"&amp;$B224,""),"")</f>
        <v/>
      </c>
      <c r="P224" t="str">
        <f ca="1">IF($K224="Yes",COUNTIFS($K$4:$K224,"Yes"),"")</f>
        <v/>
      </c>
      <c r="Q224">
        <f t="shared" ca="1" si="15"/>
        <v>0</v>
      </c>
      <c r="R224" t="str">
        <f ca="1">IF($Q224=1,SUM($Q$4:$Q224),"")</f>
        <v/>
      </c>
    </row>
    <row r="225" spans="1:18" ht="22.5" customHeight="1" x14ac:dyDescent="0.3">
      <c r="A225" s="2" t="s">
        <v>320</v>
      </c>
      <c r="B225" s="2" t="s">
        <v>62</v>
      </c>
      <c r="C225" s="3" t="s">
        <v>320</v>
      </c>
      <c r="D225" s="3" t="s">
        <v>19</v>
      </c>
      <c r="E225" s="2" t="s">
        <v>666</v>
      </c>
      <c r="F225" s="2" t="s">
        <v>81</v>
      </c>
      <c r="G225" s="5">
        <v>46202</v>
      </c>
      <c r="H225" s="5">
        <v>46266</v>
      </c>
      <c r="I225" s="4" t="s">
        <v>17</v>
      </c>
      <c r="J225" s="6">
        <f t="shared" si="13"/>
        <v>64</v>
      </c>
      <c r="K225" s="4" t="str">
        <f t="shared" ca="1" si="14"/>
        <v>No</v>
      </c>
      <c r="L225" s="7">
        <f t="shared" ca="1" si="16"/>
        <v>58</v>
      </c>
      <c r="M225" s="4" t="str">
        <f>IF($I225="Complete","Green",IF($H225="","Amber",IF($H225&lt;'[2]Read Me'!$B$4,"Red",IF($H225-'[2]Read Me'!$B$4&lt;=21,"Amber","Green"))))</f>
        <v>Green</v>
      </c>
      <c r="N225" s="3"/>
      <c r="O225" t="str">
        <f>IF($I225&lt;&gt;"Complete",IF(COUNTIFS($A$4:$A224,$A225,$B$4:$B224,$B225,$I$4:$I224,"&lt;&gt;Complete")=0,$A225&amp;"|"&amp;$B225,""),"")</f>
        <v/>
      </c>
      <c r="P225" t="str">
        <f ca="1">IF($K225="Yes",COUNTIFS($K$4:$K225,"Yes"),"")</f>
        <v/>
      </c>
      <c r="Q225">
        <f t="shared" ca="1" si="15"/>
        <v>0</v>
      </c>
      <c r="R225" t="str">
        <f ca="1">IF($Q225=1,SUM($Q$4:$Q225),"")</f>
        <v/>
      </c>
    </row>
    <row r="226" spans="1:18" ht="22.5" customHeight="1" x14ac:dyDescent="0.3">
      <c r="A226" s="2" t="s">
        <v>320</v>
      </c>
      <c r="B226" s="2" t="s">
        <v>62</v>
      </c>
      <c r="C226" s="3" t="s">
        <v>320</v>
      </c>
      <c r="D226" s="3" t="s">
        <v>271</v>
      </c>
      <c r="E226" s="2" t="s">
        <v>751</v>
      </c>
      <c r="F226" s="2" t="s">
        <v>265</v>
      </c>
      <c r="G226" s="5">
        <v>46160</v>
      </c>
      <c r="H226" s="5">
        <v>46224</v>
      </c>
      <c r="I226" s="4" t="s">
        <v>17</v>
      </c>
      <c r="J226" s="6">
        <f t="shared" si="13"/>
        <v>64</v>
      </c>
      <c r="K226" s="4" t="str">
        <f t="shared" ca="1" si="14"/>
        <v>No</v>
      </c>
      <c r="L226" s="7">
        <f t="shared" ca="1" si="16"/>
        <v>16</v>
      </c>
      <c r="M226" s="4" t="str">
        <f>IF($I226="Complete","Green",IF($H226="","Amber",IF($H226&lt;'[2]Read Me'!$B$4,"Red",IF($H226-'[2]Read Me'!$B$4&lt;=21,"Amber","Green"))))</f>
        <v>Green</v>
      </c>
      <c r="N226" s="3"/>
      <c r="O226" t="str">
        <f>IF($I226&lt;&gt;"Complete",IF(COUNTIFS($A$4:$A225,$A226,$B$4:$B225,$B226,$I$4:$I225,"&lt;&gt;Complete")=0,$A226&amp;"|"&amp;$B226,""),"")</f>
        <v/>
      </c>
      <c r="P226" t="str">
        <f ca="1">IF($K226="Yes",COUNTIFS($K$4:$K226,"Yes"),"")</f>
        <v/>
      </c>
      <c r="Q226">
        <f t="shared" ca="1" si="15"/>
        <v>0</v>
      </c>
      <c r="R226" t="str">
        <f ca="1">IF($Q226=1,SUM($Q$4:$Q226),"")</f>
        <v/>
      </c>
    </row>
    <row r="227" spans="1:18" ht="22.5" customHeight="1" x14ac:dyDescent="0.3">
      <c r="A227" s="2" t="s">
        <v>320</v>
      </c>
      <c r="B227" s="2" t="s">
        <v>62</v>
      </c>
      <c r="C227" s="3" t="s">
        <v>320</v>
      </c>
      <c r="D227" s="3" t="s">
        <v>753</v>
      </c>
      <c r="E227" s="2" t="s">
        <v>751</v>
      </c>
      <c r="F227" s="2" t="s">
        <v>265</v>
      </c>
      <c r="G227" s="5">
        <v>46174</v>
      </c>
      <c r="H227" s="5">
        <v>46238</v>
      </c>
      <c r="I227" s="4" t="s">
        <v>17</v>
      </c>
      <c r="J227" s="6">
        <f t="shared" si="13"/>
        <v>64</v>
      </c>
      <c r="K227" s="4" t="str">
        <f t="shared" ca="1" si="14"/>
        <v>No</v>
      </c>
      <c r="L227" s="7">
        <f t="shared" ca="1" si="16"/>
        <v>30</v>
      </c>
      <c r="M227" s="4" t="str">
        <f>IF($I227="Complete","Green",IF($H227="","Amber",IF($H227&lt;'[2]Read Me'!$B$4,"Red",IF($H227-'[2]Read Me'!$B$4&lt;=21,"Amber","Green"))))</f>
        <v>Green</v>
      </c>
      <c r="N227" s="3"/>
      <c r="O227" t="str">
        <f>IF($I227&lt;&gt;"Complete",IF(COUNTIFS($A$4:$A226,$A227,$B$4:$B226,$B227,$I$4:$I226,"&lt;&gt;Complete")=0,$A227&amp;"|"&amp;$B227,""),"")</f>
        <v/>
      </c>
      <c r="P227" t="str">
        <f ca="1">IF($K227="Yes",COUNTIFS($K$4:$K227,"Yes"),"")</f>
        <v/>
      </c>
      <c r="Q227">
        <f t="shared" ca="1" si="15"/>
        <v>0</v>
      </c>
      <c r="R227" t="str">
        <f ca="1">IF($Q227=1,SUM($Q$4:$Q227),"")</f>
        <v/>
      </c>
    </row>
    <row r="228" spans="1:18" ht="22.5" customHeight="1" x14ac:dyDescent="0.3">
      <c r="A228" s="2" t="s">
        <v>320</v>
      </c>
      <c r="B228" s="2" t="s">
        <v>62</v>
      </c>
      <c r="C228" s="3" t="s">
        <v>320</v>
      </c>
      <c r="D228" s="3" t="s">
        <v>345</v>
      </c>
      <c r="E228" s="2" t="s">
        <v>751</v>
      </c>
      <c r="F228" s="2" t="s">
        <v>265</v>
      </c>
      <c r="G228" s="5">
        <v>46223</v>
      </c>
      <c r="H228" s="5">
        <v>46287</v>
      </c>
      <c r="I228" s="4" t="s">
        <v>17</v>
      </c>
      <c r="J228" s="6">
        <f t="shared" si="13"/>
        <v>64</v>
      </c>
      <c r="K228" s="4" t="str">
        <f t="shared" ca="1" si="14"/>
        <v>No</v>
      </c>
      <c r="L228" s="7">
        <f t="shared" ca="1" si="16"/>
        <v>79</v>
      </c>
      <c r="M228" s="4" t="str">
        <f>IF($I228="Complete","Green",IF($H228="","Amber",IF($H228&lt;'[2]Read Me'!$B$4,"Red",IF($H228-'[2]Read Me'!$B$4&lt;=21,"Amber","Green"))))</f>
        <v>Green</v>
      </c>
      <c r="N228" s="3"/>
      <c r="O228" t="str">
        <f>IF($I228&lt;&gt;"Complete",IF(COUNTIFS($A$4:$A227,$A228,$B$4:$B227,$B228,$I$4:$I227,"&lt;&gt;Complete")=0,$A228&amp;"|"&amp;$B228,""),"")</f>
        <v/>
      </c>
      <c r="P228" t="str">
        <f ca="1">IF($K228="Yes",COUNTIFS($K$4:$K228,"Yes"),"")</f>
        <v/>
      </c>
      <c r="Q228">
        <f t="shared" ca="1" si="15"/>
        <v>0</v>
      </c>
      <c r="R228" t="str">
        <f ca="1">IF($Q228=1,SUM($Q$4:$Q228),"")</f>
        <v/>
      </c>
    </row>
    <row r="229" spans="1:18" ht="22.5" customHeight="1" x14ac:dyDescent="0.3">
      <c r="A229" s="2" t="s">
        <v>320</v>
      </c>
      <c r="B229" s="2" t="s">
        <v>62</v>
      </c>
      <c r="C229" s="3" t="s">
        <v>320</v>
      </c>
      <c r="D229" s="3" t="s">
        <v>754</v>
      </c>
      <c r="E229" s="2" t="s">
        <v>751</v>
      </c>
      <c r="F229" s="2" t="s">
        <v>265</v>
      </c>
      <c r="G229" s="5">
        <v>46237</v>
      </c>
      <c r="H229" s="5">
        <v>46301</v>
      </c>
      <c r="I229" s="4" t="s">
        <v>17</v>
      </c>
      <c r="J229" s="6">
        <f t="shared" si="13"/>
        <v>64</v>
      </c>
      <c r="K229" s="4" t="str">
        <f t="shared" ca="1" si="14"/>
        <v>No</v>
      </c>
      <c r="L229" s="7">
        <f t="shared" ca="1" si="16"/>
        <v>93</v>
      </c>
      <c r="M229" s="4" t="str">
        <f>IF($I229="Complete","Green",IF($H229="","Amber",IF($H229&lt;'[2]Read Me'!$B$4,"Red",IF($H229-'[2]Read Me'!$B$4&lt;=21,"Amber","Green"))))</f>
        <v>Green</v>
      </c>
      <c r="N229" s="3"/>
      <c r="O229" t="str">
        <f>IF($I229&lt;&gt;"Complete",IF(COUNTIFS($A$4:$A228,$A229,$B$4:$B228,$B229,$I$4:$I228,"&lt;&gt;Complete")=0,$A229&amp;"|"&amp;$B229,""),"")</f>
        <v/>
      </c>
      <c r="P229" t="str">
        <f ca="1">IF($K229="Yes",COUNTIFS($K$4:$K229,"Yes"),"")</f>
        <v/>
      </c>
      <c r="Q229">
        <f t="shared" ca="1" si="15"/>
        <v>0</v>
      </c>
      <c r="R229" t="str">
        <f ca="1">IF($Q229=1,SUM($Q$4:$Q229),"")</f>
        <v/>
      </c>
    </row>
    <row r="230" spans="1:18" ht="22.5" customHeight="1" x14ac:dyDescent="0.3">
      <c r="A230" s="2" t="s">
        <v>320</v>
      </c>
      <c r="B230" s="2" t="s">
        <v>62</v>
      </c>
      <c r="C230" s="3" t="s">
        <v>320</v>
      </c>
      <c r="D230" s="3" t="s">
        <v>14</v>
      </c>
      <c r="E230" s="2" t="s">
        <v>751</v>
      </c>
      <c r="F230" s="2" t="s">
        <v>750</v>
      </c>
      <c r="G230" s="5">
        <v>46272</v>
      </c>
      <c r="H230" s="5">
        <v>46336</v>
      </c>
      <c r="I230" s="4" t="s">
        <v>17</v>
      </c>
      <c r="J230" s="6">
        <f t="shared" si="13"/>
        <v>64</v>
      </c>
      <c r="K230" s="4" t="str">
        <f t="shared" ca="1" si="14"/>
        <v>No</v>
      </c>
      <c r="L230" s="7">
        <f t="shared" ca="1" si="16"/>
        <v>128</v>
      </c>
      <c r="M230" s="4" t="str">
        <f>IF($I230="Complete","Green",IF($H230="","Amber",IF($H230&lt;'[2]Read Me'!$B$4,"Red",IF($H230-'[2]Read Me'!$B$4&lt;=21,"Amber","Green"))))</f>
        <v>Green</v>
      </c>
      <c r="N230" s="3"/>
      <c r="O230" t="str">
        <f>IF($I230&lt;&gt;"Complete",IF(COUNTIFS($A$4:$A229,$A230,$B$4:$B229,$B230,$I$4:$I229,"&lt;&gt;Complete")=0,$A230&amp;"|"&amp;$B230,""),"")</f>
        <v/>
      </c>
      <c r="P230" t="str">
        <f ca="1">IF($K230="Yes",COUNTIFS($K$4:$K230,"Yes"),"")</f>
        <v/>
      </c>
      <c r="Q230">
        <f t="shared" ca="1" si="15"/>
        <v>0</v>
      </c>
      <c r="R230" t="str">
        <f ca="1">IF($Q230=1,SUM($Q$4:$Q230),"")</f>
        <v/>
      </c>
    </row>
    <row r="231" spans="1:18" ht="22.5" customHeight="1" x14ac:dyDescent="0.3">
      <c r="A231" s="2" t="s">
        <v>320</v>
      </c>
      <c r="B231" s="2" t="s">
        <v>62</v>
      </c>
      <c r="C231" s="3" t="s">
        <v>320</v>
      </c>
      <c r="D231" s="3" t="s">
        <v>342</v>
      </c>
      <c r="E231" s="2" t="s">
        <v>751</v>
      </c>
      <c r="F231" s="2" t="s">
        <v>265</v>
      </c>
      <c r="G231" s="5">
        <v>46286</v>
      </c>
      <c r="H231" s="5">
        <v>46350</v>
      </c>
      <c r="I231" s="4" t="s">
        <v>17</v>
      </c>
      <c r="J231" s="6">
        <f t="shared" si="13"/>
        <v>64</v>
      </c>
      <c r="K231" s="4" t="str">
        <f t="shared" ca="1" si="14"/>
        <v>No</v>
      </c>
      <c r="L231" s="7">
        <f t="shared" ca="1" si="16"/>
        <v>142</v>
      </c>
      <c r="M231" s="4" t="str">
        <f>IF($I231="Complete","Green",IF($H231="","Amber",IF($H231&lt;'[2]Read Me'!$B$4,"Red",IF($H231-'[2]Read Me'!$B$4&lt;=21,"Amber","Green"))))</f>
        <v>Green</v>
      </c>
      <c r="N231" s="3"/>
      <c r="O231" t="str">
        <f>IF($I231&lt;&gt;"Complete",IF(COUNTIFS($A$4:$A230,$A231,$B$4:$B230,$B231,$I$4:$I230,"&lt;&gt;Complete")=0,$A231&amp;"|"&amp;$B231,""),"")</f>
        <v/>
      </c>
      <c r="P231" t="str">
        <f ca="1">IF($K231="Yes",COUNTIFS($K$4:$K231,"Yes"),"")</f>
        <v/>
      </c>
      <c r="Q231">
        <f t="shared" ca="1" si="15"/>
        <v>0</v>
      </c>
      <c r="R231" t="str">
        <f ca="1">IF($Q231=1,SUM($Q$4:$Q231),"")</f>
        <v/>
      </c>
    </row>
    <row r="232" spans="1:18" ht="22.5" customHeight="1" x14ac:dyDescent="0.3">
      <c r="A232" s="2" t="s">
        <v>320</v>
      </c>
      <c r="B232" s="2" t="s">
        <v>62</v>
      </c>
      <c r="C232" s="3" t="s">
        <v>320</v>
      </c>
      <c r="D232" s="3" t="s">
        <v>34</v>
      </c>
      <c r="E232" s="2" t="s">
        <v>751</v>
      </c>
      <c r="F232" s="2" t="s">
        <v>265</v>
      </c>
      <c r="G232" s="5">
        <v>46286</v>
      </c>
      <c r="H232" s="5">
        <v>46350</v>
      </c>
      <c r="I232" s="4" t="s">
        <v>17</v>
      </c>
      <c r="J232" s="6">
        <f t="shared" si="13"/>
        <v>64</v>
      </c>
      <c r="K232" s="4" t="str">
        <f t="shared" ca="1" si="14"/>
        <v>No</v>
      </c>
      <c r="L232" s="7">
        <f t="shared" ca="1" si="16"/>
        <v>142</v>
      </c>
      <c r="M232" s="4" t="str">
        <f>IF($I232="Complete","Green",IF($H232="","Amber",IF($H232&lt;'[2]Read Me'!$B$4,"Red",IF($H232-'[2]Read Me'!$B$4&lt;=21,"Amber","Green"))))</f>
        <v>Green</v>
      </c>
      <c r="N232" s="3"/>
      <c r="O232" t="str">
        <f>IF($I232&lt;&gt;"Complete",IF(COUNTIFS($A$4:$A231,$A232,$B$4:$B231,$B232,$I$4:$I231,"&lt;&gt;Complete")=0,$A232&amp;"|"&amp;$B232,""),"")</f>
        <v/>
      </c>
      <c r="P232" t="str">
        <f ca="1">IF($K232="Yes",COUNTIFS($K$4:$K232,"Yes"),"")</f>
        <v/>
      </c>
      <c r="Q232">
        <f t="shared" ca="1" si="15"/>
        <v>0</v>
      </c>
      <c r="R232" t="str">
        <f ca="1">IF($Q232=1,SUM($Q$4:$Q232),"")</f>
        <v/>
      </c>
    </row>
    <row r="233" spans="1:18" ht="22.5" customHeight="1" x14ac:dyDescent="0.3">
      <c r="A233" s="2" t="s">
        <v>320</v>
      </c>
      <c r="B233" s="2" t="s">
        <v>62</v>
      </c>
      <c r="C233" s="3" t="s">
        <v>320</v>
      </c>
      <c r="D233" s="3" t="s">
        <v>343</v>
      </c>
      <c r="E233" s="2" t="s">
        <v>751</v>
      </c>
      <c r="F233" s="2" t="s">
        <v>265</v>
      </c>
      <c r="G233" s="5">
        <v>46293</v>
      </c>
      <c r="H233" s="5">
        <v>46357</v>
      </c>
      <c r="I233" s="4" t="s">
        <v>17</v>
      </c>
      <c r="J233" s="6">
        <f t="shared" si="13"/>
        <v>64</v>
      </c>
      <c r="K233" s="4" t="str">
        <f t="shared" ca="1" si="14"/>
        <v>No</v>
      </c>
      <c r="L233" s="7">
        <f t="shared" ca="1" si="16"/>
        <v>149</v>
      </c>
      <c r="M233" s="4" t="str">
        <f>IF($I233="Complete","Green",IF($H233="","Amber",IF($H233&lt;'[2]Read Me'!$B$4,"Red",IF($H233-'[2]Read Me'!$B$4&lt;=21,"Amber","Green"))))</f>
        <v>Green</v>
      </c>
      <c r="N233" s="3"/>
      <c r="O233" t="str">
        <f>IF($I233&lt;&gt;"Complete",IF(COUNTIFS($A$4:$A232,$A233,$B$4:$B232,$B233,$I$4:$I232,"&lt;&gt;Complete")=0,$A233&amp;"|"&amp;$B233,""),"")</f>
        <v/>
      </c>
      <c r="P233" t="str">
        <f ca="1">IF($K233="Yes",COUNTIFS($K$4:$K233,"Yes"),"")</f>
        <v/>
      </c>
      <c r="Q233">
        <f t="shared" ca="1" si="15"/>
        <v>0</v>
      </c>
      <c r="R233" t="str">
        <f ca="1">IF($Q233=1,SUM($Q$4:$Q233),"")</f>
        <v/>
      </c>
    </row>
    <row r="234" spans="1:18" ht="22.5" customHeight="1" x14ac:dyDescent="0.3">
      <c r="A234" s="2" t="s">
        <v>320</v>
      </c>
      <c r="B234" s="2" t="s">
        <v>62</v>
      </c>
      <c r="C234" s="3" t="s">
        <v>320</v>
      </c>
      <c r="D234" s="3" t="s">
        <v>755</v>
      </c>
      <c r="E234" s="2" t="s">
        <v>751</v>
      </c>
      <c r="F234" s="2" t="s">
        <v>750</v>
      </c>
      <c r="G234" s="5">
        <v>46356</v>
      </c>
      <c r="H234" s="5">
        <v>46420</v>
      </c>
      <c r="I234" s="4" t="s">
        <v>17</v>
      </c>
      <c r="J234" s="6">
        <f t="shared" si="13"/>
        <v>64</v>
      </c>
      <c r="K234" s="4" t="str">
        <f t="shared" ca="1" si="14"/>
        <v>No</v>
      </c>
      <c r="L234" s="7">
        <f t="shared" ca="1" si="16"/>
        <v>212</v>
      </c>
      <c r="M234" s="4" t="str">
        <f>IF($I234="Complete","Green",IF($H234="","Amber",IF($H234&lt;'[2]Read Me'!$B$4,"Red",IF($H234-'[2]Read Me'!$B$4&lt;=21,"Amber","Green"))))</f>
        <v>Green</v>
      </c>
      <c r="N234" s="3"/>
      <c r="O234" t="str">
        <f>IF($I234&lt;&gt;"Complete",IF(COUNTIFS($A$4:$A233,$A234,$B$4:$B233,$B234,$I$4:$I233,"&lt;&gt;Complete")=0,$A234&amp;"|"&amp;$B234,""),"")</f>
        <v/>
      </c>
      <c r="P234" t="str">
        <f ca="1">IF($K234="Yes",COUNTIFS($K$4:$K234,"Yes"),"")</f>
        <v/>
      </c>
      <c r="Q234">
        <f t="shared" ca="1" si="15"/>
        <v>0</v>
      </c>
      <c r="R234" t="str">
        <f ca="1">IF($Q234=1,SUM($Q$4:$Q234),"")</f>
        <v/>
      </c>
    </row>
    <row r="235" spans="1:18" ht="22.5" customHeight="1" x14ac:dyDescent="0.3">
      <c r="A235" s="2" t="s">
        <v>320</v>
      </c>
      <c r="B235" s="2" t="s">
        <v>62</v>
      </c>
      <c r="C235" s="3" t="s">
        <v>320</v>
      </c>
      <c r="D235" s="3" t="s">
        <v>83</v>
      </c>
      <c r="E235" s="2" t="s">
        <v>751</v>
      </c>
      <c r="F235" s="2" t="s">
        <v>265</v>
      </c>
      <c r="G235" s="5">
        <v>46384</v>
      </c>
      <c r="H235" s="5">
        <v>46448</v>
      </c>
      <c r="I235" s="4" t="s">
        <v>17</v>
      </c>
      <c r="J235" s="6">
        <f t="shared" si="13"/>
        <v>64</v>
      </c>
      <c r="K235" s="4" t="str">
        <f t="shared" ca="1" si="14"/>
        <v>No</v>
      </c>
      <c r="L235" s="7">
        <f t="shared" ca="1" si="16"/>
        <v>240</v>
      </c>
      <c r="M235" s="4" t="str">
        <f>IF($I235="Complete","Green",IF($H235="","Amber",IF($H235&lt;'[2]Read Me'!$B$4,"Red",IF($H235-'[2]Read Me'!$B$4&lt;=21,"Amber","Green"))))</f>
        <v>Green</v>
      </c>
      <c r="N235" s="3"/>
      <c r="O235" t="str">
        <f>IF($I235&lt;&gt;"Complete",IF(COUNTIFS($A$4:$A234,$A235,$B$4:$B234,$B235,$I$4:$I234,"&lt;&gt;Complete")=0,$A235&amp;"|"&amp;$B235,""),"")</f>
        <v/>
      </c>
      <c r="P235" t="str">
        <f ca="1">IF($K235="Yes",COUNTIFS($K$4:$K235,"Yes"),"")</f>
        <v/>
      </c>
      <c r="Q235">
        <f t="shared" ca="1" si="15"/>
        <v>0</v>
      </c>
      <c r="R235" t="str">
        <f ca="1">IF($Q235=1,SUM($Q$4:$Q235),"")</f>
        <v/>
      </c>
    </row>
    <row r="236" spans="1:18" ht="22.5" customHeight="1" x14ac:dyDescent="0.3">
      <c r="A236" s="2" t="s">
        <v>320</v>
      </c>
      <c r="B236" s="2" t="s">
        <v>62</v>
      </c>
      <c r="C236" s="3" t="s">
        <v>320</v>
      </c>
      <c r="D236" s="3" t="s">
        <v>342</v>
      </c>
      <c r="E236" s="2" t="s">
        <v>751</v>
      </c>
      <c r="F236" s="2" t="s">
        <v>265</v>
      </c>
      <c r="G236" s="5">
        <v>46370</v>
      </c>
      <c r="H236" s="5">
        <v>46434</v>
      </c>
      <c r="I236" s="4" t="s">
        <v>17</v>
      </c>
      <c r="J236" s="6">
        <f t="shared" si="13"/>
        <v>64</v>
      </c>
      <c r="K236" s="4" t="str">
        <f t="shared" ca="1" si="14"/>
        <v>No</v>
      </c>
      <c r="L236" s="7">
        <f t="shared" ca="1" si="16"/>
        <v>226</v>
      </c>
      <c r="M236" s="4" t="str">
        <f>IF($I236="Complete","Green",IF($H236="","Amber",IF($H236&lt;'[2]Read Me'!$B$4,"Red",IF($H236-'[2]Read Me'!$B$4&lt;=21,"Amber","Green"))))</f>
        <v>Green</v>
      </c>
      <c r="N236" s="3"/>
      <c r="O236" t="str">
        <f>IF($I236&lt;&gt;"Complete",IF(COUNTIFS($A$4:$A235,$A236,$B$4:$B235,$B236,$I$4:$I235,"&lt;&gt;Complete")=0,$A236&amp;"|"&amp;$B236,""),"")</f>
        <v/>
      </c>
      <c r="P236" t="str">
        <f ca="1">IF($K236="Yes",COUNTIFS($K$4:$K236,"Yes"),"")</f>
        <v/>
      </c>
      <c r="Q236">
        <f t="shared" ca="1" si="15"/>
        <v>0</v>
      </c>
      <c r="R236" t="str">
        <f ca="1">IF($Q236=1,SUM($Q$4:$Q236),"")</f>
        <v/>
      </c>
    </row>
    <row r="237" spans="1:18" ht="22.5" customHeight="1" x14ac:dyDescent="0.3">
      <c r="A237" s="2" t="s">
        <v>320</v>
      </c>
      <c r="B237" s="2" t="s">
        <v>62</v>
      </c>
      <c r="C237" s="3" t="s">
        <v>320</v>
      </c>
      <c r="D237" s="3" t="s">
        <v>35</v>
      </c>
      <c r="E237" s="2" t="s">
        <v>751</v>
      </c>
      <c r="F237" s="2" t="s">
        <v>265</v>
      </c>
      <c r="G237" s="5">
        <v>46370</v>
      </c>
      <c r="H237" s="5">
        <v>46434</v>
      </c>
      <c r="I237" s="4" t="s">
        <v>17</v>
      </c>
      <c r="J237" s="6">
        <f t="shared" si="13"/>
        <v>64</v>
      </c>
      <c r="K237" s="4" t="str">
        <f t="shared" ca="1" si="14"/>
        <v>No</v>
      </c>
      <c r="L237" s="7">
        <f t="shared" ca="1" si="16"/>
        <v>226</v>
      </c>
      <c r="M237" s="4" t="str">
        <f>IF($I237="Complete","Green",IF($H237="","Amber",IF($H237&lt;'[2]Read Me'!$B$4,"Red",IF($H237-'[2]Read Me'!$B$4&lt;=21,"Amber","Green"))))</f>
        <v>Green</v>
      </c>
      <c r="N237" s="3"/>
      <c r="O237" t="str">
        <f>IF($I237&lt;&gt;"Complete",IF(COUNTIFS($A$4:$A236,$A237,$B$4:$B236,$B237,$I$4:$I236,"&lt;&gt;Complete")=0,$A237&amp;"|"&amp;$B237,""),"")</f>
        <v/>
      </c>
      <c r="P237" t="str">
        <f ca="1">IF($K237="Yes",COUNTIFS($K$4:$K237,"Yes"),"")</f>
        <v/>
      </c>
      <c r="Q237">
        <f t="shared" ca="1" si="15"/>
        <v>0</v>
      </c>
      <c r="R237" t="str">
        <f ca="1">IF($Q237=1,SUM($Q$4:$Q237),"")</f>
        <v/>
      </c>
    </row>
    <row r="238" spans="1:18" ht="22.5" customHeight="1" x14ac:dyDescent="0.3">
      <c r="A238" s="2" t="s">
        <v>320</v>
      </c>
      <c r="B238" s="2" t="s">
        <v>62</v>
      </c>
      <c r="C238" s="3" t="s">
        <v>320</v>
      </c>
      <c r="D238" s="3" t="s">
        <v>343</v>
      </c>
      <c r="E238" s="2" t="s">
        <v>751</v>
      </c>
      <c r="F238" s="2" t="s">
        <v>265</v>
      </c>
      <c r="G238" s="5">
        <v>46377</v>
      </c>
      <c r="H238" s="5">
        <v>46441</v>
      </c>
      <c r="I238" s="4" t="s">
        <v>17</v>
      </c>
      <c r="J238" s="6">
        <f t="shared" si="13"/>
        <v>64</v>
      </c>
      <c r="K238" s="4" t="str">
        <f t="shared" ca="1" si="14"/>
        <v>No</v>
      </c>
      <c r="L238" s="7">
        <f t="shared" ca="1" si="16"/>
        <v>233</v>
      </c>
      <c r="M238" s="4" t="str">
        <f>IF($I238="Complete","Green",IF($H238="","Amber",IF($H238&lt;'[2]Read Me'!$B$4,"Red",IF($H238-'[2]Read Me'!$B$4&lt;=21,"Amber","Green"))))</f>
        <v>Green</v>
      </c>
      <c r="N238" s="3"/>
      <c r="O238" t="str">
        <f>IF($I238&lt;&gt;"Complete",IF(COUNTIFS($A$4:$A237,$A238,$B$4:$B237,$B238,$I$4:$I237,"&lt;&gt;Complete")=0,$A238&amp;"|"&amp;$B238,""),"")</f>
        <v/>
      </c>
      <c r="P238" t="str">
        <f ca="1">IF($K238="Yes",COUNTIFS($K$4:$K238,"Yes"),"")</f>
        <v/>
      </c>
      <c r="Q238">
        <f t="shared" ca="1" si="15"/>
        <v>0</v>
      </c>
      <c r="R238" t="str">
        <f ca="1">IF($Q238=1,SUM($Q$4:$Q238),"")</f>
        <v/>
      </c>
    </row>
    <row r="239" spans="1:18" ht="22.5" customHeight="1" x14ac:dyDescent="0.3">
      <c r="A239" s="2" t="s">
        <v>320</v>
      </c>
      <c r="B239" s="2" t="s">
        <v>62</v>
      </c>
      <c r="C239" s="3" t="s">
        <v>320</v>
      </c>
      <c r="D239" s="3" t="s">
        <v>354</v>
      </c>
      <c r="E239" s="2" t="s">
        <v>751</v>
      </c>
      <c r="F239" s="2" t="s">
        <v>265</v>
      </c>
      <c r="G239" s="5">
        <v>46377</v>
      </c>
      <c r="H239" s="5">
        <v>46441</v>
      </c>
      <c r="I239" s="4" t="s">
        <v>17</v>
      </c>
      <c r="J239" s="6">
        <f t="shared" si="13"/>
        <v>64</v>
      </c>
      <c r="K239" s="4" t="str">
        <f t="shared" ca="1" si="14"/>
        <v>No</v>
      </c>
      <c r="L239" s="7">
        <f t="shared" ca="1" si="16"/>
        <v>233</v>
      </c>
      <c r="M239" s="4" t="str">
        <f>IF($I239="Complete","Green",IF($H239="","Amber",IF($H239&lt;'[2]Read Me'!$B$4,"Red",IF($H239-'[2]Read Me'!$B$4&lt;=21,"Amber","Green"))))</f>
        <v>Green</v>
      </c>
      <c r="N239" s="3"/>
      <c r="O239" t="str">
        <f>IF($I239&lt;&gt;"Complete",IF(COUNTIFS($A$4:$A238,$A239,$B$4:$B238,$B239,$I$4:$I238,"&lt;&gt;Complete")=0,$A239&amp;"|"&amp;$B239,""),"")</f>
        <v/>
      </c>
      <c r="P239" t="str">
        <f ca="1">IF($K239="Yes",COUNTIFS($K$4:$K239,"Yes"),"")</f>
        <v/>
      </c>
      <c r="Q239">
        <f t="shared" ca="1" si="15"/>
        <v>0</v>
      </c>
      <c r="R239" t="str">
        <f ca="1">IF($Q239=1,SUM($Q$4:$Q239),"")</f>
        <v/>
      </c>
    </row>
    <row r="240" spans="1:18" ht="22.5" customHeight="1" x14ac:dyDescent="0.3">
      <c r="A240" s="2" t="s">
        <v>320</v>
      </c>
      <c r="B240" s="2" t="s">
        <v>62</v>
      </c>
      <c r="C240" s="3" t="s">
        <v>320</v>
      </c>
      <c r="D240" s="3" t="s">
        <v>675</v>
      </c>
      <c r="E240" s="2"/>
      <c r="F240" s="2" t="s">
        <v>265</v>
      </c>
      <c r="G240" s="5">
        <v>46377</v>
      </c>
      <c r="H240" s="5">
        <v>46441</v>
      </c>
      <c r="I240" s="4" t="s">
        <v>17</v>
      </c>
      <c r="J240" s="6">
        <f t="shared" si="13"/>
        <v>64</v>
      </c>
      <c r="K240" s="4" t="str">
        <f t="shared" ca="1" si="14"/>
        <v>No</v>
      </c>
      <c r="L240" s="7">
        <f t="shared" ca="1" si="16"/>
        <v>233</v>
      </c>
      <c r="M240" s="4" t="str">
        <f>IF($I240="Complete","Green",IF($H240="","Amber",IF($H240&lt;'[2]Read Me'!$B$4,"Red",IF($H240-'[2]Read Me'!$B$4&lt;=21,"Amber","Green"))))</f>
        <v>Green</v>
      </c>
      <c r="N240" s="3"/>
      <c r="O240" t="str">
        <f>IF($I240&lt;&gt;"Complete",IF(COUNTIFS($A$4:$A239,$A240,$B$4:$B239,$B240,$I$4:$I239,"&lt;&gt;Complete")=0,$A240&amp;"|"&amp;$B240,""),"")</f>
        <v/>
      </c>
      <c r="P240" t="str">
        <f ca="1">IF($K240="Yes",COUNTIFS($K$4:$K240,"Yes"),"")</f>
        <v/>
      </c>
      <c r="Q240">
        <f t="shared" ca="1" si="15"/>
        <v>0</v>
      </c>
      <c r="R240" t="str">
        <f ca="1">IF($Q240=1,SUM($Q$4:$Q240),"")</f>
        <v/>
      </c>
    </row>
    <row r="241" spans="1:18" ht="22.5" customHeight="1" x14ac:dyDescent="0.3">
      <c r="A241" s="2" t="s">
        <v>320</v>
      </c>
      <c r="B241" s="2" t="s">
        <v>62</v>
      </c>
      <c r="C241" s="3" t="s">
        <v>320</v>
      </c>
      <c r="D241" s="3" t="s">
        <v>183</v>
      </c>
      <c r="E241" s="2"/>
      <c r="F241" s="2" t="s">
        <v>265</v>
      </c>
      <c r="G241" s="5">
        <v>46384</v>
      </c>
      <c r="H241" s="5">
        <v>46448</v>
      </c>
      <c r="I241" s="4" t="s">
        <v>17</v>
      </c>
      <c r="J241" s="6">
        <f t="shared" si="13"/>
        <v>64</v>
      </c>
      <c r="K241" s="4" t="str">
        <f t="shared" ca="1" si="14"/>
        <v>No</v>
      </c>
      <c r="L241" s="7">
        <f t="shared" ca="1" si="16"/>
        <v>240</v>
      </c>
      <c r="M241" s="4" t="str">
        <f>IF($I241="Complete","Green",IF($H241="","Amber",IF($H241&lt;'[2]Read Me'!$B$4,"Red",IF($H241-'[2]Read Me'!$B$4&lt;=21,"Amber","Green"))))</f>
        <v>Green</v>
      </c>
      <c r="N241" s="3"/>
      <c r="O241" t="str">
        <f>IF($I241&lt;&gt;"Complete",IF(COUNTIFS($A$4:$A240,$A241,$B$4:$B240,$B241,$I$4:$I240,"&lt;&gt;Complete")=0,$A241&amp;"|"&amp;$B241,""),"")</f>
        <v/>
      </c>
      <c r="P241" t="str">
        <f ca="1">IF($K241="Yes",COUNTIFS($K$4:$K241,"Yes"),"")</f>
        <v/>
      </c>
      <c r="Q241">
        <f t="shared" ca="1" si="15"/>
        <v>0</v>
      </c>
      <c r="R241" t="str">
        <f ca="1">IF($Q241=1,SUM($Q$4:$Q241),"")</f>
        <v/>
      </c>
    </row>
    <row r="242" spans="1:18" ht="22.5" customHeight="1" x14ac:dyDescent="0.3">
      <c r="A242" s="2" t="s">
        <v>320</v>
      </c>
      <c r="B242" s="2" t="s">
        <v>62</v>
      </c>
      <c r="C242" s="3" t="s">
        <v>320</v>
      </c>
      <c r="D242" s="3" t="s">
        <v>16</v>
      </c>
      <c r="E242" s="2"/>
      <c r="F242" s="2" t="s">
        <v>750</v>
      </c>
      <c r="G242" s="5">
        <v>46419</v>
      </c>
      <c r="H242" s="5">
        <v>46483</v>
      </c>
      <c r="I242" s="4" t="s">
        <v>17</v>
      </c>
      <c r="J242" s="6">
        <f t="shared" si="13"/>
        <v>64</v>
      </c>
      <c r="K242" s="4" t="str">
        <f t="shared" ca="1" si="14"/>
        <v>No</v>
      </c>
      <c r="L242" s="7">
        <f t="shared" ca="1" si="16"/>
        <v>275</v>
      </c>
      <c r="M242" s="4" t="str">
        <f>IF($I242="Complete","Green",IF($H242="","Amber",IF($H242&lt;'[2]Read Me'!$B$4,"Red",IF($H242-'[2]Read Me'!$B$4&lt;=21,"Amber","Green"))))</f>
        <v>Green</v>
      </c>
      <c r="N242" s="3"/>
      <c r="O242" t="str">
        <f>IF($I242&lt;&gt;"Complete",IF(COUNTIFS($A$4:$A241,$A242,$B$4:$B241,$B242,$I$4:$I241,"&lt;&gt;Complete")=0,$A242&amp;"|"&amp;$B242,""),"")</f>
        <v/>
      </c>
      <c r="P242" t="str">
        <f ca="1">IF($K242="Yes",COUNTIFS($K$4:$K242,"Yes"),"")</f>
        <v/>
      </c>
      <c r="Q242">
        <f t="shared" ca="1" si="15"/>
        <v>0</v>
      </c>
      <c r="R242" t="str">
        <f ca="1">IF($Q242=1,SUM($Q$4:$Q242),"")</f>
        <v/>
      </c>
    </row>
    <row r="243" spans="1:18" ht="22.5" customHeight="1" x14ac:dyDescent="0.3">
      <c r="A243" s="2" t="s">
        <v>320</v>
      </c>
      <c r="B243" s="2" t="s">
        <v>62</v>
      </c>
      <c r="C243" s="3" t="s">
        <v>320</v>
      </c>
      <c r="D243" s="3" t="s">
        <v>37</v>
      </c>
      <c r="E243" s="2"/>
      <c r="F243" s="2" t="s">
        <v>265</v>
      </c>
      <c r="G243" s="5">
        <v>46433</v>
      </c>
      <c r="H243" s="5">
        <v>46497</v>
      </c>
      <c r="I243" s="4" t="s">
        <v>17</v>
      </c>
      <c r="J243" s="6">
        <f t="shared" si="13"/>
        <v>64</v>
      </c>
      <c r="K243" s="4" t="str">
        <f t="shared" ca="1" si="14"/>
        <v>No</v>
      </c>
      <c r="L243" s="7">
        <f t="shared" ca="1" si="16"/>
        <v>289</v>
      </c>
      <c r="M243" s="4" t="str">
        <f>IF($I243="Complete","Green",IF($H243="","Amber",IF($H243&lt;'[2]Read Me'!$B$4,"Red",IF($H243-'[2]Read Me'!$B$4&lt;=21,"Amber","Green"))))</f>
        <v>Green</v>
      </c>
      <c r="N243" s="3"/>
      <c r="O243" t="str">
        <f>IF($I243&lt;&gt;"Complete",IF(COUNTIFS($A$4:$A242,$A243,$B$4:$B242,$B243,$I$4:$I242,"&lt;&gt;Complete")=0,$A243&amp;"|"&amp;$B243,""),"")</f>
        <v/>
      </c>
      <c r="P243" t="str">
        <f ca="1">IF($K243="Yes",COUNTIFS($K$4:$K243,"Yes"),"")</f>
        <v/>
      </c>
      <c r="Q243">
        <f t="shared" ca="1" si="15"/>
        <v>0</v>
      </c>
      <c r="R243" t="str">
        <f ca="1">IF($Q243=1,SUM($Q$4:$Q243),"")</f>
        <v/>
      </c>
    </row>
    <row r="244" spans="1:18" ht="22.5" customHeight="1" x14ac:dyDescent="0.3">
      <c r="A244" s="2" t="s">
        <v>756</v>
      </c>
      <c r="B244" s="2" t="s">
        <v>140</v>
      </c>
      <c r="C244" s="3"/>
      <c r="D244" s="3"/>
      <c r="E244" s="2"/>
      <c r="F244" s="2"/>
      <c r="G244" s="5">
        <v>46230</v>
      </c>
      <c r="H244" s="5">
        <v>46294</v>
      </c>
      <c r="I244" s="4"/>
      <c r="J244" s="6">
        <f t="shared" si="13"/>
        <v>64</v>
      </c>
      <c r="K244" s="4" t="str">
        <f t="shared" ref="K244:K264" ca="1" si="17">IF($H244="","",IF($H244&gt;TODAY(),"No","Yes"))</f>
        <v>No</v>
      </c>
      <c r="L244" s="7">
        <f t="shared" ca="1" si="16"/>
        <v>86</v>
      </c>
      <c r="M244" s="4" t="str">
        <f>IF($I244="Complete","Green",IF($H244="","Amber",IF($H244&lt;'[2]Read Me'!$B$4,"Red",IF($H244-'[2]Read Me'!$B$4&lt;=21,"Amber","Green"))))</f>
        <v>Green</v>
      </c>
      <c r="N244" s="3"/>
      <c r="O244" t="str">
        <f>IF($I244&lt;&gt;"Complete",IF(COUNTIFS($A$4:$A243,$A244,$B$4:$B243,$B244,$I$4:$I243,"&lt;&gt;Complete")=0,$A244&amp;"|"&amp;$B244,""),"")</f>
        <v>Masterplan - Hotel|Masterplan</v>
      </c>
      <c r="P244" t="str">
        <f ca="1">IF($K244="Yes",COUNTIFS($K$4:$K244,"Yes"),"")</f>
        <v/>
      </c>
      <c r="Q244">
        <f t="shared" ca="1" si="15"/>
        <v>0</v>
      </c>
      <c r="R244" t="str">
        <f ca="1">IF($Q244=1,SUM($Q$4:$Q244),"")</f>
        <v/>
      </c>
    </row>
    <row r="245" spans="1:18" ht="22.5" customHeight="1" x14ac:dyDescent="0.3">
      <c r="A245" s="2" t="s">
        <v>756</v>
      </c>
      <c r="B245" s="2" t="s">
        <v>140</v>
      </c>
      <c r="C245" s="3" t="s">
        <v>756</v>
      </c>
      <c r="D245" s="3" t="s">
        <v>15</v>
      </c>
      <c r="E245" s="2"/>
      <c r="F245" s="2"/>
      <c r="G245" s="5">
        <v>46188</v>
      </c>
      <c r="H245" s="5">
        <v>46252</v>
      </c>
      <c r="I245" s="4" t="s">
        <v>17</v>
      </c>
      <c r="J245" s="6">
        <f t="shared" si="13"/>
        <v>64</v>
      </c>
      <c r="K245" s="4" t="str">
        <f t="shared" ca="1" si="17"/>
        <v>No</v>
      </c>
      <c r="L245" s="7">
        <f t="shared" ca="1" si="16"/>
        <v>44</v>
      </c>
      <c r="M245" s="4" t="str">
        <f>IF($I245="Complete","Green",IF($H245="","Amber",IF($H245&lt;'[2]Read Me'!$B$4,"Red",IF($H245-'[2]Read Me'!$B$4&lt;=21,"Amber","Green"))))</f>
        <v>Green</v>
      </c>
      <c r="N245" s="3"/>
      <c r="O245" t="str">
        <f>IF($I245&lt;&gt;"Complete",IF(COUNTIFS($A$4:$A244,$A245,$B$4:$B244,$B245,$I$4:$I244,"&lt;&gt;Complete")=0,$A245&amp;"|"&amp;$B245,""),"")</f>
        <v/>
      </c>
      <c r="P245" t="str">
        <f ca="1">IF($K245="Yes",COUNTIFS($K$4:$K245,"Yes"),"")</f>
        <v/>
      </c>
      <c r="Q245">
        <f t="shared" ca="1" si="15"/>
        <v>0</v>
      </c>
      <c r="R245" t="str">
        <f ca="1">IF($Q245=1,SUM($Q$4:$Q245),"")</f>
        <v/>
      </c>
    </row>
    <row r="246" spans="1:18" ht="22.5" customHeight="1" x14ac:dyDescent="0.3">
      <c r="A246" s="2" t="s">
        <v>756</v>
      </c>
      <c r="B246" s="2" t="s">
        <v>140</v>
      </c>
      <c r="C246" s="3" t="s">
        <v>756</v>
      </c>
      <c r="D246" s="3" t="s">
        <v>271</v>
      </c>
      <c r="E246" s="2"/>
      <c r="F246" s="2"/>
      <c r="G246" s="5">
        <v>46216</v>
      </c>
      <c r="H246" s="5">
        <v>46280</v>
      </c>
      <c r="I246" s="4" t="s">
        <v>17</v>
      </c>
      <c r="J246" s="6">
        <f t="shared" si="13"/>
        <v>64</v>
      </c>
      <c r="K246" s="4" t="str">
        <f t="shared" ca="1" si="17"/>
        <v>No</v>
      </c>
      <c r="L246" s="7">
        <f t="shared" ca="1" si="16"/>
        <v>72</v>
      </c>
      <c r="M246" s="4" t="str">
        <f>IF($I246="Complete","Green",IF($H246="","Amber",IF($H246&lt;'[2]Read Me'!$B$4,"Red",IF($H246-'[2]Read Me'!$B$4&lt;=21,"Amber","Green"))))</f>
        <v>Green</v>
      </c>
      <c r="N246" s="3"/>
      <c r="O246" t="str">
        <f>IF($I246&lt;&gt;"Complete",IF(COUNTIFS($A$4:$A245,$A246,$B$4:$B245,$B246,$I$4:$I245,"&lt;&gt;Complete")=0,$A246&amp;"|"&amp;$B246,""),"")</f>
        <v/>
      </c>
      <c r="P246" t="str">
        <f ca="1">IF($K246="Yes",COUNTIFS($K$4:$K246,"Yes"),"")</f>
        <v/>
      </c>
      <c r="Q246">
        <f t="shared" ca="1" si="15"/>
        <v>0</v>
      </c>
      <c r="R246" t="str">
        <f ca="1">IF($Q246=1,SUM($Q$4:$Q246),"")</f>
        <v/>
      </c>
    </row>
    <row r="247" spans="1:18" ht="22.5" customHeight="1" x14ac:dyDescent="0.3">
      <c r="A247" s="2" t="s">
        <v>756</v>
      </c>
      <c r="B247" s="2" t="s">
        <v>140</v>
      </c>
      <c r="C247" s="3" t="s">
        <v>756</v>
      </c>
      <c r="D247" s="3" t="s">
        <v>35</v>
      </c>
      <c r="E247" s="2"/>
      <c r="F247" s="2"/>
      <c r="G247" s="5">
        <v>46230</v>
      </c>
      <c r="H247" s="5">
        <v>46294</v>
      </c>
      <c r="I247" s="4" t="s">
        <v>17</v>
      </c>
      <c r="J247" s="6">
        <f t="shared" si="13"/>
        <v>64</v>
      </c>
      <c r="K247" s="4" t="str">
        <f t="shared" ca="1" si="17"/>
        <v>No</v>
      </c>
      <c r="L247" s="7">
        <f t="shared" ca="1" si="16"/>
        <v>86</v>
      </c>
      <c r="M247" s="4" t="str">
        <f>IF($I247="Complete","Green",IF($H247="","Amber",IF($H247&lt;'[2]Read Me'!$B$4,"Red",IF($H247-'[2]Read Me'!$B$4&lt;=21,"Amber","Green"))))</f>
        <v>Green</v>
      </c>
      <c r="N247" s="3"/>
      <c r="O247" t="str">
        <f>IF($I247&lt;&gt;"Complete",IF(COUNTIFS($A$4:$A246,$A247,$B$4:$B246,$B247,$I$4:$I246,"&lt;&gt;Complete")=0,$A247&amp;"|"&amp;$B247,""),"")</f>
        <v/>
      </c>
      <c r="P247" t="str">
        <f ca="1">IF($K247="Yes",COUNTIFS($K$4:$K247,"Yes"),"")</f>
        <v/>
      </c>
      <c r="Q247">
        <f t="shared" ca="1" si="15"/>
        <v>0</v>
      </c>
      <c r="R247" t="str">
        <f ca="1">IF($Q247=1,SUM($Q$4:$Q247),"")</f>
        <v/>
      </c>
    </row>
    <row r="248" spans="1:18" ht="22.5" customHeight="1" x14ac:dyDescent="0.3">
      <c r="A248" s="2" t="s">
        <v>757</v>
      </c>
      <c r="B248" s="2" t="s">
        <v>21</v>
      </c>
      <c r="C248" s="3"/>
      <c r="D248" s="3"/>
      <c r="E248" s="2"/>
      <c r="F248" s="2"/>
      <c r="G248" s="5">
        <v>46320</v>
      </c>
      <c r="H248" s="5">
        <v>46407</v>
      </c>
      <c r="I248" s="4"/>
      <c r="J248" s="6">
        <f t="shared" si="13"/>
        <v>87</v>
      </c>
      <c r="K248" s="4" t="str">
        <f t="shared" ca="1" si="17"/>
        <v>No</v>
      </c>
      <c r="L248" s="7">
        <f t="shared" ca="1" si="16"/>
        <v>199</v>
      </c>
      <c r="M248" s="4" t="str">
        <f>IF($I248="Complete","Green",IF($H248="","Amber",IF($H248&lt;'[2]Read Me'!$B$4,"Red",IF($H248-'[2]Read Me'!$B$4&lt;=21,"Amber","Green"))))</f>
        <v>Green</v>
      </c>
      <c r="N248" s="3"/>
      <c r="O248" t="str">
        <f>IF($I248&lt;&gt;"Complete",IF(COUNTIFS($A$4:$A247,$A248,$B$4:$B247,$B248,$I$4:$I247,"&lt;&gt;Complete")=0,$A248&amp;"|"&amp;$B248,""),"")</f>
        <v>Landscape - Hotel|Landscape</v>
      </c>
      <c r="P248" t="str">
        <f ca="1">IF($K248="Yes",COUNTIFS($K$4:$K248,"Yes"),"")</f>
        <v/>
      </c>
      <c r="Q248">
        <f t="shared" ca="1" si="15"/>
        <v>0</v>
      </c>
      <c r="R248" t="str">
        <f ca="1">IF($Q248=1,SUM($Q$4:$Q248),"")</f>
        <v/>
      </c>
    </row>
    <row r="249" spans="1:18" ht="22.5" customHeight="1" x14ac:dyDescent="0.3">
      <c r="A249" s="2" t="s">
        <v>757</v>
      </c>
      <c r="B249" s="2" t="s">
        <v>21</v>
      </c>
      <c r="C249" s="3" t="s">
        <v>757</v>
      </c>
      <c r="D249" s="3" t="s">
        <v>758</v>
      </c>
      <c r="E249" s="2" t="s">
        <v>759</v>
      </c>
      <c r="F249" s="2" t="s">
        <v>277</v>
      </c>
      <c r="G249" s="5">
        <v>46117</v>
      </c>
      <c r="H249" s="5">
        <v>46204</v>
      </c>
      <c r="I249" s="4" t="s">
        <v>46</v>
      </c>
      <c r="J249" s="6">
        <f t="shared" si="13"/>
        <v>87</v>
      </c>
      <c r="K249" s="4" t="str">
        <f t="shared" ca="1" si="17"/>
        <v>Yes</v>
      </c>
      <c r="L249" s="7">
        <f t="shared" ca="1" si="16"/>
        <v>-4</v>
      </c>
      <c r="M249" s="4" t="str">
        <f>IF($I249="Complete","Green",IF($H249="","Amber",IF($H249&lt;'[2]Read Me'!$B$4,"Red",IF($H249-'[2]Read Me'!$B$4&lt;=21,"Amber","Green"))))</f>
        <v>Amber</v>
      </c>
      <c r="N249" s="3"/>
      <c r="O249" t="str">
        <f>IF($I249&lt;&gt;"Complete",IF(COUNTIFS($A$4:$A248,$A249,$B$4:$B248,$B249,$I$4:$I248,"&lt;&gt;Complete")=0,$A249&amp;"|"&amp;$B249,""),"")</f>
        <v/>
      </c>
      <c r="P249">
        <f ca="1">IF($K249="Yes",COUNTIFS($K$4:$K249,"Yes"),"")</f>
        <v>12</v>
      </c>
      <c r="Q249">
        <f t="shared" ca="1" si="15"/>
        <v>1</v>
      </c>
      <c r="R249">
        <f ca="1">IF($Q249=1,SUM($Q$4:$Q249),"")</f>
        <v>12</v>
      </c>
    </row>
    <row r="250" spans="1:18" ht="22.5" customHeight="1" x14ac:dyDescent="0.3">
      <c r="A250" s="2" t="s">
        <v>757</v>
      </c>
      <c r="B250" s="2" t="s">
        <v>21</v>
      </c>
      <c r="C250" s="3" t="s">
        <v>757</v>
      </c>
      <c r="D250" s="3" t="s">
        <v>725</v>
      </c>
      <c r="E250" s="2" t="s">
        <v>759</v>
      </c>
      <c r="F250" s="2" t="s">
        <v>277</v>
      </c>
      <c r="G250" s="5">
        <v>46138</v>
      </c>
      <c r="H250" s="5">
        <v>46225</v>
      </c>
      <c r="I250" s="4" t="s">
        <v>17</v>
      </c>
      <c r="J250" s="6">
        <f t="shared" si="13"/>
        <v>87</v>
      </c>
      <c r="K250" s="4" t="str">
        <f t="shared" ca="1" si="17"/>
        <v>No</v>
      </c>
      <c r="L250" s="7">
        <f t="shared" ca="1" si="16"/>
        <v>17</v>
      </c>
      <c r="M250" s="4" t="str">
        <f>IF($I250="Complete","Green",IF($H250="","Amber",IF($H250&lt;'[2]Read Me'!$B$4,"Red",IF($H250-'[2]Read Me'!$B$4&lt;=21,"Amber","Green"))))</f>
        <v>Green</v>
      </c>
      <c r="N250" s="8"/>
      <c r="O250" t="str">
        <f>IF($I250&lt;&gt;"Complete",IF(COUNTIFS($A$4:$A249,$A250,$B$4:$B249,$B250,$I$4:$I249,"&lt;&gt;Complete")=0,$A250&amp;"|"&amp;$B250,""),"")</f>
        <v/>
      </c>
      <c r="P250" t="str">
        <f ca="1">IF($K250="Yes",COUNTIFS($K$4:$K250,"Yes"),"")</f>
        <v/>
      </c>
      <c r="Q250">
        <f t="shared" ca="1" si="15"/>
        <v>0</v>
      </c>
      <c r="R250" t="str">
        <f ca="1">IF($Q250=1,SUM($Q$4:$Q250),"")</f>
        <v/>
      </c>
    </row>
    <row r="251" spans="1:18" ht="22.5" customHeight="1" x14ac:dyDescent="0.3">
      <c r="A251" s="2" t="s">
        <v>757</v>
      </c>
      <c r="B251" s="2" t="s">
        <v>21</v>
      </c>
      <c r="C251" s="3" t="s">
        <v>757</v>
      </c>
      <c r="D251" s="3" t="s">
        <v>235</v>
      </c>
      <c r="E251" s="2" t="s">
        <v>759</v>
      </c>
      <c r="F251" s="2" t="s">
        <v>265</v>
      </c>
      <c r="G251" s="5">
        <v>46145</v>
      </c>
      <c r="H251" s="5">
        <v>46232</v>
      </c>
      <c r="I251" s="4" t="s">
        <v>17</v>
      </c>
      <c r="J251" s="6">
        <f t="shared" si="13"/>
        <v>87</v>
      </c>
      <c r="K251" s="4" t="str">
        <f t="shared" ca="1" si="17"/>
        <v>No</v>
      </c>
      <c r="L251" s="7">
        <f t="shared" ca="1" si="16"/>
        <v>24</v>
      </c>
      <c r="M251" s="4" t="str">
        <f>IF($I251="Complete","Green",IF($H251="","Amber",IF($H251&lt;'[2]Read Me'!$B$4,"Red",IF($H251-'[2]Read Me'!$B$4&lt;=21,"Amber","Green"))))</f>
        <v>Green</v>
      </c>
      <c r="N251" s="3"/>
      <c r="O251" t="str">
        <f>IF($I251&lt;&gt;"Complete",IF(COUNTIFS($A$4:$A250,$A251,$B$4:$B250,$B251,$I$4:$I250,"&lt;&gt;Complete")=0,$A251&amp;"|"&amp;$B251,""),"")</f>
        <v/>
      </c>
      <c r="P251" t="str">
        <f ca="1">IF($K251="Yes",COUNTIFS($K$4:$K251,"Yes"),"")</f>
        <v/>
      </c>
      <c r="Q251">
        <f t="shared" ca="1" si="15"/>
        <v>0</v>
      </c>
      <c r="R251" t="str">
        <f ca="1">IF($Q251=1,SUM($Q$4:$Q251),"")</f>
        <v/>
      </c>
    </row>
    <row r="252" spans="1:18" ht="22.5" customHeight="1" x14ac:dyDescent="0.3">
      <c r="A252" s="2" t="s">
        <v>757</v>
      </c>
      <c r="B252" s="2" t="s">
        <v>21</v>
      </c>
      <c r="C252" s="3" t="s">
        <v>757</v>
      </c>
      <c r="D252" s="3" t="s">
        <v>98</v>
      </c>
      <c r="E252" s="2" t="s">
        <v>759</v>
      </c>
      <c r="F252" s="2" t="s">
        <v>277</v>
      </c>
      <c r="G252" s="5">
        <v>46166</v>
      </c>
      <c r="H252" s="5">
        <v>46253</v>
      </c>
      <c r="I252" s="4" t="s">
        <v>17</v>
      </c>
      <c r="J252" s="6">
        <f t="shared" si="13"/>
        <v>87</v>
      </c>
      <c r="K252" s="4" t="str">
        <f t="shared" ca="1" si="17"/>
        <v>No</v>
      </c>
      <c r="L252" s="7">
        <f t="shared" ca="1" si="16"/>
        <v>45</v>
      </c>
      <c r="M252" s="4" t="str">
        <f>IF($I252="Complete","Green",IF($H252="","Amber",IF($H252&lt;'[2]Read Me'!$B$4,"Red",IF($H252-'[2]Read Me'!$B$4&lt;=21,"Amber","Green"))))</f>
        <v>Green</v>
      </c>
      <c r="N252" s="3"/>
      <c r="O252" t="str">
        <f>IF($I252&lt;&gt;"Complete",IF(COUNTIFS($A$4:$A251,$A252,$B$4:$B251,$B252,$I$4:$I251,"&lt;&gt;Complete")=0,$A252&amp;"|"&amp;$B252,""),"")</f>
        <v/>
      </c>
      <c r="P252" t="str">
        <f ca="1">IF($K252="Yes",COUNTIFS($K$4:$K252,"Yes"),"")</f>
        <v/>
      </c>
      <c r="Q252">
        <f t="shared" ca="1" si="15"/>
        <v>0</v>
      </c>
      <c r="R252" t="str">
        <f ca="1">IF($Q252=1,SUM($Q$4:$Q252),"")</f>
        <v/>
      </c>
    </row>
    <row r="253" spans="1:18" ht="22.5" customHeight="1" x14ac:dyDescent="0.3">
      <c r="A253" s="2" t="s">
        <v>757</v>
      </c>
      <c r="B253" s="2" t="s">
        <v>21</v>
      </c>
      <c r="C253" s="3" t="s">
        <v>757</v>
      </c>
      <c r="D253" s="3" t="s">
        <v>47</v>
      </c>
      <c r="E253" s="2" t="s">
        <v>759</v>
      </c>
      <c r="F253" s="2" t="s">
        <v>265</v>
      </c>
      <c r="G253" s="5">
        <v>46180</v>
      </c>
      <c r="H253" s="5">
        <v>46267</v>
      </c>
      <c r="I253" s="4" t="s">
        <v>17</v>
      </c>
      <c r="J253" s="6">
        <f t="shared" si="13"/>
        <v>87</v>
      </c>
      <c r="K253" s="4" t="str">
        <f t="shared" ca="1" si="17"/>
        <v>No</v>
      </c>
      <c r="L253" s="7">
        <f t="shared" ca="1" si="16"/>
        <v>59</v>
      </c>
      <c r="M253" s="4" t="str">
        <f>IF($I253="Complete","Green",IF($H253="","Amber",IF($H253&lt;'[2]Read Me'!$B$4,"Red",IF($H253-'[2]Read Me'!$B$4&lt;=21,"Amber","Green"))))</f>
        <v>Green</v>
      </c>
      <c r="N253" s="3"/>
      <c r="O253" t="str">
        <f>IF($I253&lt;&gt;"Complete",IF(COUNTIFS($A$4:$A252,$A253,$B$4:$B252,$B253,$I$4:$I252,"&lt;&gt;Complete")=0,$A253&amp;"|"&amp;$B253,""),"")</f>
        <v/>
      </c>
      <c r="P253" t="str">
        <f ca="1">IF($K253="Yes",COUNTIFS($K$4:$K253,"Yes"),"")</f>
        <v/>
      </c>
      <c r="Q253">
        <f t="shared" ca="1" si="15"/>
        <v>0</v>
      </c>
      <c r="R253" t="str">
        <f ca="1">IF($Q253=1,SUM($Q$4:$Q253),"")</f>
        <v/>
      </c>
    </row>
    <row r="254" spans="1:18" ht="22.5" customHeight="1" x14ac:dyDescent="0.3">
      <c r="A254" s="2" t="s">
        <v>757</v>
      </c>
      <c r="B254" s="2" t="s">
        <v>21</v>
      </c>
      <c r="C254" s="3" t="s">
        <v>757</v>
      </c>
      <c r="D254" s="3" t="s">
        <v>133</v>
      </c>
      <c r="E254" s="2" t="s">
        <v>759</v>
      </c>
      <c r="F254" s="2" t="s">
        <v>277</v>
      </c>
      <c r="G254" s="5">
        <v>46208</v>
      </c>
      <c r="H254" s="5">
        <v>46295</v>
      </c>
      <c r="I254" s="4" t="s">
        <v>17</v>
      </c>
      <c r="J254" s="6">
        <f t="shared" si="13"/>
        <v>87</v>
      </c>
      <c r="K254" s="4" t="str">
        <f t="shared" ca="1" si="17"/>
        <v>No</v>
      </c>
      <c r="L254" s="7">
        <f t="shared" ca="1" si="16"/>
        <v>87</v>
      </c>
      <c r="M254" s="4" t="str">
        <f>IF($I254="Complete","Green",IF($H254="","Amber",IF($H254&lt;'[2]Read Me'!$B$4,"Red",IF($H254-'[2]Read Me'!$B$4&lt;=21,"Amber","Green"))))</f>
        <v>Green</v>
      </c>
      <c r="N254" s="3"/>
      <c r="O254" t="str">
        <f>IF($I254&lt;&gt;"Complete",IF(COUNTIFS($A$4:$A253,$A254,$B$4:$B253,$B254,$I$4:$I253,"&lt;&gt;Complete")=0,$A254&amp;"|"&amp;$B254,""),"")</f>
        <v/>
      </c>
      <c r="P254" t="str">
        <f ca="1">IF($K254="Yes",COUNTIFS($K$4:$K254,"Yes"),"")</f>
        <v/>
      </c>
      <c r="Q254">
        <f t="shared" ca="1" si="15"/>
        <v>0</v>
      </c>
      <c r="R254" t="str">
        <f ca="1">IF($Q254=1,SUM($Q$4:$Q254),"")</f>
        <v/>
      </c>
    </row>
    <row r="255" spans="1:18" ht="22.5" customHeight="1" x14ac:dyDescent="0.3">
      <c r="A255" s="2" t="s">
        <v>757</v>
      </c>
      <c r="B255" s="2" t="s">
        <v>21</v>
      </c>
      <c r="C255" s="3" t="s">
        <v>757</v>
      </c>
      <c r="D255" s="3" t="s">
        <v>134</v>
      </c>
      <c r="E255" s="2" t="s">
        <v>759</v>
      </c>
      <c r="F255" s="2" t="s">
        <v>265</v>
      </c>
      <c r="G255" s="5">
        <v>46222</v>
      </c>
      <c r="H255" s="5">
        <v>46309</v>
      </c>
      <c r="I255" s="4" t="s">
        <v>17</v>
      </c>
      <c r="J255" s="6">
        <f t="shared" si="13"/>
        <v>87</v>
      </c>
      <c r="K255" s="4" t="str">
        <f t="shared" ca="1" si="17"/>
        <v>No</v>
      </c>
      <c r="L255" s="7">
        <f t="shared" ca="1" si="16"/>
        <v>101</v>
      </c>
      <c r="M255" s="4" t="str">
        <f>IF($I255="Complete","Green",IF($H255="","Amber",IF($H255&lt;'[2]Read Me'!$B$4,"Red",IF($H255-'[2]Read Me'!$B$4&lt;=21,"Amber","Green"))))</f>
        <v>Green</v>
      </c>
      <c r="N255" s="3"/>
      <c r="O255" t="str">
        <f>IF($I255&lt;&gt;"Complete",IF(COUNTIFS($A$4:$A254,$A255,$B$4:$B254,$B255,$I$4:$I254,"&lt;&gt;Complete")=0,$A255&amp;"|"&amp;$B255,""),"")</f>
        <v/>
      </c>
      <c r="P255" t="str">
        <f ca="1">IF($K255="Yes",COUNTIFS($K$4:$K255,"Yes"),"")</f>
        <v/>
      </c>
      <c r="Q255">
        <f t="shared" ca="1" si="15"/>
        <v>0</v>
      </c>
      <c r="R255" t="str">
        <f ca="1">IF($Q255=1,SUM($Q$4:$Q255),"")</f>
        <v/>
      </c>
    </row>
    <row r="256" spans="1:18" ht="22.5" customHeight="1" x14ac:dyDescent="0.3">
      <c r="A256" s="2" t="s">
        <v>757</v>
      </c>
      <c r="B256" s="2" t="s">
        <v>21</v>
      </c>
      <c r="C256" s="3" t="s">
        <v>757</v>
      </c>
      <c r="D256" s="3" t="s">
        <v>18</v>
      </c>
      <c r="E256" s="2" t="s">
        <v>759</v>
      </c>
      <c r="F256" s="2" t="s">
        <v>277</v>
      </c>
      <c r="G256" s="5">
        <v>46250</v>
      </c>
      <c r="H256" s="5">
        <v>46337</v>
      </c>
      <c r="I256" s="4" t="s">
        <v>17</v>
      </c>
      <c r="J256" s="6">
        <f t="shared" si="13"/>
        <v>87</v>
      </c>
      <c r="K256" s="4" t="str">
        <f t="shared" ca="1" si="17"/>
        <v>No</v>
      </c>
      <c r="L256" s="7">
        <f t="shared" ca="1" si="16"/>
        <v>129</v>
      </c>
      <c r="M256" s="4" t="str">
        <f>IF($I256="Complete","Green",IF($H256="","Amber",IF($H256&lt;'[2]Read Me'!$B$4,"Red",IF($H256-'[2]Read Me'!$B$4&lt;=21,"Amber","Green"))))</f>
        <v>Green</v>
      </c>
      <c r="N256" s="3"/>
      <c r="O256" t="str">
        <f>IF($I256&lt;&gt;"Complete",IF(COUNTIFS($A$4:$A255,$A256,$B$4:$B255,$B256,$I$4:$I255,"&lt;&gt;Complete")=0,$A256&amp;"|"&amp;$B256,""),"")</f>
        <v/>
      </c>
      <c r="P256" t="str">
        <f ca="1">IF($K256="Yes",COUNTIFS($K$4:$K256,"Yes"),"")</f>
        <v/>
      </c>
      <c r="Q256">
        <f t="shared" ca="1" si="15"/>
        <v>0</v>
      </c>
      <c r="R256" t="str">
        <f ca="1">IF($Q256=1,SUM($Q$4:$Q256),"")</f>
        <v/>
      </c>
    </row>
    <row r="257" spans="1:18" ht="22.5" customHeight="1" x14ac:dyDescent="0.3">
      <c r="A257" s="2" t="s">
        <v>757</v>
      </c>
      <c r="B257" s="2" t="s">
        <v>21</v>
      </c>
      <c r="C257" s="3" t="s">
        <v>757</v>
      </c>
      <c r="D257" s="3" t="s">
        <v>32</v>
      </c>
      <c r="E257" s="2" t="s">
        <v>759</v>
      </c>
      <c r="F257" s="2" t="s">
        <v>265</v>
      </c>
      <c r="G257" s="5">
        <v>46264</v>
      </c>
      <c r="H257" s="5">
        <v>46351</v>
      </c>
      <c r="I257" s="4" t="s">
        <v>17</v>
      </c>
      <c r="J257" s="6">
        <f t="shared" si="13"/>
        <v>87</v>
      </c>
      <c r="K257" s="4" t="str">
        <f t="shared" ca="1" si="17"/>
        <v>No</v>
      </c>
      <c r="L257" s="7">
        <f t="shared" ca="1" si="16"/>
        <v>143</v>
      </c>
      <c r="M257" s="4" t="str">
        <f>IF($I257="Complete","Green",IF($H257="","Amber",IF($H257&lt;'[2]Read Me'!$B$4,"Red",IF($H257-'[2]Read Me'!$B$4&lt;=21,"Amber","Green"))))</f>
        <v>Green</v>
      </c>
      <c r="N257" s="3"/>
      <c r="O257" t="str">
        <f>IF($I257&lt;&gt;"Complete",IF(COUNTIFS($A$4:$A256,$A257,$B$4:$B256,$B257,$I$4:$I256,"&lt;&gt;Complete")=0,$A257&amp;"|"&amp;$B257,""),"")</f>
        <v/>
      </c>
      <c r="P257" t="str">
        <f ca="1">IF($K257="Yes",COUNTIFS($K$4:$K257,"Yes"),"")</f>
        <v/>
      </c>
      <c r="Q257">
        <f t="shared" ca="1" si="15"/>
        <v>0</v>
      </c>
      <c r="R257" t="str">
        <f ca="1">IF($Q257=1,SUM($Q$4:$Q257),"")</f>
        <v/>
      </c>
    </row>
    <row r="258" spans="1:18" ht="45" customHeight="1" x14ac:dyDescent="0.3">
      <c r="A258" s="2" t="s">
        <v>757</v>
      </c>
      <c r="B258" s="2" t="s">
        <v>21</v>
      </c>
      <c r="C258" s="3" t="s">
        <v>757</v>
      </c>
      <c r="D258" s="3" t="s">
        <v>15</v>
      </c>
      <c r="E258" s="2" t="s">
        <v>759</v>
      </c>
      <c r="F258" s="2" t="s">
        <v>277</v>
      </c>
      <c r="G258" s="5">
        <v>46306</v>
      </c>
      <c r="H258" s="5">
        <v>46393</v>
      </c>
      <c r="I258" s="4" t="s">
        <v>17</v>
      </c>
      <c r="J258" s="6">
        <f t="shared" si="13"/>
        <v>87</v>
      </c>
      <c r="K258" s="4" t="str">
        <f t="shared" ca="1" si="17"/>
        <v>No</v>
      </c>
      <c r="L258" s="7">
        <f t="shared" ca="1" si="16"/>
        <v>185</v>
      </c>
      <c r="M258" s="4" t="str">
        <f>IF($I258="Complete","Green",IF($H258="","Amber",IF($H258&lt;'[2]Read Me'!$B$4,"Red",IF($H258-'[2]Read Me'!$B$4&lt;=21,"Amber","Green"))))</f>
        <v>Green</v>
      </c>
      <c r="N258" s="3"/>
      <c r="O258" t="str">
        <f>IF($I258&lt;&gt;"Complete",IF(COUNTIFS($A$4:$A257,$A258,$B$4:$B257,$B258,$I$4:$I257,"&lt;&gt;Complete")=0,$A258&amp;"|"&amp;$B258,""),"")</f>
        <v/>
      </c>
      <c r="P258" t="str">
        <f ca="1">IF($K258="Yes",COUNTIFS($K$4:$K258,"Yes"),"")</f>
        <v/>
      </c>
      <c r="Q258">
        <f t="shared" ca="1" si="15"/>
        <v>0</v>
      </c>
      <c r="R258" t="str">
        <f ca="1">IF($Q258=1,SUM($Q$4:$Q258),"")</f>
        <v/>
      </c>
    </row>
    <row r="259" spans="1:18" ht="45" customHeight="1" x14ac:dyDescent="0.3">
      <c r="A259" s="2" t="s">
        <v>757</v>
      </c>
      <c r="B259" s="2" t="s">
        <v>21</v>
      </c>
      <c r="C259" s="3" t="s">
        <v>757</v>
      </c>
      <c r="D259" s="3" t="s">
        <v>35</v>
      </c>
      <c r="E259" s="2" t="s">
        <v>759</v>
      </c>
      <c r="F259" s="2" t="s">
        <v>265</v>
      </c>
      <c r="G259" s="5">
        <v>46320</v>
      </c>
      <c r="H259" s="5">
        <v>46407</v>
      </c>
      <c r="I259" s="4" t="s">
        <v>17</v>
      </c>
      <c r="J259" s="6">
        <f t="shared" si="13"/>
        <v>87</v>
      </c>
      <c r="K259" s="4" t="str">
        <f t="shared" ca="1" si="17"/>
        <v>No</v>
      </c>
      <c r="L259" s="7">
        <f t="shared" ca="1" si="16"/>
        <v>199</v>
      </c>
      <c r="M259" s="4" t="str">
        <f>IF($I259="Complete","Green",IF($H259="","Amber",IF($H259&lt;'[2]Read Me'!$B$4,"Red",IF($H259-'[2]Read Me'!$B$4&lt;=21,"Amber","Green"))))</f>
        <v>Green</v>
      </c>
      <c r="N259" s="3"/>
      <c r="O259" t="str">
        <f>IF($I259&lt;&gt;"Complete",IF(COUNTIFS($A$4:$A258,$A259,$B$4:$B258,$B259,$I$4:$I258,"&lt;&gt;Complete")=0,$A259&amp;"|"&amp;$B259,""),"")</f>
        <v/>
      </c>
      <c r="P259" t="str">
        <f ca="1">IF($K259="Yes",COUNTIFS($K$4:$K259,"Yes"),"")</f>
        <v/>
      </c>
      <c r="Q259">
        <f t="shared" ca="1" si="15"/>
        <v>0</v>
      </c>
      <c r="R259" t="str">
        <f ca="1">IF($Q259=1,SUM($Q$4:$Q259),"")</f>
        <v/>
      </c>
    </row>
    <row r="260" spans="1:18" ht="45" customHeight="1" x14ac:dyDescent="0.3">
      <c r="A260" s="2" t="s">
        <v>760</v>
      </c>
      <c r="B260" s="2" t="s">
        <v>41</v>
      </c>
      <c r="C260" s="3"/>
      <c r="D260" s="3"/>
      <c r="E260" s="2"/>
      <c r="F260" s="2"/>
      <c r="G260" s="5">
        <v>46300</v>
      </c>
      <c r="H260" s="5">
        <v>46364</v>
      </c>
      <c r="I260" s="4"/>
      <c r="J260" s="6">
        <f t="shared" ref="J260:J323" si="18">IF(OR($G260="",$H260=""),"",$H260-$G260)</f>
        <v>64</v>
      </c>
      <c r="K260" s="4" t="str">
        <f t="shared" ca="1" si="17"/>
        <v>No</v>
      </c>
      <c r="L260" s="7">
        <f t="shared" ca="1" si="16"/>
        <v>156</v>
      </c>
      <c r="M260" s="4" t="str">
        <f>IF($I260="Complete","Green",IF($H260="","Amber",IF($H260&lt;'[2]Read Me'!$B$4,"Red",IF($H260-'[2]Read Me'!$B$4&lt;=21,"Amber","Green"))))</f>
        <v>Green</v>
      </c>
      <c r="N260" s="3"/>
      <c r="O260" t="str">
        <f>IF($I260&lt;&gt;"Complete",IF(COUNTIFS($A$4:$A259,$A260,$B$4:$B259,$B260,$I$4:$I259,"&lt;&gt;Complete")=0,$A260&amp;"|"&amp;$B260,""),"")</f>
        <v>Interior - Hotel|Fit-out</v>
      </c>
      <c r="P260" t="str">
        <f ca="1">IF($K260="Yes",COUNTIFS($K$4:$K260,"Yes"),"")</f>
        <v/>
      </c>
      <c r="Q260">
        <f t="shared" ref="Q260:Q312" ca="1" si="19">IF(OR($I260="In Progress",$K260="Yes"),1,0)</f>
        <v>0</v>
      </c>
      <c r="R260" t="str">
        <f ca="1">IF($Q260=1,SUM($Q$4:$Q260),"")</f>
        <v/>
      </c>
    </row>
    <row r="261" spans="1:18" ht="45" customHeight="1" x14ac:dyDescent="0.3">
      <c r="A261" s="2" t="s">
        <v>760</v>
      </c>
      <c r="B261" s="2" t="s">
        <v>41</v>
      </c>
      <c r="C261" s="3" t="s">
        <v>760</v>
      </c>
      <c r="D261" s="3" t="s">
        <v>98</v>
      </c>
      <c r="E261" s="2"/>
      <c r="F261" s="2" t="s">
        <v>750</v>
      </c>
      <c r="G261" s="5">
        <v>46202</v>
      </c>
      <c r="H261" s="5">
        <v>46266</v>
      </c>
      <c r="I261" s="4" t="s">
        <v>17</v>
      </c>
      <c r="J261" s="6">
        <f t="shared" si="18"/>
        <v>64</v>
      </c>
      <c r="K261" s="4" t="str">
        <f t="shared" ca="1" si="17"/>
        <v>No</v>
      </c>
      <c r="L261" s="7">
        <f t="shared" ref="L261:L324" ca="1" si="20">IF(I261="Completed",0,IF(H261="","",H261-TODAY()))</f>
        <v>58</v>
      </c>
      <c r="M261" s="4" t="str">
        <f>IF($I261="Complete","Green",IF($H261="","Amber",IF($H261&lt;'[2]Read Me'!$B$4,"Red",IF($H261-'[2]Read Me'!$B$4&lt;=21,"Amber","Green"))))</f>
        <v>Green</v>
      </c>
      <c r="N261" s="3"/>
      <c r="O261" t="str">
        <f>IF($I261&lt;&gt;"Complete",IF(COUNTIFS($A$4:$A260,$A261,$B$4:$B260,$B261,$I$4:$I260,"&lt;&gt;Complete")=0,$A261&amp;"|"&amp;$B261,""),"")</f>
        <v/>
      </c>
      <c r="P261" t="str">
        <f ca="1">IF($K261="Yes",COUNTIFS($K$4:$K261,"Yes"),"")</f>
        <v/>
      </c>
      <c r="Q261">
        <f t="shared" ca="1" si="19"/>
        <v>0</v>
      </c>
      <c r="R261" t="str">
        <f ca="1">IF($Q261=1,SUM($Q$4:$Q261),"")</f>
        <v/>
      </c>
    </row>
    <row r="262" spans="1:18" ht="45" customHeight="1" x14ac:dyDescent="0.3">
      <c r="A262" s="2" t="s">
        <v>760</v>
      </c>
      <c r="B262" s="2" t="s">
        <v>41</v>
      </c>
      <c r="C262" s="3" t="s">
        <v>760</v>
      </c>
      <c r="D262" s="3" t="s">
        <v>18</v>
      </c>
      <c r="E262" s="2"/>
      <c r="F262" s="2" t="s">
        <v>750</v>
      </c>
      <c r="G262" s="5">
        <v>46244</v>
      </c>
      <c r="H262" s="5">
        <v>46308</v>
      </c>
      <c r="I262" s="4" t="s">
        <v>17</v>
      </c>
      <c r="J262" s="6">
        <f t="shared" si="18"/>
        <v>64</v>
      </c>
      <c r="K262" s="4" t="str">
        <f t="shared" ca="1" si="17"/>
        <v>No</v>
      </c>
      <c r="L262" s="7">
        <f t="shared" ca="1" si="20"/>
        <v>100</v>
      </c>
      <c r="M262" s="4" t="str">
        <f>IF($I262="Complete","Green",IF($H262="","Amber",IF($H262&lt;'[2]Read Me'!$B$4,"Red",IF($H262-'[2]Read Me'!$B$4&lt;=21,"Amber","Green"))))</f>
        <v>Green</v>
      </c>
      <c r="N262" s="3"/>
      <c r="O262" t="str">
        <f>IF($I262&lt;&gt;"Complete",IF(COUNTIFS($A$4:$A261,$A262,$B$4:$B261,$B262,$I$4:$I261,"&lt;&gt;Complete")=0,$A262&amp;"|"&amp;$B262,""),"")</f>
        <v/>
      </c>
      <c r="P262" t="str">
        <f ca="1">IF($K262="Yes",COUNTIFS($K$4:$K262,"Yes"),"")</f>
        <v/>
      </c>
      <c r="Q262">
        <f t="shared" ca="1" si="19"/>
        <v>0</v>
      </c>
      <c r="R262" t="str">
        <f ca="1">IF($Q262=1,SUM($Q$4:$Q262),"")</f>
        <v/>
      </c>
    </row>
    <row r="263" spans="1:18" ht="45" customHeight="1" x14ac:dyDescent="0.3">
      <c r="A263" s="2" t="s">
        <v>760</v>
      </c>
      <c r="B263" s="2" t="s">
        <v>41</v>
      </c>
      <c r="C263" s="3" t="s">
        <v>760</v>
      </c>
      <c r="D263" s="3" t="s">
        <v>15</v>
      </c>
      <c r="E263" s="2"/>
      <c r="F263" s="2" t="s">
        <v>750</v>
      </c>
      <c r="G263" s="5">
        <v>46300</v>
      </c>
      <c r="H263" s="5">
        <v>46364</v>
      </c>
      <c r="I263" s="4" t="s">
        <v>17</v>
      </c>
      <c r="J263" s="6">
        <f t="shared" si="18"/>
        <v>64</v>
      </c>
      <c r="K263" s="4" t="str">
        <f t="shared" ca="1" si="17"/>
        <v>No</v>
      </c>
      <c r="L263" s="7">
        <f t="shared" ca="1" si="20"/>
        <v>156</v>
      </c>
      <c r="M263" s="4" t="str">
        <f>IF($I263="Complete","Green",IF($H263="","Amber",IF($H263&lt;'[2]Read Me'!$B$4,"Red",IF($H263-'[2]Read Me'!$B$4&lt;=21,"Amber","Green"))))</f>
        <v>Green</v>
      </c>
      <c r="N263" s="3"/>
      <c r="O263" t="str">
        <f>IF($I263&lt;&gt;"Complete",IF(COUNTIFS($A$4:$A262,$A263,$B$4:$B262,$B263,$I$4:$I262,"&lt;&gt;Complete")=0,$A263&amp;"|"&amp;$B263,""),"")</f>
        <v/>
      </c>
      <c r="P263" t="str">
        <f ca="1">IF($K263="Yes",COUNTIFS($K$4:$K263,"Yes"),"")</f>
        <v/>
      </c>
      <c r="Q263">
        <f t="shared" ca="1" si="19"/>
        <v>0</v>
      </c>
      <c r="R263" t="str">
        <f ca="1">IF($Q263=1,SUM($Q$4:$Q263),"")</f>
        <v/>
      </c>
    </row>
    <row r="264" spans="1:18" ht="45" customHeight="1" x14ac:dyDescent="0.3">
      <c r="A264" s="2" t="s">
        <v>761</v>
      </c>
      <c r="B264" s="2" t="s">
        <v>49</v>
      </c>
      <c r="C264" s="3"/>
      <c r="D264" s="3"/>
      <c r="E264" s="2"/>
      <c r="F264" s="2"/>
      <c r="G264" s="5">
        <v>46503</v>
      </c>
      <c r="H264" s="5">
        <v>46567</v>
      </c>
      <c r="I264" s="4"/>
      <c r="J264" s="6">
        <f t="shared" si="18"/>
        <v>64</v>
      </c>
      <c r="K264" s="4" t="str">
        <f t="shared" ca="1" si="17"/>
        <v>No</v>
      </c>
      <c r="L264" s="7">
        <f t="shared" ca="1" si="20"/>
        <v>359</v>
      </c>
      <c r="M264" s="4" t="str">
        <f>IF($I264="Complete","Green",IF($H264="","Amber",IF($H264&lt;'[2]Read Me'!$B$4,"Red",IF($H264-'[2]Read Me'!$B$4&lt;=21,"Amber","Green"))))</f>
        <v>Green</v>
      </c>
      <c r="N264" s="3"/>
      <c r="O264" t="str">
        <f>IF($I264&lt;&gt;"Complete",IF(COUNTIFS($A$4:$A263,$A264,$B$4:$B263,$B264,$I$4:$I263,"&lt;&gt;Complete")=0,$A264&amp;"|"&amp;$B264,""),"")</f>
        <v>Authorities Issuance - Hotel|Authorities</v>
      </c>
      <c r="P264" t="str">
        <f ca="1">IF($K264="Yes",COUNTIFS($K$4:$K264,"Yes"),"")</f>
        <v/>
      </c>
      <c r="Q264">
        <f t="shared" ca="1" si="19"/>
        <v>0</v>
      </c>
      <c r="R264" t="str">
        <f ca="1">IF($Q264=1,SUM($Q$4:$Q264),"")</f>
        <v/>
      </c>
    </row>
    <row r="265" spans="1:18" ht="45" customHeight="1" x14ac:dyDescent="0.3">
      <c r="A265" s="2" t="s">
        <v>761</v>
      </c>
      <c r="B265" s="2" t="s">
        <v>49</v>
      </c>
      <c r="C265" s="3" t="s">
        <v>761</v>
      </c>
      <c r="D265" s="3" t="s">
        <v>103</v>
      </c>
      <c r="E265" s="2" t="s">
        <v>104</v>
      </c>
      <c r="F265" s="2"/>
      <c r="G265" s="5">
        <v>46342</v>
      </c>
      <c r="H265" s="5">
        <v>46406</v>
      </c>
      <c r="I265" s="4" t="s">
        <v>17</v>
      </c>
      <c r="J265" s="6">
        <f t="shared" si="18"/>
        <v>64</v>
      </c>
      <c r="K265" s="4" t="str">
        <f t="shared" ref="K265:K312" ca="1" si="21">IF($H265="","",IF($H265&lt;TODAY(),"No","Yes"))</f>
        <v>Yes</v>
      </c>
      <c r="L265" s="7">
        <f t="shared" ca="1" si="20"/>
        <v>198</v>
      </c>
      <c r="M265" s="4" t="str">
        <f>IF($I265="Complete","Green",IF($H265="","Amber",IF($H265&lt;'[2]Read Me'!$B$4,"Red",IF($H265-'[2]Read Me'!$B$4&lt;=21,"Amber","Green"))))</f>
        <v>Green</v>
      </c>
      <c r="N265" s="3"/>
      <c r="O265" t="str">
        <f>IF($I265&lt;&gt;"Complete",IF(COUNTIFS($A$4:$A264,$A265,$B$4:$B264,$B265,$I$4:$I264,"&lt;&gt;Complete")=0,$A265&amp;"|"&amp;$B265,""),"")</f>
        <v/>
      </c>
      <c r="P265">
        <f ca="1">IF($K265="Yes",COUNTIFS($K$4:$K265,"Yes"),"")</f>
        <v>13</v>
      </c>
      <c r="Q265">
        <f t="shared" ca="1" si="19"/>
        <v>1</v>
      </c>
      <c r="R265">
        <f ca="1">IF($Q265=1,SUM($Q$4:$Q265),"")</f>
        <v>13</v>
      </c>
    </row>
    <row r="266" spans="1:18" ht="45" customHeight="1" x14ac:dyDescent="0.3">
      <c r="A266" s="2" t="s">
        <v>761</v>
      </c>
      <c r="B266" s="2" t="s">
        <v>49</v>
      </c>
      <c r="C266" s="3" t="s">
        <v>761</v>
      </c>
      <c r="D266" s="3" t="s">
        <v>368</v>
      </c>
      <c r="E266" s="2" t="s">
        <v>104</v>
      </c>
      <c r="F266" s="2"/>
      <c r="G266" s="5">
        <v>46433</v>
      </c>
      <c r="H266" s="5">
        <v>46497</v>
      </c>
      <c r="I266" s="4" t="s">
        <v>17</v>
      </c>
      <c r="J266" s="6">
        <f t="shared" si="18"/>
        <v>64</v>
      </c>
      <c r="K266" s="4" t="str">
        <f t="shared" ca="1" si="21"/>
        <v>Yes</v>
      </c>
      <c r="L266" s="7">
        <f t="shared" ca="1" si="20"/>
        <v>289</v>
      </c>
      <c r="M266" s="4" t="str">
        <f>IF($I266="Complete","Green",IF($H266="","Amber",IF($H266&lt;'[2]Read Me'!$B$4,"Red",IF($H266-'[2]Read Me'!$B$4&lt;=21,"Amber","Green"))))</f>
        <v>Green</v>
      </c>
      <c r="N266" s="3"/>
      <c r="O266" t="str">
        <f>IF($I266&lt;&gt;"Complete",IF(COUNTIFS($A$4:$A265,$A266,$B$4:$B265,$B266,$I$4:$I265,"&lt;&gt;Complete")=0,$A266&amp;"|"&amp;$B266,""),"")</f>
        <v/>
      </c>
      <c r="P266">
        <f ca="1">IF($K266="Yes",COUNTIFS($K$4:$K266,"Yes"),"")</f>
        <v>14</v>
      </c>
      <c r="Q266">
        <f t="shared" ca="1" si="19"/>
        <v>1</v>
      </c>
      <c r="R266">
        <f ca="1">IF($Q266=1,SUM($Q$4:$Q266),"")</f>
        <v>14</v>
      </c>
    </row>
    <row r="267" spans="1:18" ht="45" customHeight="1" x14ac:dyDescent="0.3">
      <c r="A267" s="2" t="s">
        <v>761</v>
      </c>
      <c r="B267" s="2" t="s">
        <v>49</v>
      </c>
      <c r="C267" s="3" t="s">
        <v>761</v>
      </c>
      <c r="D267" s="3" t="s">
        <v>91</v>
      </c>
      <c r="E267" s="2" t="s">
        <v>104</v>
      </c>
      <c r="F267" s="2"/>
      <c r="G267" s="5">
        <v>46461</v>
      </c>
      <c r="H267" s="5">
        <v>46525</v>
      </c>
      <c r="I267" s="4" t="s">
        <v>17</v>
      </c>
      <c r="J267" s="6">
        <f t="shared" si="18"/>
        <v>64</v>
      </c>
      <c r="K267" s="4" t="str">
        <f t="shared" ca="1" si="21"/>
        <v>Yes</v>
      </c>
      <c r="L267" s="7">
        <f t="shared" ca="1" si="20"/>
        <v>317</v>
      </c>
      <c r="M267" s="4" t="str">
        <f>IF($I267="Complete","Green",IF($H267="","Amber",IF($H267&lt;'[2]Read Me'!$B$4,"Red",IF($H267-'[2]Read Me'!$B$4&lt;=21,"Amber","Green"))))</f>
        <v>Green</v>
      </c>
      <c r="N267" s="3"/>
      <c r="O267" t="str">
        <f>IF($I267&lt;&gt;"Complete",IF(COUNTIFS($A$4:$A266,$A267,$B$4:$B266,$B267,$I$4:$I266,"&lt;&gt;Complete")=0,$A267&amp;"|"&amp;$B267,""),"")</f>
        <v/>
      </c>
      <c r="P267">
        <f ca="1">IF($K267="Yes",COUNTIFS($K$4:$K267,"Yes"),"")</f>
        <v>15</v>
      </c>
      <c r="Q267">
        <f t="shared" ca="1" si="19"/>
        <v>1</v>
      </c>
      <c r="R267">
        <f ca="1">IF($Q267=1,SUM($Q$4:$Q267),"")</f>
        <v>15</v>
      </c>
    </row>
    <row r="268" spans="1:18" ht="14.25" customHeight="1" x14ac:dyDescent="0.3">
      <c r="A268" s="2" t="s">
        <v>761</v>
      </c>
      <c r="B268" s="2" t="s">
        <v>49</v>
      </c>
      <c r="C268" s="3" t="s">
        <v>761</v>
      </c>
      <c r="D268" s="3" t="s">
        <v>413</v>
      </c>
      <c r="E268" s="2" t="s">
        <v>104</v>
      </c>
      <c r="F268" s="2"/>
      <c r="G268" s="5">
        <v>46503</v>
      </c>
      <c r="H268" s="5">
        <v>46567</v>
      </c>
      <c r="I268" s="4" t="s">
        <v>17</v>
      </c>
      <c r="J268" s="6">
        <f t="shared" si="18"/>
        <v>64</v>
      </c>
      <c r="K268" s="4" t="str">
        <f t="shared" ca="1" si="21"/>
        <v>Yes</v>
      </c>
      <c r="L268" s="7">
        <f t="shared" ca="1" si="20"/>
        <v>359</v>
      </c>
      <c r="M268" s="4" t="str">
        <f>IF($I268="Complete","Green",IF($H268="","Amber",IF($H268&lt;'[2]Read Me'!$B$4,"Red",IF($H268-'[2]Read Me'!$B$4&lt;=21,"Amber","Green"))))</f>
        <v>Green</v>
      </c>
      <c r="N268" s="3"/>
      <c r="O268" t="str">
        <f>IF($I268&lt;&gt;"Complete",IF(COUNTIFS($A$4:$A267,$A268,$B$4:$B267,$B268,$I$4:$I267,"&lt;&gt;Complete")=0,$A268&amp;"|"&amp;$B268,""),"")</f>
        <v/>
      </c>
      <c r="P268">
        <f ca="1">IF($K268="Yes",COUNTIFS($K$4:$K268,"Yes"),"")</f>
        <v>16</v>
      </c>
      <c r="Q268">
        <f t="shared" ca="1" si="19"/>
        <v>1</v>
      </c>
      <c r="R268">
        <f ca="1">IF($Q268=1,SUM($Q$4:$Q268),"")</f>
        <v>16</v>
      </c>
    </row>
    <row r="269" spans="1:18" ht="14.25" customHeight="1" x14ac:dyDescent="0.3">
      <c r="A269" s="2" t="s">
        <v>762</v>
      </c>
      <c r="B269" s="2" t="s">
        <v>140</v>
      </c>
      <c r="C269" s="3"/>
      <c r="D269" s="3"/>
      <c r="E269" s="2"/>
      <c r="F269" s="2"/>
      <c r="G269" s="5">
        <v>46132</v>
      </c>
      <c r="H269" s="5">
        <v>46372</v>
      </c>
      <c r="I269" s="4"/>
      <c r="J269" s="6">
        <f t="shared" si="18"/>
        <v>240</v>
      </c>
      <c r="K269" s="4" t="str">
        <f t="shared" ca="1" si="21"/>
        <v>Yes</v>
      </c>
      <c r="L269" s="7">
        <f t="shared" ca="1" si="20"/>
        <v>164</v>
      </c>
      <c r="M269" s="4" t="str">
        <f>IF($I269="Complete","Green",IF($H269="","Amber",IF($H269&lt;'[2]Read Me'!$B$4,"Red",IF($H269-'[2]Read Me'!$B$4&lt;=21,"Amber","Green"))))</f>
        <v>Green</v>
      </c>
      <c r="N269" s="3"/>
      <c r="O269" t="str">
        <f>IF($I269&lt;&gt;"Complete",IF(COUNTIFS($A$4:$A268,$A269,$B$4:$B268,$B269,$I$4:$I268,"&lt;&gt;Complete")=0,$A269&amp;"|"&amp;$B269,""),"")</f>
        <v>Master Plan - Boomerang|Masterplan</v>
      </c>
      <c r="P269">
        <f ca="1">IF($K269="Yes",COUNTIFS($K$4:$K269,"Yes"),"")</f>
        <v>17</v>
      </c>
      <c r="Q269">
        <f t="shared" ca="1" si="19"/>
        <v>1</v>
      </c>
      <c r="R269">
        <f ca="1">IF($Q269=1,SUM($Q$4:$Q269),"")</f>
        <v>17</v>
      </c>
    </row>
    <row r="270" spans="1:18" ht="14.25" customHeight="1" x14ac:dyDescent="0.3">
      <c r="A270" s="2" t="s">
        <v>762</v>
      </c>
      <c r="B270" s="2" t="s">
        <v>140</v>
      </c>
      <c r="C270" s="3" t="s">
        <v>762</v>
      </c>
      <c r="D270" s="3" t="s">
        <v>149</v>
      </c>
      <c r="E270" s="2"/>
      <c r="F270" s="2"/>
      <c r="G270" s="5">
        <v>45998</v>
      </c>
      <c r="H270" s="5">
        <v>45998</v>
      </c>
      <c r="I270" s="4" t="s">
        <v>31</v>
      </c>
      <c r="J270" s="6">
        <f t="shared" si="18"/>
        <v>0</v>
      </c>
      <c r="K270" s="4" t="str">
        <f t="shared" ca="1" si="21"/>
        <v>No</v>
      </c>
      <c r="L270" s="7">
        <f t="shared" ca="1" si="20"/>
        <v>0</v>
      </c>
      <c r="M270" s="4" t="str">
        <f>IF($I270="Complete","Green",IF($H270="","Amber",IF($H270&lt;'[2]Read Me'!$B$4,"Red",IF($H270-'[2]Read Me'!$B$4&lt;=21,"Amber","Green"))))</f>
        <v>Red</v>
      </c>
      <c r="N270" s="3"/>
      <c r="O270" t="str">
        <f>IF($I270&lt;&gt;"Complete",IF(COUNTIFS($A$4:$A269,$A270,$B$4:$B269,$B270,$I$4:$I269,"&lt;&gt;Complete")=0,$A270&amp;"|"&amp;$B270,""),"")</f>
        <v/>
      </c>
      <c r="P270" t="str">
        <f ca="1">IF($K270="Yes",COUNTIFS($K$4:$K270,"Yes"),"")</f>
        <v/>
      </c>
      <c r="Q270">
        <f t="shared" ca="1" si="19"/>
        <v>0</v>
      </c>
      <c r="R270" t="str">
        <f ca="1">IF($Q270=1,SUM($Q$4:$Q270),"")</f>
        <v/>
      </c>
    </row>
    <row r="271" spans="1:18" ht="14.25" customHeight="1" x14ac:dyDescent="0.3">
      <c r="A271" s="2" t="s">
        <v>762</v>
      </c>
      <c r="B271" s="2" t="s">
        <v>140</v>
      </c>
      <c r="C271" s="3" t="s">
        <v>762</v>
      </c>
      <c r="D271" s="3" t="s">
        <v>150</v>
      </c>
      <c r="E271" s="2"/>
      <c r="F271" s="2" t="s">
        <v>763</v>
      </c>
      <c r="G271" s="5">
        <v>46013</v>
      </c>
      <c r="H271" s="5">
        <v>46012</v>
      </c>
      <c r="I271" s="4" t="s">
        <v>31</v>
      </c>
      <c r="J271" s="6">
        <f t="shared" si="18"/>
        <v>-1</v>
      </c>
      <c r="K271" s="4" t="str">
        <f t="shared" ca="1" si="21"/>
        <v>No</v>
      </c>
      <c r="L271" s="7">
        <f t="shared" ca="1" si="20"/>
        <v>0</v>
      </c>
      <c r="M271" s="4" t="str">
        <f>IF($I271="Complete","Green",IF($H271="","Amber",IF($H271&lt;'[2]Read Me'!$B$4,"Red",IF($H271-'[2]Read Me'!$B$4&lt;=21,"Amber","Green"))))</f>
        <v>Red</v>
      </c>
      <c r="N271" s="3"/>
      <c r="O271" t="str">
        <f>IF($I271&lt;&gt;"Complete",IF(COUNTIFS($A$4:$A270,$A271,$B$4:$B270,$B271,$I$4:$I270,"&lt;&gt;Complete")=0,$A271&amp;"|"&amp;$B271,""),"")</f>
        <v/>
      </c>
      <c r="P271" t="str">
        <f ca="1">IF($K271="Yes",COUNTIFS($K$4:$K271,"Yes"),"")</f>
        <v/>
      </c>
      <c r="Q271">
        <f t="shared" ca="1" si="19"/>
        <v>0</v>
      </c>
      <c r="R271" t="str">
        <f ca="1">IF($Q271=1,SUM($Q$4:$Q271),"")</f>
        <v/>
      </c>
    </row>
    <row r="272" spans="1:18" ht="14.25" customHeight="1" x14ac:dyDescent="0.3">
      <c r="A272" s="2" t="s">
        <v>762</v>
      </c>
      <c r="B272" s="2" t="s">
        <v>140</v>
      </c>
      <c r="C272" s="3" t="s">
        <v>762</v>
      </c>
      <c r="D272" s="3" t="s">
        <v>151</v>
      </c>
      <c r="E272" s="2"/>
      <c r="F272" s="2" t="s">
        <v>749</v>
      </c>
      <c r="G272" s="5">
        <v>46027</v>
      </c>
      <c r="H272" s="5">
        <v>46026</v>
      </c>
      <c r="I272" s="4" t="s">
        <v>31</v>
      </c>
      <c r="J272" s="6">
        <f t="shared" si="18"/>
        <v>-1</v>
      </c>
      <c r="K272" s="4" t="str">
        <f t="shared" ca="1" si="21"/>
        <v>No</v>
      </c>
      <c r="L272" s="7">
        <f t="shared" ca="1" si="20"/>
        <v>0</v>
      </c>
      <c r="M272" s="4" t="str">
        <f>IF($I272="Complete","Green",IF($H272="","Amber",IF($H272&lt;'[2]Read Me'!$B$4,"Red",IF($H272-'[2]Read Me'!$B$4&lt;=21,"Amber","Green"))))</f>
        <v>Red</v>
      </c>
      <c r="N272" s="3"/>
      <c r="O272" t="str">
        <f>IF($I272&lt;&gt;"Complete",IF(COUNTIFS($A$4:$A271,$A272,$B$4:$B271,$B272,$I$4:$I271,"&lt;&gt;Complete")=0,$A272&amp;"|"&amp;$B272,""),"")</f>
        <v/>
      </c>
      <c r="P272" t="str">
        <f ca="1">IF($K272="Yes",COUNTIFS($K$4:$K272,"Yes"),"")</f>
        <v/>
      </c>
      <c r="Q272">
        <f t="shared" ca="1" si="19"/>
        <v>0</v>
      </c>
      <c r="R272" t="str">
        <f ca="1">IF($Q272=1,SUM($Q$4:$Q272),"")</f>
        <v/>
      </c>
    </row>
    <row r="273" spans="1:18" ht="14.25" customHeight="1" x14ac:dyDescent="0.3">
      <c r="A273" s="2" t="s">
        <v>762</v>
      </c>
      <c r="B273" s="2" t="s">
        <v>140</v>
      </c>
      <c r="C273" s="3" t="s">
        <v>762</v>
      </c>
      <c r="D273" s="3" t="s">
        <v>152</v>
      </c>
      <c r="E273" s="2"/>
      <c r="F273" s="2" t="s">
        <v>749</v>
      </c>
      <c r="G273" s="5">
        <v>46055</v>
      </c>
      <c r="H273" s="5">
        <v>46105</v>
      </c>
      <c r="I273" s="4" t="s">
        <v>31</v>
      </c>
      <c r="J273" s="6">
        <f t="shared" si="18"/>
        <v>50</v>
      </c>
      <c r="K273" s="4" t="str">
        <f t="shared" ca="1" si="21"/>
        <v>No</v>
      </c>
      <c r="L273" s="7">
        <f t="shared" ca="1" si="20"/>
        <v>0</v>
      </c>
      <c r="M273" s="4" t="str">
        <f>IF($I273="Complete","Green",IF($H273="","Amber",IF($H273&lt;'[2]Read Me'!$B$4,"Red",IF($H273-'[2]Read Me'!$B$4&lt;=21,"Amber","Green"))))</f>
        <v>Red</v>
      </c>
      <c r="N273" s="3"/>
      <c r="O273" t="str">
        <f>IF($I273&lt;&gt;"Complete",IF(COUNTIFS($A$4:$A272,$A273,$B$4:$B272,$B273,$I$4:$I272,"&lt;&gt;Complete")=0,$A273&amp;"|"&amp;$B273,""),"")</f>
        <v/>
      </c>
      <c r="P273" t="str">
        <f ca="1">IF($K273="Yes",COUNTIFS($K$4:$K273,"Yes"),"")</f>
        <v/>
      </c>
      <c r="Q273">
        <f t="shared" ca="1" si="19"/>
        <v>0</v>
      </c>
      <c r="R273" t="str">
        <f ca="1">IF($Q273=1,SUM($Q$4:$Q273),"")</f>
        <v/>
      </c>
    </row>
    <row r="274" spans="1:18" ht="14.25" customHeight="1" x14ac:dyDescent="0.3">
      <c r="A274" s="2" t="s">
        <v>762</v>
      </c>
      <c r="B274" s="2" t="s">
        <v>140</v>
      </c>
      <c r="C274" s="3" t="s">
        <v>762</v>
      </c>
      <c r="D274" s="3" t="s">
        <v>153</v>
      </c>
      <c r="E274" s="2"/>
      <c r="F274" s="2" t="s">
        <v>265</v>
      </c>
      <c r="G274" s="5">
        <v>46062</v>
      </c>
      <c r="H274" s="5">
        <v>46113</v>
      </c>
      <c r="I274" s="4" t="s">
        <v>31</v>
      </c>
      <c r="J274" s="6">
        <f t="shared" si="18"/>
        <v>51</v>
      </c>
      <c r="K274" s="4" t="str">
        <f t="shared" ca="1" si="21"/>
        <v>No</v>
      </c>
      <c r="L274" s="7">
        <f t="shared" ca="1" si="20"/>
        <v>0</v>
      </c>
      <c r="M274" s="4" t="str">
        <f>IF($I274="Complete","Green",IF($H274="","Amber",IF($H274&lt;'[2]Read Me'!$B$4,"Red",IF($H274-'[2]Read Me'!$B$4&lt;=21,"Amber","Green"))))</f>
        <v>Red</v>
      </c>
      <c r="N274" s="3"/>
      <c r="O274" t="str">
        <f>IF($I274&lt;&gt;"Complete",IF(COUNTIFS($A$4:$A273,$A274,$B$4:$B273,$B274,$I$4:$I273,"&lt;&gt;Complete")=0,$A274&amp;"|"&amp;$B274,""),"")</f>
        <v/>
      </c>
      <c r="P274" t="str">
        <f ca="1">IF($K274="Yes",COUNTIFS($K$4:$K274,"Yes"),"")</f>
        <v/>
      </c>
      <c r="Q274">
        <f t="shared" ca="1" si="19"/>
        <v>0</v>
      </c>
      <c r="R274" t="str">
        <f ca="1">IF($Q274=1,SUM($Q$4:$Q274),"")</f>
        <v/>
      </c>
    </row>
    <row r="275" spans="1:18" ht="14.25" customHeight="1" x14ac:dyDescent="0.3">
      <c r="A275" s="2" t="s">
        <v>762</v>
      </c>
      <c r="B275" s="2" t="s">
        <v>140</v>
      </c>
      <c r="C275" s="3" t="s">
        <v>762</v>
      </c>
      <c r="D275" s="3" t="s">
        <v>154</v>
      </c>
      <c r="E275" s="2"/>
      <c r="F275" s="2" t="s">
        <v>270</v>
      </c>
      <c r="G275" s="5">
        <v>46076</v>
      </c>
      <c r="H275" s="5">
        <v>46141</v>
      </c>
      <c r="I275" s="4" t="s">
        <v>31</v>
      </c>
      <c r="J275" s="6">
        <f t="shared" si="18"/>
        <v>65</v>
      </c>
      <c r="K275" s="4" t="str">
        <f t="shared" ca="1" si="21"/>
        <v>No</v>
      </c>
      <c r="L275" s="7">
        <f t="shared" ca="1" si="20"/>
        <v>0</v>
      </c>
      <c r="M275" s="4" t="str">
        <f>IF($I275="Complete","Green",IF($H275="","Amber",IF($H275&lt;'[2]Read Me'!$B$4,"Red",IF($H275-'[2]Read Me'!$B$4&lt;=21,"Amber","Green"))))</f>
        <v>Red</v>
      </c>
      <c r="N275" s="3"/>
      <c r="O275" t="str">
        <f>IF($I275&lt;&gt;"Complete",IF(COUNTIFS($A$4:$A274,$A275,$B$4:$B274,$B275,$I$4:$I274,"&lt;&gt;Complete")=0,$A275&amp;"|"&amp;$B275,""),"")</f>
        <v/>
      </c>
      <c r="P275" t="str">
        <f ca="1">IF($K275="Yes",COUNTIFS($K$4:$K275,"Yes"),"")</f>
        <v/>
      </c>
      <c r="Q275">
        <f t="shared" ca="1" si="19"/>
        <v>0</v>
      </c>
      <c r="R275" t="str">
        <f ca="1">IF($Q275=1,SUM($Q$4:$Q275),"")</f>
        <v/>
      </c>
    </row>
    <row r="276" spans="1:18" ht="14.25" customHeight="1" x14ac:dyDescent="0.3">
      <c r="A276" s="2" t="s">
        <v>762</v>
      </c>
      <c r="B276" s="2" t="s">
        <v>140</v>
      </c>
      <c r="C276" s="3" t="s">
        <v>762</v>
      </c>
      <c r="D276" s="3" t="s">
        <v>58</v>
      </c>
      <c r="E276" s="2"/>
      <c r="F276" s="2" t="s">
        <v>265</v>
      </c>
      <c r="G276" s="5">
        <v>46083</v>
      </c>
      <c r="H276" s="5">
        <v>46148</v>
      </c>
      <c r="I276" s="4" t="s">
        <v>31</v>
      </c>
      <c r="J276" s="6">
        <f t="shared" si="18"/>
        <v>65</v>
      </c>
      <c r="K276" s="4" t="str">
        <f t="shared" ca="1" si="21"/>
        <v>No</v>
      </c>
      <c r="L276" s="7">
        <f t="shared" ca="1" si="20"/>
        <v>0</v>
      </c>
      <c r="M276" s="4" t="str">
        <f>IF($I276="Complete","Green",IF($H276="","Amber",IF($H276&lt;'[2]Read Me'!$B$4,"Red",IF($H276-'[2]Read Me'!$B$4&lt;=21,"Amber","Green"))))</f>
        <v>Red</v>
      </c>
      <c r="N276" s="3"/>
      <c r="O276" t="str">
        <f>IF($I276&lt;&gt;"Complete",IF(COUNTIFS($A$4:$A275,$A276,$B$4:$B275,$B276,$I$4:$I275,"&lt;&gt;Complete")=0,$A276&amp;"|"&amp;$B276,""),"")</f>
        <v/>
      </c>
      <c r="P276" t="str">
        <f ca="1">IF($K276="Yes",COUNTIFS($K$4:$K276,"Yes"),"")</f>
        <v/>
      </c>
      <c r="Q276">
        <f t="shared" ca="1" si="19"/>
        <v>0</v>
      </c>
      <c r="R276" t="str">
        <f ca="1">IF($Q276=1,SUM($Q$4:$Q276),"")</f>
        <v/>
      </c>
    </row>
    <row r="277" spans="1:18" ht="14.25" customHeight="1" x14ac:dyDescent="0.3">
      <c r="A277" s="2" t="s">
        <v>762</v>
      </c>
      <c r="B277" s="2" t="s">
        <v>140</v>
      </c>
      <c r="C277" s="3" t="s">
        <v>762</v>
      </c>
      <c r="D277" s="3" t="s">
        <v>156</v>
      </c>
      <c r="E277" s="2"/>
      <c r="F277" s="2" t="s">
        <v>270</v>
      </c>
      <c r="G277" s="5">
        <v>46097</v>
      </c>
      <c r="H277" s="5">
        <v>46168</v>
      </c>
      <c r="I277" s="4" t="s">
        <v>31</v>
      </c>
      <c r="J277" s="6">
        <f t="shared" si="18"/>
        <v>71</v>
      </c>
      <c r="K277" s="4" t="str">
        <f t="shared" ca="1" si="21"/>
        <v>No</v>
      </c>
      <c r="L277" s="7">
        <f t="shared" ca="1" si="20"/>
        <v>0</v>
      </c>
      <c r="M277" s="4" t="str">
        <f>IF($I277="Complete","Green",IF($H277="","Amber",IF($H277&lt;'[2]Read Me'!$B$4,"Red",IF($H277-'[2]Read Me'!$B$4&lt;=21,"Amber","Green"))))</f>
        <v>Red</v>
      </c>
      <c r="N277" s="3"/>
      <c r="O277" t="str">
        <f>IF($I277&lt;&gt;"Complete",IF(COUNTIFS($A$4:$A276,$A277,$B$4:$B276,$B277,$I$4:$I276,"&lt;&gt;Complete")=0,$A277&amp;"|"&amp;$B277,""),"")</f>
        <v/>
      </c>
      <c r="P277" t="str">
        <f ca="1">IF($K277="Yes",COUNTIFS($K$4:$K277,"Yes"),"")</f>
        <v/>
      </c>
      <c r="Q277">
        <f t="shared" ca="1" si="19"/>
        <v>0</v>
      </c>
      <c r="R277" t="str">
        <f ca="1">IF($Q277=1,SUM($Q$4:$Q277),"")</f>
        <v/>
      </c>
    </row>
    <row r="278" spans="1:18" ht="14.25" customHeight="1" x14ac:dyDescent="0.3">
      <c r="A278" s="2" t="s">
        <v>762</v>
      </c>
      <c r="B278" s="2" t="s">
        <v>140</v>
      </c>
      <c r="C278" s="3" t="s">
        <v>762</v>
      </c>
      <c r="D278" s="3" t="s">
        <v>58</v>
      </c>
      <c r="E278" s="2"/>
      <c r="F278" s="2" t="s">
        <v>749</v>
      </c>
      <c r="G278" s="5">
        <v>46104</v>
      </c>
      <c r="H278" s="5">
        <v>46197</v>
      </c>
      <c r="I278" s="4" t="s">
        <v>46</v>
      </c>
      <c r="J278" s="6">
        <f t="shared" si="18"/>
        <v>93</v>
      </c>
      <c r="K278" s="4" t="str">
        <f t="shared" ca="1" si="21"/>
        <v>No</v>
      </c>
      <c r="L278" s="7">
        <f t="shared" ca="1" si="20"/>
        <v>-11</v>
      </c>
      <c r="M278" s="4" t="str">
        <f>IF($I278="Complete","Green",IF($H278="","Amber",IF($H278&lt;'[2]Read Me'!$B$4,"Red",IF($H278-'[2]Read Me'!$B$4&lt;=21,"Amber","Green"))))</f>
        <v>Amber</v>
      </c>
      <c r="N278" s="3"/>
      <c r="O278" t="str">
        <f>IF($I278&lt;&gt;"Complete",IF(COUNTIFS($A$4:$A277,$A278,$B$4:$B277,$B278,$I$4:$I277,"&lt;&gt;Complete")=0,$A278&amp;"|"&amp;$B278,""),"")</f>
        <v/>
      </c>
      <c r="P278" t="str">
        <f ca="1">IF($K278="Yes",COUNTIFS($K$4:$K278,"Yes"),"")</f>
        <v/>
      </c>
      <c r="Q278">
        <f t="shared" ca="1" si="19"/>
        <v>0</v>
      </c>
      <c r="R278" t="str">
        <f ca="1">IF($Q278=1,SUM($Q$4:$Q278),"")</f>
        <v/>
      </c>
    </row>
    <row r="279" spans="1:18" ht="14.25" customHeight="1" x14ac:dyDescent="0.3">
      <c r="A279" s="2" t="s">
        <v>762</v>
      </c>
      <c r="B279" s="2" t="s">
        <v>140</v>
      </c>
      <c r="C279" s="3" t="s">
        <v>762</v>
      </c>
      <c r="D279" s="3" t="s">
        <v>764</v>
      </c>
      <c r="E279" s="2"/>
      <c r="F279" s="2" t="s">
        <v>270</v>
      </c>
      <c r="G279" s="5">
        <v>46125</v>
      </c>
      <c r="H279" s="5">
        <v>46239</v>
      </c>
      <c r="I279" s="4" t="s">
        <v>17</v>
      </c>
      <c r="J279" s="6">
        <f t="shared" si="18"/>
        <v>114</v>
      </c>
      <c r="K279" s="4" t="str">
        <f t="shared" ca="1" si="21"/>
        <v>Yes</v>
      </c>
      <c r="L279" s="7">
        <f t="shared" ca="1" si="20"/>
        <v>31</v>
      </c>
      <c r="M279" s="4" t="str">
        <f>IF($I279="Complete","Green",IF($H279="","Amber",IF($H279&lt;'[2]Read Me'!$B$4,"Red",IF($H279-'[2]Read Me'!$B$4&lt;=21,"Amber","Green"))))</f>
        <v>Green</v>
      </c>
      <c r="N279" s="3"/>
      <c r="O279" t="str">
        <f>IF($I279&lt;&gt;"Complete",IF(COUNTIFS($A$4:$A278,$A279,$B$4:$B278,$B279,$I$4:$I278,"&lt;&gt;Complete")=0,$A279&amp;"|"&amp;$B279,""),"")</f>
        <v/>
      </c>
      <c r="P279">
        <f ca="1">IF($K279="Yes",COUNTIFS($K$4:$K279,"Yes"),"")</f>
        <v>18</v>
      </c>
      <c r="Q279">
        <f t="shared" ca="1" si="19"/>
        <v>1</v>
      </c>
      <c r="R279">
        <f ca="1">IF($Q279=1,SUM($Q$4:$Q279),"")</f>
        <v>18</v>
      </c>
    </row>
    <row r="280" spans="1:18" ht="14.25" customHeight="1" x14ac:dyDescent="0.3">
      <c r="A280" s="2" t="s">
        <v>762</v>
      </c>
      <c r="B280" s="2" t="s">
        <v>140</v>
      </c>
      <c r="C280" s="3" t="s">
        <v>762</v>
      </c>
      <c r="D280" s="3" t="s">
        <v>58</v>
      </c>
      <c r="E280" s="2"/>
      <c r="F280" s="2" t="s">
        <v>749</v>
      </c>
      <c r="G280" s="5">
        <v>46132</v>
      </c>
      <c r="H280" s="5">
        <v>46253</v>
      </c>
      <c r="I280" s="4" t="s">
        <v>17</v>
      </c>
      <c r="J280" s="6">
        <f t="shared" si="18"/>
        <v>121</v>
      </c>
      <c r="K280" s="4" t="str">
        <f t="shared" ca="1" si="21"/>
        <v>Yes</v>
      </c>
      <c r="L280" s="7">
        <f t="shared" ca="1" si="20"/>
        <v>45</v>
      </c>
      <c r="M280" s="4" t="str">
        <f>IF($I280="Complete","Green",IF($H280="","Amber",IF($H280&lt;'[2]Read Me'!$B$4,"Red",IF($H280-'[2]Read Me'!$B$4&lt;=21,"Amber","Green"))))</f>
        <v>Green</v>
      </c>
      <c r="N280" s="3"/>
      <c r="O280" t="str">
        <f>IF($I280&lt;&gt;"Complete",IF(COUNTIFS($A$4:$A279,$A280,$B$4:$B279,$B280,$I$4:$I279,"&lt;&gt;Complete")=0,$A280&amp;"|"&amp;$B280,""),"")</f>
        <v/>
      </c>
      <c r="P280">
        <f ca="1">IF($K280="Yes",COUNTIFS($K$4:$K280,"Yes"),"")</f>
        <v>19</v>
      </c>
      <c r="Q280">
        <f t="shared" ca="1" si="19"/>
        <v>1</v>
      </c>
      <c r="R280">
        <f ca="1">IF($Q280=1,SUM($Q$4:$Q280),"")</f>
        <v>19</v>
      </c>
    </row>
    <row r="281" spans="1:18" ht="14.25" customHeight="1" x14ac:dyDescent="0.3">
      <c r="A281" s="2" t="s">
        <v>762</v>
      </c>
      <c r="B281" s="2" t="s">
        <v>140</v>
      </c>
      <c r="C281" s="3" t="s">
        <v>762</v>
      </c>
      <c r="D281" s="3" t="s">
        <v>133</v>
      </c>
      <c r="E281" s="2"/>
      <c r="F281" s="2" t="s">
        <v>270</v>
      </c>
      <c r="G281" s="5">
        <v>46160</v>
      </c>
      <c r="H281" s="5">
        <v>46309</v>
      </c>
      <c r="I281" s="4" t="s">
        <v>17</v>
      </c>
      <c r="J281" s="6">
        <f t="shared" si="18"/>
        <v>149</v>
      </c>
      <c r="K281" s="4" t="str">
        <f t="shared" ca="1" si="21"/>
        <v>Yes</v>
      </c>
      <c r="L281" s="7">
        <f t="shared" ca="1" si="20"/>
        <v>101</v>
      </c>
      <c r="M281" s="4" t="str">
        <f>IF($I281="Complete","Green",IF($H281="","Amber",IF($H281&lt;'[2]Read Me'!$B$4,"Red",IF($H281-'[2]Read Me'!$B$4&lt;=21,"Amber","Green"))))</f>
        <v>Green</v>
      </c>
      <c r="N281" s="3"/>
      <c r="O281" t="str">
        <f>IF($I281&lt;&gt;"Complete",IF(COUNTIFS($A$4:$A280,$A281,$B$4:$B280,$B281,$I$4:$I280,"&lt;&gt;Complete")=0,$A281&amp;"|"&amp;$B281,""),"")</f>
        <v/>
      </c>
      <c r="P281">
        <f ca="1">IF($K281="Yes",COUNTIFS($K$4:$K281,"Yes"),"")</f>
        <v>20</v>
      </c>
      <c r="Q281">
        <f t="shared" ca="1" si="19"/>
        <v>1</v>
      </c>
      <c r="R281">
        <f ca="1">IF($Q281=1,SUM($Q$4:$Q281),"")</f>
        <v>20</v>
      </c>
    </row>
    <row r="282" spans="1:18" ht="14.25" customHeight="1" x14ac:dyDescent="0.3">
      <c r="A282" s="2" t="s">
        <v>762</v>
      </c>
      <c r="B282" s="2" t="s">
        <v>140</v>
      </c>
      <c r="C282" s="3" t="s">
        <v>762</v>
      </c>
      <c r="D282" s="3" t="s">
        <v>58</v>
      </c>
      <c r="E282" s="2"/>
      <c r="F282" s="2"/>
      <c r="G282" s="5">
        <v>46174</v>
      </c>
      <c r="H282" s="5">
        <v>46323</v>
      </c>
      <c r="I282" s="4" t="s">
        <v>17</v>
      </c>
      <c r="J282" s="6">
        <f t="shared" si="18"/>
        <v>149</v>
      </c>
      <c r="K282" s="4" t="str">
        <f t="shared" ca="1" si="21"/>
        <v>Yes</v>
      </c>
      <c r="L282" s="7">
        <f t="shared" ca="1" si="20"/>
        <v>115</v>
      </c>
      <c r="M282" s="4" t="str">
        <f>IF($I282="Complete","Green",IF($H282="","Amber",IF($H282&lt;'[2]Read Me'!$B$4,"Red",IF($H282-'[2]Read Me'!$B$4&lt;=21,"Amber","Green"))))</f>
        <v>Green</v>
      </c>
      <c r="N282" s="3"/>
      <c r="O282" t="str">
        <f>IF($I282&lt;&gt;"Complete",IF(COUNTIFS($A$4:$A281,$A282,$B$4:$B281,$B282,$I$4:$I281,"&lt;&gt;Complete")=0,$A282&amp;"|"&amp;$B282,""),"")</f>
        <v/>
      </c>
      <c r="P282">
        <f ca="1">IF($K282="Yes",COUNTIFS($K$4:$K282,"Yes"),"")</f>
        <v>21</v>
      </c>
      <c r="Q282">
        <f t="shared" ca="1" si="19"/>
        <v>1</v>
      </c>
      <c r="R282">
        <f ca="1">IF($Q282=1,SUM($Q$4:$Q282),"")</f>
        <v>21</v>
      </c>
    </row>
    <row r="283" spans="1:18" ht="14.25" customHeight="1" x14ac:dyDescent="0.3">
      <c r="A283" s="2" t="s">
        <v>762</v>
      </c>
      <c r="B283" s="2" t="s">
        <v>140</v>
      </c>
      <c r="C283" s="3" t="s">
        <v>762</v>
      </c>
      <c r="D283" s="3" t="s">
        <v>765</v>
      </c>
      <c r="E283" s="2"/>
      <c r="F283" s="2" t="s">
        <v>270</v>
      </c>
      <c r="G283" s="5">
        <v>46202</v>
      </c>
      <c r="H283" s="5">
        <v>46253</v>
      </c>
      <c r="I283" s="4" t="s">
        <v>17</v>
      </c>
      <c r="J283" s="6">
        <f t="shared" si="18"/>
        <v>51</v>
      </c>
      <c r="K283" s="4" t="str">
        <f t="shared" ca="1" si="21"/>
        <v>Yes</v>
      </c>
      <c r="L283" s="7">
        <f t="shared" ca="1" si="20"/>
        <v>45</v>
      </c>
      <c r="M283" s="4" t="str">
        <f>IF($I283="Complete","Green",IF($H283="","Amber",IF($H283&lt;'[2]Read Me'!$B$4,"Red",IF($H283-'[2]Read Me'!$B$4&lt;=21,"Amber","Green"))))</f>
        <v>Green</v>
      </c>
      <c r="N283" s="3"/>
      <c r="O283" t="str">
        <f>IF($I283&lt;&gt;"Complete",IF(COUNTIFS($A$4:$A282,$A283,$B$4:$B282,$B283,$I$4:$I282,"&lt;&gt;Complete")=0,$A283&amp;"|"&amp;$B283,""),"")</f>
        <v/>
      </c>
      <c r="P283">
        <f ca="1">IF($K283="Yes",COUNTIFS($K$4:$K283,"Yes"),"")</f>
        <v>22</v>
      </c>
      <c r="Q283">
        <f t="shared" ca="1" si="19"/>
        <v>1</v>
      </c>
      <c r="R283">
        <f ca="1">IF($Q283=1,SUM($Q$4:$Q283),"")</f>
        <v>22</v>
      </c>
    </row>
    <row r="284" spans="1:18" ht="14.25" customHeight="1" x14ac:dyDescent="0.3">
      <c r="A284" s="2" t="s">
        <v>762</v>
      </c>
      <c r="B284" s="2" t="s">
        <v>140</v>
      </c>
      <c r="C284" s="3" t="s">
        <v>762</v>
      </c>
      <c r="D284" s="3" t="s">
        <v>58</v>
      </c>
      <c r="E284" s="2"/>
      <c r="F284" s="2"/>
      <c r="G284" s="5">
        <v>46216</v>
      </c>
      <c r="H284" s="5">
        <v>46253</v>
      </c>
      <c r="I284" s="4" t="s">
        <v>17</v>
      </c>
      <c r="J284" s="6">
        <f t="shared" si="18"/>
        <v>37</v>
      </c>
      <c r="K284" s="4" t="str">
        <f t="shared" ca="1" si="21"/>
        <v>Yes</v>
      </c>
      <c r="L284" s="7">
        <f t="shared" ca="1" si="20"/>
        <v>45</v>
      </c>
      <c r="M284" s="4" t="str">
        <f>IF($I284="Complete","Green",IF($H284="","Amber",IF($H284&lt;'[2]Read Me'!$B$4,"Red",IF($H284-'[2]Read Me'!$B$4&lt;=21,"Amber","Green"))))</f>
        <v>Green</v>
      </c>
      <c r="N284" s="3"/>
      <c r="O284" t="str">
        <f>IF($I284&lt;&gt;"Complete",IF(COUNTIFS($A$4:$A283,$A284,$B$4:$B283,$B284,$I$4:$I283,"&lt;&gt;Complete")=0,$A284&amp;"|"&amp;$B284,""),"")</f>
        <v/>
      </c>
      <c r="P284">
        <f ca="1">IF($K284="Yes",COUNTIFS($K$4:$K284,"Yes"),"")</f>
        <v>23</v>
      </c>
      <c r="Q284">
        <f t="shared" ca="1" si="19"/>
        <v>1</v>
      </c>
      <c r="R284">
        <f ca="1">IF($Q284=1,SUM($Q$4:$Q284),"")</f>
        <v>23</v>
      </c>
    </row>
    <row r="285" spans="1:18" ht="14.25" customHeight="1" x14ac:dyDescent="0.3">
      <c r="A285" s="2"/>
      <c r="B285" s="2"/>
      <c r="C285" s="3" t="s">
        <v>762</v>
      </c>
      <c r="D285" s="3" t="s">
        <v>271</v>
      </c>
      <c r="E285" s="2"/>
      <c r="F285" s="2" t="s">
        <v>270</v>
      </c>
      <c r="G285" s="5">
        <v>46209</v>
      </c>
      <c r="H285" s="5">
        <v>46358</v>
      </c>
      <c r="I285" s="4" t="s">
        <v>17</v>
      </c>
      <c r="J285" s="6">
        <f t="shared" si="18"/>
        <v>149</v>
      </c>
      <c r="K285" s="4" t="str">
        <f t="shared" ca="1" si="21"/>
        <v>Yes</v>
      </c>
      <c r="L285" s="7">
        <f t="shared" ca="1" si="20"/>
        <v>150</v>
      </c>
      <c r="M285" s="4" t="str">
        <f>IF($I285="Complete","Green",IF($H285="","Amber",IF($H285&lt;'[2]Read Me'!$B$4,"Red",IF($H285-'[2]Read Me'!$B$4&lt;=21,"Amber","Green"))))</f>
        <v>Green</v>
      </c>
      <c r="N285" s="3"/>
      <c r="O285" t="str">
        <f>IF($I285&lt;&gt;"Complete",IF(COUNTIFS($A$4:$A284,$A285,$B$4:$B284,$B285,$I$4:$I284,"&lt;&gt;Complete")=0,$A285&amp;"|"&amp;$B285,""),"")</f>
        <v>|</v>
      </c>
      <c r="P285">
        <f ca="1">IF($K285="Yes",COUNTIFS($K$4:$K285,"Yes"),"")</f>
        <v>24</v>
      </c>
      <c r="Q285">
        <f t="shared" ca="1" si="19"/>
        <v>1</v>
      </c>
      <c r="R285">
        <f ca="1">IF($Q285=1,SUM($Q$4:$Q285),"")</f>
        <v>24</v>
      </c>
    </row>
    <row r="286" spans="1:18" ht="14.25" customHeight="1" x14ac:dyDescent="0.3">
      <c r="A286" s="2"/>
      <c r="B286" s="2"/>
      <c r="C286" s="3" t="s">
        <v>762</v>
      </c>
      <c r="D286" s="3" t="s">
        <v>58</v>
      </c>
      <c r="E286" s="2"/>
      <c r="F286" s="2"/>
      <c r="G286" s="5">
        <v>46223</v>
      </c>
      <c r="H286" s="5">
        <v>46372</v>
      </c>
      <c r="I286" s="4" t="s">
        <v>17</v>
      </c>
      <c r="J286" s="6">
        <f t="shared" si="18"/>
        <v>149</v>
      </c>
      <c r="K286" s="4" t="str">
        <f t="shared" ca="1" si="21"/>
        <v>Yes</v>
      </c>
      <c r="L286" s="7">
        <f t="shared" ca="1" si="20"/>
        <v>164</v>
      </c>
      <c r="M286" s="4" t="str">
        <f>IF($I286="Complete","Green",IF($H286="","Amber",IF($H286&lt;'[2]Read Me'!$B$4,"Red",IF($H286-'[2]Read Me'!$B$4&lt;=21,"Amber","Green"))))</f>
        <v>Green</v>
      </c>
      <c r="N286" s="3"/>
      <c r="O286" t="str">
        <f>IF($I286&lt;&gt;"Complete",IF(COUNTIFS($A$4:$A285,$A286,$B$4:$B285,$B286,$I$4:$I285,"&lt;&gt;Complete")=0,$A286&amp;"|"&amp;$B286,""),"")</f>
        <v>|</v>
      </c>
      <c r="P286">
        <f ca="1">IF($K286="Yes",COUNTIFS($K$4:$K286,"Yes"),"")</f>
        <v>25</v>
      </c>
      <c r="Q286">
        <f t="shared" ca="1" si="19"/>
        <v>1</v>
      </c>
      <c r="R286">
        <f ca="1">IF($Q286=1,SUM($Q$4:$Q286),"")</f>
        <v>25</v>
      </c>
    </row>
    <row r="287" spans="1:18" ht="14.25" customHeight="1" x14ac:dyDescent="0.3">
      <c r="A287" s="2" t="s">
        <v>766</v>
      </c>
      <c r="B287" s="2" t="s">
        <v>21</v>
      </c>
      <c r="C287" s="3"/>
      <c r="D287" s="3"/>
      <c r="E287" s="2"/>
      <c r="F287" s="2"/>
      <c r="G287" s="5">
        <v>46272</v>
      </c>
      <c r="H287" s="5">
        <v>46379</v>
      </c>
      <c r="I287" s="4"/>
      <c r="J287" s="6">
        <f t="shared" si="18"/>
        <v>107</v>
      </c>
      <c r="K287" s="4" t="str">
        <f t="shared" ca="1" si="21"/>
        <v>Yes</v>
      </c>
      <c r="L287" s="7">
        <f t="shared" ca="1" si="20"/>
        <v>171</v>
      </c>
      <c r="M287" s="4" t="str">
        <f>IF($I287="Complete","Green",IF($H287="","Amber",IF($H287&lt;'[2]Read Me'!$B$4,"Red",IF($H287-'[2]Read Me'!$B$4&lt;=21,"Amber","Green"))))</f>
        <v>Green</v>
      </c>
      <c r="N287" s="3"/>
      <c r="O287" t="str">
        <f>IF($I287&lt;&gt;"Complete",IF(COUNTIFS($A$4:$A286,$A287,$B$4:$B286,$B287,$I$4:$I286,"&lt;&gt;Complete")=0,$A287&amp;"|"&amp;$B287,""),"")</f>
        <v>Landscape  - Boomerang|Landscape</v>
      </c>
      <c r="P287">
        <f ca="1">IF($K287="Yes",COUNTIFS($K$4:$K287,"Yes"),"")</f>
        <v>26</v>
      </c>
      <c r="Q287">
        <f t="shared" ca="1" si="19"/>
        <v>1</v>
      </c>
      <c r="R287">
        <f ca="1">IF($Q287=1,SUM($Q$4:$Q287),"")</f>
        <v>26</v>
      </c>
    </row>
    <row r="288" spans="1:18" ht="14.25" customHeight="1" x14ac:dyDescent="0.3">
      <c r="A288" s="2" t="s">
        <v>766</v>
      </c>
      <c r="B288" s="2" t="s">
        <v>21</v>
      </c>
      <c r="C288" s="3" t="s">
        <v>766</v>
      </c>
      <c r="D288" s="3" t="s">
        <v>767</v>
      </c>
      <c r="E288" s="2"/>
      <c r="F288" s="2" t="s">
        <v>763</v>
      </c>
      <c r="G288" s="5">
        <v>46104</v>
      </c>
      <c r="H288" s="5">
        <v>46197</v>
      </c>
      <c r="I288" s="4" t="s">
        <v>17</v>
      </c>
      <c r="J288" s="6">
        <f t="shared" si="18"/>
        <v>93</v>
      </c>
      <c r="K288" s="4" t="str">
        <f t="shared" ca="1" si="21"/>
        <v>No</v>
      </c>
      <c r="L288" s="7">
        <f t="shared" ca="1" si="20"/>
        <v>-11</v>
      </c>
      <c r="M288" s="4" t="str">
        <f>IF($I288="Complete","Green",IF($H288="","Amber",IF($H288&lt;'[2]Read Me'!$B$4,"Red",IF($H288-'[2]Read Me'!$B$4&lt;=21,"Amber","Green"))))</f>
        <v>Amber</v>
      </c>
      <c r="N288" s="3"/>
      <c r="O288" t="str">
        <f>IF($I288&lt;&gt;"Complete",IF(COUNTIFS($A$4:$A287,$A288,$B$4:$B287,$B288,$I$4:$I287,"&lt;&gt;Complete")=0,$A288&amp;"|"&amp;$B288,""),"")</f>
        <v/>
      </c>
      <c r="P288" t="str">
        <f ca="1">IF($K288="Yes",COUNTIFS($K$4:$K288,"Yes"),"")</f>
        <v/>
      </c>
      <c r="Q288">
        <f t="shared" ca="1" si="19"/>
        <v>0</v>
      </c>
      <c r="R288" t="str">
        <f ca="1">IF($Q288=1,SUM($Q$4:$Q288),"")</f>
        <v/>
      </c>
    </row>
    <row r="289" spans="1:18" ht="14.25" customHeight="1" x14ac:dyDescent="0.3">
      <c r="A289" s="2" t="s">
        <v>766</v>
      </c>
      <c r="B289" s="2" t="s">
        <v>21</v>
      </c>
      <c r="C289" s="3" t="s">
        <v>766</v>
      </c>
      <c r="D289" s="3" t="s">
        <v>156</v>
      </c>
      <c r="E289" s="2"/>
      <c r="F289" s="2" t="s">
        <v>526</v>
      </c>
      <c r="G289" s="5">
        <v>46125</v>
      </c>
      <c r="H289" s="5">
        <v>46218</v>
      </c>
      <c r="I289" s="4" t="s">
        <v>17</v>
      </c>
      <c r="J289" s="6">
        <f t="shared" si="18"/>
        <v>93</v>
      </c>
      <c r="K289" s="4" t="str">
        <f t="shared" ca="1" si="21"/>
        <v>Yes</v>
      </c>
      <c r="L289" s="7">
        <f t="shared" ca="1" si="20"/>
        <v>10</v>
      </c>
      <c r="M289" s="4" t="str">
        <f>IF($I289="Complete","Green",IF($H289="","Amber",IF($H289&lt;'[2]Read Me'!$B$4,"Red",IF($H289-'[2]Read Me'!$B$4&lt;=21,"Amber","Green"))))</f>
        <v>Green</v>
      </c>
      <c r="N289" s="3"/>
      <c r="O289" t="str">
        <f>IF($I289&lt;&gt;"Complete",IF(COUNTIFS($A$4:$A288,$A289,$B$4:$B288,$B289,$I$4:$I288,"&lt;&gt;Complete")=0,$A289&amp;"|"&amp;$B289,""),"")</f>
        <v/>
      </c>
      <c r="P289">
        <f ca="1">IF($K289="Yes",COUNTIFS($K$4:$K289,"Yes"),"")</f>
        <v>27</v>
      </c>
      <c r="Q289">
        <f t="shared" ca="1" si="19"/>
        <v>1</v>
      </c>
      <c r="R289">
        <f ca="1">IF($Q289=1,SUM($Q$4:$Q289),"")</f>
        <v>27</v>
      </c>
    </row>
    <row r="290" spans="1:18" ht="14.25" customHeight="1" x14ac:dyDescent="0.3">
      <c r="A290" s="2" t="s">
        <v>766</v>
      </c>
      <c r="B290" s="2" t="s">
        <v>21</v>
      </c>
      <c r="C290" s="3" t="s">
        <v>766</v>
      </c>
      <c r="D290" s="3" t="s">
        <v>58</v>
      </c>
      <c r="E290" s="2"/>
      <c r="F290" s="2" t="s">
        <v>749</v>
      </c>
      <c r="G290" s="5">
        <v>46132</v>
      </c>
      <c r="H290" s="5">
        <v>46232</v>
      </c>
      <c r="I290" s="4" t="s">
        <v>17</v>
      </c>
      <c r="J290" s="6">
        <f t="shared" si="18"/>
        <v>100</v>
      </c>
      <c r="K290" s="4" t="str">
        <f t="shared" ca="1" si="21"/>
        <v>Yes</v>
      </c>
      <c r="L290" s="7">
        <f t="shared" ca="1" si="20"/>
        <v>24</v>
      </c>
      <c r="M290" s="4" t="str">
        <f>IF($I290="Complete","Green",IF($H290="","Amber",IF($H290&lt;'[2]Read Me'!$B$4,"Red",IF($H290-'[2]Read Me'!$B$4&lt;=21,"Amber","Green"))))</f>
        <v>Green</v>
      </c>
      <c r="N290" s="3"/>
      <c r="O290" t="str">
        <f>IF($I290&lt;&gt;"Complete",IF(COUNTIFS($A$4:$A289,$A290,$B$4:$B289,$B290,$I$4:$I289,"&lt;&gt;Complete")=0,$A290&amp;"|"&amp;$B290,""),"")</f>
        <v/>
      </c>
      <c r="P290">
        <f ca="1">IF($K290="Yes",COUNTIFS($K$4:$K290,"Yes"),"")</f>
        <v>28</v>
      </c>
      <c r="Q290">
        <f t="shared" ca="1" si="19"/>
        <v>1</v>
      </c>
      <c r="R290">
        <f ca="1">IF($Q290=1,SUM($Q$4:$Q290),"")</f>
        <v>28</v>
      </c>
    </row>
    <row r="291" spans="1:18" ht="14.25" customHeight="1" x14ac:dyDescent="0.3">
      <c r="A291" s="2" t="s">
        <v>766</v>
      </c>
      <c r="B291" s="2" t="s">
        <v>21</v>
      </c>
      <c r="C291" s="3" t="s">
        <v>766</v>
      </c>
      <c r="D291" s="3" t="s">
        <v>98</v>
      </c>
      <c r="E291" s="2"/>
      <c r="F291" s="2" t="s">
        <v>526</v>
      </c>
      <c r="G291" s="5">
        <v>46160</v>
      </c>
      <c r="H291" s="5">
        <v>46260</v>
      </c>
      <c r="I291" s="4" t="s">
        <v>17</v>
      </c>
      <c r="J291" s="6">
        <f t="shared" si="18"/>
        <v>100</v>
      </c>
      <c r="K291" s="4" t="str">
        <f t="shared" ca="1" si="21"/>
        <v>Yes</v>
      </c>
      <c r="L291" s="7">
        <f t="shared" ca="1" si="20"/>
        <v>52</v>
      </c>
      <c r="M291" s="4" t="str">
        <f>IF($I291="Complete","Green",IF($H291="","Amber",IF($H291&lt;'[2]Read Me'!$B$4,"Red",IF($H291-'[2]Read Me'!$B$4&lt;=21,"Amber","Green"))))</f>
        <v>Green</v>
      </c>
      <c r="N291" s="3"/>
      <c r="O291" t="str">
        <f>IF($I291&lt;&gt;"Complete",IF(COUNTIFS($A$4:$A290,$A291,$B$4:$B290,$B291,$I$4:$I290,"&lt;&gt;Complete")=0,$A291&amp;"|"&amp;$B291,""),"")</f>
        <v/>
      </c>
      <c r="P291">
        <f ca="1">IF($K291="Yes",COUNTIFS($K$4:$K291,"Yes"),"")</f>
        <v>29</v>
      </c>
      <c r="Q291">
        <f t="shared" ca="1" si="19"/>
        <v>1</v>
      </c>
      <c r="R291">
        <f ca="1">IF($Q291=1,SUM($Q$4:$Q291),"")</f>
        <v>29</v>
      </c>
    </row>
    <row r="292" spans="1:18" ht="14.25" customHeight="1" x14ac:dyDescent="0.3">
      <c r="A292" s="2" t="s">
        <v>766</v>
      </c>
      <c r="B292" s="2" t="s">
        <v>21</v>
      </c>
      <c r="C292" s="3" t="s">
        <v>766</v>
      </c>
      <c r="D292" s="3" t="s">
        <v>58</v>
      </c>
      <c r="E292" s="2"/>
      <c r="F292" s="2" t="s">
        <v>265</v>
      </c>
      <c r="G292" s="5">
        <v>46167</v>
      </c>
      <c r="H292" s="5">
        <v>46274</v>
      </c>
      <c r="I292" s="4" t="s">
        <v>17</v>
      </c>
      <c r="J292" s="6">
        <f t="shared" si="18"/>
        <v>107</v>
      </c>
      <c r="K292" s="4" t="str">
        <f t="shared" ca="1" si="21"/>
        <v>Yes</v>
      </c>
      <c r="L292" s="7">
        <f t="shared" ca="1" si="20"/>
        <v>66</v>
      </c>
      <c r="M292" s="4" t="str">
        <f>IF($I292="Complete","Green",IF($H292="","Amber",IF($H292&lt;'[2]Read Me'!$B$4,"Red",IF($H292-'[2]Read Me'!$B$4&lt;=21,"Amber","Green"))))</f>
        <v>Green</v>
      </c>
      <c r="N292" s="3"/>
      <c r="O292" t="str">
        <f>IF($I292&lt;&gt;"Complete",IF(COUNTIFS($A$4:$A291,$A292,$B$4:$B291,$B292,$I$4:$I291,"&lt;&gt;Complete")=0,$A292&amp;"|"&amp;$B292,""),"")</f>
        <v/>
      </c>
      <c r="P292">
        <f ca="1">IF($K292="Yes",COUNTIFS($K$4:$K292,"Yes"),"")</f>
        <v>30</v>
      </c>
      <c r="Q292">
        <f t="shared" ca="1" si="19"/>
        <v>1</v>
      </c>
      <c r="R292">
        <f ca="1">IF($Q292=1,SUM($Q$4:$Q292),"")</f>
        <v>30</v>
      </c>
    </row>
    <row r="293" spans="1:18" ht="22.5" customHeight="1" x14ac:dyDescent="0.3">
      <c r="A293" s="2" t="s">
        <v>766</v>
      </c>
      <c r="B293" s="2" t="s">
        <v>21</v>
      </c>
      <c r="C293" s="3" t="s">
        <v>766</v>
      </c>
      <c r="D293" s="3" t="s">
        <v>768</v>
      </c>
      <c r="E293" s="2"/>
      <c r="F293" s="2" t="s">
        <v>526</v>
      </c>
      <c r="G293" s="5">
        <v>46223</v>
      </c>
      <c r="H293" s="5">
        <v>46330</v>
      </c>
      <c r="I293" s="4" t="s">
        <v>17</v>
      </c>
      <c r="J293" s="6">
        <f t="shared" si="18"/>
        <v>107</v>
      </c>
      <c r="K293" s="4" t="str">
        <f t="shared" ca="1" si="21"/>
        <v>Yes</v>
      </c>
      <c r="L293" s="7">
        <f t="shared" ca="1" si="20"/>
        <v>122</v>
      </c>
      <c r="M293" s="4" t="str">
        <f>IF($I293="Complete","Green",IF($H293="","Amber",IF($H293&lt;'[2]Read Me'!$B$4,"Red",IF($H293-'[2]Read Me'!$B$4&lt;=21,"Amber","Green"))))</f>
        <v>Green</v>
      </c>
      <c r="N293" s="3"/>
      <c r="O293" t="str">
        <f>IF($I293&lt;&gt;"Complete",IF(COUNTIFS($A$4:$A292,$A293,$B$4:$B292,$B293,$I$4:$I292,"&lt;&gt;Complete")=0,$A293&amp;"|"&amp;$B293,""),"")</f>
        <v/>
      </c>
      <c r="P293">
        <f ca="1">IF($K293="Yes",COUNTIFS($K$4:$K293,"Yes"),"")</f>
        <v>31</v>
      </c>
      <c r="Q293">
        <f t="shared" ca="1" si="19"/>
        <v>1</v>
      </c>
      <c r="R293">
        <f ca="1">IF($Q293=1,SUM($Q$4:$Q293),"")</f>
        <v>31</v>
      </c>
    </row>
    <row r="294" spans="1:18" ht="22.5" customHeight="1" x14ac:dyDescent="0.3">
      <c r="A294" s="2" t="s">
        <v>766</v>
      </c>
      <c r="B294" s="2" t="s">
        <v>21</v>
      </c>
      <c r="C294" s="3" t="s">
        <v>766</v>
      </c>
      <c r="D294" s="3" t="s">
        <v>58</v>
      </c>
      <c r="E294" s="2"/>
      <c r="F294" s="2" t="s">
        <v>265</v>
      </c>
      <c r="G294" s="5">
        <v>46237</v>
      </c>
      <c r="H294" s="5">
        <v>46344</v>
      </c>
      <c r="I294" s="4" t="s">
        <v>17</v>
      </c>
      <c r="J294" s="6">
        <f t="shared" si="18"/>
        <v>107</v>
      </c>
      <c r="K294" s="4" t="str">
        <f t="shared" ca="1" si="21"/>
        <v>Yes</v>
      </c>
      <c r="L294" s="7">
        <f t="shared" ca="1" si="20"/>
        <v>136</v>
      </c>
      <c r="M294" s="4" t="str">
        <f>IF($I294="Complete","Green",IF($H294="","Amber",IF($H294&lt;'[2]Read Me'!$B$4,"Red",IF($H294-'[2]Read Me'!$B$4&lt;=21,"Amber","Green"))))</f>
        <v>Green</v>
      </c>
      <c r="N294" s="3"/>
      <c r="O294" t="str">
        <f>IF($I294&lt;&gt;"Complete",IF(COUNTIFS($A$4:$A293,$A294,$B$4:$B293,$B294,$I$4:$I293,"&lt;&gt;Complete")=0,$A294&amp;"|"&amp;$B294,""),"")</f>
        <v/>
      </c>
      <c r="P294">
        <f ca="1">IF($K294="Yes",COUNTIFS($K$4:$K294,"Yes"),"")</f>
        <v>32</v>
      </c>
      <c r="Q294">
        <f t="shared" ca="1" si="19"/>
        <v>1</v>
      </c>
      <c r="R294">
        <f ca="1">IF($Q294=1,SUM($Q$4:$Q294),"")</f>
        <v>32</v>
      </c>
    </row>
    <row r="295" spans="1:18" ht="22.5" customHeight="1" x14ac:dyDescent="0.3">
      <c r="A295" s="2" t="s">
        <v>766</v>
      </c>
      <c r="B295" s="2" t="s">
        <v>21</v>
      </c>
      <c r="C295" s="3" t="s">
        <v>766</v>
      </c>
      <c r="D295" s="3" t="s">
        <v>18</v>
      </c>
      <c r="E295" s="2"/>
      <c r="F295" s="2" t="s">
        <v>526</v>
      </c>
      <c r="G295" s="5">
        <v>46265</v>
      </c>
      <c r="H295" s="5">
        <v>46372</v>
      </c>
      <c r="I295" s="4" t="s">
        <v>17</v>
      </c>
      <c r="J295" s="6">
        <f t="shared" si="18"/>
        <v>107</v>
      </c>
      <c r="K295" s="4" t="str">
        <f t="shared" ca="1" si="21"/>
        <v>Yes</v>
      </c>
      <c r="L295" s="7">
        <f t="shared" ca="1" si="20"/>
        <v>164</v>
      </c>
      <c r="M295" s="4" t="str">
        <f>IF($I295="Complete","Green",IF($H295="","Amber",IF($H295&lt;'[2]Read Me'!$B$4,"Red",IF($H295-'[2]Read Me'!$B$4&lt;=21,"Amber","Green"))))</f>
        <v>Green</v>
      </c>
      <c r="N295" s="3"/>
      <c r="O295" t="str">
        <f>IF($I295&lt;&gt;"Complete",IF(COUNTIFS($A$4:$A294,$A295,$B$4:$B294,$B295,$I$4:$I294,"&lt;&gt;Complete")=0,$A295&amp;"|"&amp;$B295,""),"")</f>
        <v/>
      </c>
      <c r="P295">
        <f ca="1">IF($K295="Yes",COUNTIFS($K$4:$K295,"Yes"),"")</f>
        <v>33</v>
      </c>
      <c r="Q295">
        <f t="shared" ca="1" si="19"/>
        <v>1</v>
      </c>
      <c r="R295">
        <f ca="1">IF($Q295=1,SUM($Q$4:$Q295),"")</f>
        <v>33</v>
      </c>
    </row>
    <row r="296" spans="1:18" ht="22.5" customHeight="1" x14ac:dyDescent="0.3">
      <c r="A296" s="2" t="s">
        <v>766</v>
      </c>
      <c r="B296" s="2" t="s">
        <v>21</v>
      </c>
      <c r="C296" s="3" t="s">
        <v>766</v>
      </c>
      <c r="D296" s="3" t="s">
        <v>769</v>
      </c>
      <c r="E296" s="2"/>
      <c r="F296" s="2"/>
      <c r="G296" s="5">
        <v>46272</v>
      </c>
      <c r="H296" s="5">
        <v>46379</v>
      </c>
      <c r="I296" s="4" t="s">
        <v>17</v>
      </c>
      <c r="J296" s="6">
        <f t="shared" si="18"/>
        <v>107</v>
      </c>
      <c r="K296" s="4" t="str">
        <f t="shared" ca="1" si="21"/>
        <v>Yes</v>
      </c>
      <c r="L296" s="7">
        <f t="shared" ca="1" si="20"/>
        <v>171</v>
      </c>
      <c r="M296" s="4" t="str">
        <f>IF($I296="Complete","Green",IF($H296="","Amber",IF($H296&lt;'[2]Read Me'!$B$4,"Red",IF($H296-'[2]Read Me'!$B$4&lt;=21,"Amber","Green"))))</f>
        <v>Green</v>
      </c>
      <c r="N296" s="3"/>
      <c r="O296" t="str">
        <f>IF($I296&lt;&gt;"Complete",IF(COUNTIFS($A$4:$A295,$A296,$B$4:$B295,$B296,$I$4:$I295,"&lt;&gt;Complete")=0,$A296&amp;"|"&amp;$B296,""),"")</f>
        <v/>
      </c>
      <c r="P296">
        <f ca="1">IF($K296="Yes",COUNTIFS($K$4:$K296,"Yes"),"")</f>
        <v>34</v>
      </c>
      <c r="Q296">
        <f t="shared" ca="1" si="19"/>
        <v>1</v>
      </c>
      <c r="R296">
        <f ca="1">IF($Q296=1,SUM($Q$4:$Q296),"")</f>
        <v>34</v>
      </c>
    </row>
    <row r="297" spans="1:18" ht="22.5" customHeight="1" x14ac:dyDescent="0.3">
      <c r="A297" s="2" t="s">
        <v>770</v>
      </c>
      <c r="B297" s="2" t="s">
        <v>62</v>
      </c>
      <c r="C297" s="3"/>
      <c r="D297" s="3"/>
      <c r="E297" s="2"/>
      <c r="F297" s="2"/>
      <c r="G297" s="5">
        <v>46223</v>
      </c>
      <c r="H297" s="5">
        <v>46316</v>
      </c>
      <c r="I297" s="4"/>
      <c r="J297" s="6">
        <f t="shared" si="18"/>
        <v>93</v>
      </c>
      <c r="K297" s="4" t="str">
        <f t="shared" ca="1" si="21"/>
        <v>Yes</v>
      </c>
      <c r="L297" s="7">
        <f t="shared" ca="1" si="20"/>
        <v>108</v>
      </c>
      <c r="M297" s="4" t="str">
        <f>IF($I297="Complete","Green",IF($H297="","Amber",IF($H297&lt;'[2]Read Me'!$B$4,"Red",IF($H297-'[2]Read Me'!$B$4&lt;=21,"Amber","Green"))))</f>
        <v>Green</v>
      </c>
      <c r="N297" s="3"/>
      <c r="O297" t="str">
        <f>IF($I297&lt;&gt;"Complete",IF(COUNTIFS($A$4:$A296,$A297,$B$4:$B296,$B297,$I$4:$I296,"&lt;&gt;Complete")=0,$A297&amp;"|"&amp;$B297,""),"")</f>
        <v>Buildings - Boomerang|Buildings</v>
      </c>
      <c r="P297">
        <f ca="1">IF($K297="Yes",COUNTIFS($K$4:$K297,"Yes"),"")</f>
        <v>35</v>
      </c>
      <c r="Q297">
        <f t="shared" ca="1" si="19"/>
        <v>1</v>
      </c>
      <c r="R297">
        <f ca="1">IF($Q297=1,SUM($Q$4:$Q297),"")</f>
        <v>35</v>
      </c>
    </row>
    <row r="298" spans="1:18" ht="22.5" customHeight="1" x14ac:dyDescent="0.3">
      <c r="A298" s="2" t="s">
        <v>770</v>
      </c>
      <c r="B298" s="2" t="s">
        <v>62</v>
      </c>
      <c r="C298" s="3" t="s">
        <v>770</v>
      </c>
      <c r="D298" s="3" t="s">
        <v>153</v>
      </c>
      <c r="E298" s="2"/>
      <c r="F298" s="2" t="s">
        <v>265</v>
      </c>
      <c r="G298" s="5">
        <v>46062</v>
      </c>
      <c r="H298" s="5">
        <v>46113</v>
      </c>
      <c r="I298" s="4" t="s">
        <v>31</v>
      </c>
      <c r="J298" s="6">
        <f t="shared" si="18"/>
        <v>51</v>
      </c>
      <c r="K298" s="4" t="str">
        <f t="shared" ca="1" si="21"/>
        <v>No</v>
      </c>
      <c r="L298" s="7">
        <f t="shared" ca="1" si="20"/>
        <v>0</v>
      </c>
      <c r="M298" s="4" t="str">
        <f>IF($I298="Complete","Green",IF($H298="","Amber",IF($H298&lt;'[2]Read Me'!$B$4,"Red",IF($H298-'[2]Read Me'!$B$4&lt;=21,"Amber","Green"))))</f>
        <v>Red</v>
      </c>
      <c r="N298" s="3"/>
      <c r="O298" t="str">
        <f>IF($I298&lt;&gt;"Complete",IF(COUNTIFS($A$4:$A297,$A298,$B$4:$B297,$B298,$I$4:$I297,"&lt;&gt;Complete")=0,$A298&amp;"|"&amp;$B298,""),"")</f>
        <v/>
      </c>
      <c r="P298" t="str">
        <f ca="1">IF($K298="Yes",COUNTIFS($K$4:$K298,"Yes"),"")</f>
        <v/>
      </c>
      <c r="Q298">
        <f t="shared" ca="1" si="19"/>
        <v>0</v>
      </c>
      <c r="R298" t="str">
        <f ca="1">IF($Q298=1,SUM($Q$4:$Q298),"")</f>
        <v/>
      </c>
    </row>
    <row r="299" spans="1:18" ht="22.5" customHeight="1" x14ac:dyDescent="0.3">
      <c r="A299" s="2" t="s">
        <v>770</v>
      </c>
      <c r="B299" s="2" t="s">
        <v>62</v>
      </c>
      <c r="C299" s="3" t="s">
        <v>770</v>
      </c>
      <c r="D299" s="3" t="s">
        <v>154</v>
      </c>
      <c r="E299" s="2"/>
      <c r="F299" s="2" t="s">
        <v>270</v>
      </c>
      <c r="G299" s="5">
        <v>46083</v>
      </c>
      <c r="H299" s="5">
        <v>46197</v>
      </c>
      <c r="I299" s="4" t="s">
        <v>46</v>
      </c>
      <c r="J299" s="6">
        <f t="shared" si="18"/>
        <v>114</v>
      </c>
      <c r="K299" s="4" t="str">
        <f t="shared" ca="1" si="21"/>
        <v>No</v>
      </c>
      <c r="L299" s="7">
        <f t="shared" ca="1" si="20"/>
        <v>-11</v>
      </c>
      <c r="M299" s="4" t="str">
        <f>IF($I299="Complete","Green",IF($H299="","Amber",IF($H299&lt;'[2]Read Me'!$B$4,"Red",IF($H299-'[2]Read Me'!$B$4&lt;=21,"Amber","Green"))))</f>
        <v>Amber</v>
      </c>
      <c r="N299" s="3"/>
      <c r="O299" t="str">
        <f>IF($I299&lt;&gt;"Complete",IF(COUNTIFS($A$4:$A298,$A299,$B$4:$B298,$B299,$I$4:$I298,"&lt;&gt;Complete")=0,$A299&amp;"|"&amp;$B299,""),"")</f>
        <v/>
      </c>
      <c r="P299" t="str">
        <f ca="1">IF($K299="Yes",COUNTIFS($K$4:$K299,"Yes"),"")</f>
        <v/>
      </c>
      <c r="Q299">
        <f t="shared" ca="1" si="19"/>
        <v>0</v>
      </c>
      <c r="R299" t="str">
        <f ca="1">IF($Q299=1,SUM($Q$4:$Q299),"")</f>
        <v/>
      </c>
    </row>
    <row r="300" spans="1:18" ht="22.5" customHeight="1" x14ac:dyDescent="0.3">
      <c r="A300" s="2" t="s">
        <v>770</v>
      </c>
      <c r="B300" s="2" t="s">
        <v>62</v>
      </c>
      <c r="C300" s="3" t="s">
        <v>770</v>
      </c>
      <c r="D300" s="3" t="s">
        <v>58</v>
      </c>
      <c r="E300" s="2"/>
      <c r="F300" s="2" t="s">
        <v>749</v>
      </c>
      <c r="G300" s="5">
        <v>46090</v>
      </c>
      <c r="H300" s="5">
        <v>46204</v>
      </c>
      <c r="I300" s="4" t="s">
        <v>17</v>
      </c>
      <c r="J300" s="6">
        <f t="shared" si="18"/>
        <v>114</v>
      </c>
      <c r="K300" s="4" t="str">
        <f t="shared" ca="1" si="21"/>
        <v>No</v>
      </c>
      <c r="L300" s="7">
        <f t="shared" ca="1" si="20"/>
        <v>-4</v>
      </c>
      <c r="M300" s="4" t="str">
        <f>IF($I300="Complete","Green",IF($H300="","Amber",IF($H300&lt;'[2]Read Me'!$B$4,"Red",IF($H300-'[2]Read Me'!$B$4&lt;=21,"Amber","Green"))))</f>
        <v>Amber</v>
      </c>
      <c r="N300" s="3"/>
      <c r="O300" t="str">
        <f>IF($I300&lt;&gt;"Complete",IF(COUNTIFS($A$4:$A299,$A300,$B$4:$B299,$B300,$I$4:$I299,"&lt;&gt;Complete")=0,$A300&amp;"|"&amp;$B300,""),"")</f>
        <v/>
      </c>
      <c r="P300" t="str">
        <f ca="1">IF($K300="Yes",COUNTIFS($K$4:$K300,"Yes"),"")</f>
        <v/>
      </c>
      <c r="Q300">
        <f t="shared" ca="1" si="19"/>
        <v>0</v>
      </c>
      <c r="R300" t="str">
        <f ca="1">IF($Q300=1,SUM($Q$4:$Q300),"")</f>
        <v/>
      </c>
    </row>
    <row r="301" spans="1:18" ht="22.5" customHeight="1" x14ac:dyDescent="0.3">
      <c r="A301" s="2" t="s">
        <v>770</v>
      </c>
      <c r="B301" s="2" t="s">
        <v>62</v>
      </c>
      <c r="C301" s="3" t="s">
        <v>770</v>
      </c>
      <c r="D301" s="3" t="s">
        <v>156</v>
      </c>
      <c r="E301" s="2"/>
      <c r="F301" s="2" t="s">
        <v>270</v>
      </c>
      <c r="G301" s="5">
        <v>46104</v>
      </c>
      <c r="H301" s="5">
        <v>46218</v>
      </c>
      <c r="I301" s="4" t="s">
        <v>17</v>
      </c>
      <c r="J301" s="6">
        <f t="shared" si="18"/>
        <v>114</v>
      </c>
      <c r="K301" s="4" t="str">
        <f t="shared" ca="1" si="21"/>
        <v>Yes</v>
      </c>
      <c r="L301" s="7">
        <f t="shared" ca="1" si="20"/>
        <v>10</v>
      </c>
      <c r="M301" s="4" t="str">
        <f>IF($I301="Complete","Green",IF($H301="","Amber",IF($H301&lt;'[2]Read Me'!$B$4,"Red",IF($H301-'[2]Read Me'!$B$4&lt;=21,"Amber","Green"))))</f>
        <v>Green</v>
      </c>
      <c r="N301" s="3"/>
      <c r="O301" t="str">
        <f>IF($I301&lt;&gt;"Complete",IF(COUNTIFS($A$4:$A300,$A301,$B$4:$B300,$B301,$I$4:$I300,"&lt;&gt;Complete")=0,$A301&amp;"|"&amp;$B301,""),"")</f>
        <v/>
      </c>
      <c r="P301">
        <f ca="1">IF($K301="Yes",COUNTIFS($K$4:$K301,"Yes"),"")</f>
        <v>36</v>
      </c>
      <c r="Q301">
        <f t="shared" ca="1" si="19"/>
        <v>1</v>
      </c>
      <c r="R301">
        <f ca="1">IF($Q301=1,SUM($Q$4:$Q301),"")</f>
        <v>36</v>
      </c>
    </row>
    <row r="302" spans="1:18" ht="22.5" customHeight="1" x14ac:dyDescent="0.3">
      <c r="A302" s="2" t="s">
        <v>770</v>
      </c>
      <c r="B302" s="2" t="s">
        <v>62</v>
      </c>
      <c r="C302" s="3" t="s">
        <v>770</v>
      </c>
      <c r="D302" s="3" t="s">
        <v>58</v>
      </c>
      <c r="E302" s="2"/>
      <c r="F302" s="2" t="s">
        <v>749</v>
      </c>
      <c r="G302" s="5">
        <v>46118</v>
      </c>
      <c r="H302" s="5">
        <v>46225</v>
      </c>
      <c r="I302" s="4" t="s">
        <v>17</v>
      </c>
      <c r="J302" s="6">
        <f t="shared" si="18"/>
        <v>107</v>
      </c>
      <c r="K302" s="4" t="str">
        <f t="shared" ca="1" si="21"/>
        <v>Yes</v>
      </c>
      <c r="L302" s="7">
        <f t="shared" ca="1" si="20"/>
        <v>17</v>
      </c>
      <c r="M302" s="4" t="str">
        <f>IF($I302="Complete","Green",IF($H302="","Amber",IF($H302&lt;'[2]Read Me'!$B$4,"Red",IF($H302-'[2]Read Me'!$B$4&lt;=21,"Amber","Green"))))</f>
        <v>Green</v>
      </c>
      <c r="N302" s="3"/>
      <c r="O302" t="str">
        <f>IF($I302&lt;&gt;"Complete",IF(COUNTIFS($A$4:$A301,$A302,$B$4:$B301,$B302,$I$4:$I301,"&lt;&gt;Complete")=0,$A302&amp;"|"&amp;$B302,""),"")</f>
        <v/>
      </c>
      <c r="P302">
        <f ca="1">IF($K302="Yes",COUNTIFS($K$4:$K302,"Yes"),"")</f>
        <v>37</v>
      </c>
      <c r="Q302">
        <f t="shared" ca="1" si="19"/>
        <v>1</v>
      </c>
      <c r="R302">
        <f ca="1">IF($Q302=1,SUM($Q$4:$Q302),"")</f>
        <v>37</v>
      </c>
    </row>
    <row r="303" spans="1:18" ht="22.5" customHeight="1" x14ac:dyDescent="0.3">
      <c r="A303" s="2" t="s">
        <v>770</v>
      </c>
      <c r="B303" s="2" t="s">
        <v>62</v>
      </c>
      <c r="C303" s="3" t="s">
        <v>770</v>
      </c>
      <c r="D303" s="3" t="s">
        <v>157</v>
      </c>
      <c r="E303" s="2"/>
      <c r="F303" s="2" t="s">
        <v>270</v>
      </c>
      <c r="G303" s="5">
        <v>46146</v>
      </c>
      <c r="H303" s="5">
        <v>46239</v>
      </c>
      <c r="I303" s="4" t="s">
        <v>17</v>
      </c>
      <c r="J303" s="6">
        <f t="shared" si="18"/>
        <v>93</v>
      </c>
      <c r="K303" s="4" t="str">
        <f t="shared" ca="1" si="21"/>
        <v>Yes</v>
      </c>
      <c r="L303" s="7">
        <f t="shared" ca="1" si="20"/>
        <v>31</v>
      </c>
      <c r="M303" s="4" t="str">
        <f>IF($I303="Complete","Green",IF($H303="","Amber",IF($H303&lt;'[2]Read Me'!$B$4,"Red",IF($H303-'[2]Read Me'!$B$4&lt;=21,"Amber","Green"))))</f>
        <v>Green</v>
      </c>
      <c r="N303" s="3"/>
      <c r="O303" t="str">
        <f>IF($I303&lt;&gt;"Complete",IF(COUNTIFS($A$4:$A302,$A303,$B$4:$B302,$B303,$I$4:$I302,"&lt;&gt;Complete")=0,$A303&amp;"|"&amp;$B303,""),"")</f>
        <v/>
      </c>
      <c r="P303">
        <f ca="1">IF($K303="Yes",COUNTIFS($K$4:$K303,"Yes"),"")</f>
        <v>38</v>
      </c>
      <c r="Q303">
        <f t="shared" ca="1" si="19"/>
        <v>1</v>
      </c>
      <c r="R303">
        <f ca="1">IF($Q303=1,SUM($Q$4:$Q303),"")</f>
        <v>38</v>
      </c>
    </row>
    <row r="304" spans="1:18" ht="22.5" customHeight="1" x14ac:dyDescent="0.3">
      <c r="A304" s="2" t="s">
        <v>770</v>
      </c>
      <c r="B304" s="2" t="s">
        <v>62</v>
      </c>
      <c r="C304" s="3" t="s">
        <v>770</v>
      </c>
      <c r="D304" s="3" t="s">
        <v>58</v>
      </c>
      <c r="E304" s="2"/>
      <c r="F304" s="2" t="s">
        <v>749</v>
      </c>
      <c r="G304" s="5">
        <v>46153</v>
      </c>
      <c r="H304" s="5">
        <v>46246</v>
      </c>
      <c r="I304" s="4" t="s">
        <v>17</v>
      </c>
      <c r="J304" s="6">
        <f t="shared" si="18"/>
        <v>93</v>
      </c>
      <c r="K304" s="4" t="str">
        <f t="shared" ca="1" si="21"/>
        <v>Yes</v>
      </c>
      <c r="L304" s="7">
        <f t="shared" ca="1" si="20"/>
        <v>38</v>
      </c>
      <c r="M304" s="4" t="str">
        <f>IF($I304="Complete","Green",IF($H304="","Amber",IF($H304&lt;'[2]Read Me'!$B$4,"Red",IF($H304-'[2]Read Me'!$B$4&lt;=21,"Amber","Green"))))</f>
        <v>Green</v>
      </c>
      <c r="N304" s="3"/>
      <c r="O304" t="str">
        <f>IF($I304&lt;&gt;"Complete",IF(COUNTIFS($A$4:$A303,$A304,$B$4:$B303,$B304,$I$4:$I303,"&lt;&gt;Complete")=0,$A304&amp;"|"&amp;$B304,""),"")</f>
        <v/>
      </c>
      <c r="P304">
        <f ca="1">IF($K304="Yes",COUNTIFS($K$4:$K304,"Yes"),"")</f>
        <v>39</v>
      </c>
      <c r="Q304">
        <f t="shared" ca="1" si="19"/>
        <v>1</v>
      </c>
      <c r="R304">
        <f ca="1">IF($Q304=1,SUM($Q$4:$Q304),"")</f>
        <v>39</v>
      </c>
    </row>
    <row r="305" spans="1:18" ht="22.5" customHeight="1" x14ac:dyDescent="0.3">
      <c r="A305" s="2" t="s">
        <v>770</v>
      </c>
      <c r="B305" s="2" t="s">
        <v>62</v>
      </c>
      <c r="C305" s="3" t="s">
        <v>770</v>
      </c>
      <c r="D305" s="3" t="s">
        <v>771</v>
      </c>
      <c r="E305" s="2"/>
      <c r="F305" s="2" t="s">
        <v>270</v>
      </c>
      <c r="G305" s="5">
        <v>46181</v>
      </c>
      <c r="H305" s="5">
        <v>46246</v>
      </c>
      <c r="I305" s="4" t="s">
        <v>17</v>
      </c>
      <c r="J305" s="6">
        <f t="shared" si="18"/>
        <v>65</v>
      </c>
      <c r="K305" s="4" t="str">
        <f t="shared" ca="1" si="21"/>
        <v>Yes</v>
      </c>
      <c r="L305" s="7">
        <f t="shared" ca="1" si="20"/>
        <v>38</v>
      </c>
      <c r="M305" s="4" t="str">
        <f>IF($I305="Complete","Green",IF($H305="","Amber",IF($H305&lt;'[2]Read Me'!$B$4,"Red",IF($H305-'[2]Read Me'!$B$4&lt;=21,"Amber","Green"))))</f>
        <v>Green</v>
      </c>
      <c r="N305" s="3"/>
      <c r="O305" t="str">
        <f>IF($I305&lt;&gt;"Complete",IF(COUNTIFS($A$4:$A304,$A305,$B$4:$B304,$B305,$I$4:$I304,"&lt;&gt;Complete")=0,$A305&amp;"|"&amp;$B305,""),"")</f>
        <v/>
      </c>
      <c r="P305">
        <f ca="1">IF($K305="Yes",COUNTIFS($K$4:$K305,"Yes"),"")</f>
        <v>40</v>
      </c>
      <c r="Q305">
        <f t="shared" ca="1" si="19"/>
        <v>1</v>
      </c>
      <c r="R305">
        <f ca="1">IF($Q305=1,SUM($Q$4:$Q305),"")</f>
        <v>40</v>
      </c>
    </row>
    <row r="306" spans="1:18" ht="22.5" customHeight="1" x14ac:dyDescent="0.3">
      <c r="A306" s="2" t="s">
        <v>770</v>
      </c>
      <c r="B306" s="2" t="s">
        <v>62</v>
      </c>
      <c r="C306" s="3" t="s">
        <v>770</v>
      </c>
      <c r="D306" s="3" t="s">
        <v>58</v>
      </c>
      <c r="E306" s="2"/>
      <c r="F306" s="2"/>
      <c r="G306" s="5">
        <v>46195</v>
      </c>
      <c r="H306" s="5">
        <v>46246</v>
      </c>
      <c r="I306" s="4" t="s">
        <v>17</v>
      </c>
      <c r="J306" s="6">
        <f t="shared" si="18"/>
        <v>51</v>
      </c>
      <c r="K306" s="4" t="str">
        <f t="shared" ca="1" si="21"/>
        <v>Yes</v>
      </c>
      <c r="L306" s="7">
        <f t="shared" ca="1" si="20"/>
        <v>38</v>
      </c>
      <c r="M306" s="4" t="str">
        <f>IF($I306="Complete","Green",IF($H306="","Amber",IF($H306&lt;'[2]Read Me'!$B$4,"Red",IF($H306-'[2]Read Me'!$B$4&lt;=21,"Amber","Green"))))</f>
        <v>Green</v>
      </c>
      <c r="N306" s="3"/>
      <c r="O306" t="str">
        <f>IF($I306&lt;&gt;"Complete",IF(COUNTIFS($A$4:$A305,$A306,$B$4:$B305,$B306,$I$4:$I305,"&lt;&gt;Complete")=0,$A306&amp;"|"&amp;$B306,""),"")</f>
        <v/>
      </c>
      <c r="P306">
        <f ca="1">IF($K306="Yes",COUNTIFS($K$4:$K306,"Yes"),"")</f>
        <v>41</v>
      </c>
      <c r="Q306">
        <f t="shared" ca="1" si="19"/>
        <v>1</v>
      </c>
      <c r="R306">
        <f ca="1">IF($Q306=1,SUM($Q$4:$Q306),"")</f>
        <v>41</v>
      </c>
    </row>
    <row r="307" spans="1:18" ht="22.5" customHeight="1" x14ac:dyDescent="0.3">
      <c r="A307" s="2" t="s">
        <v>770</v>
      </c>
      <c r="B307" s="2" t="s">
        <v>62</v>
      </c>
      <c r="C307" s="3" t="s">
        <v>770</v>
      </c>
      <c r="D307" s="3" t="s">
        <v>772</v>
      </c>
      <c r="E307" s="2"/>
      <c r="F307" s="2" t="s">
        <v>270</v>
      </c>
      <c r="G307" s="5">
        <v>46174</v>
      </c>
      <c r="H307" s="5">
        <v>46267</v>
      </c>
      <c r="I307" s="4" t="s">
        <v>17</v>
      </c>
      <c r="J307" s="6">
        <f t="shared" si="18"/>
        <v>93</v>
      </c>
      <c r="K307" s="4" t="str">
        <f t="shared" ca="1" si="21"/>
        <v>Yes</v>
      </c>
      <c r="L307" s="7">
        <f t="shared" ca="1" si="20"/>
        <v>59</v>
      </c>
      <c r="M307" s="4" t="str">
        <f>IF($I307="Complete","Green",IF($H307="","Amber",IF($H307&lt;'[2]Read Me'!$B$4,"Red",IF($H307-'[2]Read Me'!$B$4&lt;=21,"Amber","Green"))))</f>
        <v>Green</v>
      </c>
      <c r="N307" s="3"/>
      <c r="O307" t="str">
        <f>IF($I307&lt;&gt;"Complete",IF(COUNTIFS($A$4:$A306,$A307,$B$4:$B306,$B307,$I$4:$I306,"&lt;&gt;Complete")=0,$A307&amp;"|"&amp;$B307,""),"")</f>
        <v/>
      </c>
      <c r="P307">
        <f ca="1">IF($K307="Yes",COUNTIFS($K$4:$K307,"Yes"),"")</f>
        <v>42</v>
      </c>
      <c r="Q307">
        <f t="shared" ca="1" si="19"/>
        <v>1</v>
      </c>
      <c r="R307">
        <f ca="1">IF($Q307=1,SUM($Q$4:$Q307),"")</f>
        <v>42</v>
      </c>
    </row>
    <row r="308" spans="1:18" ht="22.5" customHeight="1" x14ac:dyDescent="0.3">
      <c r="A308" s="2" t="s">
        <v>770</v>
      </c>
      <c r="B308" s="2" t="s">
        <v>62</v>
      </c>
      <c r="C308" s="3" t="s">
        <v>770</v>
      </c>
      <c r="D308" s="3" t="s">
        <v>58</v>
      </c>
      <c r="E308" s="2"/>
      <c r="F308" s="2"/>
      <c r="G308" s="5">
        <v>46188</v>
      </c>
      <c r="H308" s="5">
        <v>46281</v>
      </c>
      <c r="I308" s="4" t="s">
        <v>17</v>
      </c>
      <c r="J308" s="6">
        <f t="shared" si="18"/>
        <v>93</v>
      </c>
      <c r="K308" s="4" t="str">
        <f t="shared" ca="1" si="21"/>
        <v>Yes</v>
      </c>
      <c r="L308" s="7">
        <f t="shared" ca="1" si="20"/>
        <v>73</v>
      </c>
      <c r="M308" s="4" t="str">
        <f>IF($I308="Complete","Green",IF($H308="","Amber",IF($H308&lt;'[2]Read Me'!$B$4,"Red",IF($H308-'[2]Read Me'!$B$4&lt;=21,"Amber","Green"))))</f>
        <v>Green</v>
      </c>
      <c r="N308" s="3"/>
      <c r="O308" t="str">
        <f>IF($I308&lt;&gt;"Complete",IF(COUNTIFS($A$4:$A307,$A308,$B$4:$B307,$B308,$I$4:$I307,"&lt;&gt;Complete")=0,$A308&amp;"|"&amp;$B308,""),"")</f>
        <v/>
      </c>
      <c r="P308">
        <f ca="1">IF($K308="Yes",COUNTIFS($K$4:$K308,"Yes"),"")</f>
        <v>43</v>
      </c>
      <c r="Q308">
        <f t="shared" ca="1" si="19"/>
        <v>1</v>
      </c>
      <c r="R308">
        <f ca="1">IF($Q308=1,SUM($Q$4:$Q308),"")</f>
        <v>43</v>
      </c>
    </row>
    <row r="309" spans="1:18" ht="22.5" customHeight="1" x14ac:dyDescent="0.3">
      <c r="A309" s="2" t="s">
        <v>770</v>
      </c>
      <c r="B309" s="2" t="s">
        <v>62</v>
      </c>
      <c r="C309" s="3" t="s">
        <v>770</v>
      </c>
      <c r="D309" s="3" t="s">
        <v>773</v>
      </c>
      <c r="E309" s="2"/>
      <c r="F309" s="2" t="s">
        <v>270</v>
      </c>
      <c r="G309" s="5">
        <v>46209</v>
      </c>
      <c r="H309" s="5">
        <v>46302</v>
      </c>
      <c r="I309" s="4" t="s">
        <v>17</v>
      </c>
      <c r="J309" s="6">
        <f t="shared" si="18"/>
        <v>93</v>
      </c>
      <c r="K309" s="4" t="str">
        <f t="shared" ca="1" si="21"/>
        <v>Yes</v>
      </c>
      <c r="L309" s="7">
        <f t="shared" ca="1" si="20"/>
        <v>94</v>
      </c>
      <c r="M309" s="4" t="str">
        <f>IF($I309="Complete","Green",IF($H309="","Amber",IF($H309&lt;'[2]Read Me'!$B$4,"Red",IF($H309-'[2]Read Me'!$B$4&lt;=21,"Amber","Green"))))</f>
        <v>Green</v>
      </c>
      <c r="N309" s="3"/>
      <c r="O309" t="str">
        <f>IF($I309&lt;&gt;"Complete",IF(COUNTIFS($A$4:$A308,$A309,$B$4:$B308,$B309,$I$4:$I308,"&lt;&gt;Complete")=0,$A309&amp;"|"&amp;$B309,""),"")</f>
        <v/>
      </c>
      <c r="P309">
        <f ca="1">IF($K309="Yes",COUNTIFS($K$4:$K309,"Yes"),"")</f>
        <v>44</v>
      </c>
      <c r="Q309">
        <f t="shared" ca="1" si="19"/>
        <v>1</v>
      </c>
      <c r="R309">
        <f ca="1">IF($Q309=1,SUM($Q$4:$Q309),"")</f>
        <v>44</v>
      </c>
    </row>
    <row r="310" spans="1:18" ht="14.25" customHeight="1" x14ac:dyDescent="0.3">
      <c r="A310" s="2" t="s">
        <v>770</v>
      </c>
      <c r="B310" s="2" t="s">
        <v>62</v>
      </c>
      <c r="C310" s="3" t="s">
        <v>770</v>
      </c>
      <c r="D310" s="3" t="s">
        <v>58</v>
      </c>
      <c r="E310" s="2"/>
      <c r="F310" s="2"/>
      <c r="G310" s="5">
        <v>46223</v>
      </c>
      <c r="H310" s="5">
        <v>46316</v>
      </c>
      <c r="I310" s="4" t="s">
        <v>17</v>
      </c>
      <c r="J310" s="6">
        <f t="shared" si="18"/>
        <v>93</v>
      </c>
      <c r="K310" s="4" t="str">
        <f t="shared" ca="1" si="21"/>
        <v>Yes</v>
      </c>
      <c r="L310" s="7">
        <f t="shared" ca="1" si="20"/>
        <v>108</v>
      </c>
      <c r="M310" s="4" t="str">
        <f>IF($I310="Complete","Green",IF($H310="","Amber",IF($H310&lt;'[2]Read Me'!$B$4,"Red",IF($H310-'[2]Read Me'!$B$4&lt;=21,"Amber","Green"))))</f>
        <v>Green</v>
      </c>
      <c r="N310" s="3"/>
      <c r="O310" t="str">
        <f>IF($I310&lt;&gt;"Complete",IF(COUNTIFS($A$4:$A309,$A310,$B$4:$B309,$B310,$I$4:$I309,"&lt;&gt;Complete")=0,$A310&amp;"|"&amp;$B310,""),"")</f>
        <v/>
      </c>
      <c r="P310">
        <f ca="1">IF($K310="Yes",COUNTIFS($K$4:$K310,"Yes"),"")</f>
        <v>45</v>
      </c>
      <c r="Q310">
        <f t="shared" ca="1" si="19"/>
        <v>1</v>
      </c>
      <c r="R310">
        <f ca="1">IF($Q310=1,SUM($Q$4:$Q310),"")</f>
        <v>45</v>
      </c>
    </row>
    <row r="311" spans="1:18" ht="14.25" customHeight="1" x14ac:dyDescent="0.3">
      <c r="A311" s="2" t="s">
        <v>770</v>
      </c>
      <c r="B311" s="2" t="s">
        <v>41</v>
      </c>
      <c r="C311" s="3"/>
      <c r="D311" s="3"/>
      <c r="E311" s="2"/>
      <c r="F311" s="2"/>
      <c r="G311" s="5">
        <v>46251</v>
      </c>
      <c r="H311" s="5">
        <v>46351</v>
      </c>
      <c r="I311" s="4"/>
      <c r="J311" s="6">
        <f t="shared" si="18"/>
        <v>100</v>
      </c>
      <c r="K311" s="4" t="str">
        <f t="shared" ca="1" si="21"/>
        <v>Yes</v>
      </c>
      <c r="L311" s="7">
        <f t="shared" ca="1" si="20"/>
        <v>143</v>
      </c>
      <c r="M311" s="4" t="str">
        <f>IF($I311="Complete","Green",IF($H311="","Amber",IF($H311&lt;'[2]Read Me'!$B$4,"Red",IF($H311-'[2]Read Me'!$B$4&lt;=21,"Amber","Green"))))</f>
        <v>Green</v>
      </c>
      <c r="N311" s="3"/>
      <c r="O311" t="str">
        <f>IF($I311&lt;&gt;"Complete",IF(COUNTIFS($A$4:$A310,$A311,$B$4:$B310,$B311,$I$4:$I310,"&lt;&gt;Complete")=0,$A311&amp;"|"&amp;$B311,""),"")</f>
        <v>Buildings - Boomerang|Fit-out</v>
      </c>
      <c r="P311">
        <f ca="1">IF($K311="Yes",COUNTIFS($K$4:$K311,"Yes"),"")</f>
        <v>46</v>
      </c>
      <c r="Q311">
        <f t="shared" ca="1" si="19"/>
        <v>1</v>
      </c>
      <c r="R311">
        <f ca="1">IF($Q311=1,SUM($Q$4:$Q311),"")</f>
        <v>46</v>
      </c>
    </row>
    <row r="312" spans="1:18" ht="14.25" customHeight="1" x14ac:dyDescent="0.3">
      <c r="A312" s="2" t="s">
        <v>770</v>
      </c>
      <c r="B312" s="2" t="s">
        <v>41</v>
      </c>
      <c r="C312" s="3" t="s">
        <v>774</v>
      </c>
      <c r="D312" s="3" t="s">
        <v>151</v>
      </c>
      <c r="E312" s="2"/>
      <c r="F312" s="2"/>
      <c r="G312" s="5">
        <v>46138</v>
      </c>
      <c r="H312" s="5">
        <v>46191</v>
      </c>
      <c r="I312" s="4" t="s">
        <v>46</v>
      </c>
      <c r="J312" s="6">
        <f t="shared" si="18"/>
        <v>53</v>
      </c>
      <c r="K312" s="4" t="str">
        <f t="shared" ca="1" si="21"/>
        <v>No</v>
      </c>
      <c r="L312" s="7">
        <f t="shared" ca="1" si="20"/>
        <v>-17</v>
      </c>
      <c r="M312" s="4" t="str">
        <f>IF($I312="Complete","Green",IF($H312="","Amber",IF($H312&lt;'[2]Read Me'!$B$4,"Red",IF($H312-'[2]Read Me'!$B$4&lt;=21,"Amber","Green"))))</f>
        <v>Amber</v>
      </c>
      <c r="N312" s="3"/>
      <c r="O312" t="str">
        <f>IF($I312&lt;&gt;"Complete",IF(COUNTIFS($A$4:$A311,$A312,$B$4:$B311,$B312,$I$4:$I311,"&lt;&gt;Complete")=0,$A312&amp;"|"&amp;$B312,""),"")</f>
        <v/>
      </c>
      <c r="P312" t="str">
        <f ca="1">IF($K312="Yes",COUNTIFS($K$4:$K312,"Yes"),"")</f>
        <v/>
      </c>
      <c r="Q312">
        <f t="shared" ca="1" si="19"/>
        <v>0</v>
      </c>
      <c r="R312" t="str">
        <f ca="1">IF($Q312=1,SUM($Q$4:$Q312),"")</f>
        <v/>
      </c>
    </row>
    <row r="313" spans="1:18" x14ac:dyDescent="0.3">
      <c r="A313" t="s">
        <v>770</v>
      </c>
      <c r="B313" t="s">
        <v>41</v>
      </c>
      <c r="C313" t="s">
        <v>774</v>
      </c>
      <c r="D313" t="s">
        <v>775</v>
      </c>
      <c r="G313" s="9">
        <v>46145</v>
      </c>
      <c r="H313" s="9">
        <v>46198</v>
      </c>
      <c r="I313" t="s">
        <v>17</v>
      </c>
      <c r="J313" s="6">
        <f t="shared" si="18"/>
        <v>53</v>
      </c>
      <c r="L313" s="7">
        <f t="shared" ca="1" si="20"/>
        <v>-10</v>
      </c>
      <c r="M313" s="4" t="str">
        <f>IF($I313="Complete","Green",IF($H313="","Amber",IF($H313&lt;'[2]Read Me'!$B$4,"Red",IF($H313-'[2]Read Me'!$B$4&lt;=21,"Amber","Green"))))</f>
        <v>Amber</v>
      </c>
    </row>
    <row r="314" spans="1:18" x14ac:dyDescent="0.3">
      <c r="A314" t="s">
        <v>770</v>
      </c>
      <c r="B314" t="s">
        <v>41</v>
      </c>
      <c r="C314" t="s">
        <v>774</v>
      </c>
      <c r="D314" t="s">
        <v>153</v>
      </c>
      <c r="G314" s="9">
        <v>46152</v>
      </c>
      <c r="H314" s="9">
        <v>46205</v>
      </c>
      <c r="I314" t="s">
        <v>17</v>
      </c>
      <c r="J314" s="6">
        <f t="shared" si="18"/>
        <v>53</v>
      </c>
      <c r="L314" s="7">
        <f t="shared" ca="1" si="20"/>
        <v>-3</v>
      </c>
      <c r="M314" s="4" t="str">
        <f>IF($I314="Complete","Green",IF($H314="","Amber",IF($H314&lt;'[2]Read Me'!$B$4,"Red",IF($H314-'[2]Read Me'!$B$4&lt;=21,"Amber","Green"))))</f>
        <v>Amber</v>
      </c>
    </row>
    <row r="315" spans="1:18" x14ac:dyDescent="0.3">
      <c r="A315" t="s">
        <v>770</v>
      </c>
      <c r="B315" t="s">
        <v>41</v>
      </c>
      <c r="C315" t="s">
        <v>774</v>
      </c>
      <c r="D315" t="s">
        <v>156</v>
      </c>
      <c r="F315" t="s">
        <v>453</v>
      </c>
      <c r="G315" s="9">
        <v>46166</v>
      </c>
      <c r="H315" s="9">
        <v>46239</v>
      </c>
      <c r="I315" t="s">
        <v>17</v>
      </c>
      <c r="J315" s="6">
        <f t="shared" si="18"/>
        <v>73</v>
      </c>
      <c r="L315" s="7">
        <f t="shared" ca="1" si="20"/>
        <v>31</v>
      </c>
      <c r="M315" s="4" t="str">
        <f>IF($I315="Complete","Green",IF($H315="","Amber",IF($H315&lt;'[2]Read Me'!$B$4,"Red",IF($H315-'[2]Read Me'!$B$4&lt;=21,"Amber","Green"))))</f>
        <v>Green</v>
      </c>
    </row>
    <row r="316" spans="1:18" x14ac:dyDescent="0.3">
      <c r="A316" t="s">
        <v>770</v>
      </c>
      <c r="B316" t="s">
        <v>41</v>
      </c>
      <c r="C316" t="s">
        <v>774</v>
      </c>
      <c r="D316" t="s">
        <v>58</v>
      </c>
      <c r="G316" s="9">
        <v>46173</v>
      </c>
      <c r="H316" s="9">
        <v>46246</v>
      </c>
      <c r="I316" t="s">
        <v>17</v>
      </c>
      <c r="J316" s="6">
        <f t="shared" si="18"/>
        <v>73</v>
      </c>
      <c r="L316" s="7">
        <f t="shared" ca="1" si="20"/>
        <v>38</v>
      </c>
      <c r="M316" s="4" t="str">
        <f>IF($I316="Complete","Green",IF($H316="","Amber",IF($H316&lt;'[2]Read Me'!$B$4,"Red",IF($H316-'[2]Read Me'!$B$4&lt;=21,"Amber","Green"))))</f>
        <v>Green</v>
      </c>
    </row>
    <row r="317" spans="1:18" x14ac:dyDescent="0.3">
      <c r="A317" t="s">
        <v>770</v>
      </c>
      <c r="B317" t="s">
        <v>41</v>
      </c>
      <c r="C317" t="s">
        <v>774</v>
      </c>
      <c r="D317" t="s">
        <v>157</v>
      </c>
      <c r="F317" t="s">
        <v>453</v>
      </c>
      <c r="G317" s="9">
        <v>46187</v>
      </c>
      <c r="H317" s="9">
        <v>46267</v>
      </c>
      <c r="I317" t="s">
        <v>17</v>
      </c>
      <c r="J317" s="6">
        <f t="shared" si="18"/>
        <v>80</v>
      </c>
      <c r="L317" s="7">
        <f t="shared" ca="1" si="20"/>
        <v>59</v>
      </c>
      <c r="M317" s="4" t="str">
        <f>IF($I317="Complete","Green",IF($H317="","Amber",IF($H317&lt;'[2]Read Me'!$B$4,"Red",IF($H317-'[2]Read Me'!$B$4&lt;=21,"Amber","Green"))))</f>
        <v>Green</v>
      </c>
    </row>
    <row r="318" spans="1:18" x14ac:dyDescent="0.3">
      <c r="A318" t="s">
        <v>770</v>
      </c>
      <c r="B318" t="s">
        <v>41</v>
      </c>
      <c r="C318" t="s">
        <v>774</v>
      </c>
      <c r="D318" t="s">
        <v>58</v>
      </c>
      <c r="G318" s="9">
        <v>46201</v>
      </c>
      <c r="H318" s="9">
        <v>46274</v>
      </c>
      <c r="I318" t="s">
        <v>17</v>
      </c>
      <c r="J318" s="6">
        <f t="shared" si="18"/>
        <v>73</v>
      </c>
      <c r="L318" s="7">
        <f t="shared" ca="1" si="20"/>
        <v>66</v>
      </c>
      <c r="M318" s="4" t="str">
        <f>IF($I318="Complete","Green",IF($H318="","Amber",IF($H318&lt;'[2]Read Me'!$B$4,"Red",IF($H318-'[2]Read Me'!$B$4&lt;=21,"Amber","Green"))))</f>
        <v>Green</v>
      </c>
    </row>
    <row r="319" spans="1:18" x14ac:dyDescent="0.3">
      <c r="A319" t="s">
        <v>770</v>
      </c>
      <c r="B319" t="s">
        <v>41</v>
      </c>
      <c r="C319" t="s">
        <v>774</v>
      </c>
      <c r="D319" t="s">
        <v>361</v>
      </c>
      <c r="F319" t="s">
        <v>453</v>
      </c>
      <c r="G319" s="9">
        <v>46215</v>
      </c>
      <c r="H319" s="9">
        <v>46337</v>
      </c>
      <c r="I319" t="s">
        <v>17</v>
      </c>
      <c r="J319" s="6">
        <f t="shared" si="18"/>
        <v>122</v>
      </c>
      <c r="L319" s="7">
        <f t="shared" ca="1" si="20"/>
        <v>129</v>
      </c>
      <c r="M319" s="4" t="str">
        <f>IF($I319="Complete","Green",IF($H319="","Amber",IF($H319&lt;'[2]Read Me'!$B$4,"Red",IF($H319-'[2]Read Me'!$B$4&lt;=21,"Amber","Green"))))</f>
        <v>Green</v>
      </c>
    </row>
    <row r="320" spans="1:18" x14ac:dyDescent="0.3">
      <c r="A320" t="s">
        <v>770</v>
      </c>
      <c r="B320" t="s">
        <v>41</v>
      </c>
      <c r="C320" t="s">
        <v>774</v>
      </c>
      <c r="D320" t="s">
        <v>58</v>
      </c>
      <c r="G320" s="9">
        <v>46229</v>
      </c>
      <c r="H320" s="9">
        <v>46351</v>
      </c>
      <c r="I320" t="s">
        <v>17</v>
      </c>
      <c r="J320" s="6">
        <f t="shared" si="18"/>
        <v>122</v>
      </c>
      <c r="L320" s="7">
        <f t="shared" ca="1" si="20"/>
        <v>143</v>
      </c>
      <c r="M320" s="4" t="str">
        <f>IF($I320="Complete","Green",IF($H320="","Amber",IF($H320&lt;'[2]Read Me'!$B$4,"Red",IF($H320-'[2]Read Me'!$B$4&lt;=21,"Amber","Green"))))</f>
        <v>Green</v>
      </c>
    </row>
    <row r="321" spans="7:13" x14ac:dyDescent="0.3">
      <c r="G321" s="9"/>
      <c r="H321" s="9"/>
      <c r="J321" s="6" t="str">
        <f t="shared" si="18"/>
        <v/>
      </c>
      <c r="L321" s="7" t="str">
        <f t="shared" ca="1" si="20"/>
        <v/>
      </c>
      <c r="M321" s="4" t="str">
        <f>IF($I321="Complete","Green",IF($H321="","Amber",IF($H321&lt;'[2]Read Me'!$B$4,"Red",IF($H321-'[2]Read Me'!$B$4&lt;=21,"Amber","Green"))))</f>
        <v>Amber</v>
      </c>
    </row>
    <row r="322" spans="7:13" x14ac:dyDescent="0.3">
      <c r="G322" s="9"/>
      <c r="H322" s="9"/>
      <c r="J322" s="6" t="str">
        <f t="shared" si="18"/>
        <v/>
      </c>
      <c r="L322" s="7" t="str">
        <f t="shared" ca="1" si="20"/>
        <v/>
      </c>
      <c r="M322" s="4" t="str">
        <f>IF($I322="Complete","Green",IF($H322="","Amber",IF($H322&lt;'[2]Read Me'!$B$4,"Red",IF($H322-'[2]Read Me'!$B$4&lt;=21,"Amber","Green"))))</f>
        <v>Amber</v>
      </c>
    </row>
    <row r="323" spans="7:13" x14ac:dyDescent="0.3">
      <c r="G323" s="9"/>
      <c r="H323" s="9"/>
      <c r="J323" s="6" t="str">
        <f t="shared" si="18"/>
        <v/>
      </c>
      <c r="L323" s="7" t="str">
        <f t="shared" ca="1" si="20"/>
        <v/>
      </c>
      <c r="M323" s="4" t="str">
        <f>IF($I323="Complete","Green",IF($H323="","Amber",IF($H323&lt;'[2]Read Me'!$B$4,"Red",IF($H323-'[2]Read Me'!$B$4&lt;=21,"Amber","Green"))))</f>
        <v>Amber</v>
      </c>
    </row>
    <row r="324" spans="7:13" x14ac:dyDescent="0.3">
      <c r="G324" s="9"/>
      <c r="H324" s="9"/>
      <c r="J324" s="6" t="str">
        <f t="shared" ref="J324:J387" si="22">IF(OR($G324="",$H324=""),"",$H324-$G324)</f>
        <v/>
      </c>
      <c r="L324" s="7" t="str">
        <f t="shared" ca="1" si="20"/>
        <v/>
      </c>
      <c r="M324" s="4" t="str">
        <f>IF($I324="Complete","Green",IF($H324="","Amber",IF($H324&lt;'[2]Read Me'!$B$4,"Red",IF($H324-'[2]Read Me'!$B$4&lt;=21,"Amber","Green"))))</f>
        <v>Amber</v>
      </c>
    </row>
    <row r="325" spans="7:13" x14ac:dyDescent="0.3">
      <c r="G325" s="9"/>
      <c r="H325" s="9"/>
      <c r="J325" s="6" t="str">
        <f t="shared" si="22"/>
        <v/>
      </c>
      <c r="L325" s="7" t="str">
        <f t="shared" ref="L325:L388" ca="1" si="23">IF(I325="Completed",0,IF(H325="","",H325-TODAY()))</f>
        <v/>
      </c>
      <c r="M325" s="4" t="str">
        <f>IF($I325="Complete","Green",IF($H325="","Amber",IF($H325&lt;'[2]Read Me'!$B$4,"Red",IF($H325-'[2]Read Me'!$B$4&lt;=21,"Amber","Green"))))</f>
        <v>Amber</v>
      </c>
    </row>
    <row r="326" spans="7:13" x14ac:dyDescent="0.3">
      <c r="G326" s="9"/>
      <c r="H326" s="9"/>
      <c r="J326" s="6" t="str">
        <f t="shared" si="22"/>
        <v/>
      </c>
      <c r="L326" s="7" t="str">
        <f t="shared" ca="1" si="23"/>
        <v/>
      </c>
      <c r="M326" s="4" t="str">
        <f>IF($I326="Complete","Green",IF($H326="","Amber",IF($H326&lt;'[2]Read Me'!$B$4,"Red",IF($H326-'[2]Read Me'!$B$4&lt;=21,"Amber","Green"))))</f>
        <v>Amber</v>
      </c>
    </row>
    <row r="327" spans="7:13" x14ac:dyDescent="0.3">
      <c r="G327" s="9"/>
      <c r="H327" s="9"/>
      <c r="J327" s="6" t="str">
        <f t="shared" si="22"/>
        <v/>
      </c>
      <c r="L327" s="7" t="str">
        <f t="shared" ca="1" si="23"/>
        <v/>
      </c>
      <c r="M327" s="4" t="str">
        <f>IF($I327="Complete","Green",IF($H327="","Amber",IF($H327&lt;'[2]Read Me'!$B$4,"Red",IF($H327-'[2]Read Me'!$B$4&lt;=21,"Amber","Green"))))</f>
        <v>Amber</v>
      </c>
    </row>
    <row r="328" spans="7:13" x14ac:dyDescent="0.3">
      <c r="G328" s="9"/>
      <c r="H328" s="9"/>
      <c r="J328" s="6" t="str">
        <f t="shared" si="22"/>
        <v/>
      </c>
      <c r="L328" s="7" t="str">
        <f t="shared" ca="1" si="23"/>
        <v/>
      </c>
      <c r="M328" s="4" t="str">
        <f>IF($I328="Complete","Green",IF($H328="","Amber",IF($H328&lt;'[2]Read Me'!$B$4,"Red",IF($H328-'[2]Read Me'!$B$4&lt;=21,"Amber","Green"))))</f>
        <v>Amber</v>
      </c>
    </row>
    <row r="329" spans="7:13" x14ac:dyDescent="0.3">
      <c r="G329" s="9"/>
      <c r="H329" s="9"/>
      <c r="J329" s="6" t="str">
        <f t="shared" si="22"/>
        <v/>
      </c>
      <c r="L329" s="7" t="str">
        <f t="shared" ca="1" si="23"/>
        <v/>
      </c>
      <c r="M329" s="4" t="str">
        <f>IF($I329="Complete","Green",IF($H329="","Amber",IF($H329&lt;'[2]Read Me'!$B$4,"Red",IF($H329-'[2]Read Me'!$B$4&lt;=21,"Amber","Green"))))</f>
        <v>Amber</v>
      </c>
    </row>
    <row r="330" spans="7:13" x14ac:dyDescent="0.3">
      <c r="G330" s="9"/>
      <c r="H330" s="9"/>
      <c r="J330" s="6" t="str">
        <f t="shared" si="22"/>
        <v/>
      </c>
      <c r="L330" s="7" t="str">
        <f t="shared" ca="1" si="23"/>
        <v/>
      </c>
      <c r="M330" s="4" t="str">
        <f>IF($I330="Complete","Green",IF($H330="","Amber",IF($H330&lt;'[2]Read Me'!$B$4,"Red",IF($H330-'[2]Read Me'!$B$4&lt;=21,"Amber","Green"))))</f>
        <v>Amber</v>
      </c>
    </row>
    <row r="331" spans="7:13" x14ac:dyDescent="0.3">
      <c r="G331" s="9"/>
      <c r="H331" s="9"/>
      <c r="J331" s="6" t="str">
        <f t="shared" si="22"/>
        <v/>
      </c>
      <c r="L331" s="7" t="str">
        <f t="shared" ca="1" si="23"/>
        <v/>
      </c>
      <c r="M331" s="4" t="str">
        <f>IF($I331="Complete","Green",IF($H331="","Amber",IF($H331&lt;'[2]Read Me'!$B$4,"Red",IF($H331-'[2]Read Me'!$B$4&lt;=21,"Amber","Green"))))</f>
        <v>Amber</v>
      </c>
    </row>
    <row r="332" spans="7:13" x14ac:dyDescent="0.3">
      <c r="G332" s="9"/>
      <c r="H332" s="9"/>
      <c r="J332" s="6" t="str">
        <f t="shared" si="22"/>
        <v/>
      </c>
      <c r="L332" s="7" t="str">
        <f t="shared" ca="1" si="23"/>
        <v/>
      </c>
      <c r="M332" s="4" t="str">
        <f>IF($I332="Complete","Green",IF($H332="","Amber",IF($H332&lt;'[2]Read Me'!$B$4,"Red",IF($H332-'[2]Read Me'!$B$4&lt;=21,"Amber","Green"))))</f>
        <v>Amber</v>
      </c>
    </row>
    <row r="333" spans="7:13" x14ac:dyDescent="0.3">
      <c r="G333" s="9"/>
      <c r="H333" s="9"/>
      <c r="J333" s="6" t="str">
        <f t="shared" si="22"/>
        <v/>
      </c>
      <c r="L333" s="7" t="str">
        <f t="shared" ca="1" si="23"/>
        <v/>
      </c>
      <c r="M333" s="4" t="str">
        <f>IF($I333="Complete","Green",IF($H333="","Amber",IF($H333&lt;'[2]Read Me'!$B$4,"Red",IF($H333-'[2]Read Me'!$B$4&lt;=21,"Amber","Green"))))</f>
        <v>Amber</v>
      </c>
    </row>
    <row r="334" spans="7:13" x14ac:dyDescent="0.3">
      <c r="G334" s="9"/>
      <c r="H334" s="9"/>
      <c r="J334" s="6" t="str">
        <f t="shared" si="22"/>
        <v/>
      </c>
      <c r="L334" s="7" t="str">
        <f t="shared" ca="1" si="23"/>
        <v/>
      </c>
      <c r="M334" s="4" t="str">
        <f>IF($I334="Complete","Green",IF($H334="","Amber",IF($H334&lt;'[2]Read Me'!$B$4,"Red",IF($H334-'[2]Read Me'!$B$4&lt;=21,"Amber","Green"))))</f>
        <v>Amber</v>
      </c>
    </row>
    <row r="335" spans="7:13" x14ac:dyDescent="0.3">
      <c r="G335" s="9"/>
      <c r="H335" s="9"/>
      <c r="J335" s="6" t="str">
        <f t="shared" si="22"/>
        <v/>
      </c>
      <c r="L335" s="7" t="str">
        <f t="shared" ca="1" si="23"/>
        <v/>
      </c>
      <c r="M335" s="4" t="str">
        <f>IF($I335="Complete","Green",IF($H335="","Amber",IF($H335&lt;'[2]Read Me'!$B$4,"Red",IF($H335-'[2]Read Me'!$B$4&lt;=21,"Amber","Green"))))</f>
        <v>Amber</v>
      </c>
    </row>
    <row r="336" spans="7:13" x14ac:dyDescent="0.3">
      <c r="G336" s="9"/>
      <c r="H336" s="9"/>
      <c r="J336" s="6" t="str">
        <f t="shared" si="22"/>
        <v/>
      </c>
      <c r="L336" s="7" t="str">
        <f t="shared" ca="1" si="23"/>
        <v/>
      </c>
      <c r="M336" s="4" t="str">
        <f>IF($I336="Complete","Green",IF($H336="","Amber",IF($H336&lt;'[2]Read Me'!$B$4,"Red",IF($H336-'[2]Read Me'!$B$4&lt;=21,"Amber","Green"))))</f>
        <v>Amber</v>
      </c>
    </row>
    <row r="337" spans="7:13" x14ac:dyDescent="0.3">
      <c r="G337" s="9"/>
      <c r="H337" s="9"/>
      <c r="J337" s="6" t="str">
        <f t="shared" si="22"/>
        <v/>
      </c>
      <c r="L337" s="7" t="str">
        <f t="shared" ca="1" si="23"/>
        <v/>
      </c>
      <c r="M337" s="4" t="str">
        <f>IF($I337="Complete","Green",IF($H337="","Amber",IF($H337&lt;'[2]Read Me'!$B$4,"Red",IF($H337-'[2]Read Me'!$B$4&lt;=21,"Amber","Green"))))</f>
        <v>Amber</v>
      </c>
    </row>
    <row r="338" spans="7:13" x14ac:dyDescent="0.3">
      <c r="G338" s="9"/>
      <c r="H338" s="9"/>
      <c r="J338" s="6" t="str">
        <f t="shared" si="22"/>
        <v/>
      </c>
      <c r="L338" s="7" t="str">
        <f t="shared" ca="1" si="23"/>
        <v/>
      </c>
      <c r="M338" s="4" t="str">
        <f>IF($I338="Complete","Green",IF($H338="","Amber",IF($H338&lt;'[2]Read Me'!$B$4,"Red",IF($H338-'[2]Read Me'!$B$4&lt;=21,"Amber","Green"))))</f>
        <v>Amber</v>
      </c>
    </row>
    <row r="339" spans="7:13" x14ac:dyDescent="0.3">
      <c r="G339" s="9"/>
      <c r="H339" s="9"/>
      <c r="J339" s="6" t="str">
        <f t="shared" si="22"/>
        <v/>
      </c>
      <c r="L339" s="7" t="str">
        <f t="shared" ca="1" si="23"/>
        <v/>
      </c>
      <c r="M339" s="4" t="str">
        <f>IF($I339="Complete","Green",IF($H339="","Amber",IF($H339&lt;'[2]Read Me'!$B$4,"Red",IF($H339-'[2]Read Me'!$B$4&lt;=21,"Amber","Green"))))</f>
        <v>Amber</v>
      </c>
    </row>
    <row r="340" spans="7:13" x14ac:dyDescent="0.3">
      <c r="G340" s="9"/>
      <c r="H340" s="9"/>
      <c r="J340" s="6" t="str">
        <f t="shared" si="22"/>
        <v/>
      </c>
      <c r="L340" s="7" t="str">
        <f t="shared" ca="1" si="23"/>
        <v/>
      </c>
      <c r="M340" s="4" t="str">
        <f>IF($I340="Complete","Green",IF($H340="","Amber",IF($H340&lt;'[2]Read Me'!$B$4,"Red",IF($H340-'[2]Read Me'!$B$4&lt;=21,"Amber","Green"))))</f>
        <v>Amber</v>
      </c>
    </row>
    <row r="341" spans="7:13" x14ac:dyDescent="0.3">
      <c r="G341" s="9"/>
      <c r="H341" s="9"/>
      <c r="J341" s="6" t="str">
        <f t="shared" si="22"/>
        <v/>
      </c>
      <c r="L341" s="7" t="str">
        <f t="shared" ca="1" si="23"/>
        <v/>
      </c>
      <c r="M341" s="4" t="str">
        <f>IF($I341="Complete","Green",IF($H341="","Amber",IF($H341&lt;'[2]Read Me'!$B$4,"Red",IF($H341-'[2]Read Me'!$B$4&lt;=21,"Amber","Green"))))</f>
        <v>Amber</v>
      </c>
    </row>
    <row r="342" spans="7:13" x14ac:dyDescent="0.3">
      <c r="G342" s="9"/>
      <c r="H342" s="9"/>
      <c r="J342" s="6" t="str">
        <f t="shared" si="22"/>
        <v/>
      </c>
      <c r="L342" s="7" t="str">
        <f t="shared" ca="1" si="23"/>
        <v/>
      </c>
      <c r="M342" s="4" t="str">
        <f>IF($I342="Complete","Green",IF($H342="","Amber",IF($H342&lt;'[2]Read Me'!$B$4,"Red",IF($H342-'[2]Read Me'!$B$4&lt;=21,"Amber","Green"))))</f>
        <v>Amber</v>
      </c>
    </row>
    <row r="343" spans="7:13" x14ac:dyDescent="0.3">
      <c r="G343" s="9"/>
      <c r="H343" s="9"/>
      <c r="J343" s="6" t="str">
        <f t="shared" si="22"/>
        <v/>
      </c>
      <c r="L343" s="7" t="str">
        <f t="shared" ca="1" si="23"/>
        <v/>
      </c>
      <c r="M343" s="4" t="str">
        <f>IF($I343="Complete","Green",IF($H343="","Amber",IF($H343&lt;'[2]Read Me'!$B$4,"Red",IF($H343-'[2]Read Me'!$B$4&lt;=21,"Amber","Green"))))</f>
        <v>Amber</v>
      </c>
    </row>
    <row r="344" spans="7:13" x14ac:dyDescent="0.3">
      <c r="G344" s="9"/>
      <c r="H344" s="9"/>
      <c r="J344" s="6" t="str">
        <f t="shared" si="22"/>
        <v/>
      </c>
      <c r="L344" s="7" t="str">
        <f t="shared" ca="1" si="23"/>
        <v/>
      </c>
      <c r="M344" s="4" t="str">
        <f>IF($I344="Complete","Green",IF($H344="","Amber",IF($H344&lt;'[2]Read Me'!$B$4,"Red",IF($H344-'[2]Read Me'!$B$4&lt;=21,"Amber","Green"))))</f>
        <v>Amber</v>
      </c>
    </row>
    <row r="345" spans="7:13" x14ac:dyDescent="0.3">
      <c r="G345" s="9"/>
      <c r="H345" s="9"/>
      <c r="J345" s="6" t="str">
        <f t="shared" si="22"/>
        <v/>
      </c>
      <c r="L345" s="7" t="str">
        <f t="shared" ca="1" si="23"/>
        <v/>
      </c>
      <c r="M345" s="4" t="str">
        <f>IF($I345="Complete","Green",IF($H345="","Amber",IF($H345&lt;'[2]Read Me'!$B$4,"Red",IF($H345-'[2]Read Me'!$B$4&lt;=21,"Amber","Green"))))</f>
        <v>Amber</v>
      </c>
    </row>
    <row r="346" spans="7:13" x14ac:dyDescent="0.3">
      <c r="G346" s="9"/>
      <c r="H346" s="9"/>
      <c r="J346" s="6" t="str">
        <f t="shared" si="22"/>
        <v/>
      </c>
      <c r="L346" s="7" t="str">
        <f t="shared" ca="1" si="23"/>
        <v/>
      </c>
      <c r="M346" s="4" t="str">
        <f>IF($I346="Complete","Green",IF($H346="","Amber",IF($H346&lt;'[2]Read Me'!$B$4,"Red",IF($H346-'[2]Read Me'!$B$4&lt;=21,"Amber","Green"))))</f>
        <v>Amber</v>
      </c>
    </row>
    <row r="347" spans="7:13" x14ac:dyDescent="0.3">
      <c r="G347" s="9"/>
      <c r="H347" s="9"/>
      <c r="J347" s="6" t="str">
        <f t="shared" si="22"/>
        <v/>
      </c>
      <c r="L347" s="7" t="str">
        <f t="shared" ca="1" si="23"/>
        <v/>
      </c>
      <c r="M347" s="4" t="str">
        <f>IF($I347="Complete","Green",IF($H347="","Amber",IF($H347&lt;'[2]Read Me'!$B$4,"Red",IF($H347-'[2]Read Me'!$B$4&lt;=21,"Amber","Green"))))</f>
        <v>Amber</v>
      </c>
    </row>
    <row r="348" spans="7:13" x14ac:dyDescent="0.3">
      <c r="G348" s="9"/>
      <c r="H348" s="9"/>
      <c r="J348" s="6" t="str">
        <f t="shared" si="22"/>
        <v/>
      </c>
      <c r="L348" s="7" t="str">
        <f t="shared" ca="1" si="23"/>
        <v/>
      </c>
      <c r="M348" s="4" t="str">
        <f>IF($I348="Complete","Green",IF($H348="","Amber",IF($H348&lt;'[2]Read Me'!$B$4,"Red",IF($H348-'[2]Read Me'!$B$4&lt;=21,"Amber","Green"))))</f>
        <v>Amber</v>
      </c>
    </row>
    <row r="349" spans="7:13" x14ac:dyDescent="0.3">
      <c r="G349" s="9"/>
      <c r="H349" s="9"/>
      <c r="J349" s="6" t="str">
        <f t="shared" si="22"/>
        <v/>
      </c>
      <c r="L349" s="7" t="str">
        <f t="shared" ca="1" si="23"/>
        <v/>
      </c>
      <c r="M349" s="4" t="str">
        <f>IF($I349="Complete","Green",IF($H349="","Amber",IF($H349&lt;'[2]Read Me'!$B$4,"Red",IF($H349-'[2]Read Me'!$B$4&lt;=21,"Amber","Green"))))</f>
        <v>Amber</v>
      </c>
    </row>
    <row r="350" spans="7:13" x14ac:dyDescent="0.3">
      <c r="G350" s="9"/>
      <c r="H350" s="9"/>
      <c r="J350" s="6" t="str">
        <f t="shared" si="22"/>
        <v/>
      </c>
      <c r="L350" s="7" t="str">
        <f t="shared" ca="1" si="23"/>
        <v/>
      </c>
      <c r="M350" s="4" t="str">
        <f>IF($I350="Complete","Green",IF($H350="","Amber",IF($H350&lt;'[2]Read Me'!$B$4,"Red",IF($H350-'[2]Read Me'!$B$4&lt;=21,"Amber","Green"))))</f>
        <v>Amber</v>
      </c>
    </row>
    <row r="351" spans="7:13" x14ac:dyDescent="0.3">
      <c r="G351" s="9"/>
      <c r="H351" s="9"/>
      <c r="J351" s="6" t="str">
        <f t="shared" si="22"/>
        <v/>
      </c>
      <c r="L351" s="7" t="str">
        <f t="shared" ca="1" si="23"/>
        <v/>
      </c>
      <c r="M351" s="4" t="str">
        <f>IF($I351="Complete","Green",IF($H351="","Amber",IF($H351&lt;'[2]Read Me'!$B$4,"Red",IF($H351-'[2]Read Me'!$B$4&lt;=21,"Amber","Green"))))</f>
        <v>Amber</v>
      </c>
    </row>
    <row r="352" spans="7:13" x14ac:dyDescent="0.3">
      <c r="G352" s="9"/>
      <c r="H352" s="9"/>
      <c r="J352" s="6" t="str">
        <f t="shared" si="22"/>
        <v/>
      </c>
      <c r="L352" s="7" t="str">
        <f t="shared" ca="1" si="23"/>
        <v/>
      </c>
      <c r="M352" s="4" t="str">
        <f>IF($I352="Complete","Green",IF($H352="","Amber",IF($H352&lt;'[2]Read Me'!$B$4,"Red",IF($H352-'[2]Read Me'!$B$4&lt;=21,"Amber","Green"))))</f>
        <v>Amber</v>
      </c>
    </row>
    <row r="353" spans="7:13" x14ac:dyDescent="0.3">
      <c r="G353" s="9"/>
      <c r="H353" s="9"/>
      <c r="J353" s="6" t="str">
        <f t="shared" si="22"/>
        <v/>
      </c>
      <c r="L353" s="7" t="str">
        <f t="shared" ca="1" si="23"/>
        <v/>
      </c>
      <c r="M353" s="4" t="str">
        <f>IF($I353="Complete","Green",IF($H353="","Amber",IF($H353&lt;'[2]Read Me'!$B$4,"Red",IF($H353-'[2]Read Me'!$B$4&lt;=21,"Amber","Green"))))</f>
        <v>Amber</v>
      </c>
    </row>
    <row r="354" spans="7:13" x14ac:dyDescent="0.3">
      <c r="G354" s="9"/>
      <c r="H354" s="9"/>
      <c r="J354" s="6" t="str">
        <f t="shared" si="22"/>
        <v/>
      </c>
      <c r="L354" s="7" t="str">
        <f t="shared" ca="1" si="23"/>
        <v/>
      </c>
      <c r="M354" s="4" t="str">
        <f>IF($I354="Complete","Green",IF($H354="","Amber",IF($H354&lt;'[2]Read Me'!$B$4,"Red",IF($H354-'[2]Read Me'!$B$4&lt;=21,"Amber","Green"))))</f>
        <v>Amber</v>
      </c>
    </row>
    <row r="355" spans="7:13" x14ac:dyDescent="0.3">
      <c r="G355" s="9"/>
      <c r="H355" s="9"/>
      <c r="J355" s="6" t="str">
        <f t="shared" si="22"/>
        <v/>
      </c>
      <c r="L355" s="7" t="str">
        <f t="shared" ca="1" si="23"/>
        <v/>
      </c>
      <c r="M355" s="4" t="str">
        <f>IF($I355="Complete","Green",IF($H355="","Amber",IF($H355&lt;'[2]Read Me'!$B$4,"Red",IF($H355-'[2]Read Me'!$B$4&lt;=21,"Amber","Green"))))</f>
        <v>Amber</v>
      </c>
    </row>
    <row r="356" spans="7:13" x14ac:dyDescent="0.3">
      <c r="G356" s="9"/>
      <c r="H356" s="9"/>
      <c r="J356" s="6" t="str">
        <f t="shared" si="22"/>
        <v/>
      </c>
      <c r="L356" s="7" t="str">
        <f t="shared" ca="1" si="23"/>
        <v/>
      </c>
      <c r="M356" s="4" t="str">
        <f>IF($I356="Complete","Green",IF($H356="","Amber",IF($H356&lt;'[2]Read Me'!$B$4,"Red",IF($H356-'[2]Read Me'!$B$4&lt;=21,"Amber","Green"))))</f>
        <v>Amber</v>
      </c>
    </row>
    <row r="357" spans="7:13" x14ac:dyDescent="0.3">
      <c r="G357" s="9"/>
      <c r="H357" s="9"/>
      <c r="J357" s="6" t="str">
        <f t="shared" si="22"/>
        <v/>
      </c>
      <c r="L357" s="7" t="str">
        <f t="shared" ca="1" si="23"/>
        <v/>
      </c>
      <c r="M357" s="4" t="str">
        <f>IF($I357="Complete","Green",IF($H357="","Amber",IF($H357&lt;'[2]Read Me'!$B$4,"Red",IF($H357-'[2]Read Me'!$B$4&lt;=21,"Amber","Green"))))</f>
        <v>Amber</v>
      </c>
    </row>
    <row r="358" spans="7:13" x14ac:dyDescent="0.3">
      <c r="G358" s="9"/>
      <c r="H358" s="9"/>
      <c r="J358" s="6" t="str">
        <f t="shared" si="22"/>
        <v/>
      </c>
      <c r="L358" s="7" t="str">
        <f t="shared" ca="1" si="23"/>
        <v/>
      </c>
      <c r="M358" s="4" t="str">
        <f>IF($I358="Complete","Green",IF($H358="","Amber",IF($H358&lt;'[2]Read Me'!$B$4,"Red",IF($H358-'[2]Read Me'!$B$4&lt;=21,"Amber","Green"))))</f>
        <v>Amber</v>
      </c>
    </row>
    <row r="359" spans="7:13" x14ac:dyDescent="0.3">
      <c r="G359" s="9"/>
      <c r="H359" s="9"/>
      <c r="J359" s="6" t="str">
        <f t="shared" si="22"/>
        <v/>
      </c>
      <c r="L359" s="7" t="str">
        <f t="shared" ca="1" si="23"/>
        <v/>
      </c>
      <c r="M359" s="4" t="str">
        <f>IF($I359="Complete","Green",IF($H359="","Amber",IF($H359&lt;'[2]Read Me'!$B$4,"Red",IF($H359-'[2]Read Me'!$B$4&lt;=21,"Amber","Green"))))</f>
        <v>Amber</v>
      </c>
    </row>
    <row r="360" spans="7:13" x14ac:dyDescent="0.3">
      <c r="G360" s="9"/>
      <c r="H360" s="9"/>
      <c r="J360" s="6" t="str">
        <f t="shared" si="22"/>
        <v/>
      </c>
      <c r="L360" s="7" t="str">
        <f t="shared" ca="1" si="23"/>
        <v/>
      </c>
      <c r="M360" s="4" t="str">
        <f>IF($I360="Complete","Green",IF($H360="","Amber",IF($H360&lt;'[2]Read Me'!$B$4,"Red",IF($H360-'[2]Read Me'!$B$4&lt;=21,"Amber","Green"))))</f>
        <v>Amber</v>
      </c>
    </row>
    <row r="361" spans="7:13" x14ac:dyDescent="0.3">
      <c r="G361" s="9"/>
      <c r="H361" s="9"/>
      <c r="J361" s="6" t="str">
        <f t="shared" si="22"/>
        <v/>
      </c>
      <c r="L361" s="7" t="str">
        <f t="shared" ca="1" si="23"/>
        <v/>
      </c>
      <c r="M361" s="4" t="str">
        <f>IF($I361="Complete","Green",IF($H361="","Amber",IF($H361&lt;'[2]Read Me'!$B$4,"Red",IF($H361-'[2]Read Me'!$B$4&lt;=21,"Amber","Green"))))</f>
        <v>Amber</v>
      </c>
    </row>
    <row r="362" spans="7:13" x14ac:dyDescent="0.3">
      <c r="G362" s="9"/>
      <c r="H362" s="9"/>
      <c r="J362" s="6" t="str">
        <f t="shared" si="22"/>
        <v/>
      </c>
      <c r="L362" s="7" t="str">
        <f t="shared" ca="1" si="23"/>
        <v/>
      </c>
      <c r="M362" s="4" t="str">
        <f>IF($I362="Complete","Green",IF($H362="","Amber",IF($H362&lt;'[2]Read Me'!$B$4,"Red",IF($H362-'[2]Read Me'!$B$4&lt;=21,"Amber","Green"))))</f>
        <v>Amber</v>
      </c>
    </row>
    <row r="363" spans="7:13" x14ac:dyDescent="0.3">
      <c r="G363" s="9"/>
      <c r="H363" s="9"/>
      <c r="J363" s="6" t="str">
        <f t="shared" si="22"/>
        <v/>
      </c>
      <c r="L363" s="7" t="str">
        <f t="shared" ca="1" si="23"/>
        <v/>
      </c>
      <c r="M363" s="4" t="str">
        <f>IF($I363="Complete","Green",IF($H363="","Amber",IF($H363&lt;'[2]Read Me'!$B$4,"Red",IF($H363-'[2]Read Me'!$B$4&lt;=21,"Amber","Green"))))</f>
        <v>Amber</v>
      </c>
    </row>
    <row r="364" spans="7:13" x14ac:dyDescent="0.3">
      <c r="G364" s="9"/>
      <c r="H364" s="9"/>
      <c r="J364" s="6" t="str">
        <f t="shared" si="22"/>
        <v/>
      </c>
      <c r="L364" s="7" t="str">
        <f t="shared" ca="1" si="23"/>
        <v/>
      </c>
      <c r="M364" s="4" t="str">
        <f>IF($I364="Complete","Green",IF($H364="","Amber",IF($H364&lt;'[2]Read Me'!$B$4,"Red",IF($H364-'[2]Read Me'!$B$4&lt;=21,"Amber","Green"))))</f>
        <v>Amber</v>
      </c>
    </row>
    <row r="365" spans="7:13" x14ac:dyDescent="0.3">
      <c r="G365" s="9"/>
      <c r="H365" s="9"/>
      <c r="J365" s="6" t="str">
        <f t="shared" si="22"/>
        <v/>
      </c>
      <c r="L365" s="7" t="str">
        <f t="shared" ca="1" si="23"/>
        <v/>
      </c>
      <c r="M365" s="4" t="str">
        <f>IF($I365="Complete","Green",IF($H365="","Amber",IF($H365&lt;'[2]Read Me'!$B$4,"Red",IF($H365-'[2]Read Me'!$B$4&lt;=21,"Amber","Green"))))</f>
        <v>Amber</v>
      </c>
    </row>
    <row r="366" spans="7:13" x14ac:dyDescent="0.3">
      <c r="G366" s="9"/>
      <c r="H366" s="9"/>
      <c r="J366" s="6" t="str">
        <f t="shared" si="22"/>
        <v/>
      </c>
      <c r="L366" s="7" t="str">
        <f t="shared" ca="1" si="23"/>
        <v/>
      </c>
      <c r="M366" s="4" t="str">
        <f>IF($I366="Complete","Green",IF($H366="","Amber",IF($H366&lt;'[2]Read Me'!$B$4,"Red",IF($H366-'[2]Read Me'!$B$4&lt;=21,"Amber","Green"))))</f>
        <v>Amber</v>
      </c>
    </row>
    <row r="367" spans="7:13" x14ac:dyDescent="0.3">
      <c r="G367" s="9"/>
      <c r="H367" s="9"/>
      <c r="J367" s="6" t="str">
        <f t="shared" si="22"/>
        <v/>
      </c>
      <c r="L367" s="7" t="str">
        <f t="shared" ca="1" si="23"/>
        <v/>
      </c>
      <c r="M367" s="4" t="str">
        <f>IF($I367="Complete","Green",IF($H367="","Amber",IF($H367&lt;'[2]Read Me'!$B$4,"Red",IF($H367-'[2]Read Me'!$B$4&lt;=21,"Amber","Green"))))</f>
        <v>Amber</v>
      </c>
    </row>
    <row r="368" spans="7:13" x14ac:dyDescent="0.3">
      <c r="G368" s="9"/>
      <c r="H368" s="9"/>
      <c r="J368" s="6" t="str">
        <f t="shared" si="22"/>
        <v/>
      </c>
      <c r="L368" s="7" t="str">
        <f t="shared" ca="1" si="23"/>
        <v/>
      </c>
      <c r="M368" s="4" t="str">
        <f>IF($I368="Complete","Green",IF($H368="","Amber",IF($H368&lt;'[2]Read Me'!$B$4,"Red",IF($H368-'[2]Read Me'!$B$4&lt;=21,"Amber","Green"))))</f>
        <v>Amber</v>
      </c>
    </row>
    <row r="369" spans="7:13" x14ac:dyDescent="0.3">
      <c r="G369" s="9"/>
      <c r="H369" s="9"/>
      <c r="J369" s="6" t="str">
        <f t="shared" si="22"/>
        <v/>
      </c>
      <c r="L369" s="7" t="str">
        <f t="shared" ca="1" si="23"/>
        <v/>
      </c>
      <c r="M369" s="4" t="str">
        <f>IF($I369="Complete","Green",IF($H369="","Amber",IF($H369&lt;'[2]Read Me'!$B$4,"Red",IF($H369-'[2]Read Me'!$B$4&lt;=21,"Amber","Green"))))</f>
        <v>Amber</v>
      </c>
    </row>
    <row r="370" spans="7:13" x14ac:dyDescent="0.3">
      <c r="G370" s="9"/>
      <c r="H370" s="9"/>
      <c r="J370" s="6" t="str">
        <f t="shared" si="22"/>
        <v/>
      </c>
      <c r="L370" s="7" t="str">
        <f t="shared" ca="1" si="23"/>
        <v/>
      </c>
      <c r="M370" s="4" t="str">
        <f>IF($I370="Complete","Green",IF($H370="","Amber",IF($H370&lt;'[2]Read Me'!$B$4,"Red",IF($H370-'[2]Read Me'!$B$4&lt;=21,"Amber","Green"))))</f>
        <v>Amber</v>
      </c>
    </row>
    <row r="371" spans="7:13" x14ac:dyDescent="0.3">
      <c r="G371" s="9"/>
      <c r="H371" s="9"/>
      <c r="J371" s="6" t="str">
        <f t="shared" si="22"/>
        <v/>
      </c>
      <c r="L371" s="7" t="str">
        <f t="shared" ca="1" si="23"/>
        <v/>
      </c>
      <c r="M371" s="4" t="str">
        <f>IF($I371="Complete","Green",IF($H371="","Amber",IF($H371&lt;'[2]Read Me'!$B$4,"Red",IF($H371-'[2]Read Me'!$B$4&lt;=21,"Amber","Green"))))</f>
        <v>Amber</v>
      </c>
    </row>
    <row r="372" spans="7:13" x14ac:dyDescent="0.3">
      <c r="G372" s="9"/>
      <c r="H372" s="9"/>
      <c r="J372" s="6" t="str">
        <f t="shared" si="22"/>
        <v/>
      </c>
      <c r="L372" s="7" t="str">
        <f t="shared" ca="1" si="23"/>
        <v/>
      </c>
      <c r="M372" s="4" t="str">
        <f>IF($I372="Complete","Green",IF($H372="","Amber",IF($H372&lt;'[2]Read Me'!$B$4,"Red",IF($H372-'[2]Read Me'!$B$4&lt;=21,"Amber","Green"))))</f>
        <v>Amber</v>
      </c>
    </row>
    <row r="373" spans="7:13" x14ac:dyDescent="0.3">
      <c r="G373" s="9"/>
      <c r="H373" s="9"/>
      <c r="J373" s="6" t="str">
        <f t="shared" si="22"/>
        <v/>
      </c>
      <c r="L373" s="7" t="str">
        <f t="shared" ca="1" si="23"/>
        <v/>
      </c>
      <c r="M373" s="4" t="str">
        <f>IF($I373="Complete","Green",IF($H373="","Amber",IF($H373&lt;'[2]Read Me'!$B$4,"Red",IF($H373-'[2]Read Me'!$B$4&lt;=21,"Amber","Green"))))</f>
        <v>Amber</v>
      </c>
    </row>
    <row r="374" spans="7:13" x14ac:dyDescent="0.3">
      <c r="G374" s="9"/>
      <c r="H374" s="9"/>
      <c r="J374" s="6" t="str">
        <f t="shared" si="22"/>
        <v/>
      </c>
      <c r="L374" s="7" t="str">
        <f t="shared" ca="1" si="23"/>
        <v/>
      </c>
      <c r="M374" s="4" t="str">
        <f>IF($I374="Complete","Green",IF($H374="","Amber",IF($H374&lt;'[2]Read Me'!$B$4,"Red",IF($H374-'[2]Read Me'!$B$4&lt;=21,"Amber","Green"))))</f>
        <v>Amber</v>
      </c>
    </row>
    <row r="375" spans="7:13" x14ac:dyDescent="0.3">
      <c r="G375" s="9"/>
      <c r="H375" s="9"/>
      <c r="J375" s="6" t="str">
        <f t="shared" si="22"/>
        <v/>
      </c>
      <c r="L375" s="7" t="str">
        <f t="shared" ca="1" si="23"/>
        <v/>
      </c>
      <c r="M375" s="4" t="str">
        <f>IF($I375="Complete","Green",IF($H375="","Amber",IF($H375&lt;'[2]Read Me'!$B$4,"Red",IF($H375-'[2]Read Me'!$B$4&lt;=21,"Amber","Green"))))</f>
        <v>Amber</v>
      </c>
    </row>
    <row r="376" spans="7:13" x14ac:dyDescent="0.3">
      <c r="G376" s="9"/>
      <c r="H376" s="9"/>
      <c r="J376" s="6" t="str">
        <f t="shared" si="22"/>
        <v/>
      </c>
      <c r="L376" s="7" t="str">
        <f t="shared" ca="1" si="23"/>
        <v/>
      </c>
      <c r="M376" s="4" t="str">
        <f>IF($I376="Complete","Green",IF($H376="","Amber",IF($H376&lt;'[2]Read Me'!$B$4,"Red",IF($H376-'[2]Read Me'!$B$4&lt;=21,"Amber","Green"))))</f>
        <v>Amber</v>
      </c>
    </row>
    <row r="377" spans="7:13" x14ac:dyDescent="0.3">
      <c r="G377" s="9"/>
      <c r="H377" s="9"/>
      <c r="J377" s="6" t="str">
        <f t="shared" si="22"/>
        <v/>
      </c>
      <c r="L377" s="7" t="str">
        <f t="shared" ca="1" si="23"/>
        <v/>
      </c>
      <c r="M377" s="4" t="str">
        <f>IF($I377="Complete","Green",IF($H377="","Amber",IF($H377&lt;'[2]Read Me'!$B$4,"Red",IF($H377-'[2]Read Me'!$B$4&lt;=21,"Amber","Green"))))</f>
        <v>Amber</v>
      </c>
    </row>
    <row r="378" spans="7:13" x14ac:dyDescent="0.3">
      <c r="G378" s="9"/>
      <c r="H378" s="9"/>
      <c r="J378" s="6" t="str">
        <f t="shared" si="22"/>
        <v/>
      </c>
      <c r="L378" s="7" t="str">
        <f t="shared" ca="1" si="23"/>
        <v/>
      </c>
      <c r="M378" s="4" t="str">
        <f>IF($I378="Complete","Green",IF($H378="","Amber",IF($H378&lt;'[2]Read Me'!$B$4,"Red",IF($H378-'[2]Read Me'!$B$4&lt;=21,"Amber","Green"))))</f>
        <v>Amber</v>
      </c>
    </row>
    <row r="379" spans="7:13" x14ac:dyDescent="0.3">
      <c r="G379" s="9"/>
      <c r="H379" s="9"/>
      <c r="J379" s="6" t="str">
        <f t="shared" si="22"/>
        <v/>
      </c>
      <c r="L379" s="7" t="str">
        <f t="shared" ca="1" si="23"/>
        <v/>
      </c>
      <c r="M379" s="4" t="str">
        <f>IF($I379="Complete","Green",IF($H379="","Amber",IF($H379&lt;'[2]Read Me'!$B$4,"Red",IF($H379-'[2]Read Me'!$B$4&lt;=21,"Amber","Green"))))</f>
        <v>Amber</v>
      </c>
    </row>
    <row r="380" spans="7:13" x14ac:dyDescent="0.3">
      <c r="G380" s="9"/>
      <c r="H380" s="9"/>
      <c r="J380" s="6" t="str">
        <f t="shared" si="22"/>
        <v/>
      </c>
      <c r="L380" s="7" t="str">
        <f t="shared" ca="1" si="23"/>
        <v/>
      </c>
      <c r="M380" s="4" t="str">
        <f>IF($I380="Complete","Green",IF($H380="","Amber",IF($H380&lt;'[2]Read Me'!$B$4,"Red",IF($H380-'[2]Read Me'!$B$4&lt;=21,"Amber","Green"))))</f>
        <v>Amber</v>
      </c>
    </row>
    <row r="381" spans="7:13" x14ac:dyDescent="0.3">
      <c r="G381" s="9"/>
      <c r="H381" s="9"/>
      <c r="J381" s="6" t="str">
        <f t="shared" si="22"/>
        <v/>
      </c>
      <c r="L381" s="7" t="str">
        <f t="shared" ca="1" si="23"/>
        <v/>
      </c>
      <c r="M381" s="4" t="str">
        <f>IF($I381="Complete","Green",IF($H381="","Amber",IF($H381&lt;'[2]Read Me'!$B$4,"Red",IF($H381-'[2]Read Me'!$B$4&lt;=21,"Amber","Green"))))</f>
        <v>Amber</v>
      </c>
    </row>
    <row r="382" spans="7:13" x14ac:dyDescent="0.3">
      <c r="G382" s="9"/>
      <c r="H382" s="9"/>
      <c r="J382" s="6" t="str">
        <f t="shared" si="22"/>
        <v/>
      </c>
      <c r="L382" s="7" t="str">
        <f t="shared" ca="1" si="23"/>
        <v/>
      </c>
      <c r="M382" s="4" t="str">
        <f>IF($I382="Complete","Green",IF($H382="","Amber",IF($H382&lt;'[2]Read Me'!$B$4,"Red",IF($H382-'[2]Read Me'!$B$4&lt;=21,"Amber","Green"))))</f>
        <v>Amber</v>
      </c>
    </row>
    <row r="383" spans="7:13" x14ac:dyDescent="0.3">
      <c r="G383" s="9"/>
      <c r="H383" s="9"/>
      <c r="J383" s="6" t="str">
        <f t="shared" si="22"/>
        <v/>
      </c>
      <c r="L383" s="7" t="str">
        <f t="shared" ca="1" si="23"/>
        <v/>
      </c>
      <c r="M383" s="4" t="str">
        <f>IF($I383="Complete","Green",IF($H383="","Amber",IF($H383&lt;'[2]Read Me'!$B$4,"Red",IF($H383-'[2]Read Me'!$B$4&lt;=21,"Amber","Green"))))</f>
        <v>Amber</v>
      </c>
    </row>
    <row r="384" spans="7:13" x14ac:dyDescent="0.3">
      <c r="G384" s="9"/>
      <c r="H384" s="9"/>
      <c r="J384" s="6" t="str">
        <f t="shared" si="22"/>
        <v/>
      </c>
      <c r="L384" s="7" t="str">
        <f t="shared" ca="1" si="23"/>
        <v/>
      </c>
      <c r="M384" s="4" t="str">
        <f>IF($I384="Complete","Green",IF($H384="","Amber",IF($H384&lt;'[2]Read Me'!$B$4,"Red",IF($H384-'[2]Read Me'!$B$4&lt;=21,"Amber","Green"))))</f>
        <v>Amber</v>
      </c>
    </row>
    <row r="385" spans="7:13" x14ac:dyDescent="0.3">
      <c r="G385" s="9"/>
      <c r="H385" s="9"/>
      <c r="J385" s="6" t="str">
        <f t="shared" si="22"/>
        <v/>
      </c>
      <c r="L385" s="7" t="str">
        <f t="shared" ca="1" si="23"/>
        <v/>
      </c>
      <c r="M385" s="4" t="str">
        <f>IF($I385="Complete","Green",IF($H385="","Amber",IF($H385&lt;'[2]Read Me'!$B$4,"Red",IF($H385-'[2]Read Me'!$B$4&lt;=21,"Amber","Green"))))</f>
        <v>Amber</v>
      </c>
    </row>
    <row r="386" spans="7:13" x14ac:dyDescent="0.3">
      <c r="G386" s="9"/>
      <c r="H386" s="9"/>
      <c r="J386" s="6" t="str">
        <f t="shared" si="22"/>
        <v/>
      </c>
      <c r="L386" s="7" t="str">
        <f t="shared" ca="1" si="23"/>
        <v/>
      </c>
      <c r="M386" s="4" t="str">
        <f>IF($I386="Complete","Green",IF($H386="","Amber",IF($H386&lt;'[2]Read Me'!$B$4,"Red",IF($H386-'[2]Read Me'!$B$4&lt;=21,"Amber","Green"))))</f>
        <v>Amber</v>
      </c>
    </row>
    <row r="387" spans="7:13" x14ac:dyDescent="0.3">
      <c r="G387" s="9"/>
      <c r="H387" s="9"/>
      <c r="J387" s="6" t="str">
        <f t="shared" si="22"/>
        <v/>
      </c>
      <c r="L387" s="7" t="str">
        <f t="shared" ca="1" si="23"/>
        <v/>
      </c>
      <c r="M387" s="4" t="str">
        <f>IF($I387="Complete","Green",IF($H387="","Amber",IF($H387&lt;'[2]Read Me'!$B$4,"Red",IF($H387-'[2]Read Me'!$B$4&lt;=21,"Amber","Green"))))</f>
        <v>Amber</v>
      </c>
    </row>
    <row r="388" spans="7:13" x14ac:dyDescent="0.3">
      <c r="G388" s="9"/>
      <c r="H388" s="9"/>
      <c r="J388" s="6" t="str">
        <f t="shared" ref="J388:J451" si="24">IF(OR($G388="",$H388=""),"",$H388-$G388)</f>
        <v/>
      </c>
      <c r="L388" s="7" t="str">
        <f t="shared" ca="1" si="23"/>
        <v/>
      </c>
      <c r="M388" s="4" t="str">
        <f>IF($I388="Complete","Green",IF($H388="","Amber",IF($H388&lt;'[2]Read Me'!$B$4,"Red",IF($H388-'[2]Read Me'!$B$4&lt;=21,"Amber","Green"))))</f>
        <v>Amber</v>
      </c>
    </row>
    <row r="389" spans="7:13" x14ac:dyDescent="0.3">
      <c r="G389" s="9"/>
      <c r="H389" s="9"/>
      <c r="J389" s="6" t="str">
        <f t="shared" si="24"/>
        <v/>
      </c>
      <c r="L389" s="7" t="str">
        <f t="shared" ref="L389:L452" ca="1" si="25">IF(I389="Completed",0,IF(H389="","",H389-TODAY()))</f>
        <v/>
      </c>
      <c r="M389" s="4" t="str">
        <f>IF($I389="Complete","Green",IF($H389="","Amber",IF($H389&lt;'[2]Read Me'!$B$4,"Red",IF($H389-'[2]Read Me'!$B$4&lt;=21,"Amber","Green"))))</f>
        <v>Amber</v>
      </c>
    </row>
    <row r="390" spans="7:13" x14ac:dyDescent="0.3">
      <c r="G390" s="9"/>
      <c r="H390" s="9"/>
      <c r="J390" s="6" t="str">
        <f t="shared" si="24"/>
        <v/>
      </c>
      <c r="L390" s="7" t="str">
        <f t="shared" ca="1" si="25"/>
        <v/>
      </c>
      <c r="M390" s="4" t="str">
        <f>IF($I390="Complete","Green",IF($H390="","Amber",IF($H390&lt;'[2]Read Me'!$B$4,"Red",IF($H390-'[2]Read Me'!$B$4&lt;=21,"Amber","Green"))))</f>
        <v>Amber</v>
      </c>
    </row>
    <row r="391" spans="7:13" x14ac:dyDescent="0.3">
      <c r="G391" s="9"/>
      <c r="H391" s="9"/>
      <c r="J391" s="6" t="str">
        <f t="shared" si="24"/>
        <v/>
      </c>
      <c r="L391" s="7" t="str">
        <f t="shared" ca="1" si="25"/>
        <v/>
      </c>
      <c r="M391" s="4" t="str">
        <f>IF($I391="Complete","Green",IF($H391="","Amber",IF($H391&lt;'[2]Read Me'!$B$4,"Red",IF($H391-'[2]Read Me'!$B$4&lt;=21,"Amber","Green"))))</f>
        <v>Amber</v>
      </c>
    </row>
    <row r="392" spans="7:13" x14ac:dyDescent="0.3">
      <c r="G392" s="9"/>
      <c r="H392" s="9"/>
      <c r="J392" s="6" t="str">
        <f t="shared" si="24"/>
        <v/>
      </c>
      <c r="L392" s="7" t="str">
        <f t="shared" ca="1" si="25"/>
        <v/>
      </c>
      <c r="M392" s="4" t="str">
        <f>IF($I392="Complete","Green",IF($H392="","Amber",IF($H392&lt;'[2]Read Me'!$B$4,"Red",IF($H392-'[2]Read Me'!$B$4&lt;=21,"Amber","Green"))))</f>
        <v>Amber</v>
      </c>
    </row>
    <row r="393" spans="7:13" x14ac:dyDescent="0.3">
      <c r="G393" s="9"/>
      <c r="H393" s="9"/>
      <c r="J393" s="6" t="str">
        <f t="shared" si="24"/>
        <v/>
      </c>
      <c r="L393" s="7" t="str">
        <f t="shared" ca="1" si="25"/>
        <v/>
      </c>
      <c r="M393" s="4" t="str">
        <f>IF($I393="Complete","Green",IF($H393="","Amber",IF($H393&lt;'[2]Read Me'!$B$4,"Red",IF($H393-'[2]Read Me'!$B$4&lt;=21,"Amber","Green"))))</f>
        <v>Amber</v>
      </c>
    </row>
    <row r="394" spans="7:13" x14ac:dyDescent="0.3">
      <c r="G394" s="9"/>
      <c r="H394" s="9"/>
      <c r="J394" s="6" t="str">
        <f t="shared" si="24"/>
        <v/>
      </c>
      <c r="L394" s="7" t="str">
        <f t="shared" ca="1" si="25"/>
        <v/>
      </c>
      <c r="M394" s="4" t="str">
        <f>IF($I394="Complete","Green",IF($H394="","Amber",IF($H394&lt;'[2]Read Me'!$B$4,"Red",IF($H394-'[2]Read Me'!$B$4&lt;=21,"Amber","Green"))))</f>
        <v>Amber</v>
      </c>
    </row>
    <row r="395" spans="7:13" x14ac:dyDescent="0.3">
      <c r="G395" s="9"/>
      <c r="H395" s="9"/>
      <c r="J395" s="6" t="str">
        <f t="shared" si="24"/>
        <v/>
      </c>
      <c r="L395" s="7" t="str">
        <f t="shared" ca="1" si="25"/>
        <v/>
      </c>
      <c r="M395" s="4" t="str">
        <f>IF($I395="Complete","Green",IF($H395="","Amber",IF($H395&lt;'[2]Read Me'!$B$4,"Red",IF($H395-'[2]Read Me'!$B$4&lt;=21,"Amber","Green"))))</f>
        <v>Amber</v>
      </c>
    </row>
    <row r="396" spans="7:13" x14ac:dyDescent="0.3">
      <c r="G396" s="9"/>
      <c r="H396" s="9"/>
      <c r="J396" s="6" t="str">
        <f t="shared" si="24"/>
        <v/>
      </c>
      <c r="L396" s="7" t="str">
        <f t="shared" ca="1" si="25"/>
        <v/>
      </c>
      <c r="M396" s="4" t="str">
        <f>IF($I396="Complete","Green",IF($H396="","Amber",IF($H396&lt;'[2]Read Me'!$B$4,"Red",IF($H396-'[2]Read Me'!$B$4&lt;=21,"Amber","Green"))))</f>
        <v>Amber</v>
      </c>
    </row>
    <row r="397" spans="7:13" x14ac:dyDescent="0.3">
      <c r="G397" s="9"/>
      <c r="H397" s="9"/>
      <c r="J397" s="6" t="str">
        <f t="shared" si="24"/>
        <v/>
      </c>
      <c r="L397" s="7" t="str">
        <f t="shared" ca="1" si="25"/>
        <v/>
      </c>
      <c r="M397" s="4" t="str">
        <f>IF($I397="Complete","Green",IF($H397="","Amber",IF($H397&lt;'[2]Read Me'!$B$4,"Red",IF($H397-'[2]Read Me'!$B$4&lt;=21,"Amber","Green"))))</f>
        <v>Amber</v>
      </c>
    </row>
    <row r="398" spans="7:13" x14ac:dyDescent="0.3">
      <c r="G398" s="9"/>
      <c r="H398" s="9"/>
      <c r="J398" s="6" t="str">
        <f t="shared" si="24"/>
        <v/>
      </c>
      <c r="L398" s="7" t="str">
        <f t="shared" ca="1" si="25"/>
        <v/>
      </c>
      <c r="M398" s="4" t="str">
        <f>IF($I398="Complete","Green",IF($H398="","Amber",IF($H398&lt;'[2]Read Me'!$B$4,"Red",IF($H398-'[2]Read Me'!$B$4&lt;=21,"Amber","Green"))))</f>
        <v>Amber</v>
      </c>
    </row>
    <row r="399" spans="7:13" x14ac:dyDescent="0.3">
      <c r="G399" s="9"/>
      <c r="H399" s="9"/>
      <c r="J399" s="6" t="str">
        <f t="shared" si="24"/>
        <v/>
      </c>
      <c r="L399" s="7" t="str">
        <f t="shared" ca="1" si="25"/>
        <v/>
      </c>
      <c r="M399" s="4" t="str">
        <f>IF($I399="Complete","Green",IF($H399="","Amber",IF($H399&lt;'[2]Read Me'!$B$4,"Red",IF($H399-'[2]Read Me'!$B$4&lt;=21,"Amber","Green"))))</f>
        <v>Amber</v>
      </c>
    </row>
    <row r="400" spans="7:13" x14ac:dyDescent="0.3">
      <c r="G400" s="9"/>
      <c r="H400" s="9"/>
      <c r="J400" s="6" t="str">
        <f t="shared" si="24"/>
        <v/>
      </c>
      <c r="L400" s="7" t="str">
        <f t="shared" ca="1" si="25"/>
        <v/>
      </c>
      <c r="M400" s="4" t="str">
        <f>IF($I400="Complete","Green",IF($H400="","Amber",IF($H400&lt;'[2]Read Me'!$B$4,"Red",IF($H400-'[2]Read Me'!$B$4&lt;=21,"Amber","Green"))))</f>
        <v>Amber</v>
      </c>
    </row>
    <row r="401" spans="7:13" x14ac:dyDescent="0.3">
      <c r="G401" s="9"/>
      <c r="H401" s="9"/>
      <c r="J401" s="6" t="str">
        <f t="shared" si="24"/>
        <v/>
      </c>
      <c r="L401" s="7" t="str">
        <f t="shared" ca="1" si="25"/>
        <v/>
      </c>
      <c r="M401" s="4" t="str">
        <f>IF($I401="Complete","Green",IF($H401="","Amber",IF($H401&lt;'[2]Read Me'!$B$4,"Red",IF($H401-'[2]Read Me'!$B$4&lt;=21,"Amber","Green"))))</f>
        <v>Amber</v>
      </c>
    </row>
    <row r="402" spans="7:13" x14ac:dyDescent="0.3">
      <c r="G402" s="9"/>
      <c r="H402" s="9"/>
      <c r="J402" s="6" t="str">
        <f t="shared" si="24"/>
        <v/>
      </c>
      <c r="L402" s="7" t="str">
        <f t="shared" ca="1" si="25"/>
        <v/>
      </c>
      <c r="M402" s="4" t="str">
        <f>IF($I402="Complete","Green",IF($H402="","Amber",IF($H402&lt;'[2]Read Me'!$B$4,"Red",IF($H402-'[2]Read Me'!$B$4&lt;=21,"Amber","Green"))))</f>
        <v>Amber</v>
      </c>
    </row>
    <row r="403" spans="7:13" x14ac:dyDescent="0.3">
      <c r="G403" s="9"/>
      <c r="H403" s="9"/>
      <c r="J403" s="6" t="str">
        <f t="shared" si="24"/>
        <v/>
      </c>
      <c r="L403" s="7" t="str">
        <f t="shared" ca="1" si="25"/>
        <v/>
      </c>
      <c r="M403" s="4" t="str">
        <f>IF($I403="Complete","Green",IF($H403="","Amber",IF($H403&lt;'[2]Read Me'!$B$4,"Red",IF($H403-'[2]Read Me'!$B$4&lt;=21,"Amber","Green"))))</f>
        <v>Amber</v>
      </c>
    </row>
    <row r="404" spans="7:13" x14ac:dyDescent="0.3">
      <c r="G404" s="9"/>
      <c r="H404" s="9"/>
      <c r="J404" s="6" t="str">
        <f t="shared" si="24"/>
        <v/>
      </c>
      <c r="L404" s="7" t="str">
        <f t="shared" ca="1" si="25"/>
        <v/>
      </c>
      <c r="M404" s="4" t="str">
        <f>IF($I404="Complete","Green",IF($H404="","Amber",IF($H404&lt;'[2]Read Me'!$B$4,"Red",IF($H404-'[2]Read Me'!$B$4&lt;=21,"Amber","Green"))))</f>
        <v>Amber</v>
      </c>
    </row>
    <row r="405" spans="7:13" x14ac:dyDescent="0.3">
      <c r="G405" s="9"/>
      <c r="H405" s="9"/>
      <c r="J405" s="6" t="str">
        <f t="shared" si="24"/>
        <v/>
      </c>
      <c r="L405" s="7" t="str">
        <f t="shared" ca="1" si="25"/>
        <v/>
      </c>
      <c r="M405" s="4" t="str">
        <f>IF($I405="Complete","Green",IF($H405="","Amber",IF($H405&lt;'[2]Read Me'!$B$4,"Red",IF($H405-'[2]Read Me'!$B$4&lt;=21,"Amber","Green"))))</f>
        <v>Amber</v>
      </c>
    </row>
    <row r="406" spans="7:13" x14ac:dyDescent="0.3">
      <c r="G406" s="9"/>
      <c r="H406" s="9"/>
      <c r="J406" s="6" t="str">
        <f t="shared" si="24"/>
        <v/>
      </c>
      <c r="L406" s="7" t="str">
        <f t="shared" ca="1" si="25"/>
        <v/>
      </c>
      <c r="M406" s="4" t="str">
        <f>IF($I406="Complete","Green",IF($H406="","Amber",IF($H406&lt;'[2]Read Me'!$B$4,"Red",IF($H406-'[2]Read Me'!$B$4&lt;=21,"Amber","Green"))))</f>
        <v>Amber</v>
      </c>
    </row>
    <row r="407" spans="7:13" x14ac:dyDescent="0.3">
      <c r="G407" s="9"/>
      <c r="H407" s="9"/>
      <c r="J407" s="6" t="str">
        <f t="shared" si="24"/>
        <v/>
      </c>
      <c r="L407" s="7" t="str">
        <f t="shared" ca="1" si="25"/>
        <v/>
      </c>
      <c r="M407" s="4" t="str">
        <f>IF($I407="Complete","Green",IF($H407="","Amber",IF($H407&lt;'[2]Read Me'!$B$4,"Red",IF($H407-'[2]Read Me'!$B$4&lt;=21,"Amber","Green"))))</f>
        <v>Amber</v>
      </c>
    </row>
    <row r="408" spans="7:13" x14ac:dyDescent="0.3">
      <c r="G408" s="9"/>
      <c r="H408" s="9"/>
      <c r="J408" s="6" t="str">
        <f t="shared" si="24"/>
        <v/>
      </c>
      <c r="L408" s="7" t="str">
        <f t="shared" ca="1" si="25"/>
        <v/>
      </c>
      <c r="M408" s="4" t="str">
        <f>IF($I408="Complete","Green",IF($H408="","Amber",IF($H408&lt;'[2]Read Me'!$B$4,"Red",IF($H408-'[2]Read Me'!$B$4&lt;=21,"Amber","Green"))))</f>
        <v>Amber</v>
      </c>
    </row>
    <row r="409" spans="7:13" x14ac:dyDescent="0.3">
      <c r="G409" s="9"/>
      <c r="H409" s="9"/>
      <c r="J409" s="6" t="str">
        <f t="shared" si="24"/>
        <v/>
      </c>
      <c r="L409" s="7" t="str">
        <f t="shared" ca="1" si="25"/>
        <v/>
      </c>
      <c r="M409" s="4" t="str">
        <f>IF($I409="Complete","Green",IF($H409="","Amber",IF($H409&lt;'[2]Read Me'!$B$4,"Red",IF($H409-'[2]Read Me'!$B$4&lt;=21,"Amber","Green"))))</f>
        <v>Amber</v>
      </c>
    </row>
    <row r="410" spans="7:13" x14ac:dyDescent="0.3">
      <c r="J410" s="6" t="str">
        <f t="shared" si="24"/>
        <v/>
      </c>
      <c r="L410" s="7" t="str">
        <f t="shared" ca="1" si="25"/>
        <v/>
      </c>
      <c r="M410" s="4" t="str">
        <f>IF($I410="Complete","Green",IF($H410="","Amber",IF($H410&lt;'[2]Read Me'!$B$4,"Red",IF($H410-'[2]Read Me'!$B$4&lt;=21,"Amber","Green"))))</f>
        <v>Amber</v>
      </c>
    </row>
    <row r="411" spans="7:13" x14ac:dyDescent="0.3">
      <c r="J411" s="6" t="str">
        <f t="shared" si="24"/>
        <v/>
      </c>
      <c r="L411" s="7" t="str">
        <f t="shared" ca="1" si="25"/>
        <v/>
      </c>
      <c r="M411" s="4" t="str">
        <f>IF($I411="Complete","Green",IF($H411="","Amber",IF($H411&lt;'[2]Read Me'!$B$4,"Red",IF($H411-'[2]Read Me'!$B$4&lt;=21,"Amber","Green"))))</f>
        <v>Amber</v>
      </c>
    </row>
    <row r="412" spans="7:13" x14ac:dyDescent="0.3">
      <c r="J412" s="6" t="str">
        <f t="shared" si="24"/>
        <v/>
      </c>
      <c r="L412" s="7" t="str">
        <f t="shared" ca="1" si="25"/>
        <v/>
      </c>
      <c r="M412" s="4" t="str">
        <f>IF($I412="Complete","Green",IF($H412="","Amber",IF($H412&lt;'[2]Read Me'!$B$4,"Red",IF($H412-'[2]Read Me'!$B$4&lt;=21,"Amber","Green"))))</f>
        <v>Amber</v>
      </c>
    </row>
    <row r="413" spans="7:13" x14ac:dyDescent="0.3">
      <c r="J413" s="6" t="str">
        <f t="shared" si="24"/>
        <v/>
      </c>
      <c r="L413" s="7" t="str">
        <f t="shared" ca="1" si="25"/>
        <v/>
      </c>
      <c r="M413" s="4" t="str">
        <f>IF($I413="Complete","Green",IF($H413="","Amber",IF($H413&lt;'[2]Read Me'!$B$4,"Red",IF($H413-'[2]Read Me'!$B$4&lt;=21,"Amber","Green"))))</f>
        <v>Amber</v>
      </c>
    </row>
    <row r="414" spans="7:13" x14ac:dyDescent="0.3">
      <c r="J414" s="6" t="str">
        <f t="shared" si="24"/>
        <v/>
      </c>
      <c r="L414" s="7" t="str">
        <f t="shared" ca="1" si="25"/>
        <v/>
      </c>
      <c r="M414" s="4" t="str">
        <f>IF($I414="Complete","Green",IF($H414="","Amber",IF($H414&lt;'[2]Read Me'!$B$4,"Red",IF($H414-'[2]Read Me'!$B$4&lt;=21,"Amber","Green"))))</f>
        <v>Amber</v>
      </c>
    </row>
    <row r="415" spans="7:13" x14ac:dyDescent="0.3">
      <c r="J415" s="6" t="str">
        <f t="shared" si="24"/>
        <v/>
      </c>
      <c r="L415" s="7" t="str">
        <f t="shared" ca="1" si="25"/>
        <v/>
      </c>
      <c r="M415" s="4" t="str">
        <f>IF($I415="Complete","Green",IF($H415="","Amber",IF($H415&lt;'[2]Read Me'!$B$4,"Red",IF($H415-'[2]Read Me'!$B$4&lt;=21,"Amber","Green"))))</f>
        <v>Amber</v>
      </c>
    </row>
    <row r="416" spans="7:13" x14ac:dyDescent="0.3">
      <c r="J416" s="6" t="str">
        <f t="shared" si="24"/>
        <v/>
      </c>
      <c r="L416" s="7" t="str">
        <f t="shared" ca="1" si="25"/>
        <v/>
      </c>
      <c r="M416" s="4" t="str">
        <f>IF($I416="Complete","Green",IF($H416="","Amber",IF($H416&lt;'[2]Read Me'!$B$4,"Red",IF($H416-'[2]Read Me'!$B$4&lt;=21,"Amber","Green"))))</f>
        <v>Amber</v>
      </c>
    </row>
    <row r="417" spans="10:13" x14ac:dyDescent="0.3">
      <c r="J417" s="6" t="str">
        <f t="shared" si="24"/>
        <v/>
      </c>
      <c r="L417" s="7" t="str">
        <f t="shared" ca="1" si="25"/>
        <v/>
      </c>
      <c r="M417" s="4" t="str">
        <f>IF($I417="Complete","Green",IF($H417="","Amber",IF($H417&lt;'[2]Read Me'!$B$4,"Red",IF($H417-'[2]Read Me'!$B$4&lt;=21,"Amber","Green"))))</f>
        <v>Amber</v>
      </c>
    </row>
    <row r="418" spans="10:13" x14ac:dyDescent="0.3">
      <c r="J418" s="6" t="str">
        <f t="shared" si="24"/>
        <v/>
      </c>
      <c r="L418" s="7" t="str">
        <f t="shared" ca="1" si="25"/>
        <v/>
      </c>
      <c r="M418" s="4" t="str">
        <f>IF($I418="Complete","Green",IF($H418="","Amber",IF($H418&lt;'[2]Read Me'!$B$4,"Red",IF($H418-'[2]Read Me'!$B$4&lt;=21,"Amber","Green"))))</f>
        <v>Amber</v>
      </c>
    </row>
    <row r="419" spans="10:13" x14ac:dyDescent="0.3">
      <c r="J419" s="6" t="str">
        <f t="shared" si="24"/>
        <v/>
      </c>
      <c r="L419" s="7" t="str">
        <f t="shared" ca="1" si="25"/>
        <v/>
      </c>
      <c r="M419" s="4" t="str">
        <f>IF($I419="Complete","Green",IF($H419="","Amber",IF($H419&lt;'[2]Read Me'!$B$4,"Red",IF($H419-'[2]Read Me'!$B$4&lt;=21,"Amber","Green"))))</f>
        <v>Amber</v>
      </c>
    </row>
    <row r="420" spans="10:13" x14ac:dyDescent="0.3">
      <c r="J420" s="6" t="str">
        <f t="shared" si="24"/>
        <v/>
      </c>
      <c r="L420" s="7" t="str">
        <f t="shared" ca="1" si="25"/>
        <v/>
      </c>
      <c r="M420" s="4" t="str">
        <f>IF($I420="Complete","Green",IF($H420="","Amber",IF($H420&lt;'[2]Read Me'!$B$4,"Red",IF($H420-'[2]Read Me'!$B$4&lt;=21,"Amber","Green"))))</f>
        <v>Amber</v>
      </c>
    </row>
    <row r="421" spans="10:13" x14ac:dyDescent="0.3">
      <c r="J421" s="6" t="str">
        <f t="shared" si="24"/>
        <v/>
      </c>
      <c r="L421" s="7" t="str">
        <f t="shared" ca="1" si="25"/>
        <v/>
      </c>
      <c r="M421" s="4" t="str">
        <f>IF($I421="Complete","Green",IF($H421="","Amber",IF($H421&lt;'[2]Read Me'!$B$4,"Red",IF($H421-'[2]Read Me'!$B$4&lt;=21,"Amber","Green"))))</f>
        <v>Amber</v>
      </c>
    </row>
    <row r="422" spans="10:13" x14ac:dyDescent="0.3">
      <c r="J422" s="6" t="str">
        <f t="shared" si="24"/>
        <v/>
      </c>
      <c r="L422" s="7" t="str">
        <f t="shared" ca="1" si="25"/>
        <v/>
      </c>
      <c r="M422" s="4" t="str">
        <f>IF($I422="Complete","Green",IF($H422="","Amber",IF($H422&lt;'[2]Read Me'!$B$4,"Red",IF($H422-'[2]Read Me'!$B$4&lt;=21,"Amber","Green"))))</f>
        <v>Amber</v>
      </c>
    </row>
    <row r="423" spans="10:13" x14ac:dyDescent="0.3">
      <c r="J423" s="6" t="str">
        <f t="shared" si="24"/>
        <v/>
      </c>
      <c r="L423" s="7" t="str">
        <f t="shared" ca="1" si="25"/>
        <v/>
      </c>
      <c r="M423" s="4" t="str">
        <f>IF($I423="Complete","Green",IF($H423="","Amber",IF($H423&lt;'[2]Read Me'!$B$4,"Red",IF($H423-'[2]Read Me'!$B$4&lt;=21,"Amber","Green"))))</f>
        <v>Amber</v>
      </c>
    </row>
    <row r="424" spans="10:13" x14ac:dyDescent="0.3">
      <c r="J424" s="6" t="str">
        <f t="shared" si="24"/>
        <v/>
      </c>
      <c r="L424" s="7" t="str">
        <f t="shared" ca="1" si="25"/>
        <v/>
      </c>
      <c r="M424" s="4" t="str">
        <f>IF($I424="Complete","Green",IF($H424="","Amber",IF($H424&lt;'[2]Read Me'!$B$4,"Red",IF($H424-'[2]Read Me'!$B$4&lt;=21,"Amber","Green"))))</f>
        <v>Amber</v>
      </c>
    </row>
    <row r="425" spans="10:13" x14ac:dyDescent="0.3">
      <c r="J425" s="6" t="str">
        <f t="shared" si="24"/>
        <v/>
      </c>
      <c r="L425" s="7" t="str">
        <f t="shared" ca="1" si="25"/>
        <v/>
      </c>
      <c r="M425" s="4" t="str">
        <f>IF($I425="Complete","Green",IF($H425="","Amber",IF($H425&lt;'[2]Read Me'!$B$4,"Red",IF($H425-'[2]Read Me'!$B$4&lt;=21,"Amber","Green"))))</f>
        <v>Amber</v>
      </c>
    </row>
    <row r="426" spans="10:13" x14ac:dyDescent="0.3">
      <c r="J426" s="6" t="str">
        <f t="shared" si="24"/>
        <v/>
      </c>
      <c r="L426" s="7" t="str">
        <f t="shared" ca="1" si="25"/>
        <v/>
      </c>
      <c r="M426" s="4" t="str">
        <f>IF($I426="Complete","Green",IF($H426="","Amber",IF($H426&lt;'[2]Read Me'!$B$4,"Red",IF($H426-'[2]Read Me'!$B$4&lt;=21,"Amber","Green"))))</f>
        <v>Amber</v>
      </c>
    </row>
    <row r="427" spans="10:13" x14ac:dyDescent="0.3">
      <c r="J427" s="6" t="str">
        <f t="shared" si="24"/>
        <v/>
      </c>
      <c r="L427" s="7" t="str">
        <f t="shared" ca="1" si="25"/>
        <v/>
      </c>
      <c r="M427" s="4" t="str">
        <f>IF($I427="Complete","Green",IF($H427="","Amber",IF($H427&lt;'[2]Read Me'!$B$4,"Red",IF($H427-'[2]Read Me'!$B$4&lt;=21,"Amber","Green"))))</f>
        <v>Amber</v>
      </c>
    </row>
    <row r="428" spans="10:13" x14ac:dyDescent="0.3">
      <c r="J428" s="6" t="str">
        <f t="shared" si="24"/>
        <v/>
      </c>
      <c r="L428" s="7" t="str">
        <f t="shared" ca="1" si="25"/>
        <v/>
      </c>
      <c r="M428" s="4" t="str">
        <f>IF($I428="Complete","Green",IF($H428="","Amber",IF($H428&lt;'[2]Read Me'!$B$4,"Red",IF($H428-'[2]Read Me'!$B$4&lt;=21,"Amber","Green"))))</f>
        <v>Amber</v>
      </c>
    </row>
    <row r="429" spans="10:13" x14ac:dyDescent="0.3">
      <c r="J429" s="6" t="str">
        <f t="shared" si="24"/>
        <v/>
      </c>
      <c r="L429" s="7" t="str">
        <f t="shared" ca="1" si="25"/>
        <v/>
      </c>
      <c r="M429" s="4" t="str">
        <f>IF($I429="Complete","Green",IF($H429="","Amber",IF($H429&lt;'[2]Read Me'!$B$4,"Red",IF($H429-'[2]Read Me'!$B$4&lt;=21,"Amber","Green"))))</f>
        <v>Amber</v>
      </c>
    </row>
    <row r="430" spans="10:13" x14ac:dyDescent="0.3">
      <c r="J430" s="6" t="str">
        <f t="shared" si="24"/>
        <v/>
      </c>
      <c r="L430" s="7" t="str">
        <f t="shared" ca="1" si="25"/>
        <v/>
      </c>
      <c r="M430" s="4" t="str">
        <f>IF($I430="Complete","Green",IF($H430="","Amber",IF($H430&lt;'[2]Read Me'!$B$4,"Red",IF($H430-'[2]Read Me'!$B$4&lt;=21,"Amber","Green"))))</f>
        <v>Amber</v>
      </c>
    </row>
    <row r="431" spans="10:13" x14ac:dyDescent="0.3">
      <c r="J431" s="6" t="str">
        <f t="shared" si="24"/>
        <v/>
      </c>
      <c r="L431" s="7" t="str">
        <f t="shared" ca="1" si="25"/>
        <v/>
      </c>
      <c r="M431" s="4" t="str">
        <f>IF($I431="Complete","Green",IF($H431="","Amber",IF($H431&lt;'[2]Read Me'!$B$4,"Red",IF($H431-'[2]Read Me'!$B$4&lt;=21,"Amber","Green"))))</f>
        <v>Amber</v>
      </c>
    </row>
    <row r="432" spans="10:13" x14ac:dyDescent="0.3">
      <c r="J432" s="6" t="str">
        <f t="shared" si="24"/>
        <v/>
      </c>
      <c r="L432" s="7" t="str">
        <f t="shared" ca="1" si="25"/>
        <v/>
      </c>
      <c r="M432" s="4" t="str">
        <f>IF($I432="Complete","Green",IF($H432="","Amber",IF($H432&lt;'[2]Read Me'!$B$4,"Red",IF($H432-'[2]Read Me'!$B$4&lt;=21,"Amber","Green"))))</f>
        <v>Amber</v>
      </c>
    </row>
    <row r="433" spans="10:13" x14ac:dyDescent="0.3">
      <c r="J433" s="6" t="str">
        <f t="shared" si="24"/>
        <v/>
      </c>
      <c r="L433" s="7" t="str">
        <f t="shared" ca="1" si="25"/>
        <v/>
      </c>
      <c r="M433" s="4" t="str">
        <f>IF($I433="Complete","Green",IF($H433="","Amber",IF($H433&lt;'[2]Read Me'!$B$4,"Red",IF($H433-'[2]Read Me'!$B$4&lt;=21,"Amber","Green"))))</f>
        <v>Amber</v>
      </c>
    </row>
    <row r="434" spans="10:13" x14ac:dyDescent="0.3">
      <c r="J434" s="6" t="str">
        <f t="shared" si="24"/>
        <v/>
      </c>
      <c r="L434" s="7" t="str">
        <f t="shared" ca="1" si="25"/>
        <v/>
      </c>
      <c r="M434" s="4" t="str">
        <f>IF($I434="Complete","Green",IF($H434="","Amber",IF($H434&lt;'[2]Read Me'!$B$4,"Red",IF($H434-'[2]Read Me'!$B$4&lt;=21,"Amber","Green"))))</f>
        <v>Amber</v>
      </c>
    </row>
    <row r="435" spans="10:13" x14ac:dyDescent="0.3">
      <c r="J435" s="6" t="str">
        <f t="shared" si="24"/>
        <v/>
      </c>
      <c r="L435" s="7" t="str">
        <f t="shared" ca="1" si="25"/>
        <v/>
      </c>
      <c r="M435" s="4" t="str">
        <f>IF($I435="Complete","Green",IF($H435="","Amber",IF($H435&lt;'[2]Read Me'!$B$4,"Red",IF($H435-'[2]Read Me'!$B$4&lt;=21,"Amber","Green"))))</f>
        <v>Amber</v>
      </c>
    </row>
    <row r="436" spans="10:13" x14ac:dyDescent="0.3">
      <c r="J436" s="6" t="str">
        <f t="shared" si="24"/>
        <v/>
      </c>
      <c r="L436" s="7" t="str">
        <f t="shared" ca="1" si="25"/>
        <v/>
      </c>
      <c r="M436" s="4" t="str">
        <f>IF($I436="Complete","Green",IF($H436="","Amber",IF($H436&lt;'[2]Read Me'!$B$4,"Red",IF($H436-'[2]Read Me'!$B$4&lt;=21,"Amber","Green"))))</f>
        <v>Amber</v>
      </c>
    </row>
    <row r="437" spans="10:13" x14ac:dyDescent="0.3">
      <c r="J437" s="6" t="str">
        <f t="shared" si="24"/>
        <v/>
      </c>
      <c r="L437" s="7" t="str">
        <f t="shared" ca="1" si="25"/>
        <v/>
      </c>
      <c r="M437" s="4" t="str">
        <f>IF($I437="Complete","Green",IF($H437="","Amber",IF($H437&lt;'[2]Read Me'!$B$4,"Red",IF($H437-'[2]Read Me'!$B$4&lt;=21,"Amber","Green"))))</f>
        <v>Amber</v>
      </c>
    </row>
    <row r="438" spans="10:13" x14ac:dyDescent="0.3">
      <c r="J438" s="6" t="str">
        <f t="shared" si="24"/>
        <v/>
      </c>
      <c r="L438" s="7" t="str">
        <f t="shared" ca="1" si="25"/>
        <v/>
      </c>
      <c r="M438" s="4" t="str">
        <f>IF($I438="Complete","Green",IF($H438="","Amber",IF($H438&lt;'[2]Read Me'!$B$4,"Red",IF($H438-'[2]Read Me'!$B$4&lt;=21,"Amber","Green"))))</f>
        <v>Amber</v>
      </c>
    </row>
    <row r="439" spans="10:13" x14ac:dyDescent="0.3">
      <c r="J439" s="6" t="str">
        <f t="shared" si="24"/>
        <v/>
      </c>
      <c r="L439" s="7" t="str">
        <f t="shared" ca="1" si="25"/>
        <v/>
      </c>
      <c r="M439" s="4" t="str">
        <f>IF($I439="Complete","Green",IF($H439="","Amber",IF($H439&lt;'[2]Read Me'!$B$4,"Red",IF($H439-'[2]Read Me'!$B$4&lt;=21,"Amber","Green"))))</f>
        <v>Amber</v>
      </c>
    </row>
    <row r="440" spans="10:13" x14ac:dyDescent="0.3">
      <c r="J440" s="6" t="str">
        <f t="shared" si="24"/>
        <v/>
      </c>
      <c r="L440" s="7" t="str">
        <f t="shared" ca="1" si="25"/>
        <v/>
      </c>
      <c r="M440" s="4" t="str">
        <f>IF($I440="Complete","Green",IF($H440="","Amber",IF($H440&lt;'[2]Read Me'!$B$4,"Red",IF($H440-'[2]Read Me'!$B$4&lt;=21,"Amber","Green"))))</f>
        <v>Amber</v>
      </c>
    </row>
    <row r="441" spans="10:13" x14ac:dyDescent="0.3">
      <c r="J441" s="6" t="str">
        <f t="shared" si="24"/>
        <v/>
      </c>
      <c r="L441" s="7" t="str">
        <f t="shared" ca="1" si="25"/>
        <v/>
      </c>
      <c r="M441" s="4" t="str">
        <f>IF($I441="Complete","Green",IF($H441="","Amber",IF($H441&lt;'[2]Read Me'!$B$4,"Red",IF($H441-'[2]Read Me'!$B$4&lt;=21,"Amber","Green"))))</f>
        <v>Amber</v>
      </c>
    </row>
    <row r="442" spans="10:13" x14ac:dyDescent="0.3">
      <c r="J442" s="6" t="str">
        <f t="shared" si="24"/>
        <v/>
      </c>
      <c r="L442" s="7" t="str">
        <f t="shared" ca="1" si="25"/>
        <v/>
      </c>
      <c r="M442" s="4" t="str">
        <f>IF($I442="Complete","Green",IF($H442="","Amber",IF($H442&lt;'[2]Read Me'!$B$4,"Red",IF($H442-'[2]Read Me'!$B$4&lt;=21,"Amber","Green"))))</f>
        <v>Amber</v>
      </c>
    </row>
    <row r="443" spans="10:13" x14ac:dyDescent="0.3">
      <c r="J443" s="6" t="str">
        <f t="shared" si="24"/>
        <v/>
      </c>
      <c r="L443" s="7" t="str">
        <f t="shared" ca="1" si="25"/>
        <v/>
      </c>
      <c r="M443" s="4" t="str">
        <f>IF($I443="Complete","Green",IF($H443="","Amber",IF($H443&lt;'[2]Read Me'!$B$4,"Red",IF($H443-'[2]Read Me'!$B$4&lt;=21,"Amber","Green"))))</f>
        <v>Amber</v>
      </c>
    </row>
    <row r="444" spans="10:13" x14ac:dyDescent="0.3">
      <c r="J444" s="6" t="str">
        <f t="shared" si="24"/>
        <v/>
      </c>
      <c r="L444" s="7" t="str">
        <f t="shared" ca="1" si="25"/>
        <v/>
      </c>
      <c r="M444" s="4" t="str">
        <f>IF($I444="Complete","Green",IF($H444="","Amber",IF($H444&lt;'[2]Read Me'!$B$4,"Red",IF($H444-'[2]Read Me'!$B$4&lt;=21,"Amber","Green"))))</f>
        <v>Amber</v>
      </c>
    </row>
    <row r="445" spans="10:13" x14ac:dyDescent="0.3">
      <c r="J445" s="6" t="str">
        <f t="shared" si="24"/>
        <v/>
      </c>
      <c r="L445" s="7" t="str">
        <f t="shared" ca="1" si="25"/>
        <v/>
      </c>
      <c r="M445" s="4" t="str">
        <f>IF($I445="Complete","Green",IF($H445="","Amber",IF($H445&lt;'[2]Read Me'!$B$4,"Red",IF($H445-'[2]Read Me'!$B$4&lt;=21,"Amber","Green"))))</f>
        <v>Amber</v>
      </c>
    </row>
    <row r="446" spans="10:13" x14ac:dyDescent="0.3">
      <c r="J446" s="6" t="str">
        <f t="shared" si="24"/>
        <v/>
      </c>
      <c r="L446" s="7" t="str">
        <f t="shared" ca="1" si="25"/>
        <v/>
      </c>
      <c r="M446" s="4" t="str">
        <f>IF($I446="Complete","Green",IF($H446="","Amber",IF($H446&lt;'[2]Read Me'!$B$4,"Red",IF($H446-'[2]Read Me'!$B$4&lt;=21,"Amber","Green"))))</f>
        <v>Amber</v>
      </c>
    </row>
    <row r="447" spans="10:13" x14ac:dyDescent="0.3">
      <c r="J447" s="6" t="str">
        <f t="shared" si="24"/>
        <v/>
      </c>
      <c r="L447" s="7" t="str">
        <f t="shared" ca="1" si="25"/>
        <v/>
      </c>
      <c r="M447" s="4" t="str">
        <f>IF($I447="Complete","Green",IF($H447="","Amber",IF($H447&lt;'[2]Read Me'!$B$4,"Red",IF($H447-'[2]Read Me'!$B$4&lt;=21,"Amber","Green"))))</f>
        <v>Amber</v>
      </c>
    </row>
    <row r="448" spans="10:13" x14ac:dyDescent="0.3">
      <c r="J448" s="6" t="str">
        <f t="shared" si="24"/>
        <v/>
      </c>
      <c r="L448" s="7" t="str">
        <f t="shared" ca="1" si="25"/>
        <v/>
      </c>
      <c r="M448" s="4" t="str">
        <f>IF($I448="Complete","Green",IF($H448="","Amber",IF($H448&lt;'[2]Read Me'!$B$4,"Red",IF($H448-'[2]Read Me'!$B$4&lt;=21,"Amber","Green"))))</f>
        <v>Amber</v>
      </c>
    </row>
    <row r="449" spans="10:13" x14ac:dyDescent="0.3">
      <c r="J449" s="6" t="str">
        <f t="shared" si="24"/>
        <v/>
      </c>
      <c r="L449" s="7" t="str">
        <f t="shared" ca="1" si="25"/>
        <v/>
      </c>
      <c r="M449" s="4" t="str">
        <f>IF($I449="Complete","Green",IF($H449="","Amber",IF($H449&lt;'[2]Read Me'!$B$4,"Red",IF($H449-'[2]Read Me'!$B$4&lt;=21,"Amber","Green"))))</f>
        <v>Amber</v>
      </c>
    </row>
    <row r="450" spans="10:13" x14ac:dyDescent="0.3">
      <c r="J450" s="6" t="str">
        <f t="shared" si="24"/>
        <v/>
      </c>
      <c r="L450" s="7" t="str">
        <f t="shared" ca="1" si="25"/>
        <v/>
      </c>
      <c r="M450" s="4" t="str">
        <f>IF($I450="Complete","Green",IF($H450="","Amber",IF($H450&lt;'[2]Read Me'!$B$4,"Red",IF($H450-'[2]Read Me'!$B$4&lt;=21,"Amber","Green"))))</f>
        <v>Amber</v>
      </c>
    </row>
    <row r="451" spans="10:13" x14ac:dyDescent="0.3">
      <c r="J451" s="6" t="str">
        <f t="shared" si="24"/>
        <v/>
      </c>
      <c r="L451" s="7" t="str">
        <f t="shared" ca="1" si="25"/>
        <v/>
      </c>
      <c r="M451" s="4" t="str">
        <f>IF($I451="Complete","Green",IF($H451="","Amber",IF($H451&lt;'[2]Read Me'!$B$4,"Red",IF($H451-'[2]Read Me'!$B$4&lt;=21,"Amber","Green"))))</f>
        <v>Amber</v>
      </c>
    </row>
    <row r="452" spans="10:13" x14ac:dyDescent="0.3">
      <c r="J452" s="6" t="str">
        <f t="shared" ref="J452:J515" si="26">IF(OR($G452="",$H452=""),"",$H452-$G452)</f>
        <v/>
      </c>
      <c r="L452" s="7" t="str">
        <f t="shared" ca="1" si="25"/>
        <v/>
      </c>
      <c r="M452" s="4" t="str">
        <f>IF($I452="Complete","Green",IF($H452="","Amber",IF($H452&lt;'[2]Read Me'!$B$4,"Red",IF($H452-'[2]Read Me'!$B$4&lt;=21,"Amber","Green"))))</f>
        <v>Amber</v>
      </c>
    </row>
    <row r="453" spans="10:13" x14ac:dyDescent="0.3">
      <c r="J453" s="6" t="str">
        <f t="shared" si="26"/>
        <v/>
      </c>
      <c r="L453" s="7" t="str">
        <f t="shared" ref="L453:L516" ca="1" si="27">IF(I453="Completed",0,IF(H453="","",H453-TODAY()))</f>
        <v/>
      </c>
      <c r="M453" s="4" t="str">
        <f>IF($I453="Complete","Green",IF($H453="","Amber",IF($H453&lt;'[2]Read Me'!$B$4,"Red",IF($H453-'[2]Read Me'!$B$4&lt;=21,"Amber","Green"))))</f>
        <v>Amber</v>
      </c>
    </row>
    <row r="454" spans="10:13" x14ac:dyDescent="0.3">
      <c r="J454" s="6" t="str">
        <f t="shared" si="26"/>
        <v/>
      </c>
      <c r="L454" s="7" t="str">
        <f t="shared" ca="1" si="27"/>
        <v/>
      </c>
      <c r="M454" s="4" t="str">
        <f>IF($I454="Complete","Green",IF($H454="","Amber",IF($H454&lt;'[2]Read Me'!$B$4,"Red",IF($H454-'[2]Read Me'!$B$4&lt;=21,"Amber","Green"))))</f>
        <v>Amber</v>
      </c>
    </row>
    <row r="455" spans="10:13" x14ac:dyDescent="0.3">
      <c r="J455" s="6" t="str">
        <f t="shared" si="26"/>
        <v/>
      </c>
      <c r="L455" s="7" t="str">
        <f t="shared" ca="1" si="27"/>
        <v/>
      </c>
      <c r="M455" s="4" t="str">
        <f>IF($I455="Complete","Green",IF($H455="","Amber",IF($H455&lt;'[2]Read Me'!$B$4,"Red",IF($H455-'[2]Read Me'!$B$4&lt;=21,"Amber","Green"))))</f>
        <v>Amber</v>
      </c>
    </row>
    <row r="456" spans="10:13" x14ac:dyDescent="0.3">
      <c r="J456" s="6" t="str">
        <f t="shared" si="26"/>
        <v/>
      </c>
      <c r="L456" s="7" t="str">
        <f t="shared" ca="1" si="27"/>
        <v/>
      </c>
      <c r="M456" s="4" t="str">
        <f>IF($I456="Complete","Green",IF($H456="","Amber",IF($H456&lt;'[2]Read Me'!$B$4,"Red",IF($H456-'[2]Read Me'!$B$4&lt;=21,"Amber","Green"))))</f>
        <v>Amber</v>
      </c>
    </row>
    <row r="457" spans="10:13" x14ac:dyDescent="0.3">
      <c r="J457" s="6" t="str">
        <f t="shared" si="26"/>
        <v/>
      </c>
      <c r="L457" s="7" t="str">
        <f t="shared" ca="1" si="27"/>
        <v/>
      </c>
      <c r="M457" s="4" t="str">
        <f>IF($I457="Complete","Green",IF($H457="","Amber",IF($H457&lt;'[2]Read Me'!$B$4,"Red",IF($H457-'[2]Read Me'!$B$4&lt;=21,"Amber","Green"))))</f>
        <v>Amber</v>
      </c>
    </row>
    <row r="458" spans="10:13" x14ac:dyDescent="0.3">
      <c r="J458" s="6" t="str">
        <f t="shared" si="26"/>
        <v/>
      </c>
      <c r="L458" s="7" t="str">
        <f t="shared" ca="1" si="27"/>
        <v/>
      </c>
      <c r="M458" s="4" t="str">
        <f>IF($I458="Complete","Green",IF($H458="","Amber",IF($H458&lt;'[2]Read Me'!$B$4,"Red",IF($H458-'[2]Read Me'!$B$4&lt;=21,"Amber","Green"))))</f>
        <v>Amber</v>
      </c>
    </row>
    <row r="459" spans="10:13" x14ac:dyDescent="0.3">
      <c r="J459" s="6" t="str">
        <f t="shared" si="26"/>
        <v/>
      </c>
      <c r="L459" s="7" t="str">
        <f t="shared" ca="1" si="27"/>
        <v/>
      </c>
      <c r="M459" s="4" t="str">
        <f>IF($I459="Complete","Green",IF($H459="","Amber",IF($H459&lt;'[2]Read Me'!$B$4,"Red",IF($H459-'[2]Read Me'!$B$4&lt;=21,"Amber","Green"))))</f>
        <v>Amber</v>
      </c>
    </row>
    <row r="460" spans="10:13" x14ac:dyDescent="0.3">
      <c r="J460" s="6" t="str">
        <f t="shared" si="26"/>
        <v/>
      </c>
      <c r="L460" s="7" t="str">
        <f t="shared" ca="1" si="27"/>
        <v/>
      </c>
      <c r="M460" s="4" t="str">
        <f>IF($I460="Complete","Green",IF($H460="","Amber",IF($H460&lt;'[2]Read Me'!$B$4,"Red",IF($H460-'[2]Read Me'!$B$4&lt;=21,"Amber","Green"))))</f>
        <v>Amber</v>
      </c>
    </row>
    <row r="461" spans="10:13" x14ac:dyDescent="0.3">
      <c r="J461" s="6" t="str">
        <f t="shared" si="26"/>
        <v/>
      </c>
      <c r="L461" s="7" t="str">
        <f t="shared" ca="1" si="27"/>
        <v/>
      </c>
      <c r="M461" s="4" t="str">
        <f>IF($I461="Complete","Green",IF($H461="","Amber",IF($H461&lt;'[2]Read Me'!$B$4,"Red",IF($H461-'[2]Read Me'!$B$4&lt;=21,"Amber","Green"))))</f>
        <v>Amber</v>
      </c>
    </row>
    <row r="462" spans="10:13" x14ac:dyDescent="0.3">
      <c r="J462" s="6" t="str">
        <f t="shared" si="26"/>
        <v/>
      </c>
      <c r="L462" s="7" t="str">
        <f t="shared" ca="1" si="27"/>
        <v/>
      </c>
      <c r="M462" s="4" t="str">
        <f>IF($I462="Complete","Green",IF($H462="","Amber",IF($H462&lt;'[2]Read Me'!$B$4,"Red",IF($H462-'[2]Read Me'!$B$4&lt;=21,"Amber","Green"))))</f>
        <v>Amber</v>
      </c>
    </row>
    <row r="463" spans="10:13" x14ac:dyDescent="0.3">
      <c r="J463" s="6" t="str">
        <f t="shared" si="26"/>
        <v/>
      </c>
      <c r="L463" s="7" t="str">
        <f t="shared" ca="1" si="27"/>
        <v/>
      </c>
      <c r="M463" s="4" t="str">
        <f>IF($I463="Complete","Green",IF($H463="","Amber",IF($H463&lt;'[2]Read Me'!$B$4,"Red",IF($H463-'[2]Read Me'!$B$4&lt;=21,"Amber","Green"))))</f>
        <v>Amber</v>
      </c>
    </row>
    <row r="464" spans="10:13" x14ac:dyDescent="0.3">
      <c r="J464" s="6" t="str">
        <f t="shared" si="26"/>
        <v/>
      </c>
      <c r="L464" s="7" t="str">
        <f t="shared" ca="1" si="27"/>
        <v/>
      </c>
      <c r="M464" s="4" t="str">
        <f>IF($I464="Complete","Green",IF($H464="","Amber",IF($H464&lt;'[2]Read Me'!$B$4,"Red",IF($H464-'[2]Read Me'!$B$4&lt;=21,"Amber","Green"))))</f>
        <v>Amber</v>
      </c>
    </row>
    <row r="465" spans="10:13" x14ac:dyDescent="0.3">
      <c r="J465" s="6" t="str">
        <f t="shared" si="26"/>
        <v/>
      </c>
      <c r="L465" s="7" t="str">
        <f t="shared" ca="1" si="27"/>
        <v/>
      </c>
      <c r="M465" s="4" t="str">
        <f>IF($I465="Complete","Green",IF($H465="","Amber",IF($H465&lt;'[2]Read Me'!$B$4,"Red",IF($H465-'[2]Read Me'!$B$4&lt;=21,"Amber","Green"))))</f>
        <v>Amber</v>
      </c>
    </row>
    <row r="466" spans="10:13" x14ac:dyDescent="0.3">
      <c r="J466" s="6" t="str">
        <f t="shared" si="26"/>
        <v/>
      </c>
      <c r="L466" s="7" t="str">
        <f t="shared" ca="1" si="27"/>
        <v/>
      </c>
      <c r="M466" s="4" t="str">
        <f>IF($I466="Complete","Green",IF($H466="","Amber",IF($H466&lt;'[2]Read Me'!$B$4,"Red",IF($H466-'[2]Read Me'!$B$4&lt;=21,"Amber","Green"))))</f>
        <v>Amber</v>
      </c>
    </row>
    <row r="467" spans="10:13" x14ac:dyDescent="0.3">
      <c r="J467" s="6" t="str">
        <f t="shared" si="26"/>
        <v/>
      </c>
      <c r="L467" s="7" t="str">
        <f t="shared" ca="1" si="27"/>
        <v/>
      </c>
      <c r="M467" s="4" t="str">
        <f>IF($I467="Complete","Green",IF($H467="","Amber",IF($H467&lt;'[2]Read Me'!$B$4,"Red",IF($H467-'[2]Read Me'!$B$4&lt;=21,"Amber","Green"))))</f>
        <v>Amber</v>
      </c>
    </row>
    <row r="468" spans="10:13" x14ac:dyDescent="0.3">
      <c r="J468" s="6" t="str">
        <f t="shared" si="26"/>
        <v/>
      </c>
      <c r="L468" s="7" t="str">
        <f t="shared" ca="1" si="27"/>
        <v/>
      </c>
      <c r="M468" s="4" t="str">
        <f>IF($I468="Complete","Green",IF($H468="","Amber",IF($H468&lt;'[2]Read Me'!$B$4,"Red",IF($H468-'[2]Read Me'!$B$4&lt;=21,"Amber","Green"))))</f>
        <v>Amber</v>
      </c>
    </row>
    <row r="469" spans="10:13" x14ac:dyDescent="0.3">
      <c r="J469" s="6" t="str">
        <f t="shared" si="26"/>
        <v/>
      </c>
      <c r="L469" s="7" t="str">
        <f t="shared" ca="1" si="27"/>
        <v/>
      </c>
      <c r="M469" s="4" t="str">
        <f>IF($I469="Complete","Green",IF($H469="","Amber",IF($H469&lt;'[2]Read Me'!$B$4,"Red",IF($H469-'[2]Read Me'!$B$4&lt;=21,"Amber","Green"))))</f>
        <v>Amber</v>
      </c>
    </row>
    <row r="470" spans="10:13" x14ac:dyDescent="0.3">
      <c r="J470" s="6" t="str">
        <f t="shared" si="26"/>
        <v/>
      </c>
      <c r="L470" s="7" t="str">
        <f t="shared" ca="1" si="27"/>
        <v/>
      </c>
      <c r="M470" s="4" t="str">
        <f>IF($I470="Complete","Green",IF($H470="","Amber",IF($H470&lt;'[2]Read Me'!$B$4,"Red",IF($H470-'[2]Read Me'!$B$4&lt;=21,"Amber","Green"))))</f>
        <v>Amber</v>
      </c>
    </row>
    <row r="471" spans="10:13" x14ac:dyDescent="0.3">
      <c r="J471" s="6" t="str">
        <f t="shared" si="26"/>
        <v/>
      </c>
      <c r="L471" s="7" t="str">
        <f t="shared" ca="1" si="27"/>
        <v/>
      </c>
      <c r="M471" s="4" t="str">
        <f>IF($I471="Complete","Green",IF($H471="","Amber",IF($H471&lt;'[2]Read Me'!$B$4,"Red",IF($H471-'[2]Read Me'!$B$4&lt;=21,"Amber","Green"))))</f>
        <v>Amber</v>
      </c>
    </row>
    <row r="472" spans="10:13" x14ac:dyDescent="0.3">
      <c r="J472" s="6" t="str">
        <f t="shared" si="26"/>
        <v/>
      </c>
      <c r="L472" s="7" t="str">
        <f t="shared" ca="1" si="27"/>
        <v/>
      </c>
      <c r="M472" s="4" t="str">
        <f>IF($I472="Complete","Green",IF($H472="","Amber",IF($H472&lt;'[2]Read Me'!$B$4,"Red",IF($H472-'[2]Read Me'!$B$4&lt;=21,"Amber","Green"))))</f>
        <v>Amber</v>
      </c>
    </row>
    <row r="473" spans="10:13" x14ac:dyDescent="0.3">
      <c r="J473" s="6" t="str">
        <f t="shared" si="26"/>
        <v/>
      </c>
      <c r="L473" s="7" t="str">
        <f t="shared" ca="1" si="27"/>
        <v/>
      </c>
      <c r="M473" s="4" t="str">
        <f>IF($I473="Complete","Green",IF($H473="","Amber",IF($H473&lt;'[2]Read Me'!$B$4,"Red",IF($H473-'[2]Read Me'!$B$4&lt;=21,"Amber","Green"))))</f>
        <v>Amber</v>
      </c>
    </row>
    <row r="474" spans="10:13" x14ac:dyDescent="0.3">
      <c r="J474" s="6" t="str">
        <f t="shared" si="26"/>
        <v/>
      </c>
      <c r="L474" s="7" t="str">
        <f t="shared" ca="1" si="27"/>
        <v/>
      </c>
      <c r="M474" s="4" t="str">
        <f>IF($I474="Complete","Green",IF($H474="","Amber",IF($H474&lt;'[2]Read Me'!$B$4,"Red",IF($H474-'[2]Read Me'!$B$4&lt;=21,"Amber","Green"))))</f>
        <v>Amber</v>
      </c>
    </row>
    <row r="475" spans="10:13" x14ac:dyDescent="0.3">
      <c r="J475" s="6" t="str">
        <f t="shared" si="26"/>
        <v/>
      </c>
      <c r="L475" s="7" t="str">
        <f t="shared" ca="1" si="27"/>
        <v/>
      </c>
      <c r="M475" s="4" t="str">
        <f>IF($I475="Complete","Green",IF($H475="","Amber",IF($H475&lt;'[2]Read Me'!$B$4,"Red",IF($H475-'[2]Read Me'!$B$4&lt;=21,"Amber","Green"))))</f>
        <v>Amber</v>
      </c>
    </row>
    <row r="476" spans="10:13" x14ac:dyDescent="0.3">
      <c r="J476" s="6" t="str">
        <f t="shared" si="26"/>
        <v/>
      </c>
      <c r="L476" s="7" t="str">
        <f t="shared" ca="1" si="27"/>
        <v/>
      </c>
      <c r="M476" s="4" t="str">
        <f>IF($I476="Complete","Green",IF($H476="","Amber",IF($H476&lt;'[2]Read Me'!$B$4,"Red",IF($H476-'[2]Read Me'!$B$4&lt;=21,"Amber","Green"))))</f>
        <v>Amber</v>
      </c>
    </row>
    <row r="477" spans="10:13" x14ac:dyDescent="0.3">
      <c r="J477" s="6" t="str">
        <f t="shared" si="26"/>
        <v/>
      </c>
      <c r="L477" s="7" t="str">
        <f t="shared" ca="1" si="27"/>
        <v/>
      </c>
      <c r="M477" s="4" t="str">
        <f>IF($I477="Complete","Green",IF($H477="","Amber",IF($H477&lt;'[2]Read Me'!$B$4,"Red",IF($H477-'[2]Read Me'!$B$4&lt;=21,"Amber","Green"))))</f>
        <v>Amber</v>
      </c>
    </row>
    <row r="478" spans="10:13" x14ac:dyDescent="0.3">
      <c r="J478" s="6" t="str">
        <f t="shared" si="26"/>
        <v/>
      </c>
      <c r="L478" s="7" t="str">
        <f t="shared" ca="1" si="27"/>
        <v/>
      </c>
      <c r="M478" s="4" t="str">
        <f>IF($I478="Complete","Green",IF($H478="","Amber",IF($H478&lt;'[2]Read Me'!$B$4,"Red",IF($H478-'[2]Read Me'!$B$4&lt;=21,"Amber","Green"))))</f>
        <v>Amber</v>
      </c>
    </row>
    <row r="479" spans="10:13" x14ac:dyDescent="0.3">
      <c r="J479" s="6" t="str">
        <f t="shared" si="26"/>
        <v/>
      </c>
      <c r="L479" s="7" t="str">
        <f t="shared" ca="1" si="27"/>
        <v/>
      </c>
      <c r="M479" s="4" t="str">
        <f>IF($I479="Complete","Green",IF($H479="","Amber",IF($H479&lt;'[2]Read Me'!$B$4,"Red",IF($H479-'[2]Read Me'!$B$4&lt;=21,"Amber","Green"))))</f>
        <v>Amber</v>
      </c>
    </row>
    <row r="480" spans="10:13" x14ac:dyDescent="0.3">
      <c r="J480" s="6" t="str">
        <f t="shared" si="26"/>
        <v/>
      </c>
      <c r="L480" s="7" t="str">
        <f t="shared" ca="1" si="27"/>
        <v/>
      </c>
      <c r="M480" s="4" t="str">
        <f>IF($I480="Complete","Green",IF($H480="","Amber",IF($H480&lt;'[2]Read Me'!$B$4,"Red",IF($H480-'[2]Read Me'!$B$4&lt;=21,"Amber","Green"))))</f>
        <v>Amber</v>
      </c>
    </row>
    <row r="481" spans="10:13" x14ac:dyDescent="0.3">
      <c r="J481" s="6" t="str">
        <f t="shared" si="26"/>
        <v/>
      </c>
      <c r="L481" s="7" t="str">
        <f t="shared" ca="1" si="27"/>
        <v/>
      </c>
      <c r="M481" s="4" t="str">
        <f>IF($I481="Complete","Green",IF($H481="","Amber",IF($H481&lt;'[2]Read Me'!$B$4,"Red",IF($H481-'[2]Read Me'!$B$4&lt;=21,"Amber","Green"))))</f>
        <v>Amber</v>
      </c>
    </row>
    <row r="482" spans="10:13" x14ac:dyDescent="0.3">
      <c r="J482" s="6" t="str">
        <f t="shared" si="26"/>
        <v/>
      </c>
      <c r="L482" s="7" t="str">
        <f t="shared" ca="1" si="27"/>
        <v/>
      </c>
      <c r="M482" s="4" t="str">
        <f>IF($I482="Complete","Green",IF($H482="","Amber",IF($H482&lt;'[2]Read Me'!$B$4,"Red",IF($H482-'[2]Read Me'!$B$4&lt;=21,"Amber","Green"))))</f>
        <v>Amber</v>
      </c>
    </row>
    <row r="483" spans="10:13" x14ac:dyDescent="0.3">
      <c r="J483" s="6" t="str">
        <f t="shared" si="26"/>
        <v/>
      </c>
      <c r="L483" s="7" t="str">
        <f t="shared" ca="1" si="27"/>
        <v/>
      </c>
      <c r="M483" s="4" t="str">
        <f>IF($I483="Complete","Green",IF($H483="","Amber",IF($H483&lt;'[2]Read Me'!$B$4,"Red",IF($H483-'[2]Read Me'!$B$4&lt;=21,"Amber","Green"))))</f>
        <v>Amber</v>
      </c>
    </row>
    <row r="484" spans="10:13" x14ac:dyDescent="0.3">
      <c r="J484" s="6" t="str">
        <f t="shared" si="26"/>
        <v/>
      </c>
      <c r="L484" s="7" t="str">
        <f t="shared" ca="1" si="27"/>
        <v/>
      </c>
      <c r="M484" s="4" t="str">
        <f>IF($I484="Complete","Green",IF($H484="","Amber",IF($H484&lt;'[2]Read Me'!$B$4,"Red",IF($H484-'[2]Read Me'!$B$4&lt;=21,"Amber","Green"))))</f>
        <v>Amber</v>
      </c>
    </row>
    <row r="485" spans="10:13" x14ac:dyDescent="0.3">
      <c r="J485" s="6" t="str">
        <f t="shared" si="26"/>
        <v/>
      </c>
      <c r="L485" s="7" t="str">
        <f t="shared" ca="1" si="27"/>
        <v/>
      </c>
      <c r="M485" s="4" t="str">
        <f>IF($I485="Complete","Green",IF($H485="","Amber",IF($H485&lt;'[2]Read Me'!$B$4,"Red",IF($H485-'[2]Read Me'!$B$4&lt;=21,"Amber","Green"))))</f>
        <v>Amber</v>
      </c>
    </row>
    <row r="486" spans="10:13" x14ac:dyDescent="0.3">
      <c r="J486" s="6" t="str">
        <f t="shared" si="26"/>
        <v/>
      </c>
      <c r="L486" s="7" t="str">
        <f t="shared" ca="1" si="27"/>
        <v/>
      </c>
      <c r="M486" s="4" t="str">
        <f>IF($I486="Complete","Green",IF($H486="","Amber",IF($H486&lt;'[2]Read Me'!$B$4,"Red",IF($H486-'[2]Read Me'!$B$4&lt;=21,"Amber","Green"))))</f>
        <v>Amber</v>
      </c>
    </row>
    <row r="487" spans="10:13" x14ac:dyDescent="0.3">
      <c r="J487" s="6" t="str">
        <f t="shared" si="26"/>
        <v/>
      </c>
      <c r="L487" s="7" t="str">
        <f t="shared" ca="1" si="27"/>
        <v/>
      </c>
      <c r="M487" s="4" t="str">
        <f>IF($I487="Complete","Green",IF($H487="","Amber",IF($H487&lt;'[2]Read Me'!$B$4,"Red",IF($H487-'[2]Read Me'!$B$4&lt;=21,"Amber","Green"))))</f>
        <v>Amber</v>
      </c>
    </row>
    <row r="488" spans="10:13" x14ac:dyDescent="0.3">
      <c r="J488" s="6" t="str">
        <f t="shared" si="26"/>
        <v/>
      </c>
      <c r="L488" s="7" t="str">
        <f t="shared" ca="1" si="27"/>
        <v/>
      </c>
      <c r="M488" s="4" t="str">
        <f>IF($I488="Complete","Green",IF($H488="","Amber",IF($H488&lt;'[2]Read Me'!$B$4,"Red",IF($H488-'[2]Read Me'!$B$4&lt;=21,"Amber","Green"))))</f>
        <v>Amber</v>
      </c>
    </row>
    <row r="489" spans="10:13" x14ac:dyDescent="0.3">
      <c r="J489" s="6" t="str">
        <f t="shared" si="26"/>
        <v/>
      </c>
      <c r="L489" s="7" t="str">
        <f t="shared" ca="1" si="27"/>
        <v/>
      </c>
      <c r="M489" s="4" t="str">
        <f>IF($I489="Complete","Green",IF($H489="","Amber",IF($H489&lt;'[2]Read Me'!$B$4,"Red",IF($H489-'[2]Read Me'!$B$4&lt;=21,"Amber","Green"))))</f>
        <v>Amber</v>
      </c>
    </row>
    <row r="490" spans="10:13" x14ac:dyDescent="0.3">
      <c r="J490" s="6" t="str">
        <f t="shared" si="26"/>
        <v/>
      </c>
      <c r="L490" s="7" t="str">
        <f t="shared" ca="1" si="27"/>
        <v/>
      </c>
      <c r="M490" s="4" t="str">
        <f>IF($I490="Complete","Green",IF($H490="","Amber",IF($H490&lt;'[2]Read Me'!$B$4,"Red",IF($H490-'[2]Read Me'!$B$4&lt;=21,"Amber","Green"))))</f>
        <v>Amber</v>
      </c>
    </row>
    <row r="491" spans="10:13" x14ac:dyDescent="0.3">
      <c r="J491" s="6" t="str">
        <f t="shared" si="26"/>
        <v/>
      </c>
      <c r="L491" s="7" t="str">
        <f t="shared" ca="1" si="27"/>
        <v/>
      </c>
      <c r="M491" s="4" t="str">
        <f>IF($I491="Complete","Green",IF($H491="","Amber",IF($H491&lt;'[2]Read Me'!$B$4,"Red",IF($H491-'[2]Read Me'!$B$4&lt;=21,"Amber","Green"))))</f>
        <v>Amber</v>
      </c>
    </row>
    <row r="492" spans="10:13" x14ac:dyDescent="0.3">
      <c r="J492" s="6" t="str">
        <f t="shared" si="26"/>
        <v/>
      </c>
      <c r="L492" s="7" t="str">
        <f t="shared" ca="1" si="27"/>
        <v/>
      </c>
      <c r="M492" s="4" t="str">
        <f>IF($I492="Complete","Green",IF($H492="","Amber",IF($H492&lt;'[2]Read Me'!$B$4,"Red",IF($H492-'[2]Read Me'!$B$4&lt;=21,"Amber","Green"))))</f>
        <v>Amber</v>
      </c>
    </row>
    <row r="493" spans="10:13" x14ac:dyDescent="0.3">
      <c r="J493" s="6" t="str">
        <f t="shared" si="26"/>
        <v/>
      </c>
      <c r="L493" s="7" t="str">
        <f t="shared" ca="1" si="27"/>
        <v/>
      </c>
      <c r="M493" s="4" t="str">
        <f>IF($I493="Complete","Green",IF($H493="","Amber",IF($H493&lt;'[2]Read Me'!$B$4,"Red",IF($H493-'[2]Read Me'!$B$4&lt;=21,"Amber","Green"))))</f>
        <v>Amber</v>
      </c>
    </row>
    <row r="494" spans="10:13" x14ac:dyDescent="0.3">
      <c r="J494" s="6" t="str">
        <f t="shared" si="26"/>
        <v/>
      </c>
      <c r="L494" s="7" t="str">
        <f t="shared" ca="1" si="27"/>
        <v/>
      </c>
      <c r="M494" s="4" t="str">
        <f>IF($I494="Complete","Green",IF($H494="","Amber",IF($H494&lt;'[2]Read Me'!$B$4,"Red",IF($H494-'[2]Read Me'!$B$4&lt;=21,"Amber","Green"))))</f>
        <v>Amber</v>
      </c>
    </row>
    <row r="495" spans="10:13" x14ac:dyDescent="0.3">
      <c r="J495" s="6" t="str">
        <f t="shared" si="26"/>
        <v/>
      </c>
      <c r="L495" s="7" t="str">
        <f t="shared" ca="1" si="27"/>
        <v/>
      </c>
      <c r="M495" s="4" t="str">
        <f>IF($I495="Complete","Green",IF($H495="","Amber",IF($H495&lt;'[2]Read Me'!$B$4,"Red",IF($H495-'[2]Read Me'!$B$4&lt;=21,"Amber","Green"))))</f>
        <v>Amber</v>
      </c>
    </row>
    <row r="496" spans="10:13" x14ac:dyDescent="0.3">
      <c r="J496" s="6" t="str">
        <f t="shared" si="26"/>
        <v/>
      </c>
      <c r="L496" s="7" t="str">
        <f t="shared" ca="1" si="27"/>
        <v/>
      </c>
      <c r="M496" s="4" t="str">
        <f>IF($I496="Complete","Green",IF($H496="","Amber",IF($H496&lt;'[2]Read Me'!$B$4,"Red",IF($H496-'[2]Read Me'!$B$4&lt;=21,"Amber","Green"))))</f>
        <v>Amber</v>
      </c>
    </row>
    <row r="497" spans="10:13" x14ac:dyDescent="0.3">
      <c r="J497" s="6" t="str">
        <f t="shared" si="26"/>
        <v/>
      </c>
      <c r="L497" s="7" t="str">
        <f t="shared" ca="1" si="27"/>
        <v/>
      </c>
      <c r="M497" s="4" t="str">
        <f>IF($I497="Complete","Green",IF($H497="","Amber",IF($H497&lt;'[2]Read Me'!$B$4,"Red",IF($H497-'[2]Read Me'!$B$4&lt;=21,"Amber","Green"))))</f>
        <v>Amber</v>
      </c>
    </row>
    <row r="498" spans="10:13" x14ac:dyDescent="0.3">
      <c r="J498" s="6" t="str">
        <f t="shared" si="26"/>
        <v/>
      </c>
      <c r="L498" s="7" t="str">
        <f t="shared" ca="1" si="27"/>
        <v/>
      </c>
      <c r="M498" s="4" t="str">
        <f>IF($I498="Complete","Green",IF($H498="","Amber",IF($H498&lt;'[2]Read Me'!$B$4,"Red",IF($H498-'[2]Read Me'!$B$4&lt;=21,"Amber","Green"))))</f>
        <v>Amber</v>
      </c>
    </row>
    <row r="499" spans="10:13" x14ac:dyDescent="0.3">
      <c r="J499" s="6" t="str">
        <f t="shared" si="26"/>
        <v/>
      </c>
      <c r="L499" s="7" t="str">
        <f t="shared" ca="1" si="27"/>
        <v/>
      </c>
      <c r="M499" s="4" t="str">
        <f>IF($I499="Complete","Green",IF($H499="","Amber",IF($H499&lt;'[2]Read Me'!$B$4,"Red",IF($H499-'[2]Read Me'!$B$4&lt;=21,"Amber","Green"))))</f>
        <v>Amber</v>
      </c>
    </row>
    <row r="500" spans="10:13" x14ac:dyDescent="0.3">
      <c r="J500" s="6" t="str">
        <f t="shared" si="26"/>
        <v/>
      </c>
      <c r="L500" s="7" t="str">
        <f t="shared" ca="1" si="27"/>
        <v/>
      </c>
      <c r="M500" s="4" t="str">
        <f>IF($I500="Complete","Green",IF($H500="","Amber",IF($H500&lt;'[2]Read Me'!$B$4,"Red",IF($H500-'[2]Read Me'!$B$4&lt;=21,"Amber","Green"))))</f>
        <v>Amber</v>
      </c>
    </row>
    <row r="501" spans="10:13" x14ac:dyDescent="0.3">
      <c r="J501" s="6" t="str">
        <f t="shared" si="26"/>
        <v/>
      </c>
      <c r="L501" s="7" t="str">
        <f t="shared" ca="1" si="27"/>
        <v/>
      </c>
      <c r="M501" s="4" t="str">
        <f>IF($I501="Complete","Green",IF($H501="","Amber",IF($H501&lt;'[2]Read Me'!$B$4,"Red",IF($H501-'[2]Read Me'!$B$4&lt;=21,"Amber","Green"))))</f>
        <v>Amber</v>
      </c>
    </row>
    <row r="502" spans="10:13" x14ac:dyDescent="0.3">
      <c r="J502" s="6" t="str">
        <f t="shared" si="26"/>
        <v/>
      </c>
      <c r="L502" s="7" t="str">
        <f t="shared" ca="1" si="27"/>
        <v/>
      </c>
      <c r="M502" s="4" t="str">
        <f>IF($I502="Complete","Green",IF($H502="","Amber",IF($H502&lt;'[2]Read Me'!$B$4,"Red",IF($H502-'[2]Read Me'!$B$4&lt;=21,"Amber","Green"))))</f>
        <v>Amber</v>
      </c>
    </row>
    <row r="503" spans="10:13" x14ac:dyDescent="0.3">
      <c r="J503" s="6" t="str">
        <f t="shared" si="26"/>
        <v/>
      </c>
      <c r="L503" s="7" t="str">
        <f t="shared" ca="1" si="27"/>
        <v/>
      </c>
      <c r="M503" s="4" t="str">
        <f>IF($I503="Complete","Green",IF($H503="","Amber",IF($H503&lt;'[2]Read Me'!$B$4,"Red",IF($H503-'[2]Read Me'!$B$4&lt;=21,"Amber","Green"))))</f>
        <v>Amber</v>
      </c>
    </row>
    <row r="504" spans="10:13" x14ac:dyDescent="0.3">
      <c r="J504" s="6" t="str">
        <f t="shared" si="26"/>
        <v/>
      </c>
      <c r="L504" s="7" t="str">
        <f t="shared" ca="1" si="27"/>
        <v/>
      </c>
      <c r="M504" s="4" t="str">
        <f>IF($I504="Complete","Green",IF($H504="","Amber",IF($H504&lt;'[2]Read Me'!$B$4,"Red",IF($H504-'[2]Read Me'!$B$4&lt;=21,"Amber","Green"))))</f>
        <v>Amber</v>
      </c>
    </row>
    <row r="505" spans="10:13" x14ac:dyDescent="0.3">
      <c r="J505" s="6" t="str">
        <f t="shared" si="26"/>
        <v/>
      </c>
      <c r="L505" s="7" t="str">
        <f t="shared" ca="1" si="27"/>
        <v/>
      </c>
      <c r="M505" s="4" t="str">
        <f>IF($I505="Complete","Green",IF($H505="","Amber",IF($H505&lt;'[2]Read Me'!$B$4,"Red",IF($H505-'[2]Read Me'!$B$4&lt;=21,"Amber","Green"))))</f>
        <v>Amber</v>
      </c>
    </row>
    <row r="506" spans="10:13" x14ac:dyDescent="0.3">
      <c r="J506" s="6" t="str">
        <f t="shared" si="26"/>
        <v/>
      </c>
      <c r="L506" s="7" t="str">
        <f t="shared" ca="1" si="27"/>
        <v/>
      </c>
      <c r="M506" s="4" t="str">
        <f>IF($I506="Complete","Green",IF($H506="","Amber",IF($H506&lt;'[2]Read Me'!$B$4,"Red",IF($H506-'[2]Read Me'!$B$4&lt;=21,"Amber","Green"))))</f>
        <v>Amber</v>
      </c>
    </row>
    <row r="507" spans="10:13" x14ac:dyDescent="0.3">
      <c r="J507" s="6" t="str">
        <f t="shared" si="26"/>
        <v/>
      </c>
      <c r="L507" s="7" t="str">
        <f t="shared" ca="1" si="27"/>
        <v/>
      </c>
      <c r="M507" s="4" t="str">
        <f>IF($I507="Complete","Green",IF($H507="","Amber",IF($H507&lt;'[2]Read Me'!$B$4,"Red",IF($H507-'[2]Read Me'!$B$4&lt;=21,"Amber","Green"))))</f>
        <v>Amber</v>
      </c>
    </row>
    <row r="508" spans="10:13" x14ac:dyDescent="0.3">
      <c r="J508" s="6" t="str">
        <f t="shared" si="26"/>
        <v/>
      </c>
      <c r="L508" s="7" t="str">
        <f t="shared" ca="1" si="27"/>
        <v/>
      </c>
      <c r="M508" s="4" t="str">
        <f>IF($I508="Complete","Green",IF($H508="","Amber",IF($H508&lt;'[2]Read Me'!$B$4,"Red",IF($H508-'[2]Read Me'!$B$4&lt;=21,"Amber","Green"))))</f>
        <v>Amber</v>
      </c>
    </row>
    <row r="509" spans="10:13" x14ac:dyDescent="0.3">
      <c r="J509" s="6" t="str">
        <f t="shared" si="26"/>
        <v/>
      </c>
      <c r="L509" s="7" t="str">
        <f t="shared" ca="1" si="27"/>
        <v/>
      </c>
      <c r="M509" s="4" t="str">
        <f>IF($I509="Complete","Green",IF($H509="","Amber",IF($H509&lt;'[2]Read Me'!$B$4,"Red",IF($H509-'[2]Read Me'!$B$4&lt;=21,"Amber","Green"))))</f>
        <v>Amber</v>
      </c>
    </row>
    <row r="510" spans="10:13" x14ac:dyDescent="0.3">
      <c r="J510" s="6" t="str">
        <f t="shared" si="26"/>
        <v/>
      </c>
      <c r="L510" s="7" t="str">
        <f t="shared" ca="1" si="27"/>
        <v/>
      </c>
      <c r="M510" s="4" t="str">
        <f>IF($I510="Complete","Green",IF($H510="","Amber",IF($H510&lt;'[2]Read Me'!$B$4,"Red",IF($H510-'[2]Read Me'!$B$4&lt;=21,"Amber","Green"))))</f>
        <v>Amber</v>
      </c>
    </row>
    <row r="511" spans="10:13" x14ac:dyDescent="0.3">
      <c r="J511" s="6" t="str">
        <f t="shared" si="26"/>
        <v/>
      </c>
      <c r="L511" s="7" t="str">
        <f t="shared" ca="1" si="27"/>
        <v/>
      </c>
      <c r="M511" s="4" t="str">
        <f>IF($I511="Complete","Green",IF($H511="","Amber",IF($H511&lt;'[2]Read Me'!$B$4,"Red",IF($H511-'[2]Read Me'!$B$4&lt;=21,"Amber","Green"))))</f>
        <v>Amber</v>
      </c>
    </row>
    <row r="512" spans="10:13" x14ac:dyDescent="0.3">
      <c r="J512" s="6" t="str">
        <f t="shared" si="26"/>
        <v/>
      </c>
      <c r="L512" s="7" t="str">
        <f t="shared" ca="1" si="27"/>
        <v/>
      </c>
      <c r="M512" s="4" t="str">
        <f>IF($I512="Complete","Green",IF($H512="","Amber",IF($H512&lt;'[2]Read Me'!$B$4,"Red",IF($H512-'[2]Read Me'!$B$4&lt;=21,"Amber","Green"))))</f>
        <v>Amber</v>
      </c>
    </row>
    <row r="513" spans="10:13" x14ac:dyDescent="0.3">
      <c r="J513" s="6" t="str">
        <f t="shared" si="26"/>
        <v/>
      </c>
      <c r="L513" s="7" t="str">
        <f t="shared" ca="1" si="27"/>
        <v/>
      </c>
      <c r="M513" s="4" t="str">
        <f>IF($I513="Complete","Green",IF($H513="","Amber",IF($H513&lt;'[2]Read Me'!$B$4,"Red",IF($H513-'[2]Read Me'!$B$4&lt;=21,"Amber","Green"))))</f>
        <v>Amber</v>
      </c>
    </row>
    <row r="514" spans="10:13" x14ac:dyDescent="0.3">
      <c r="J514" s="6" t="str">
        <f t="shared" si="26"/>
        <v/>
      </c>
      <c r="L514" s="7" t="str">
        <f t="shared" ca="1" si="27"/>
        <v/>
      </c>
      <c r="M514" s="4" t="str">
        <f>IF($I514="Complete","Green",IF($H514="","Amber",IF($H514&lt;'[2]Read Me'!$B$4,"Red",IF($H514-'[2]Read Me'!$B$4&lt;=21,"Amber","Green"))))</f>
        <v>Amber</v>
      </c>
    </row>
    <row r="515" spans="10:13" x14ac:dyDescent="0.3">
      <c r="J515" s="6" t="str">
        <f t="shared" si="26"/>
        <v/>
      </c>
      <c r="L515" s="7" t="str">
        <f t="shared" ca="1" si="27"/>
        <v/>
      </c>
      <c r="M515" s="4" t="str">
        <f>IF($I515="Complete","Green",IF($H515="","Amber",IF($H515&lt;'[2]Read Me'!$B$4,"Red",IF($H515-'[2]Read Me'!$B$4&lt;=21,"Amber","Green"))))</f>
        <v>Amber</v>
      </c>
    </row>
    <row r="516" spans="10:13" x14ac:dyDescent="0.3">
      <c r="J516" s="6" t="str">
        <f t="shared" ref="J516:J579" si="28">IF(OR($G516="",$H516=""),"",$H516-$G516)</f>
        <v/>
      </c>
      <c r="L516" s="7" t="str">
        <f t="shared" ca="1" si="27"/>
        <v/>
      </c>
      <c r="M516" s="4" t="str">
        <f>IF($I516="Complete","Green",IF($H516="","Amber",IF($H516&lt;'[2]Read Me'!$B$4,"Red",IF($H516-'[2]Read Me'!$B$4&lt;=21,"Amber","Green"))))</f>
        <v>Amber</v>
      </c>
    </row>
    <row r="517" spans="10:13" x14ac:dyDescent="0.3">
      <c r="J517" s="6" t="str">
        <f t="shared" si="28"/>
        <v/>
      </c>
      <c r="L517" s="7" t="str">
        <f t="shared" ref="L517:L580" ca="1" si="29">IF(I517="Completed",0,IF(H517="","",H517-TODAY()))</f>
        <v/>
      </c>
      <c r="M517" s="4" t="str">
        <f>IF($I517="Complete","Green",IF($H517="","Amber",IF($H517&lt;'[2]Read Me'!$B$4,"Red",IF($H517-'[2]Read Me'!$B$4&lt;=21,"Amber","Green"))))</f>
        <v>Amber</v>
      </c>
    </row>
    <row r="518" spans="10:13" x14ac:dyDescent="0.3">
      <c r="J518" s="6" t="str">
        <f t="shared" si="28"/>
        <v/>
      </c>
      <c r="L518" s="7" t="str">
        <f t="shared" ca="1" si="29"/>
        <v/>
      </c>
      <c r="M518" s="4" t="str">
        <f>IF($I518="Complete","Green",IF($H518="","Amber",IF($H518&lt;'[2]Read Me'!$B$4,"Red",IF($H518-'[2]Read Me'!$B$4&lt;=21,"Amber","Green"))))</f>
        <v>Amber</v>
      </c>
    </row>
    <row r="519" spans="10:13" x14ac:dyDescent="0.3">
      <c r="J519" s="6" t="str">
        <f t="shared" si="28"/>
        <v/>
      </c>
      <c r="L519" s="7" t="str">
        <f t="shared" ca="1" si="29"/>
        <v/>
      </c>
      <c r="M519" s="4" t="str">
        <f>IF($I519="Complete","Green",IF($H519="","Amber",IF($H519&lt;'[2]Read Me'!$B$4,"Red",IF($H519-'[2]Read Me'!$B$4&lt;=21,"Amber","Green"))))</f>
        <v>Amber</v>
      </c>
    </row>
    <row r="520" spans="10:13" x14ac:dyDescent="0.3">
      <c r="J520" s="6" t="str">
        <f t="shared" si="28"/>
        <v/>
      </c>
      <c r="L520" s="7" t="str">
        <f t="shared" ca="1" si="29"/>
        <v/>
      </c>
      <c r="M520" s="4" t="str">
        <f>IF($I520="Complete","Green",IF($H520="","Amber",IF($H520&lt;'[2]Read Me'!$B$4,"Red",IF($H520-'[2]Read Me'!$B$4&lt;=21,"Amber","Green"))))</f>
        <v>Amber</v>
      </c>
    </row>
    <row r="521" spans="10:13" x14ac:dyDescent="0.3">
      <c r="J521" s="6" t="str">
        <f t="shared" si="28"/>
        <v/>
      </c>
      <c r="L521" s="7" t="str">
        <f t="shared" ca="1" si="29"/>
        <v/>
      </c>
      <c r="M521" s="4" t="str">
        <f>IF($I521="Complete","Green",IF($H521="","Amber",IF($H521&lt;'[2]Read Me'!$B$4,"Red",IF($H521-'[2]Read Me'!$B$4&lt;=21,"Amber","Green"))))</f>
        <v>Amber</v>
      </c>
    </row>
    <row r="522" spans="10:13" x14ac:dyDescent="0.3">
      <c r="J522" s="6" t="str">
        <f t="shared" si="28"/>
        <v/>
      </c>
      <c r="L522" s="7" t="str">
        <f t="shared" ca="1" si="29"/>
        <v/>
      </c>
      <c r="M522" s="4" t="str">
        <f>IF($I522="Complete","Green",IF($H522="","Amber",IF($H522&lt;'[2]Read Me'!$B$4,"Red",IF($H522-'[2]Read Me'!$B$4&lt;=21,"Amber","Green"))))</f>
        <v>Amber</v>
      </c>
    </row>
    <row r="523" spans="10:13" x14ac:dyDescent="0.3">
      <c r="J523" s="6" t="str">
        <f t="shared" si="28"/>
        <v/>
      </c>
      <c r="L523" s="7" t="str">
        <f t="shared" ca="1" si="29"/>
        <v/>
      </c>
      <c r="M523" s="4" t="str">
        <f>IF($I523="Complete","Green",IF($H523="","Amber",IF($H523&lt;'[2]Read Me'!$B$4,"Red",IF($H523-'[2]Read Me'!$B$4&lt;=21,"Amber","Green"))))</f>
        <v>Amber</v>
      </c>
    </row>
    <row r="524" spans="10:13" x14ac:dyDescent="0.3">
      <c r="J524" s="6" t="str">
        <f t="shared" si="28"/>
        <v/>
      </c>
      <c r="L524" s="7" t="str">
        <f t="shared" ca="1" si="29"/>
        <v/>
      </c>
      <c r="M524" s="4" t="str">
        <f>IF($I524="Complete","Green",IF($H524="","Amber",IF($H524&lt;'[2]Read Me'!$B$4,"Red",IF($H524-'[2]Read Me'!$B$4&lt;=21,"Amber","Green"))))</f>
        <v>Amber</v>
      </c>
    </row>
    <row r="525" spans="10:13" x14ac:dyDescent="0.3">
      <c r="J525" s="6" t="str">
        <f t="shared" si="28"/>
        <v/>
      </c>
      <c r="L525" s="7" t="str">
        <f t="shared" ca="1" si="29"/>
        <v/>
      </c>
      <c r="M525" s="4" t="str">
        <f>IF($I525="Complete","Green",IF($H525="","Amber",IF($H525&lt;'[2]Read Me'!$B$4,"Red",IF($H525-'[2]Read Me'!$B$4&lt;=21,"Amber","Green"))))</f>
        <v>Amber</v>
      </c>
    </row>
    <row r="526" spans="10:13" x14ac:dyDescent="0.3">
      <c r="J526" s="6" t="str">
        <f t="shared" si="28"/>
        <v/>
      </c>
      <c r="L526" s="7" t="str">
        <f t="shared" ca="1" si="29"/>
        <v/>
      </c>
      <c r="M526" s="4" t="str">
        <f>IF($I526="Complete","Green",IF($H526="","Amber",IF($H526&lt;'[2]Read Me'!$B$4,"Red",IF($H526-'[2]Read Me'!$B$4&lt;=21,"Amber","Green"))))</f>
        <v>Amber</v>
      </c>
    </row>
    <row r="527" spans="10:13" x14ac:dyDescent="0.3">
      <c r="J527" s="6" t="str">
        <f t="shared" si="28"/>
        <v/>
      </c>
      <c r="L527" s="7" t="str">
        <f t="shared" ca="1" si="29"/>
        <v/>
      </c>
      <c r="M527" s="4" t="str">
        <f>IF($I527="Complete","Green",IF($H527="","Amber",IF($H527&lt;'[2]Read Me'!$B$4,"Red",IF($H527-'[2]Read Me'!$B$4&lt;=21,"Amber","Green"))))</f>
        <v>Amber</v>
      </c>
    </row>
    <row r="528" spans="10:13" x14ac:dyDescent="0.3">
      <c r="J528" s="6" t="str">
        <f t="shared" si="28"/>
        <v/>
      </c>
      <c r="L528" s="7" t="str">
        <f t="shared" ca="1" si="29"/>
        <v/>
      </c>
      <c r="M528" s="4" t="str">
        <f>IF($I528="Complete","Green",IF($H528="","Amber",IF($H528&lt;'[2]Read Me'!$B$4,"Red",IF($H528-'[2]Read Me'!$B$4&lt;=21,"Amber","Green"))))</f>
        <v>Amber</v>
      </c>
    </row>
    <row r="529" spans="10:13" x14ac:dyDescent="0.3">
      <c r="J529" s="6" t="str">
        <f t="shared" si="28"/>
        <v/>
      </c>
      <c r="L529" s="7" t="str">
        <f t="shared" ca="1" si="29"/>
        <v/>
      </c>
      <c r="M529" s="4" t="str">
        <f>IF($I529="Complete","Green",IF($H529="","Amber",IF($H529&lt;'[2]Read Me'!$B$4,"Red",IF($H529-'[2]Read Me'!$B$4&lt;=21,"Amber","Green"))))</f>
        <v>Amber</v>
      </c>
    </row>
    <row r="530" spans="10:13" x14ac:dyDescent="0.3">
      <c r="J530" s="6" t="str">
        <f t="shared" si="28"/>
        <v/>
      </c>
      <c r="L530" s="7" t="str">
        <f t="shared" ca="1" si="29"/>
        <v/>
      </c>
      <c r="M530" s="4" t="str">
        <f>IF($I530="Complete","Green",IF($H530="","Amber",IF($H530&lt;'[2]Read Me'!$B$4,"Red",IF($H530-'[2]Read Me'!$B$4&lt;=21,"Amber","Green"))))</f>
        <v>Amber</v>
      </c>
    </row>
    <row r="531" spans="10:13" x14ac:dyDescent="0.3">
      <c r="J531" s="6" t="str">
        <f t="shared" si="28"/>
        <v/>
      </c>
      <c r="L531" s="7" t="str">
        <f t="shared" ca="1" si="29"/>
        <v/>
      </c>
      <c r="M531" s="4" t="str">
        <f>IF($I531="Complete","Green",IF($H531="","Amber",IF($H531&lt;'[2]Read Me'!$B$4,"Red",IF($H531-'[2]Read Me'!$B$4&lt;=21,"Amber","Green"))))</f>
        <v>Amber</v>
      </c>
    </row>
    <row r="532" spans="10:13" x14ac:dyDescent="0.3">
      <c r="J532" s="6" t="str">
        <f t="shared" si="28"/>
        <v/>
      </c>
      <c r="L532" s="7" t="str">
        <f t="shared" ca="1" si="29"/>
        <v/>
      </c>
      <c r="M532" s="4" t="str">
        <f>IF($I532="Complete","Green",IF($H532="","Amber",IF($H532&lt;'[2]Read Me'!$B$4,"Red",IF($H532-'[2]Read Me'!$B$4&lt;=21,"Amber","Green"))))</f>
        <v>Amber</v>
      </c>
    </row>
    <row r="533" spans="10:13" x14ac:dyDescent="0.3">
      <c r="J533" s="6" t="str">
        <f t="shared" si="28"/>
        <v/>
      </c>
      <c r="L533" s="7" t="str">
        <f t="shared" ca="1" si="29"/>
        <v/>
      </c>
      <c r="M533" s="4" t="str">
        <f>IF($I533="Complete","Green",IF($H533="","Amber",IF($H533&lt;'[2]Read Me'!$B$4,"Red",IF($H533-'[2]Read Me'!$B$4&lt;=21,"Amber","Green"))))</f>
        <v>Amber</v>
      </c>
    </row>
    <row r="534" spans="10:13" x14ac:dyDescent="0.3">
      <c r="J534" s="6" t="str">
        <f t="shared" si="28"/>
        <v/>
      </c>
      <c r="L534" s="7" t="str">
        <f t="shared" ca="1" si="29"/>
        <v/>
      </c>
      <c r="M534" s="4" t="str">
        <f>IF($I534="Complete","Green",IF($H534="","Amber",IF($H534&lt;'[2]Read Me'!$B$4,"Red",IF($H534-'[2]Read Me'!$B$4&lt;=21,"Amber","Green"))))</f>
        <v>Amber</v>
      </c>
    </row>
    <row r="535" spans="10:13" x14ac:dyDescent="0.3">
      <c r="J535" s="6" t="str">
        <f t="shared" si="28"/>
        <v/>
      </c>
      <c r="L535" s="7" t="str">
        <f t="shared" ca="1" si="29"/>
        <v/>
      </c>
      <c r="M535" s="4" t="str">
        <f>IF($I535="Complete","Green",IF($H535="","Amber",IF($H535&lt;'[2]Read Me'!$B$4,"Red",IF($H535-'[2]Read Me'!$B$4&lt;=21,"Amber","Green"))))</f>
        <v>Amber</v>
      </c>
    </row>
    <row r="536" spans="10:13" x14ac:dyDescent="0.3">
      <c r="J536" s="6" t="str">
        <f t="shared" si="28"/>
        <v/>
      </c>
      <c r="L536" s="7" t="str">
        <f t="shared" ca="1" si="29"/>
        <v/>
      </c>
      <c r="M536" s="4" t="str">
        <f>IF($I536="Complete","Green",IF($H536="","Amber",IF($H536&lt;'[2]Read Me'!$B$4,"Red",IF($H536-'[2]Read Me'!$B$4&lt;=21,"Amber","Green"))))</f>
        <v>Amber</v>
      </c>
    </row>
    <row r="537" spans="10:13" x14ac:dyDescent="0.3">
      <c r="J537" s="6" t="str">
        <f t="shared" si="28"/>
        <v/>
      </c>
      <c r="L537" s="7" t="str">
        <f t="shared" ca="1" si="29"/>
        <v/>
      </c>
      <c r="M537" s="4" t="str">
        <f>IF($I537="Complete","Green",IF($H537="","Amber",IF($H537&lt;'[2]Read Me'!$B$4,"Red",IF($H537-'[2]Read Me'!$B$4&lt;=21,"Amber","Green"))))</f>
        <v>Amber</v>
      </c>
    </row>
    <row r="538" spans="10:13" x14ac:dyDescent="0.3">
      <c r="J538" s="6" t="str">
        <f t="shared" si="28"/>
        <v/>
      </c>
      <c r="L538" s="7" t="str">
        <f t="shared" ca="1" si="29"/>
        <v/>
      </c>
      <c r="M538" s="4" t="str">
        <f>IF($I538="Complete","Green",IF($H538="","Amber",IF($H538&lt;'[2]Read Me'!$B$4,"Red",IF($H538-'[2]Read Me'!$B$4&lt;=21,"Amber","Green"))))</f>
        <v>Amber</v>
      </c>
    </row>
    <row r="539" spans="10:13" x14ac:dyDescent="0.3">
      <c r="J539" s="6" t="str">
        <f t="shared" si="28"/>
        <v/>
      </c>
      <c r="L539" s="7" t="str">
        <f t="shared" ca="1" si="29"/>
        <v/>
      </c>
      <c r="M539" s="4" t="str">
        <f>IF($I539="Complete","Green",IF($H539="","Amber",IF($H539&lt;'[2]Read Me'!$B$4,"Red",IF($H539-'[2]Read Me'!$B$4&lt;=21,"Amber","Green"))))</f>
        <v>Amber</v>
      </c>
    </row>
    <row r="540" spans="10:13" x14ac:dyDescent="0.3">
      <c r="J540" s="6" t="str">
        <f t="shared" si="28"/>
        <v/>
      </c>
      <c r="L540" s="7" t="str">
        <f t="shared" ca="1" si="29"/>
        <v/>
      </c>
      <c r="M540" s="4" t="str">
        <f>IF($I540="Complete","Green",IF($H540="","Amber",IF($H540&lt;'[2]Read Me'!$B$4,"Red",IF($H540-'[2]Read Me'!$B$4&lt;=21,"Amber","Green"))))</f>
        <v>Amber</v>
      </c>
    </row>
    <row r="541" spans="10:13" x14ac:dyDescent="0.3">
      <c r="J541" s="6" t="str">
        <f t="shared" si="28"/>
        <v/>
      </c>
      <c r="L541" s="7" t="str">
        <f t="shared" ca="1" si="29"/>
        <v/>
      </c>
      <c r="M541" s="4" t="str">
        <f>IF($I541="Complete","Green",IF($H541="","Amber",IF($H541&lt;'[2]Read Me'!$B$4,"Red",IF($H541-'[2]Read Me'!$B$4&lt;=21,"Amber","Green"))))</f>
        <v>Amber</v>
      </c>
    </row>
    <row r="542" spans="10:13" x14ac:dyDescent="0.3">
      <c r="J542" s="6" t="str">
        <f t="shared" si="28"/>
        <v/>
      </c>
      <c r="L542" s="7" t="str">
        <f t="shared" ca="1" si="29"/>
        <v/>
      </c>
      <c r="M542" s="4" t="str">
        <f>IF($I542="Complete","Green",IF($H542="","Amber",IF($H542&lt;'[2]Read Me'!$B$4,"Red",IF($H542-'[2]Read Me'!$B$4&lt;=21,"Amber","Green"))))</f>
        <v>Amber</v>
      </c>
    </row>
    <row r="543" spans="10:13" x14ac:dyDescent="0.3">
      <c r="J543" s="6" t="str">
        <f t="shared" si="28"/>
        <v/>
      </c>
      <c r="L543" s="7" t="str">
        <f t="shared" ca="1" si="29"/>
        <v/>
      </c>
      <c r="M543" s="4" t="str">
        <f>IF($I543="Complete","Green",IF($H543="","Amber",IF($H543&lt;'[2]Read Me'!$B$4,"Red",IF($H543-'[2]Read Me'!$B$4&lt;=21,"Amber","Green"))))</f>
        <v>Amber</v>
      </c>
    </row>
    <row r="544" spans="10:13" x14ac:dyDescent="0.3">
      <c r="J544" s="6" t="str">
        <f t="shared" si="28"/>
        <v/>
      </c>
      <c r="L544" s="7" t="str">
        <f t="shared" ca="1" si="29"/>
        <v/>
      </c>
      <c r="M544" s="4" t="str">
        <f>IF($I544="Complete","Green",IF($H544="","Amber",IF($H544&lt;'[2]Read Me'!$B$4,"Red",IF($H544-'[2]Read Me'!$B$4&lt;=21,"Amber","Green"))))</f>
        <v>Amber</v>
      </c>
    </row>
    <row r="545" spans="10:13" x14ac:dyDescent="0.3">
      <c r="J545" s="6" t="str">
        <f t="shared" si="28"/>
        <v/>
      </c>
      <c r="L545" s="7" t="str">
        <f t="shared" ca="1" si="29"/>
        <v/>
      </c>
      <c r="M545" s="4" t="str">
        <f>IF($I545="Complete","Green",IF($H545="","Amber",IF($H545&lt;'[2]Read Me'!$B$4,"Red",IF($H545-'[2]Read Me'!$B$4&lt;=21,"Amber","Green"))))</f>
        <v>Amber</v>
      </c>
    </row>
    <row r="546" spans="10:13" x14ac:dyDescent="0.3">
      <c r="J546" s="6" t="str">
        <f t="shared" si="28"/>
        <v/>
      </c>
      <c r="L546" s="7" t="str">
        <f t="shared" ca="1" si="29"/>
        <v/>
      </c>
      <c r="M546" s="4" t="str">
        <f>IF($I546="Complete","Green",IF($H546="","Amber",IF($H546&lt;'[2]Read Me'!$B$4,"Red",IF($H546-'[2]Read Me'!$B$4&lt;=21,"Amber","Green"))))</f>
        <v>Amber</v>
      </c>
    </row>
    <row r="547" spans="10:13" x14ac:dyDescent="0.3">
      <c r="J547" s="6" t="str">
        <f t="shared" si="28"/>
        <v/>
      </c>
      <c r="L547" s="7" t="str">
        <f t="shared" ca="1" si="29"/>
        <v/>
      </c>
      <c r="M547" s="4" t="str">
        <f>IF($I547="Complete","Green",IF($H547="","Amber",IF($H547&lt;'[2]Read Me'!$B$4,"Red",IF($H547-'[2]Read Me'!$B$4&lt;=21,"Amber","Green"))))</f>
        <v>Amber</v>
      </c>
    </row>
    <row r="548" spans="10:13" x14ac:dyDescent="0.3">
      <c r="J548" s="6" t="str">
        <f t="shared" si="28"/>
        <v/>
      </c>
      <c r="L548" s="7" t="str">
        <f t="shared" ca="1" si="29"/>
        <v/>
      </c>
      <c r="M548" s="4" t="str">
        <f>IF($I548="Complete","Green",IF($H548="","Amber",IF($H548&lt;'[2]Read Me'!$B$4,"Red",IF($H548-'[2]Read Me'!$B$4&lt;=21,"Amber","Green"))))</f>
        <v>Amber</v>
      </c>
    </row>
    <row r="549" spans="10:13" x14ac:dyDescent="0.3">
      <c r="J549" s="6" t="str">
        <f t="shared" si="28"/>
        <v/>
      </c>
      <c r="L549" s="7" t="str">
        <f t="shared" ca="1" si="29"/>
        <v/>
      </c>
      <c r="M549" s="4" t="str">
        <f>IF($I549="Complete","Green",IF($H549="","Amber",IF($H549&lt;'[2]Read Me'!$B$4,"Red",IF($H549-'[2]Read Me'!$B$4&lt;=21,"Amber","Green"))))</f>
        <v>Amber</v>
      </c>
    </row>
    <row r="550" spans="10:13" x14ac:dyDescent="0.3">
      <c r="J550" s="6" t="str">
        <f t="shared" si="28"/>
        <v/>
      </c>
      <c r="L550" s="7" t="str">
        <f t="shared" ca="1" si="29"/>
        <v/>
      </c>
      <c r="M550" s="4" t="str">
        <f>IF($I550="Complete","Green",IF($H550="","Amber",IF($H550&lt;'[2]Read Me'!$B$4,"Red",IF($H550-'[2]Read Me'!$B$4&lt;=21,"Amber","Green"))))</f>
        <v>Amber</v>
      </c>
    </row>
    <row r="551" spans="10:13" x14ac:dyDescent="0.3">
      <c r="J551" s="6" t="str">
        <f t="shared" si="28"/>
        <v/>
      </c>
      <c r="L551" s="7" t="str">
        <f t="shared" ca="1" si="29"/>
        <v/>
      </c>
      <c r="M551" s="4" t="str">
        <f>IF($I551="Complete","Green",IF($H551="","Amber",IF($H551&lt;'[2]Read Me'!$B$4,"Red",IF($H551-'[2]Read Me'!$B$4&lt;=21,"Amber","Green"))))</f>
        <v>Amber</v>
      </c>
    </row>
    <row r="552" spans="10:13" x14ac:dyDescent="0.3">
      <c r="J552" s="6" t="str">
        <f t="shared" si="28"/>
        <v/>
      </c>
      <c r="L552" s="7" t="str">
        <f t="shared" ca="1" si="29"/>
        <v/>
      </c>
      <c r="M552" s="4" t="str">
        <f>IF($I552="Complete","Green",IF($H552="","Amber",IF($H552&lt;'[2]Read Me'!$B$4,"Red",IF($H552-'[2]Read Me'!$B$4&lt;=21,"Amber","Green"))))</f>
        <v>Amber</v>
      </c>
    </row>
    <row r="553" spans="10:13" x14ac:dyDescent="0.3">
      <c r="J553" s="6" t="str">
        <f t="shared" si="28"/>
        <v/>
      </c>
      <c r="L553" s="7" t="str">
        <f t="shared" ca="1" si="29"/>
        <v/>
      </c>
      <c r="M553" s="4" t="str">
        <f>IF($I553="Complete","Green",IF($H553="","Amber",IF($H553&lt;'[2]Read Me'!$B$4,"Red",IF($H553-'[2]Read Me'!$B$4&lt;=21,"Amber","Green"))))</f>
        <v>Amber</v>
      </c>
    </row>
    <row r="554" spans="10:13" x14ac:dyDescent="0.3">
      <c r="J554" s="6" t="str">
        <f t="shared" si="28"/>
        <v/>
      </c>
      <c r="L554" s="7" t="str">
        <f t="shared" ca="1" si="29"/>
        <v/>
      </c>
      <c r="M554" s="4" t="str">
        <f>IF($I554="Complete","Green",IF($H554="","Amber",IF($H554&lt;'[2]Read Me'!$B$4,"Red",IF($H554-'[2]Read Me'!$B$4&lt;=21,"Amber","Green"))))</f>
        <v>Amber</v>
      </c>
    </row>
    <row r="555" spans="10:13" x14ac:dyDescent="0.3">
      <c r="J555" s="6" t="str">
        <f t="shared" si="28"/>
        <v/>
      </c>
      <c r="L555" s="7" t="str">
        <f t="shared" ca="1" si="29"/>
        <v/>
      </c>
      <c r="M555" s="4" t="str">
        <f>IF($I555="Complete","Green",IF($H555="","Amber",IF($H555&lt;'[2]Read Me'!$B$4,"Red",IF($H555-'[2]Read Me'!$B$4&lt;=21,"Amber","Green"))))</f>
        <v>Amber</v>
      </c>
    </row>
    <row r="556" spans="10:13" x14ac:dyDescent="0.3">
      <c r="J556" s="6" t="str">
        <f t="shared" si="28"/>
        <v/>
      </c>
      <c r="L556" s="7" t="str">
        <f t="shared" ca="1" si="29"/>
        <v/>
      </c>
      <c r="M556" s="4" t="str">
        <f>IF($I556="Complete","Green",IF($H556="","Amber",IF($H556&lt;'[2]Read Me'!$B$4,"Red",IF($H556-'[2]Read Me'!$B$4&lt;=21,"Amber","Green"))))</f>
        <v>Amber</v>
      </c>
    </row>
    <row r="557" spans="10:13" x14ac:dyDescent="0.3">
      <c r="J557" s="6" t="str">
        <f t="shared" si="28"/>
        <v/>
      </c>
      <c r="L557" s="7" t="str">
        <f t="shared" ca="1" si="29"/>
        <v/>
      </c>
      <c r="M557" s="4" t="str">
        <f>IF($I557="Complete","Green",IF($H557="","Amber",IF($H557&lt;'[2]Read Me'!$B$4,"Red",IF($H557-'[2]Read Me'!$B$4&lt;=21,"Amber","Green"))))</f>
        <v>Amber</v>
      </c>
    </row>
    <row r="558" spans="10:13" x14ac:dyDescent="0.3">
      <c r="J558" s="6" t="str">
        <f t="shared" si="28"/>
        <v/>
      </c>
      <c r="L558" s="7" t="str">
        <f t="shared" ca="1" si="29"/>
        <v/>
      </c>
      <c r="M558" s="4" t="str">
        <f>IF($I558="Complete","Green",IF($H558="","Amber",IF($H558&lt;'[2]Read Me'!$B$4,"Red",IF($H558-'[2]Read Me'!$B$4&lt;=21,"Amber","Green"))))</f>
        <v>Amber</v>
      </c>
    </row>
    <row r="559" spans="10:13" x14ac:dyDescent="0.3">
      <c r="J559" s="6" t="str">
        <f t="shared" si="28"/>
        <v/>
      </c>
      <c r="L559" s="7" t="str">
        <f t="shared" ca="1" si="29"/>
        <v/>
      </c>
      <c r="M559" s="4" t="str">
        <f>IF($I559="Complete","Green",IF($H559="","Amber",IF($H559&lt;'[2]Read Me'!$B$4,"Red",IF($H559-'[2]Read Me'!$B$4&lt;=21,"Amber","Green"))))</f>
        <v>Amber</v>
      </c>
    </row>
    <row r="560" spans="10:13" x14ac:dyDescent="0.3">
      <c r="J560" s="6" t="str">
        <f t="shared" si="28"/>
        <v/>
      </c>
      <c r="L560" s="7" t="str">
        <f t="shared" ca="1" si="29"/>
        <v/>
      </c>
      <c r="M560" s="4" t="str">
        <f>IF($I560="Complete","Green",IF($H560="","Amber",IF($H560&lt;'[2]Read Me'!$B$4,"Red",IF($H560-'[2]Read Me'!$B$4&lt;=21,"Amber","Green"))))</f>
        <v>Amber</v>
      </c>
    </row>
    <row r="561" spans="10:13" x14ac:dyDescent="0.3">
      <c r="J561" s="6" t="str">
        <f t="shared" si="28"/>
        <v/>
      </c>
      <c r="L561" s="7" t="str">
        <f t="shared" ca="1" si="29"/>
        <v/>
      </c>
      <c r="M561" s="4" t="str">
        <f>IF($I561="Complete","Green",IF($H561="","Amber",IF($H561&lt;'[2]Read Me'!$B$4,"Red",IF($H561-'[2]Read Me'!$B$4&lt;=21,"Amber","Green"))))</f>
        <v>Amber</v>
      </c>
    </row>
    <row r="562" spans="10:13" x14ac:dyDescent="0.3">
      <c r="J562" s="6" t="str">
        <f t="shared" si="28"/>
        <v/>
      </c>
      <c r="L562" s="7" t="str">
        <f t="shared" ca="1" si="29"/>
        <v/>
      </c>
      <c r="M562" s="4" t="str">
        <f>IF($I562="Complete","Green",IF($H562="","Amber",IF($H562&lt;'[2]Read Me'!$B$4,"Red",IF($H562-'[2]Read Me'!$B$4&lt;=21,"Amber","Green"))))</f>
        <v>Amber</v>
      </c>
    </row>
    <row r="563" spans="10:13" x14ac:dyDescent="0.3">
      <c r="J563" s="6" t="str">
        <f t="shared" si="28"/>
        <v/>
      </c>
      <c r="L563" s="7" t="str">
        <f t="shared" ca="1" si="29"/>
        <v/>
      </c>
      <c r="M563" s="4" t="str">
        <f>IF($I563="Complete","Green",IF($H563="","Amber",IF($H563&lt;'[2]Read Me'!$B$4,"Red",IF($H563-'[2]Read Me'!$B$4&lt;=21,"Amber","Green"))))</f>
        <v>Amber</v>
      </c>
    </row>
    <row r="564" spans="10:13" x14ac:dyDescent="0.3">
      <c r="J564" s="6" t="str">
        <f t="shared" si="28"/>
        <v/>
      </c>
      <c r="L564" s="7" t="str">
        <f t="shared" ca="1" si="29"/>
        <v/>
      </c>
      <c r="M564" s="4" t="str">
        <f>IF($I564="Complete","Green",IF($H564="","Amber",IF($H564&lt;'[2]Read Me'!$B$4,"Red",IF($H564-'[2]Read Me'!$B$4&lt;=21,"Amber","Green"))))</f>
        <v>Amber</v>
      </c>
    </row>
    <row r="565" spans="10:13" x14ac:dyDescent="0.3">
      <c r="J565" s="6" t="str">
        <f t="shared" si="28"/>
        <v/>
      </c>
      <c r="L565" s="7" t="str">
        <f t="shared" ca="1" si="29"/>
        <v/>
      </c>
      <c r="M565" s="4" t="str">
        <f>IF($I565="Complete","Green",IF($H565="","Amber",IF($H565&lt;'[2]Read Me'!$B$4,"Red",IF($H565-'[2]Read Me'!$B$4&lt;=21,"Amber","Green"))))</f>
        <v>Amber</v>
      </c>
    </row>
    <row r="566" spans="10:13" x14ac:dyDescent="0.3">
      <c r="J566" s="6" t="str">
        <f t="shared" si="28"/>
        <v/>
      </c>
      <c r="L566" s="7" t="str">
        <f t="shared" ca="1" si="29"/>
        <v/>
      </c>
      <c r="M566" s="4" t="str">
        <f>IF($I566="Complete","Green",IF($H566="","Amber",IF($H566&lt;'[2]Read Me'!$B$4,"Red",IF($H566-'[2]Read Me'!$B$4&lt;=21,"Amber","Green"))))</f>
        <v>Amber</v>
      </c>
    </row>
    <row r="567" spans="10:13" x14ac:dyDescent="0.3">
      <c r="J567" s="6" t="str">
        <f t="shared" si="28"/>
        <v/>
      </c>
      <c r="L567" s="7" t="str">
        <f t="shared" ca="1" si="29"/>
        <v/>
      </c>
      <c r="M567" s="4" t="str">
        <f>IF($I567="Complete","Green",IF($H567="","Amber",IF($H567&lt;'[2]Read Me'!$B$4,"Red",IF($H567-'[2]Read Me'!$B$4&lt;=21,"Amber","Green"))))</f>
        <v>Amber</v>
      </c>
    </row>
    <row r="568" spans="10:13" x14ac:dyDescent="0.3">
      <c r="J568" s="6" t="str">
        <f t="shared" si="28"/>
        <v/>
      </c>
      <c r="L568" s="7" t="str">
        <f t="shared" ca="1" si="29"/>
        <v/>
      </c>
      <c r="M568" s="4" t="str">
        <f>IF($I568="Complete","Green",IF($H568="","Amber",IF($H568&lt;'[2]Read Me'!$B$4,"Red",IF($H568-'[2]Read Me'!$B$4&lt;=21,"Amber","Green"))))</f>
        <v>Amber</v>
      </c>
    </row>
    <row r="569" spans="10:13" x14ac:dyDescent="0.3">
      <c r="J569" s="6" t="str">
        <f t="shared" si="28"/>
        <v/>
      </c>
      <c r="L569" s="7" t="str">
        <f t="shared" ca="1" si="29"/>
        <v/>
      </c>
      <c r="M569" s="4" t="str">
        <f>IF($I569="Complete","Green",IF($H569="","Amber",IF($H569&lt;'[2]Read Me'!$B$4,"Red",IF($H569-'[2]Read Me'!$B$4&lt;=21,"Amber","Green"))))</f>
        <v>Amber</v>
      </c>
    </row>
    <row r="570" spans="10:13" x14ac:dyDescent="0.3">
      <c r="J570" s="6" t="str">
        <f t="shared" si="28"/>
        <v/>
      </c>
      <c r="L570" s="7" t="str">
        <f t="shared" ca="1" si="29"/>
        <v/>
      </c>
      <c r="M570" s="4" t="str">
        <f>IF($I570="Complete","Green",IF($H570="","Amber",IF($H570&lt;'[2]Read Me'!$B$4,"Red",IF($H570-'[2]Read Me'!$B$4&lt;=21,"Amber","Green"))))</f>
        <v>Amber</v>
      </c>
    </row>
    <row r="571" spans="10:13" x14ac:dyDescent="0.3">
      <c r="J571" s="6" t="str">
        <f t="shared" si="28"/>
        <v/>
      </c>
      <c r="L571" s="7" t="str">
        <f t="shared" ca="1" si="29"/>
        <v/>
      </c>
      <c r="M571" s="4" t="str">
        <f>IF($I571="Complete","Green",IF($H571="","Amber",IF($H571&lt;'[2]Read Me'!$B$4,"Red",IF($H571-'[2]Read Me'!$B$4&lt;=21,"Amber","Green"))))</f>
        <v>Amber</v>
      </c>
    </row>
    <row r="572" spans="10:13" x14ac:dyDescent="0.3">
      <c r="J572" s="6" t="str">
        <f t="shared" si="28"/>
        <v/>
      </c>
      <c r="L572" s="7" t="str">
        <f t="shared" ca="1" si="29"/>
        <v/>
      </c>
      <c r="M572" s="4" t="str">
        <f>IF($I572="Complete","Green",IF($H572="","Amber",IF($H572&lt;'[2]Read Me'!$B$4,"Red",IF($H572-'[2]Read Me'!$B$4&lt;=21,"Amber","Green"))))</f>
        <v>Amber</v>
      </c>
    </row>
    <row r="573" spans="10:13" x14ac:dyDescent="0.3">
      <c r="J573" s="6" t="str">
        <f t="shared" si="28"/>
        <v/>
      </c>
      <c r="L573" s="7" t="str">
        <f t="shared" ca="1" si="29"/>
        <v/>
      </c>
      <c r="M573" s="4" t="str">
        <f>IF($I573="Complete","Green",IF($H573="","Amber",IF($H573&lt;'[2]Read Me'!$B$4,"Red",IF($H573-'[2]Read Me'!$B$4&lt;=21,"Amber","Green"))))</f>
        <v>Amber</v>
      </c>
    </row>
    <row r="574" spans="10:13" x14ac:dyDescent="0.3">
      <c r="J574" s="6" t="str">
        <f t="shared" si="28"/>
        <v/>
      </c>
      <c r="L574" s="7" t="str">
        <f t="shared" ca="1" si="29"/>
        <v/>
      </c>
      <c r="M574" s="4" t="str">
        <f>IF($I574="Complete","Green",IF($H574="","Amber",IF($H574&lt;'[2]Read Me'!$B$4,"Red",IF($H574-'[2]Read Me'!$B$4&lt;=21,"Amber","Green"))))</f>
        <v>Amber</v>
      </c>
    </row>
    <row r="575" spans="10:13" x14ac:dyDescent="0.3">
      <c r="J575" s="6" t="str">
        <f t="shared" si="28"/>
        <v/>
      </c>
      <c r="L575" s="7" t="str">
        <f t="shared" ca="1" si="29"/>
        <v/>
      </c>
      <c r="M575" s="4" t="str">
        <f>IF($I575="Complete","Green",IF($H575="","Amber",IF($H575&lt;'[2]Read Me'!$B$4,"Red",IF($H575-'[2]Read Me'!$B$4&lt;=21,"Amber","Green"))))</f>
        <v>Amber</v>
      </c>
    </row>
    <row r="576" spans="10:13" x14ac:dyDescent="0.3">
      <c r="J576" s="6" t="str">
        <f t="shared" si="28"/>
        <v/>
      </c>
      <c r="L576" s="7" t="str">
        <f t="shared" ca="1" si="29"/>
        <v/>
      </c>
      <c r="M576" s="4" t="str">
        <f>IF($I576="Complete","Green",IF($H576="","Amber",IF($H576&lt;'[2]Read Me'!$B$4,"Red",IF($H576-'[2]Read Me'!$B$4&lt;=21,"Amber","Green"))))</f>
        <v>Amber</v>
      </c>
    </row>
    <row r="577" spans="10:13" x14ac:dyDescent="0.3">
      <c r="J577" s="6" t="str">
        <f t="shared" si="28"/>
        <v/>
      </c>
      <c r="L577" s="7" t="str">
        <f t="shared" ca="1" si="29"/>
        <v/>
      </c>
      <c r="M577" s="4" t="str">
        <f>IF($I577="Complete","Green",IF($H577="","Amber",IF($H577&lt;'[2]Read Me'!$B$4,"Red",IF($H577-'[2]Read Me'!$B$4&lt;=21,"Amber","Green"))))</f>
        <v>Amber</v>
      </c>
    </row>
    <row r="578" spans="10:13" x14ac:dyDescent="0.3">
      <c r="J578" s="6" t="str">
        <f t="shared" si="28"/>
        <v/>
      </c>
      <c r="L578" s="7" t="str">
        <f t="shared" ca="1" si="29"/>
        <v/>
      </c>
      <c r="M578" s="4" t="str">
        <f>IF($I578="Complete","Green",IF($H578="","Amber",IF($H578&lt;'[2]Read Me'!$B$4,"Red",IF($H578-'[2]Read Me'!$B$4&lt;=21,"Amber","Green"))))</f>
        <v>Amber</v>
      </c>
    </row>
    <row r="579" spans="10:13" x14ac:dyDescent="0.3">
      <c r="J579" s="6" t="str">
        <f t="shared" si="28"/>
        <v/>
      </c>
      <c r="L579" s="7" t="str">
        <f t="shared" ca="1" si="29"/>
        <v/>
      </c>
      <c r="M579" s="4" t="str">
        <f>IF($I579="Complete","Green",IF($H579="","Amber",IF($H579&lt;'[2]Read Me'!$B$4,"Red",IF($H579-'[2]Read Me'!$B$4&lt;=21,"Amber","Green"))))</f>
        <v>Amber</v>
      </c>
    </row>
    <row r="580" spans="10:13" x14ac:dyDescent="0.3">
      <c r="J580" s="6" t="str">
        <f t="shared" ref="J580:J643" si="30">IF(OR($G580="",$H580=""),"",$H580-$G580)</f>
        <v/>
      </c>
      <c r="L580" s="7" t="str">
        <f t="shared" ca="1" si="29"/>
        <v/>
      </c>
      <c r="M580" s="4" t="str">
        <f>IF($I580="Complete","Green",IF($H580="","Amber",IF($H580&lt;'[2]Read Me'!$B$4,"Red",IF($H580-'[2]Read Me'!$B$4&lt;=21,"Amber","Green"))))</f>
        <v>Amber</v>
      </c>
    </row>
    <row r="581" spans="10:13" x14ac:dyDescent="0.3">
      <c r="J581" s="6" t="str">
        <f t="shared" si="30"/>
        <v/>
      </c>
      <c r="L581" s="7" t="str">
        <f t="shared" ref="L581:L644" ca="1" si="31">IF(I581="Completed",0,IF(H581="","",H581-TODAY()))</f>
        <v/>
      </c>
      <c r="M581" s="4" t="str">
        <f>IF($I581="Complete","Green",IF($H581="","Amber",IF($H581&lt;'[2]Read Me'!$B$4,"Red",IF($H581-'[2]Read Me'!$B$4&lt;=21,"Amber","Green"))))</f>
        <v>Amber</v>
      </c>
    </row>
    <row r="582" spans="10:13" x14ac:dyDescent="0.3">
      <c r="J582" s="6" t="str">
        <f t="shared" si="30"/>
        <v/>
      </c>
      <c r="L582" s="7" t="str">
        <f t="shared" ca="1" si="31"/>
        <v/>
      </c>
      <c r="M582" s="4" t="str">
        <f>IF($I582="Complete","Green",IF($H582="","Amber",IF($H582&lt;'[2]Read Me'!$B$4,"Red",IF($H582-'[2]Read Me'!$B$4&lt;=21,"Amber","Green"))))</f>
        <v>Amber</v>
      </c>
    </row>
    <row r="583" spans="10:13" x14ac:dyDescent="0.3">
      <c r="J583" s="6" t="str">
        <f t="shared" si="30"/>
        <v/>
      </c>
      <c r="L583" s="7" t="str">
        <f t="shared" ca="1" si="31"/>
        <v/>
      </c>
      <c r="M583" s="4" t="str">
        <f>IF($I583="Complete","Green",IF($H583="","Amber",IF($H583&lt;'[2]Read Me'!$B$4,"Red",IF($H583-'[2]Read Me'!$B$4&lt;=21,"Amber","Green"))))</f>
        <v>Amber</v>
      </c>
    </row>
    <row r="584" spans="10:13" x14ac:dyDescent="0.3">
      <c r="J584" s="6" t="str">
        <f t="shared" si="30"/>
        <v/>
      </c>
      <c r="L584" s="7" t="str">
        <f t="shared" ca="1" si="31"/>
        <v/>
      </c>
      <c r="M584" s="4" t="str">
        <f>IF($I584="Complete","Green",IF($H584="","Amber",IF($H584&lt;'[2]Read Me'!$B$4,"Red",IF($H584-'[2]Read Me'!$B$4&lt;=21,"Amber","Green"))))</f>
        <v>Amber</v>
      </c>
    </row>
    <row r="585" spans="10:13" x14ac:dyDescent="0.3">
      <c r="J585" s="6" t="str">
        <f t="shared" si="30"/>
        <v/>
      </c>
      <c r="L585" s="7" t="str">
        <f t="shared" ca="1" si="31"/>
        <v/>
      </c>
      <c r="M585" s="4" t="str">
        <f>IF($I585="Complete","Green",IF($H585="","Amber",IF($H585&lt;'[2]Read Me'!$B$4,"Red",IF($H585-'[2]Read Me'!$B$4&lt;=21,"Amber","Green"))))</f>
        <v>Amber</v>
      </c>
    </row>
    <row r="586" spans="10:13" x14ac:dyDescent="0.3">
      <c r="J586" s="6" t="str">
        <f t="shared" si="30"/>
        <v/>
      </c>
      <c r="L586" s="7" t="str">
        <f t="shared" ca="1" si="31"/>
        <v/>
      </c>
      <c r="M586" s="4" t="str">
        <f>IF($I586="Complete","Green",IF($H586="","Amber",IF($H586&lt;'[2]Read Me'!$B$4,"Red",IF($H586-'[2]Read Me'!$B$4&lt;=21,"Amber","Green"))))</f>
        <v>Amber</v>
      </c>
    </row>
    <row r="587" spans="10:13" x14ac:dyDescent="0.3">
      <c r="J587" s="6" t="str">
        <f t="shared" si="30"/>
        <v/>
      </c>
      <c r="L587" s="7" t="str">
        <f t="shared" ca="1" si="31"/>
        <v/>
      </c>
      <c r="M587" s="4" t="str">
        <f>IF($I587="Complete","Green",IF($H587="","Amber",IF($H587&lt;'[2]Read Me'!$B$4,"Red",IF($H587-'[2]Read Me'!$B$4&lt;=21,"Amber","Green"))))</f>
        <v>Amber</v>
      </c>
    </row>
    <row r="588" spans="10:13" x14ac:dyDescent="0.3">
      <c r="J588" s="6" t="str">
        <f t="shared" si="30"/>
        <v/>
      </c>
      <c r="L588" s="7" t="str">
        <f t="shared" ca="1" si="31"/>
        <v/>
      </c>
      <c r="M588" s="4" t="str">
        <f>IF($I588="Complete","Green",IF($H588="","Amber",IF($H588&lt;'[2]Read Me'!$B$4,"Red",IF($H588-'[2]Read Me'!$B$4&lt;=21,"Amber","Green"))))</f>
        <v>Amber</v>
      </c>
    </row>
    <row r="589" spans="10:13" x14ac:dyDescent="0.3">
      <c r="J589" s="6" t="str">
        <f t="shared" si="30"/>
        <v/>
      </c>
      <c r="L589" s="7" t="str">
        <f t="shared" ca="1" si="31"/>
        <v/>
      </c>
      <c r="M589" s="4" t="str">
        <f>IF($I589="Complete","Green",IF($H589="","Amber",IF($H589&lt;'[2]Read Me'!$B$4,"Red",IF($H589-'[2]Read Me'!$B$4&lt;=21,"Amber","Green"))))</f>
        <v>Amber</v>
      </c>
    </row>
    <row r="590" spans="10:13" x14ac:dyDescent="0.3">
      <c r="J590" s="6" t="str">
        <f t="shared" si="30"/>
        <v/>
      </c>
      <c r="L590" s="7" t="str">
        <f t="shared" ca="1" si="31"/>
        <v/>
      </c>
      <c r="M590" s="4" t="str">
        <f>IF($I590="Complete","Green",IF($H590="","Amber",IF($H590&lt;'[2]Read Me'!$B$4,"Red",IF($H590-'[2]Read Me'!$B$4&lt;=21,"Amber","Green"))))</f>
        <v>Amber</v>
      </c>
    </row>
    <row r="591" spans="10:13" x14ac:dyDescent="0.3">
      <c r="J591" s="6" t="str">
        <f t="shared" si="30"/>
        <v/>
      </c>
      <c r="L591" s="7" t="str">
        <f t="shared" ca="1" si="31"/>
        <v/>
      </c>
      <c r="M591" s="4" t="str">
        <f>IF($I591="Complete","Green",IF($H591="","Amber",IF($H591&lt;'[2]Read Me'!$B$4,"Red",IF($H591-'[2]Read Me'!$B$4&lt;=21,"Amber","Green"))))</f>
        <v>Amber</v>
      </c>
    </row>
    <row r="592" spans="10:13" x14ac:dyDescent="0.3">
      <c r="J592" s="6" t="str">
        <f t="shared" si="30"/>
        <v/>
      </c>
      <c r="L592" s="7" t="str">
        <f t="shared" ca="1" si="31"/>
        <v/>
      </c>
      <c r="M592" s="4" t="str">
        <f>IF($I592="Complete","Green",IF($H592="","Amber",IF($H592&lt;'[2]Read Me'!$B$4,"Red",IF($H592-'[2]Read Me'!$B$4&lt;=21,"Amber","Green"))))</f>
        <v>Amber</v>
      </c>
    </row>
    <row r="593" spans="10:13" x14ac:dyDescent="0.3">
      <c r="J593" s="6" t="str">
        <f t="shared" si="30"/>
        <v/>
      </c>
      <c r="L593" s="7" t="str">
        <f t="shared" ca="1" si="31"/>
        <v/>
      </c>
      <c r="M593" s="4" t="str">
        <f>IF($I593="Complete","Green",IF($H593="","Amber",IF($H593&lt;'[2]Read Me'!$B$4,"Red",IF($H593-'[2]Read Me'!$B$4&lt;=21,"Amber","Green"))))</f>
        <v>Amber</v>
      </c>
    </row>
    <row r="594" spans="10:13" x14ac:dyDescent="0.3">
      <c r="J594" s="6" t="str">
        <f t="shared" si="30"/>
        <v/>
      </c>
      <c r="L594" s="7" t="str">
        <f t="shared" ca="1" si="31"/>
        <v/>
      </c>
      <c r="M594" s="4" t="str">
        <f>IF($I594="Complete","Green",IF($H594="","Amber",IF($H594&lt;'[2]Read Me'!$B$4,"Red",IF($H594-'[2]Read Me'!$B$4&lt;=21,"Amber","Green"))))</f>
        <v>Amber</v>
      </c>
    </row>
    <row r="595" spans="10:13" x14ac:dyDescent="0.3">
      <c r="J595" s="6" t="str">
        <f t="shared" si="30"/>
        <v/>
      </c>
      <c r="L595" s="7" t="str">
        <f t="shared" ca="1" si="31"/>
        <v/>
      </c>
      <c r="M595" s="4" t="str">
        <f>IF($I595="Complete","Green",IF($H595="","Amber",IF($H595&lt;'[2]Read Me'!$B$4,"Red",IF($H595-'[2]Read Me'!$B$4&lt;=21,"Amber","Green"))))</f>
        <v>Amber</v>
      </c>
    </row>
    <row r="596" spans="10:13" x14ac:dyDescent="0.3">
      <c r="J596" s="6" t="str">
        <f t="shared" si="30"/>
        <v/>
      </c>
      <c r="L596" s="7" t="str">
        <f t="shared" ca="1" si="31"/>
        <v/>
      </c>
      <c r="M596" s="4" t="str">
        <f>IF($I596="Complete","Green",IF($H596="","Amber",IF($H596&lt;'[2]Read Me'!$B$4,"Red",IF($H596-'[2]Read Me'!$B$4&lt;=21,"Amber","Green"))))</f>
        <v>Amber</v>
      </c>
    </row>
    <row r="597" spans="10:13" x14ac:dyDescent="0.3">
      <c r="J597" s="6" t="str">
        <f t="shared" si="30"/>
        <v/>
      </c>
      <c r="L597" s="7" t="str">
        <f t="shared" ca="1" si="31"/>
        <v/>
      </c>
      <c r="M597" s="4" t="str">
        <f>IF($I597="Complete","Green",IF($H597="","Amber",IF($H597&lt;'[2]Read Me'!$B$4,"Red",IF($H597-'[2]Read Me'!$B$4&lt;=21,"Amber","Green"))))</f>
        <v>Amber</v>
      </c>
    </row>
    <row r="598" spans="10:13" x14ac:dyDescent="0.3">
      <c r="J598" s="6" t="str">
        <f t="shared" si="30"/>
        <v/>
      </c>
      <c r="L598" s="7" t="str">
        <f t="shared" ca="1" si="31"/>
        <v/>
      </c>
      <c r="M598" s="4" t="str">
        <f>IF($I598="Complete","Green",IF($H598="","Amber",IF($H598&lt;'[2]Read Me'!$B$4,"Red",IF($H598-'[2]Read Me'!$B$4&lt;=21,"Amber","Green"))))</f>
        <v>Amber</v>
      </c>
    </row>
    <row r="599" spans="10:13" x14ac:dyDescent="0.3">
      <c r="J599" s="6" t="str">
        <f t="shared" si="30"/>
        <v/>
      </c>
      <c r="L599" s="7" t="str">
        <f t="shared" ca="1" si="31"/>
        <v/>
      </c>
      <c r="M599" s="4" t="str">
        <f>IF($I599="Complete","Green",IF($H599="","Amber",IF($H599&lt;'[2]Read Me'!$B$4,"Red",IF($H599-'[2]Read Me'!$B$4&lt;=21,"Amber","Green"))))</f>
        <v>Amber</v>
      </c>
    </row>
    <row r="600" spans="10:13" x14ac:dyDescent="0.3">
      <c r="J600" s="6" t="str">
        <f t="shared" si="30"/>
        <v/>
      </c>
      <c r="L600" s="7" t="str">
        <f t="shared" ca="1" si="31"/>
        <v/>
      </c>
      <c r="M600" s="4" t="str">
        <f>IF($I600="Complete","Green",IF($H600="","Amber",IF($H600&lt;'[2]Read Me'!$B$4,"Red",IF($H600-'[2]Read Me'!$B$4&lt;=21,"Amber","Green"))))</f>
        <v>Amber</v>
      </c>
    </row>
    <row r="601" spans="10:13" x14ac:dyDescent="0.3">
      <c r="J601" s="6" t="str">
        <f t="shared" si="30"/>
        <v/>
      </c>
      <c r="L601" s="7" t="str">
        <f t="shared" ca="1" si="31"/>
        <v/>
      </c>
      <c r="M601" s="4" t="str">
        <f>IF($I601="Complete","Green",IF($H601="","Amber",IF($H601&lt;'[2]Read Me'!$B$4,"Red",IF($H601-'[2]Read Me'!$B$4&lt;=21,"Amber","Green"))))</f>
        <v>Amber</v>
      </c>
    </row>
    <row r="602" spans="10:13" x14ac:dyDescent="0.3">
      <c r="J602" s="6" t="str">
        <f t="shared" si="30"/>
        <v/>
      </c>
      <c r="L602" s="7" t="str">
        <f t="shared" ca="1" si="31"/>
        <v/>
      </c>
      <c r="M602" s="4" t="str">
        <f>IF($I602="Complete","Green",IF($H602="","Amber",IF($H602&lt;'[2]Read Me'!$B$4,"Red",IF($H602-'[2]Read Me'!$B$4&lt;=21,"Amber","Green"))))</f>
        <v>Amber</v>
      </c>
    </row>
    <row r="603" spans="10:13" x14ac:dyDescent="0.3">
      <c r="J603" s="6" t="str">
        <f t="shared" si="30"/>
        <v/>
      </c>
      <c r="L603" s="7" t="str">
        <f t="shared" ca="1" si="31"/>
        <v/>
      </c>
      <c r="M603" s="4" t="str">
        <f>IF($I603="Complete","Green",IF($H603="","Amber",IF($H603&lt;'[2]Read Me'!$B$4,"Red",IF($H603-'[2]Read Me'!$B$4&lt;=21,"Amber","Green"))))</f>
        <v>Amber</v>
      </c>
    </row>
    <row r="604" spans="10:13" x14ac:dyDescent="0.3">
      <c r="J604" s="6" t="str">
        <f t="shared" si="30"/>
        <v/>
      </c>
      <c r="L604" s="7" t="str">
        <f t="shared" ca="1" si="31"/>
        <v/>
      </c>
      <c r="M604" s="4" t="str">
        <f>IF($I604="Complete","Green",IF($H604="","Amber",IF($H604&lt;'[2]Read Me'!$B$4,"Red",IF($H604-'[2]Read Me'!$B$4&lt;=21,"Amber","Green"))))</f>
        <v>Amber</v>
      </c>
    </row>
    <row r="605" spans="10:13" x14ac:dyDescent="0.3">
      <c r="J605" s="6" t="str">
        <f t="shared" si="30"/>
        <v/>
      </c>
      <c r="L605" s="7" t="str">
        <f t="shared" ca="1" si="31"/>
        <v/>
      </c>
      <c r="M605" s="4" t="str">
        <f>IF($I605="Complete","Green",IF($H605="","Amber",IF($H605&lt;'[2]Read Me'!$B$4,"Red",IF($H605-'[2]Read Me'!$B$4&lt;=21,"Amber","Green"))))</f>
        <v>Amber</v>
      </c>
    </row>
    <row r="606" spans="10:13" x14ac:dyDescent="0.3">
      <c r="J606" s="6" t="str">
        <f t="shared" si="30"/>
        <v/>
      </c>
      <c r="L606" s="7" t="str">
        <f t="shared" ca="1" si="31"/>
        <v/>
      </c>
      <c r="M606" s="4" t="str">
        <f>IF($I606="Complete","Green",IF($H606="","Amber",IF($H606&lt;'[2]Read Me'!$B$4,"Red",IF($H606-'[2]Read Me'!$B$4&lt;=21,"Amber","Green"))))</f>
        <v>Amber</v>
      </c>
    </row>
    <row r="607" spans="10:13" x14ac:dyDescent="0.3">
      <c r="J607" s="6" t="str">
        <f t="shared" si="30"/>
        <v/>
      </c>
      <c r="L607" s="7" t="str">
        <f t="shared" ca="1" si="31"/>
        <v/>
      </c>
      <c r="M607" s="4" t="str">
        <f>IF($I607="Complete","Green",IF($H607="","Amber",IF($H607&lt;'[2]Read Me'!$B$4,"Red",IF($H607-'[2]Read Me'!$B$4&lt;=21,"Amber","Green"))))</f>
        <v>Amber</v>
      </c>
    </row>
    <row r="608" spans="10:13" x14ac:dyDescent="0.3">
      <c r="J608" s="6" t="str">
        <f t="shared" si="30"/>
        <v/>
      </c>
      <c r="L608" s="7" t="str">
        <f t="shared" ca="1" si="31"/>
        <v/>
      </c>
      <c r="M608" s="4" t="str">
        <f>IF($I608="Complete","Green",IF($H608="","Amber",IF($H608&lt;'[2]Read Me'!$B$4,"Red",IF($H608-'[2]Read Me'!$B$4&lt;=21,"Amber","Green"))))</f>
        <v>Amber</v>
      </c>
    </row>
    <row r="609" spans="10:13" x14ac:dyDescent="0.3">
      <c r="J609" s="6" t="str">
        <f t="shared" si="30"/>
        <v/>
      </c>
      <c r="L609" s="7" t="str">
        <f t="shared" ca="1" si="31"/>
        <v/>
      </c>
      <c r="M609" s="4" t="str">
        <f>IF($I609="Complete","Green",IF($H609="","Amber",IF($H609&lt;'[2]Read Me'!$B$4,"Red",IF($H609-'[2]Read Me'!$B$4&lt;=21,"Amber","Green"))))</f>
        <v>Amber</v>
      </c>
    </row>
    <row r="610" spans="10:13" x14ac:dyDescent="0.3">
      <c r="J610" s="6" t="str">
        <f t="shared" si="30"/>
        <v/>
      </c>
      <c r="L610" s="7" t="str">
        <f t="shared" ca="1" si="31"/>
        <v/>
      </c>
      <c r="M610" s="4" t="str">
        <f>IF($I610="Complete","Green",IF($H610="","Amber",IF($H610&lt;'[2]Read Me'!$B$4,"Red",IF($H610-'[2]Read Me'!$B$4&lt;=21,"Amber","Green"))))</f>
        <v>Amber</v>
      </c>
    </row>
    <row r="611" spans="10:13" x14ac:dyDescent="0.3">
      <c r="J611" s="6" t="str">
        <f t="shared" si="30"/>
        <v/>
      </c>
      <c r="L611" s="7" t="str">
        <f t="shared" ca="1" si="31"/>
        <v/>
      </c>
      <c r="M611" s="4" t="str">
        <f>IF($I611="Complete","Green",IF($H611="","Amber",IF($H611&lt;'[2]Read Me'!$B$4,"Red",IF($H611-'[2]Read Me'!$B$4&lt;=21,"Amber","Green"))))</f>
        <v>Amber</v>
      </c>
    </row>
    <row r="612" spans="10:13" x14ac:dyDescent="0.3">
      <c r="J612" s="6" t="str">
        <f t="shared" si="30"/>
        <v/>
      </c>
      <c r="L612" s="7" t="str">
        <f t="shared" ca="1" si="31"/>
        <v/>
      </c>
      <c r="M612" s="4" t="str">
        <f>IF($I612="Complete","Green",IF($H612="","Amber",IF($H612&lt;'[2]Read Me'!$B$4,"Red",IF($H612-'[2]Read Me'!$B$4&lt;=21,"Amber","Green"))))</f>
        <v>Amber</v>
      </c>
    </row>
    <row r="613" spans="10:13" x14ac:dyDescent="0.3">
      <c r="J613" s="6" t="str">
        <f t="shared" si="30"/>
        <v/>
      </c>
      <c r="L613" s="7" t="str">
        <f t="shared" ca="1" si="31"/>
        <v/>
      </c>
      <c r="M613" s="4" t="str">
        <f>IF($I613="Complete","Green",IF($H613="","Amber",IF($H613&lt;'[2]Read Me'!$B$4,"Red",IF($H613-'[2]Read Me'!$B$4&lt;=21,"Amber","Green"))))</f>
        <v>Amber</v>
      </c>
    </row>
    <row r="614" spans="10:13" x14ac:dyDescent="0.3">
      <c r="J614" s="6" t="str">
        <f t="shared" si="30"/>
        <v/>
      </c>
      <c r="L614" s="7" t="str">
        <f t="shared" ca="1" si="31"/>
        <v/>
      </c>
      <c r="M614" s="4" t="str">
        <f>IF($I614="Complete","Green",IF($H614="","Amber",IF($H614&lt;'[2]Read Me'!$B$4,"Red",IF($H614-'[2]Read Me'!$B$4&lt;=21,"Amber","Green"))))</f>
        <v>Amber</v>
      </c>
    </row>
    <row r="615" spans="10:13" x14ac:dyDescent="0.3">
      <c r="J615" s="6" t="str">
        <f t="shared" si="30"/>
        <v/>
      </c>
      <c r="L615" s="7" t="str">
        <f t="shared" ca="1" si="31"/>
        <v/>
      </c>
      <c r="M615" s="4" t="str">
        <f>IF($I615="Complete","Green",IF($H615="","Amber",IF($H615&lt;'[2]Read Me'!$B$4,"Red",IF($H615-'[2]Read Me'!$B$4&lt;=21,"Amber","Green"))))</f>
        <v>Amber</v>
      </c>
    </row>
    <row r="616" spans="10:13" x14ac:dyDescent="0.3">
      <c r="J616" s="6" t="str">
        <f t="shared" si="30"/>
        <v/>
      </c>
      <c r="L616" s="7" t="str">
        <f t="shared" ca="1" si="31"/>
        <v/>
      </c>
      <c r="M616" s="4" t="str">
        <f>IF($I616="Complete","Green",IF($H616="","Amber",IF($H616&lt;'[2]Read Me'!$B$4,"Red",IF($H616-'[2]Read Me'!$B$4&lt;=21,"Amber","Green"))))</f>
        <v>Amber</v>
      </c>
    </row>
    <row r="617" spans="10:13" x14ac:dyDescent="0.3">
      <c r="J617" s="6" t="str">
        <f t="shared" si="30"/>
        <v/>
      </c>
      <c r="L617" s="7" t="str">
        <f t="shared" ca="1" si="31"/>
        <v/>
      </c>
      <c r="M617" s="4" t="str">
        <f>IF($I617="Complete","Green",IF($H617="","Amber",IF($H617&lt;'[2]Read Me'!$B$4,"Red",IF($H617-'[2]Read Me'!$B$4&lt;=21,"Amber","Green"))))</f>
        <v>Amber</v>
      </c>
    </row>
    <row r="618" spans="10:13" x14ac:dyDescent="0.3">
      <c r="J618" s="6" t="str">
        <f t="shared" si="30"/>
        <v/>
      </c>
      <c r="L618" s="7" t="str">
        <f t="shared" ca="1" si="31"/>
        <v/>
      </c>
      <c r="M618" s="4" t="str">
        <f>IF($I618="Complete","Green",IF($H618="","Amber",IF($H618&lt;'[2]Read Me'!$B$4,"Red",IF($H618-'[2]Read Me'!$B$4&lt;=21,"Amber","Green"))))</f>
        <v>Amber</v>
      </c>
    </row>
    <row r="619" spans="10:13" x14ac:dyDescent="0.3">
      <c r="J619" s="6" t="str">
        <f t="shared" si="30"/>
        <v/>
      </c>
      <c r="L619" s="7" t="str">
        <f t="shared" ca="1" si="31"/>
        <v/>
      </c>
      <c r="M619" s="4" t="str">
        <f>IF($I619="Complete","Green",IF($H619="","Amber",IF($H619&lt;'[2]Read Me'!$B$4,"Red",IF($H619-'[2]Read Me'!$B$4&lt;=21,"Amber","Green"))))</f>
        <v>Amber</v>
      </c>
    </row>
    <row r="620" spans="10:13" x14ac:dyDescent="0.3">
      <c r="J620" s="6" t="str">
        <f t="shared" si="30"/>
        <v/>
      </c>
      <c r="L620" s="7" t="str">
        <f t="shared" ca="1" si="31"/>
        <v/>
      </c>
      <c r="M620" s="4" t="str">
        <f>IF($I620="Complete","Green",IF($H620="","Amber",IF($H620&lt;'[2]Read Me'!$B$4,"Red",IF($H620-'[2]Read Me'!$B$4&lt;=21,"Amber","Green"))))</f>
        <v>Amber</v>
      </c>
    </row>
    <row r="621" spans="10:13" x14ac:dyDescent="0.3">
      <c r="J621" s="6" t="str">
        <f t="shared" si="30"/>
        <v/>
      </c>
      <c r="L621" s="7" t="str">
        <f t="shared" ca="1" si="31"/>
        <v/>
      </c>
      <c r="M621" s="4" t="str">
        <f>IF($I621="Complete","Green",IF($H621="","Amber",IF($H621&lt;'[2]Read Me'!$B$4,"Red",IF($H621-'[2]Read Me'!$B$4&lt;=21,"Amber","Green"))))</f>
        <v>Amber</v>
      </c>
    </row>
    <row r="622" spans="10:13" x14ac:dyDescent="0.3">
      <c r="J622" s="6" t="str">
        <f t="shared" si="30"/>
        <v/>
      </c>
      <c r="L622" s="7" t="str">
        <f t="shared" ca="1" si="31"/>
        <v/>
      </c>
      <c r="M622" s="4" t="str">
        <f>IF($I622="Complete","Green",IF($H622="","Amber",IF($H622&lt;'[2]Read Me'!$B$4,"Red",IF($H622-'[2]Read Me'!$B$4&lt;=21,"Amber","Green"))))</f>
        <v>Amber</v>
      </c>
    </row>
    <row r="623" spans="10:13" x14ac:dyDescent="0.3">
      <c r="J623" s="6" t="str">
        <f t="shared" si="30"/>
        <v/>
      </c>
      <c r="L623" s="7" t="str">
        <f t="shared" ca="1" si="31"/>
        <v/>
      </c>
      <c r="M623" s="4" t="str">
        <f>IF($I623="Complete","Green",IF($H623="","Amber",IF($H623&lt;'[2]Read Me'!$B$4,"Red",IF($H623-'[2]Read Me'!$B$4&lt;=21,"Amber","Green"))))</f>
        <v>Amber</v>
      </c>
    </row>
    <row r="624" spans="10:13" x14ac:dyDescent="0.3">
      <c r="J624" s="6" t="str">
        <f t="shared" si="30"/>
        <v/>
      </c>
      <c r="L624" s="7" t="str">
        <f t="shared" ca="1" si="31"/>
        <v/>
      </c>
      <c r="M624" s="4" t="str">
        <f>IF($I624="Complete","Green",IF($H624="","Amber",IF($H624&lt;'[2]Read Me'!$B$4,"Red",IF($H624-'[2]Read Me'!$B$4&lt;=21,"Amber","Green"))))</f>
        <v>Amber</v>
      </c>
    </row>
    <row r="625" spans="10:13" x14ac:dyDescent="0.3">
      <c r="J625" s="6" t="str">
        <f t="shared" si="30"/>
        <v/>
      </c>
      <c r="L625" s="7" t="str">
        <f t="shared" ca="1" si="31"/>
        <v/>
      </c>
      <c r="M625" s="4" t="str">
        <f>IF($I625="Complete","Green",IF($H625="","Amber",IF($H625&lt;'[2]Read Me'!$B$4,"Red",IF($H625-'[2]Read Me'!$B$4&lt;=21,"Amber","Green"))))</f>
        <v>Amber</v>
      </c>
    </row>
    <row r="626" spans="10:13" x14ac:dyDescent="0.3">
      <c r="J626" s="6" t="str">
        <f t="shared" si="30"/>
        <v/>
      </c>
      <c r="L626" s="7" t="str">
        <f t="shared" ca="1" si="31"/>
        <v/>
      </c>
      <c r="M626" s="4" t="str">
        <f>IF($I626="Complete","Green",IF($H626="","Amber",IF($H626&lt;'[2]Read Me'!$B$4,"Red",IF($H626-'[2]Read Me'!$B$4&lt;=21,"Amber","Green"))))</f>
        <v>Amber</v>
      </c>
    </row>
    <row r="627" spans="10:13" x14ac:dyDescent="0.3">
      <c r="J627" s="6" t="str">
        <f t="shared" si="30"/>
        <v/>
      </c>
      <c r="L627" s="7" t="str">
        <f t="shared" ca="1" si="31"/>
        <v/>
      </c>
      <c r="M627" s="4" t="str">
        <f>IF($I627="Complete","Green",IF($H627="","Amber",IF($H627&lt;'[2]Read Me'!$B$4,"Red",IF($H627-'[2]Read Me'!$B$4&lt;=21,"Amber","Green"))))</f>
        <v>Amber</v>
      </c>
    </row>
    <row r="628" spans="10:13" x14ac:dyDescent="0.3">
      <c r="J628" s="6" t="str">
        <f t="shared" si="30"/>
        <v/>
      </c>
      <c r="L628" s="7" t="str">
        <f t="shared" ca="1" si="31"/>
        <v/>
      </c>
      <c r="M628" s="4" t="str">
        <f>IF($I628="Complete","Green",IF($H628="","Amber",IF($H628&lt;'[2]Read Me'!$B$4,"Red",IF($H628-'[2]Read Me'!$B$4&lt;=21,"Amber","Green"))))</f>
        <v>Amber</v>
      </c>
    </row>
    <row r="629" spans="10:13" x14ac:dyDescent="0.3">
      <c r="J629" s="6" t="str">
        <f t="shared" si="30"/>
        <v/>
      </c>
      <c r="L629" s="7" t="str">
        <f t="shared" ca="1" si="31"/>
        <v/>
      </c>
      <c r="M629" s="4" t="str">
        <f>IF($I629="Complete","Green",IF($H629="","Amber",IF($H629&lt;'[2]Read Me'!$B$4,"Red",IF($H629-'[2]Read Me'!$B$4&lt;=21,"Amber","Green"))))</f>
        <v>Amber</v>
      </c>
    </row>
    <row r="630" spans="10:13" x14ac:dyDescent="0.3">
      <c r="J630" s="6" t="str">
        <f t="shared" si="30"/>
        <v/>
      </c>
      <c r="L630" s="7" t="str">
        <f t="shared" ca="1" si="31"/>
        <v/>
      </c>
      <c r="M630" s="4" t="str">
        <f>IF($I630="Complete","Green",IF($H630="","Amber",IF($H630&lt;'[2]Read Me'!$B$4,"Red",IF($H630-'[2]Read Me'!$B$4&lt;=21,"Amber","Green"))))</f>
        <v>Amber</v>
      </c>
    </row>
    <row r="631" spans="10:13" x14ac:dyDescent="0.3">
      <c r="J631" s="6" t="str">
        <f t="shared" si="30"/>
        <v/>
      </c>
      <c r="L631" s="7" t="str">
        <f t="shared" ca="1" si="31"/>
        <v/>
      </c>
      <c r="M631" s="4" t="str">
        <f>IF($I631="Complete","Green",IF($H631="","Amber",IF($H631&lt;'[2]Read Me'!$B$4,"Red",IF($H631-'[2]Read Me'!$B$4&lt;=21,"Amber","Green"))))</f>
        <v>Amber</v>
      </c>
    </row>
    <row r="632" spans="10:13" x14ac:dyDescent="0.3">
      <c r="J632" s="6" t="str">
        <f t="shared" si="30"/>
        <v/>
      </c>
      <c r="L632" s="7" t="str">
        <f t="shared" ca="1" si="31"/>
        <v/>
      </c>
      <c r="M632" s="4" t="str">
        <f>IF($I632="Complete","Green",IF($H632="","Amber",IF($H632&lt;'[2]Read Me'!$B$4,"Red",IF($H632-'[2]Read Me'!$B$4&lt;=21,"Amber","Green"))))</f>
        <v>Amber</v>
      </c>
    </row>
    <row r="633" spans="10:13" x14ac:dyDescent="0.3">
      <c r="J633" s="6" t="str">
        <f t="shared" si="30"/>
        <v/>
      </c>
      <c r="L633" s="7" t="str">
        <f t="shared" ca="1" si="31"/>
        <v/>
      </c>
      <c r="M633" s="4" t="str">
        <f>IF($I633="Complete","Green",IF($H633="","Amber",IF($H633&lt;'[2]Read Me'!$B$4,"Red",IF($H633-'[2]Read Me'!$B$4&lt;=21,"Amber","Green"))))</f>
        <v>Amber</v>
      </c>
    </row>
    <row r="634" spans="10:13" x14ac:dyDescent="0.3">
      <c r="J634" s="6" t="str">
        <f t="shared" si="30"/>
        <v/>
      </c>
      <c r="L634" s="7" t="str">
        <f t="shared" ca="1" si="31"/>
        <v/>
      </c>
      <c r="M634" s="4" t="str">
        <f>IF($I634="Complete","Green",IF($H634="","Amber",IF($H634&lt;'[2]Read Me'!$B$4,"Red",IF($H634-'[2]Read Me'!$B$4&lt;=21,"Amber","Green"))))</f>
        <v>Amber</v>
      </c>
    </row>
    <row r="635" spans="10:13" x14ac:dyDescent="0.3">
      <c r="J635" s="6" t="str">
        <f t="shared" si="30"/>
        <v/>
      </c>
      <c r="L635" s="7" t="str">
        <f t="shared" ca="1" si="31"/>
        <v/>
      </c>
      <c r="M635" s="4" t="str">
        <f>IF($I635="Complete","Green",IF($H635="","Amber",IF($H635&lt;'[2]Read Me'!$B$4,"Red",IF($H635-'[2]Read Me'!$B$4&lt;=21,"Amber","Green"))))</f>
        <v>Amber</v>
      </c>
    </row>
    <row r="636" spans="10:13" x14ac:dyDescent="0.3">
      <c r="J636" s="6" t="str">
        <f t="shared" si="30"/>
        <v/>
      </c>
      <c r="L636" s="7" t="str">
        <f t="shared" ca="1" si="31"/>
        <v/>
      </c>
      <c r="M636" s="4" t="str">
        <f>IF($I636="Complete","Green",IF($H636="","Amber",IF($H636&lt;'[2]Read Me'!$B$4,"Red",IF($H636-'[2]Read Me'!$B$4&lt;=21,"Amber","Green"))))</f>
        <v>Amber</v>
      </c>
    </row>
    <row r="637" spans="10:13" x14ac:dyDescent="0.3">
      <c r="J637" s="6" t="str">
        <f t="shared" si="30"/>
        <v/>
      </c>
      <c r="L637" s="7" t="str">
        <f t="shared" ca="1" si="31"/>
        <v/>
      </c>
      <c r="M637" s="4" t="str">
        <f>IF($I637="Complete","Green",IF($H637="","Amber",IF($H637&lt;'[2]Read Me'!$B$4,"Red",IF($H637-'[2]Read Me'!$B$4&lt;=21,"Amber","Green"))))</f>
        <v>Amber</v>
      </c>
    </row>
    <row r="638" spans="10:13" x14ac:dyDescent="0.3">
      <c r="J638" s="6" t="str">
        <f t="shared" si="30"/>
        <v/>
      </c>
      <c r="L638" s="7" t="str">
        <f t="shared" ca="1" si="31"/>
        <v/>
      </c>
      <c r="M638" s="4" t="str">
        <f>IF($I638="Complete","Green",IF($H638="","Amber",IF($H638&lt;'[2]Read Me'!$B$4,"Red",IF($H638-'[2]Read Me'!$B$4&lt;=21,"Amber","Green"))))</f>
        <v>Amber</v>
      </c>
    </row>
    <row r="639" spans="10:13" x14ac:dyDescent="0.3">
      <c r="J639" s="6" t="str">
        <f t="shared" si="30"/>
        <v/>
      </c>
      <c r="L639" s="7" t="str">
        <f t="shared" ca="1" si="31"/>
        <v/>
      </c>
      <c r="M639" s="4" t="str">
        <f>IF($I639="Complete","Green",IF($H639="","Amber",IF($H639&lt;'[2]Read Me'!$B$4,"Red",IF($H639-'[2]Read Me'!$B$4&lt;=21,"Amber","Green"))))</f>
        <v>Amber</v>
      </c>
    </row>
    <row r="640" spans="10:13" x14ac:dyDescent="0.3">
      <c r="J640" s="6" t="str">
        <f t="shared" si="30"/>
        <v/>
      </c>
      <c r="L640" s="7" t="str">
        <f t="shared" ca="1" si="31"/>
        <v/>
      </c>
      <c r="M640" s="4" t="str">
        <f>IF($I640="Complete","Green",IF($H640="","Amber",IF($H640&lt;'[2]Read Me'!$B$4,"Red",IF($H640-'[2]Read Me'!$B$4&lt;=21,"Amber","Green"))))</f>
        <v>Amber</v>
      </c>
    </row>
    <row r="641" spans="10:13" x14ac:dyDescent="0.3">
      <c r="J641" s="6" t="str">
        <f t="shared" si="30"/>
        <v/>
      </c>
      <c r="L641" s="7" t="str">
        <f t="shared" ca="1" si="31"/>
        <v/>
      </c>
      <c r="M641" s="4" t="str">
        <f>IF($I641="Complete","Green",IF($H641="","Amber",IF($H641&lt;'[2]Read Me'!$B$4,"Red",IF($H641-'[2]Read Me'!$B$4&lt;=21,"Amber","Green"))))</f>
        <v>Amber</v>
      </c>
    </row>
    <row r="642" spans="10:13" x14ac:dyDescent="0.3">
      <c r="J642" s="6" t="str">
        <f t="shared" si="30"/>
        <v/>
      </c>
      <c r="L642" s="7" t="str">
        <f t="shared" ca="1" si="31"/>
        <v/>
      </c>
      <c r="M642" s="4" t="str">
        <f>IF($I642="Complete","Green",IF($H642="","Amber",IF($H642&lt;'[2]Read Me'!$B$4,"Red",IF($H642-'[2]Read Me'!$B$4&lt;=21,"Amber","Green"))))</f>
        <v>Amber</v>
      </c>
    </row>
    <row r="643" spans="10:13" x14ac:dyDescent="0.3">
      <c r="J643" s="6" t="str">
        <f t="shared" si="30"/>
        <v/>
      </c>
      <c r="L643" s="7" t="str">
        <f t="shared" ca="1" si="31"/>
        <v/>
      </c>
      <c r="M643" s="4" t="str">
        <f>IF($I643="Complete","Green",IF($H643="","Amber",IF($H643&lt;'[2]Read Me'!$B$4,"Red",IF($H643-'[2]Read Me'!$B$4&lt;=21,"Amber","Green"))))</f>
        <v>Amber</v>
      </c>
    </row>
    <row r="644" spans="10:13" x14ac:dyDescent="0.3">
      <c r="J644" s="6" t="str">
        <f t="shared" ref="J644:J707" si="32">IF(OR($G644="",$H644=""),"",$H644-$G644)</f>
        <v/>
      </c>
      <c r="L644" s="7" t="str">
        <f t="shared" ca="1" si="31"/>
        <v/>
      </c>
      <c r="M644" s="4" t="str">
        <f>IF($I644="Complete","Green",IF($H644="","Amber",IF($H644&lt;'[2]Read Me'!$B$4,"Red",IF($H644-'[2]Read Me'!$B$4&lt;=21,"Amber","Green"))))</f>
        <v>Amber</v>
      </c>
    </row>
    <row r="645" spans="10:13" x14ac:dyDescent="0.3">
      <c r="J645" s="6" t="str">
        <f t="shared" si="32"/>
        <v/>
      </c>
      <c r="L645" s="7" t="str">
        <f t="shared" ref="L645:L708" ca="1" si="33">IF(I645="Completed",0,IF(H645="","",H645-TODAY()))</f>
        <v/>
      </c>
      <c r="M645" s="4" t="str">
        <f>IF($I645="Complete","Green",IF($H645="","Amber",IF($H645&lt;'[2]Read Me'!$B$4,"Red",IF($H645-'[2]Read Me'!$B$4&lt;=21,"Amber","Green"))))</f>
        <v>Amber</v>
      </c>
    </row>
    <row r="646" spans="10:13" x14ac:dyDescent="0.3">
      <c r="J646" s="6" t="str">
        <f t="shared" si="32"/>
        <v/>
      </c>
      <c r="L646" s="7" t="str">
        <f t="shared" ca="1" si="33"/>
        <v/>
      </c>
      <c r="M646" s="4" t="str">
        <f>IF($I646="Complete","Green",IF($H646="","Amber",IF($H646&lt;'[2]Read Me'!$B$4,"Red",IF($H646-'[2]Read Me'!$B$4&lt;=21,"Amber","Green"))))</f>
        <v>Amber</v>
      </c>
    </row>
    <row r="647" spans="10:13" x14ac:dyDescent="0.3">
      <c r="J647" s="6" t="str">
        <f t="shared" si="32"/>
        <v/>
      </c>
      <c r="L647" s="7" t="str">
        <f t="shared" ca="1" si="33"/>
        <v/>
      </c>
      <c r="M647" s="4" t="str">
        <f>IF($I647="Complete","Green",IF($H647="","Amber",IF($H647&lt;'[2]Read Me'!$B$4,"Red",IF($H647-'[2]Read Me'!$B$4&lt;=21,"Amber","Green"))))</f>
        <v>Amber</v>
      </c>
    </row>
    <row r="648" spans="10:13" x14ac:dyDescent="0.3">
      <c r="J648" s="6" t="str">
        <f t="shared" si="32"/>
        <v/>
      </c>
      <c r="L648" s="7" t="str">
        <f t="shared" ca="1" si="33"/>
        <v/>
      </c>
      <c r="M648" s="4" t="str">
        <f>IF($I648="Complete","Green",IF($H648="","Amber",IF($H648&lt;'[2]Read Me'!$B$4,"Red",IF($H648-'[2]Read Me'!$B$4&lt;=21,"Amber","Green"))))</f>
        <v>Amber</v>
      </c>
    </row>
    <row r="649" spans="10:13" x14ac:dyDescent="0.3">
      <c r="J649" s="6" t="str">
        <f t="shared" si="32"/>
        <v/>
      </c>
      <c r="L649" s="7" t="str">
        <f t="shared" ca="1" si="33"/>
        <v/>
      </c>
      <c r="M649" s="4" t="str">
        <f>IF($I649="Complete","Green",IF($H649="","Amber",IF($H649&lt;'[2]Read Me'!$B$4,"Red",IF($H649-'[2]Read Me'!$B$4&lt;=21,"Amber","Green"))))</f>
        <v>Amber</v>
      </c>
    </row>
    <row r="650" spans="10:13" x14ac:dyDescent="0.3">
      <c r="J650" s="6" t="str">
        <f t="shared" si="32"/>
        <v/>
      </c>
      <c r="L650" s="7" t="str">
        <f t="shared" ca="1" si="33"/>
        <v/>
      </c>
      <c r="M650" s="4" t="str">
        <f>IF($I650="Complete","Green",IF($H650="","Amber",IF($H650&lt;'[2]Read Me'!$B$4,"Red",IF($H650-'[2]Read Me'!$B$4&lt;=21,"Amber","Green"))))</f>
        <v>Amber</v>
      </c>
    </row>
    <row r="651" spans="10:13" x14ac:dyDescent="0.3">
      <c r="J651" s="6" t="str">
        <f t="shared" si="32"/>
        <v/>
      </c>
      <c r="L651" s="7" t="str">
        <f t="shared" ca="1" si="33"/>
        <v/>
      </c>
      <c r="M651" s="4" t="str">
        <f>IF($I651="Complete","Green",IF($H651="","Amber",IF($H651&lt;'[2]Read Me'!$B$4,"Red",IF($H651-'[2]Read Me'!$B$4&lt;=21,"Amber","Green"))))</f>
        <v>Amber</v>
      </c>
    </row>
    <row r="652" spans="10:13" x14ac:dyDescent="0.3">
      <c r="J652" s="6" t="str">
        <f t="shared" si="32"/>
        <v/>
      </c>
      <c r="L652" s="7" t="str">
        <f t="shared" ca="1" si="33"/>
        <v/>
      </c>
      <c r="M652" s="4" t="str">
        <f>IF($I652="Complete","Green",IF($H652="","Amber",IF($H652&lt;'[2]Read Me'!$B$4,"Red",IF($H652-'[2]Read Me'!$B$4&lt;=21,"Amber","Green"))))</f>
        <v>Amber</v>
      </c>
    </row>
    <row r="653" spans="10:13" x14ac:dyDescent="0.3">
      <c r="J653" s="6" t="str">
        <f t="shared" si="32"/>
        <v/>
      </c>
      <c r="L653" s="7" t="str">
        <f t="shared" ca="1" si="33"/>
        <v/>
      </c>
      <c r="M653" s="4" t="str">
        <f>IF($I653="Complete","Green",IF($H653="","Amber",IF($H653&lt;'[2]Read Me'!$B$4,"Red",IF($H653-'[2]Read Me'!$B$4&lt;=21,"Amber","Green"))))</f>
        <v>Amber</v>
      </c>
    </row>
    <row r="654" spans="10:13" x14ac:dyDescent="0.3">
      <c r="J654" s="6" t="str">
        <f t="shared" si="32"/>
        <v/>
      </c>
      <c r="L654" s="7" t="str">
        <f t="shared" ca="1" si="33"/>
        <v/>
      </c>
      <c r="M654" s="4" t="str">
        <f>IF($I654="Complete","Green",IF($H654="","Amber",IF($H654&lt;'[2]Read Me'!$B$4,"Red",IF($H654-'[2]Read Me'!$B$4&lt;=21,"Amber","Green"))))</f>
        <v>Amber</v>
      </c>
    </row>
    <row r="655" spans="10:13" x14ac:dyDescent="0.3">
      <c r="J655" s="6" t="str">
        <f t="shared" si="32"/>
        <v/>
      </c>
      <c r="L655" s="7" t="str">
        <f t="shared" ca="1" si="33"/>
        <v/>
      </c>
      <c r="M655" s="4" t="str">
        <f>IF($I655="Complete","Green",IF($H655="","Amber",IF($H655&lt;'[2]Read Me'!$B$4,"Red",IF($H655-'[2]Read Me'!$B$4&lt;=21,"Amber","Green"))))</f>
        <v>Amber</v>
      </c>
    </row>
    <row r="656" spans="10:13" x14ac:dyDescent="0.3">
      <c r="J656" s="6" t="str">
        <f t="shared" si="32"/>
        <v/>
      </c>
      <c r="L656" s="7" t="str">
        <f t="shared" ca="1" si="33"/>
        <v/>
      </c>
      <c r="M656" s="4" t="str">
        <f>IF($I656="Complete","Green",IF($H656="","Amber",IF($H656&lt;'[2]Read Me'!$B$4,"Red",IF($H656-'[2]Read Me'!$B$4&lt;=21,"Amber","Green"))))</f>
        <v>Amber</v>
      </c>
    </row>
    <row r="657" spans="10:13" x14ac:dyDescent="0.3">
      <c r="J657" s="6" t="str">
        <f t="shared" si="32"/>
        <v/>
      </c>
      <c r="L657" s="7" t="str">
        <f t="shared" ca="1" si="33"/>
        <v/>
      </c>
      <c r="M657" s="4" t="str">
        <f>IF($I657="Complete","Green",IF($H657="","Amber",IF($H657&lt;'[2]Read Me'!$B$4,"Red",IF($H657-'[2]Read Me'!$B$4&lt;=21,"Amber","Green"))))</f>
        <v>Amber</v>
      </c>
    </row>
    <row r="658" spans="10:13" x14ac:dyDescent="0.3">
      <c r="J658" s="6" t="str">
        <f t="shared" si="32"/>
        <v/>
      </c>
      <c r="L658" s="7" t="str">
        <f t="shared" ca="1" si="33"/>
        <v/>
      </c>
      <c r="M658" s="4" t="str">
        <f>IF($I658="Complete","Green",IF($H658="","Amber",IF($H658&lt;'[2]Read Me'!$B$4,"Red",IF($H658-'[2]Read Me'!$B$4&lt;=21,"Amber","Green"))))</f>
        <v>Amber</v>
      </c>
    </row>
    <row r="659" spans="10:13" x14ac:dyDescent="0.3">
      <c r="J659" s="6" t="str">
        <f t="shared" si="32"/>
        <v/>
      </c>
      <c r="L659" s="7" t="str">
        <f t="shared" ca="1" si="33"/>
        <v/>
      </c>
      <c r="M659" s="4" t="str">
        <f>IF($I659="Complete","Green",IF($H659="","Amber",IF($H659&lt;'[2]Read Me'!$B$4,"Red",IF($H659-'[2]Read Me'!$B$4&lt;=21,"Amber","Green"))))</f>
        <v>Amber</v>
      </c>
    </row>
    <row r="660" spans="10:13" x14ac:dyDescent="0.3">
      <c r="J660" s="6" t="str">
        <f t="shared" si="32"/>
        <v/>
      </c>
      <c r="L660" s="7" t="str">
        <f t="shared" ca="1" si="33"/>
        <v/>
      </c>
      <c r="M660" s="4" t="str">
        <f>IF($I660="Complete","Green",IF($H660="","Amber",IF($H660&lt;'[2]Read Me'!$B$4,"Red",IF($H660-'[2]Read Me'!$B$4&lt;=21,"Amber","Green"))))</f>
        <v>Amber</v>
      </c>
    </row>
    <row r="661" spans="10:13" x14ac:dyDescent="0.3">
      <c r="J661" s="6" t="str">
        <f t="shared" si="32"/>
        <v/>
      </c>
      <c r="L661" s="7" t="str">
        <f t="shared" ca="1" si="33"/>
        <v/>
      </c>
      <c r="M661" s="4" t="str">
        <f>IF($I661="Complete","Green",IF($H661="","Amber",IF($H661&lt;'[2]Read Me'!$B$4,"Red",IF($H661-'[2]Read Me'!$B$4&lt;=21,"Amber","Green"))))</f>
        <v>Amber</v>
      </c>
    </row>
    <row r="662" spans="10:13" x14ac:dyDescent="0.3">
      <c r="J662" s="6" t="str">
        <f t="shared" si="32"/>
        <v/>
      </c>
      <c r="L662" s="7" t="str">
        <f t="shared" ca="1" si="33"/>
        <v/>
      </c>
      <c r="M662" s="4" t="str">
        <f>IF($I662="Complete","Green",IF($H662="","Amber",IF($H662&lt;'[2]Read Me'!$B$4,"Red",IF($H662-'[2]Read Me'!$B$4&lt;=21,"Amber","Green"))))</f>
        <v>Amber</v>
      </c>
    </row>
    <row r="663" spans="10:13" x14ac:dyDescent="0.3">
      <c r="J663" s="6" t="str">
        <f t="shared" si="32"/>
        <v/>
      </c>
      <c r="L663" s="7" t="str">
        <f t="shared" ca="1" si="33"/>
        <v/>
      </c>
      <c r="M663" s="4" t="str">
        <f>IF($I663="Complete","Green",IF($H663="","Amber",IF($H663&lt;'[2]Read Me'!$B$4,"Red",IF($H663-'[2]Read Me'!$B$4&lt;=21,"Amber","Green"))))</f>
        <v>Amber</v>
      </c>
    </row>
    <row r="664" spans="10:13" x14ac:dyDescent="0.3">
      <c r="J664" s="6" t="str">
        <f t="shared" si="32"/>
        <v/>
      </c>
      <c r="L664" s="7" t="str">
        <f t="shared" ca="1" si="33"/>
        <v/>
      </c>
      <c r="M664" s="4" t="str">
        <f>IF($I664="Complete","Green",IF($H664="","Amber",IF($H664&lt;'[2]Read Me'!$B$4,"Red",IF($H664-'[2]Read Me'!$B$4&lt;=21,"Amber","Green"))))</f>
        <v>Amber</v>
      </c>
    </row>
    <row r="665" spans="10:13" x14ac:dyDescent="0.3">
      <c r="J665" s="6" t="str">
        <f t="shared" si="32"/>
        <v/>
      </c>
      <c r="L665" s="7" t="str">
        <f t="shared" ca="1" si="33"/>
        <v/>
      </c>
      <c r="M665" s="4" t="str">
        <f>IF($I665="Complete","Green",IF($H665="","Amber",IF($H665&lt;'[2]Read Me'!$B$4,"Red",IF($H665-'[2]Read Me'!$B$4&lt;=21,"Amber","Green"))))</f>
        <v>Amber</v>
      </c>
    </row>
    <row r="666" spans="10:13" x14ac:dyDescent="0.3">
      <c r="J666" s="6" t="str">
        <f t="shared" si="32"/>
        <v/>
      </c>
      <c r="L666" s="7" t="str">
        <f t="shared" ca="1" si="33"/>
        <v/>
      </c>
      <c r="M666" s="4" t="str">
        <f>IF($I666="Complete","Green",IF($H666="","Amber",IF($H666&lt;'[2]Read Me'!$B$4,"Red",IF($H666-'[2]Read Me'!$B$4&lt;=21,"Amber","Green"))))</f>
        <v>Amber</v>
      </c>
    </row>
    <row r="667" spans="10:13" x14ac:dyDescent="0.3">
      <c r="J667" s="6" t="str">
        <f t="shared" si="32"/>
        <v/>
      </c>
      <c r="L667" s="7" t="str">
        <f t="shared" ca="1" si="33"/>
        <v/>
      </c>
      <c r="M667" s="4" t="str">
        <f>IF($I667="Complete","Green",IF($H667="","Amber",IF($H667&lt;'[2]Read Me'!$B$4,"Red",IF($H667-'[2]Read Me'!$B$4&lt;=21,"Amber","Green"))))</f>
        <v>Amber</v>
      </c>
    </row>
    <row r="668" spans="10:13" x14ac:dyDescent="0.3">
      <c r="J668" s="6" t="str">
        <f t="shared" si="32"/>
        <v/>
      </c>
      <c r="L668" s="7" t="str">
        <f t="shared" ca="1" si="33"/>
        <v/>
      </c>
      <c r="M668" s="4" t="str">
        <f>IF($I668="Complete","Green",IF($H668="","Amber",IF($H668&lt;'[2]Read Me'!$B$4,"Red",IF($H668-'[2]Read Me'!$B$4&lt;=21,"Amber","Green"))))</f>
        <v>Amber</v>
      </c>
    </row>
    <row r="669" spans="10:13" x14ac:dyDescent="0.3">
      <c r="J669" s="6" t="str">
        <f t="shared" si="32"/>
        <v/>
      </c>
      <c r="L669" s="7" t="str">
        <f t="shared" ca="1" si="33"/>
        <v/>
      </c>
      <c r="M669" s="4" t="str">
        <f>IF($I669="Complete","Green",IF($H669="","Amber",IF($H669&lt;'[2]Read Me'!$B$4,"Red",IF($H669-'[2]Read Me'!$B$4&lt;=21,"Amber","Green"))))</f>
        <v>Amber</v>
      </c>
    </row>
    <row r="670" spans="10:13" x14ac:dyDescent="0.3">
      <c r="J670" s="6" t="str">
        <f t="shared" si="32"/>
        <v/>
      </c>
      <c r="L670" s="7" t="str">
        <f t="shared" ca="1" si="33"/>
        <v/>
      </c>
      <c r="M670" s="4" t="str">
        <f>IF($I670="Complete","Green",IF($H670="","Amber",IF($H670&lt;'[2]Read Me'!$B$4,"Red",IF($H670-'[2]Read Me'!$B$4&lt;=21,"Amber","Green"))))</f>
        <v>Amber</v>
      </c>
    </row>
    <row r="671" spans="10:13" x14ac:dyDescent="0.3">
      <c r="J671" s="6" t="str">
        <f t="shared" si="32"/>
        <v/>
      </c>
      <c r="L671" s="7" t="str">
        <f t="shared" ca="1" si="33"/>
        <v/>
      </c>
      <c r="M671" s="4" t="str">
        <f>IF($I671="Complete","Green",IF($H671="","Amber",IF($H671&lt;'[2]Read Me'!$B$4,"Red",IF($H671-'[2]Read Me'!$B$4&lt;=21,"Amber","Green"))))</f>
        <v>Amber</v>
      </c>
    </row>
    <row r="672" spans="10:13" x14ac:dyDescent="0.3">
      <c r="J672" s="6" t="str">
        <f t="shared" si="32"/>
        <v/>
      </c>
      <c r="L672" s="7" t="str">
        <f t="shared" ca="1" si="33"/>
        <v/>
      </c>
      <c r="M672" s="4" t="str">
        <f>IF($I672="Complete","Green",IF($H672="","Amber",IF($H672&lt;'[2]Read Me'!$B$4,"Red",IF($H672-'[2]Read Me'!$B$4&lt;=21,"Amber","Green"))))</f>
        <v>Amber</v>
      </c>
    </row>
    <row r="673" spans="10:13" x14ac:dyDescent="0.3">
      <c r="J673" s="6" t="str">
        <f t="shared" si="32"/>
        <v/>
      </c>
      <c r="L673" s="7" t="str">
        <f t="shared" ca="1" si="33"/>
        <v/>
      </c>
      <c r="M673" s="4" t="str">
        <f>IF($I673="Complete","Green",IF($H673="","Amber",IF($H673&lt;'[2]Read Me'!$B$4,"Red",IF($H673-'[2]Read Me'!$B$4&lt;=21,"Amber","Green"))))</f>
        <v>Amber</v>
      </c>
    </row>
    <row r="674" spans="10:13" x14ac:dyDescent="0.3">
      <c r="J674" s="6" t="str">
        <f t="shared" si="32"/>
        <v/>
      </c>
      <c r="L674" s="7" t="str">
        <f t="shared" ca="1" si="33"/>
        <v/>
      </c>
      <c r="M674" s="4" t="str">
        <f>IF($I674="Complete","Green",IF($H674="","Amber",IF($H674&lt;'[2]Read Me'!$B$4,"Red",IF($H674-'[2]Read Me'!$B$4&lt;=21,"Amber","Green"))))</f>
        <v>Amber</v>
      </c>
    </row>
    <row r="675" spans="10:13" x14ac:dyDescent="0.3">
      <c r="J675" s="6" t="str">
        <f t="shared" si="32"/>
        <v/>
      </c>
      <c r="L675" s="7" t="str">
        <f t="shared" ca="1" si="33"/>
        <v/>
      </c>
      <c r="M675" s="4" t="str">
        <f>IF($I675="Complete","Green",IF($H675="","Amber",IF($H675&lt;'[2]Read Me'!$B$4,"Red",IF($H675-'[2]Read Me'!$B$4&lt;=21,"Amber","Green"))))</f>
        <v>Amber</v>
      </c>
    </row>
    <row r="676" spans="10:13" x14ac:dyDescent="0.3">
      <c r="J676" s="6" t="str">
        <f t="shared" si="32"/>
        <v/>
      </c>
      <c r="L676" s="7" t="str">
        <f t="shared" ca="1" si="33"/>
        <v/>
      </c>
      <c r="M676" s="4" t="str">
        <f>IF($I676="Complete","Green",IF($H676="","Amber",IF($H676&lt;'[2]Read Me'!$B$4,"Red",IF($H676-'[2]Read Me'!$B$4&lt;=21,"Amber","Green"))))</f>
        <v>Amber</v>
      </c>
    </row>
    <row r="677" spans="10:13" x14ac:dyDescent="0.3">
      <c r="J677" s="6" t="str">
        <f t="shared" si="32"/>
        <v/>
      </c>
      <c r="L677" s="7" t="str">
        <f t="shared" ca="1" si="33"/>
        <v/>
      </c>
      <c r="M677" s="4" t="str">
        <f>IF($I677="Complete","Green",IF($H677="","Amber",IF($H677&lt;'[2]Read Me'!$B$4,"Red",IF($H677-'[2]Read Me'!$B$4&lt;=21,"Amber","Green"))))</f>
        <v>Amber</v>
      </c>
    </row>
    <row r="678" spans="10:13" x14ac:dyDescent="0.3">
      <c r="J678" s="6" t="str">
        <f t="shared" si="32"/>
        <v/>
      </c>
      <c r="L678" s="7" t="str">
        <f t="shared" ca="1" si="33"/>
        <v/>
      </c>
      <c r="M678" s="4" t="str">
        <f>IF($I678="Complete","Green",IF($H678="","Amber",IF($H678&lt;'[2]Read Me'!$B$4,"Red",IF($H678-'[2]Read Me'!$B$4&lt;=21,"Amber","Green"))))</f>
        <v>Amber</v>
      </c>
    </row>
    <row r="679" spans="10:13" x14ac:dyDescent="0.3">
      <c r="J679" s="6" t="str">
        <f t="shared" si="32"/>
        <v/>
      </c>
      <c r="L679" s="7" t="str">
        <f t="shared" ca="1" si="33"/>
        <v/>
      </c>
      <c r="M679" s="4" t="str">
        <f>IF($I679="Complete","Green",IF($H679="","Amber",IF($H679&lt;'[2]Read Me'!$B$4,"Red",IF($H679-'[2]Read Me'!$B$4&lt;=21,"Amber","Green"))))</f>
        <v>Amber</v>
      </c>
    </row>
    <row r="680" spans="10:13" x14ac:dyDescent="0.3">
      <c r="J680" s="6" t="str">
        <f t="shared" si="32"/>
        <v/>
      </c>
      <c r="L680" s="7" t="str">
        <f t="shared" ca="1" si="33"/>
        <v/>
      </c>
      <c r="M680" s="4" t="str">
        <f>IF($I680="Complete","Green",IF($H680="","Amber",IF($H680&lt;'[2]Read Me'!$B$4,"Red",IF($H680-'[2]Read Me'!$B$4&lt;=21,"Amber","Green"))))</f>
        <v>Amber</v>
      </c>
    </row>
    <row r="681" spans="10:13" x14ac:dyDescent="0.3">
      <c r="J681" s="6" t="str">
        <f t="shared" si="32"/>
        <v/>
      </c>
      <c r="L681" s="7" t="str">
        <f t="shared" ca="1" si="33"/>
        <v/>
      </c>
      <c r="M681" s="4" t="str">
        <f>IF($I681="Complete","Green",IF($H681="","Amber",IF($H681&lt;'[2]Read Me'!$B$4,"Red",IF($H681-'[2]Read Me'!$B$4&lt;=21,"Amber","Green"))))</f>
        <v>Amber</v>
      </c>
    </row>
    <row r="682" spans="10:13" x14ac:dyDescent="0.3">
      <c r="J682" s="6" t="str">
        <f t="shared" si="32"/>
        <v/>
      </c>
      <c r="L682" s="7" t="str">
        <f t="shared" ca="1" si="33"/>
        <v/>
      </c>
      <c r="M682" s="4" t="str">
        <f>IF($I682="Complete","Green",IF($H682="","Amber",IF($H682&lt;'[2]Read Me'!$B$4,"Red",IF($H682-'[2]Read Me'!$B$4&lt;=21,"Amber","Green"))))</f>
        <v>Amber</v>
      </c>
    </row>
    <row r="683" spans="10:13" x14ac:dyDescent="0.3">
      <c r="J683" s="6" t="str">
        <f t="shared" si="32"/>
        <v/>
      </c>
      <c r="L683" s="7" t="str">
        <f t="shared" ca="1" si="33"/>
        <v/>
      </c>
      <c r="M683" s="4" t="str">
        <f>IF($I683="Complete","Green",IF($H683="","Amber",IF($H683&lt;'[2]Read Me'!$B$4,"Red",IF($H683-'[2]Read Me'!$B$4&lt;=21,"Amber","Green"))))</f>
        <v>Amber</v>
      </c>
    </row>
    <row r="684" spans="10:13" x14ac:dyDescent="0.3">
      <c r="J684" s="6" t="str">
        <f t="shared" si="32"/>
        <v/>
      </c>
      <c r="L684" s="7" t="str">
        <f t="shared" ca="1" si="33"/>
        <v/>
      </c>
      <c r="M684" s="4" t="str">
        <f>IF($I684="Complete","Green",IF($H684="","Amber",IF($H684&lt;'[2]Read Me'!$B$4,"Red",IF($H684-'[2]Read Me'!$B$4&lt;=21,"Amber","Green"))))</f>
        <v>Amber</v>
      </c>
    </row>
    <row r="685" spans="10:13" x14ac:dyDescent="0.3">
      <c r="J685" s="6" t="str">
        <f t="shared" si="32"/>
        <v/>
      </c>
      <c r="L685" s="7" t="str">
        <f t="shared" ca="1" si="33"/>
        <v/>
      </c>
      <c r="M685" s="4" t="str">
        <f>IF($I685="Complete","Green",IF($H685="","Amber",IF($H685&lt;'[2]Read Me'!$B$4,"Red",IF($H685-'[2]Read Me'!$B$4&lt;=21,"Amber","Green"))))</f>
        <v>Amber</v>
      </c>
    </row>
    <row r="686" spans="10:13" x14ac:dyDescent="0.3">
      <c r="J686" s="6" t="str">
        <f t="shared" si="32"/>
        <v/>
      </c>
      <c r="L686" s="7" t="str">
        <f t="shared" ca="1" si="33"/>
        <v/>
      </c>
      <c r="M686" s="4" t="str">
        <f>IF($I686="Complete","Green",IF($H686="","Amber",IF($H686&lt;'[2]Read Me'!$B$4,"Red",IF($H686-'[2]Read Me'!$B$4&lt;=21,"Amber","Green"))))</f>
        <v>Amber</v>
      </c>
    </row>
    <row r="687" spans="10:13" x14ac:dyDescent="0.3">
      <c r="J687" s="6" t="str">
        <f t="shared" si="32"/>
        <v/>
      </c>
      <c r="L687" s="7" t="str">
        <f t="shared" ca="1" si="33"/>
        <v/>
      </c>
      <c r="M687" s="4" t="str">
        <f>IF($I687="Complete","Green",IF($H687="","Amber",IF($H687&lt;'[2]Read Me'!$B$4,"Red",IF($H687-'[2]Read Me'!$B$4&lt;=21,"Amber","Green"))))</f>
        <v>Amber</v>
      </c>
    </row>
    <row r="688" spans="10:13" x14ac:dyDescent="0.3">
      <c r="J688" s="6" t="str">
        <f t="shared" si="32"/>
        <v/>
      </c>
      <c r="L688" s="7" t="str">
        <f t="shared" ca="1" si="33"/>
        <v/>
      </c>
      <c r="M688" s="4" t="str">
        <f>IF($I688="Complete","Green",IF($H688="","Amber",IF($H688&lt;'[2]Read Me'!$B$4,"Red",IF($H688-'[2]Read Me'!$B$4&lt;=21,"Amber","Green"))))</f>
        <v>Amber</v>
      </c>
    </row>
    <row r="689" spans="10:13" x14ac:dyDescent="0.3">
      <c r="J689" s="6" t="str">
        <f t="shared" si="32"/>
        <v/>
      </c>
      <c r="L689" s="7" t="str">
        <f t="shared" ca="1" si="33"/>
        <v/>
      </c>
      <c r="M689" s="4" t="str">
        <f>IF($I689="Complete","Green",IF($H689="","Amber",IF($H689&lt;'[2]Read Me'!$B$4,"Red",IF($H689-'[2]Read Me'!$B$4&lt;=21,"Amber","Green"))))</f>
        <v>Amber</v>
      </c>
    </row>
    <row r="690" spans="10:13" x14ac:dyDescent="0.3">
      <c r="J690" s="6" t="str">
        <f t="shared" si="32"/>
        <v/>
      </c>
      <c r="L690" s="7" t="str">
        <f t="shared" ca="1" si="33"/>
        <v/>
      </c>
      <c r="M690" s="4" t="str">
        <f>IF($I690="Complete","Green",IF($H690="","Amber",IF($H690&lt;'[2]Read Me'!$B$4,"Red",IF($H690-'[2]Read Me'!$B$4&lt;=21,"Amber","Green"))))</f>
        <v>Amber</v>
      </c>
    </row>
    <row r="691" spans="10:13" x14ac:dyDescent="0.3">
      <c r="J691" s="6" t="str">
        <f t="shared" si="32"/>
        <v/>
      </c>
      <c r="L691" s="7" t="str">
        <f t="shared" ca="1" si="33"/>
        <v/>
      </c>
      <c r="M691" s="4" t="str">
        <f>IF($I691="Complete","Green",IF($H691="","Amber",IF($H691&lt;'[2]Read Me'!$B$4,"Red",IF($H691-'[2]Read Me'!$B$4&lt;=21,"Amber","Green"))))</f>
        <v>Amber</v>
      </c>
    </row>
    <row r="692" spans="10:13" x14ac:dyDescent="0.3">
      <c r="J692" s="6" t="str">
        <f t="shared" si="32"/>
        <v/>
      </c>
      <c r="L692" s="7" t="str">
        <f t="shared" ca="1" si="33"/>
        <v/>
      </c>
      <c r="M692" s="4" t="str">
        <f>IF($I692="Complete","Green",IF($H692="","Amber",IF($H692&lt;'[2]Read Me'!$B$4,"Red",IF($H692-'[2]Read Me'!$B$4&lt;=21,"Amber","Green"))))</f>
        <v>Amber</v>
      </c>
    </row>
    <row r="693" spans="10:13" x14ac:dyDescent="0.3">
      <c r="J693" s="6" t="str">
        <f t="shared" si="32"/>
        <v/>
      </c>
      <c r="L693" s="7" t="str">
        <f t="shared" ca="1" si="33"/>
        <v/>
      </c>
      <c r="M693" s="4" t="str">
        <f>IF($I693="Complete","Green",IF($H693="","Amber",IF($H693&lt;'[2]Read Me'!$B$4,"Red",IF($H693-'[2]Read Me'!$B$4&lt;=21,"Amber","Green"))))</f>
        <v>Amber</v>
      </c>
    </row>
    <row r="694" spans="10:13" x14ac:dyDescent="0.3">
      <c r="J694" s="6" t="str">
        <f t="shared" si="32"/>
        <v/>
      </c>
      <c r="L694" s="7" t="str">
        <f t="shared" ca="1" si="33"/>
        <v/>
      </c>
      <c r="M694" s="4" t="str">
        <f>IF($I694="Complete","Green",IF($H694="","Amber",IF($H694&lt;'[2]Read Me'!$B$4,"Red",IF($H694-'[2]Read Me'!$B$4&lt;=21,"Amber","Green"))))</f>
        <v>Amber</v>
      </c>
    </row>
    <row r="695" spans="10:13" x14ac:dyDescent="0.3">
      <c r="J695" s="6" t="str">
        <f t="shared" si="32"/>
        <v/>
      </c>
      <c r="L695" s="7" t="str">
        <f t="shared" ca="1" si="33"/>
        <v/>
      </c>
      <c r="M695" s="4" t="str">
        <f>IF($I695="Complete","Green",IF($H695="","Amber",IF($H695&lt;'[2]Read Me'!$B$4,"Red",IF($H695-'[2]Read Me'!$B$4&lt;=21,"Amber","Green"))))</f>
        <v>Amber</v>
      </c>
    </row>
    <row r="696" spans="10:13" x14ac:dyDescent="0.3">
      <c r="J696" s="6" t="str">
        <f t="shared" si="32"/>
        <v/>
      </c>
      <c r="L696" s="7" t="str">
        <f t="shared" ca="1" si="33"/>
        <v/>
      </c>
      <c r="M696" s="4" t="str">
        <f>IF($I696="Complete","Green",IF($H696="","Amber",IF($H696&lt;'[2]Read Me'!$B$4,"Red",IF($H696-'[2]Read Me'!$B$4&lt;=21,"Amber","Green"))))</f>
        <v>Amber</v>
      </c>
    </row>
    <row r="697" spans="10:13" x14ac:dyDescent="0.3">
      <c r="J697" s="6" t="str">
        <f t="shared" si="32"/>
        <v/>
      </c>
      <c r="L697" s="7" t="str">
        <f t="shared" ca="1" si="33"/>
        <v/>
      </c>
      <c r="M697" s="4" t="str">
        <f>IF($I697="Complete","Green",IF($H697="","Amber",IF($H697&lt;'[2]Read Me'!$B$4,"Red",IF($H697-'[2]Read Me'!$B$4&lt;=21,"Amber","Green"))))</f>
        <v>Amber</v>
      </c>
    </row>
    <row r="698" spans="10:13" x14ac:dyDescent="0.3">
      <c r="J698" s="6" t="str">
        <f t="shared" si="32"/>
        <v/>
      </c>
      <c r="L698" s="7" t="str">
        <f t="shared" ca="1" si="33"/>
        <v/>
      </c>
      <c r="M698" s="4" t="str">
        <f>IF($I698="Complete","Green",IF($H698="","Amber",IF($H698&lt;'[2]Read Me'!$B$4,"Red",IF($H698-'[2]Read Me'!$B$4&lt;=21,"Amber","Green"))))</f>
        <v>Amber</v>
      </c>
    </row>
    <row r="699" spans="10:13" x14ac:dyDescent="0.3">
      <c r="J699" s="6" t="str">
        <f t="shared" si="32"/>
        <v/>
      </c>
      <c r="L699" s="7" t="str">
        <f t="shared" ca="1" si="33"/>
        <v/>
      </c>
      <c r="M699" s="4" t="str">
        <f>IF($I699="Complete","Green",IF($H699="","Amber",IF($H699&lt;'[2]Read Me'!$B$4,"Red",IF($H699-'[2]Read Me'!$B$4&lt;=21,"Amber","Green"))))</f>
        <v>Amber</v>
      </c>
    </row>
    <row r="700" spans="10:13" x14ac:dyDescent="0.3">
      <c r="J700" s="6" t="str">
        <f t="shared" si="32"/>
        <v/>
      </c>
      <c r="L700" s="7" t="str">
        <f t="shared" ca="1" si="33"/>
        <v/>
      </c>
      <c r="M700" s="4" t="str">
        <f>IF($I700="Complete","Green",IF($H700="","Amber",IF($H700&lt;'[2]Read Me'!$B$4,"Red",IF($H700-'[2]Read Me'!$B$4&lt;=21,"Amber","Green"))))</f>
        <v>Amber</v>
      </c>
    </row>
    <row r="701" spans="10:13" x14ac:dyDescent="0.3">
      <c r="J701" s="6" t="str">
        <f t="shared" si="32"/>
        <v/>
      </c>
      <c r="L701" s="7" t="str">
        <f t="shared" ca="1" si="33"/>
        <v/>
      </c>
      <c r="M701" s="4" t="str">
        <f>IF($I701="Complete","Green",IF($H701="","Amber",IF($H701&lt;'[2]Read Me'!$B$4,"Red",IF($H701-'[2]Read Me'!$B$4&lt;=21,"Amber","Green"))))</f>
        <v>Amber</v>
      </c>
    </row>
    <row r="702" spans="10:13" x14ac:dyDescent="0.3">
      <c r="J702" s="6" t="str">
        <f t="shared" si="32"/>
        <v/>
      </c>
      <c r="L702" s="7" t="str">
        <f t="shared" ca="1" si="33"/>
        <v/>
      </c>
      <c r="M702" s="4" t="str">
        <f>IF($I702="Complete","Green",IF($H702="","Amber",IF($H702&lt;'[2]Read Me'!$B$4,"Red",IF($H702-'[2]Read Me'!$B$4&lt;=21,"Amber","Green"))))</f>
        <v>Amber</v>
      </c>
    </row>
    <row r="703" spans="10:13" x14ac:dyDescent="0.3">
      <c r="J703" s="6" t="str">
        <f t="shared" si="32"/>
        <v/>
      </c>
      <c r="L703" s="7" t="str">
        <f t="shared" ca="1" si="33"/>
        <v/>
      </c>
      <c r="M703" s="4" t="str">
        <f>IF($I703="Complete","Green",IF($H703="","Amber",IF($H703&lt;'[2]Read Me'!$B$4,"Red",IF($H703-'[2]Read Me'!$B$4&lt;=21,"Amber","Green"))))</f>
        <v>Amber</v>
      </c>
    </row>
    <row r="704" spans="10:13" x14ac:dyDescent="0.3">
      <c r="J704" s="6" t="str">
        <f t="shared" si="32"/>
        <v/>
      </c>
      <c r="L704" s="7" t="str">
        <f t="shared" ca="1" si="33"/>
        <v/>
      </c>
      <c r="M704" s="4" t="str">
        <f>IF($I704="Complete","Green",IF($H704="","Amber",IF($H704&lt;'[2]Read Me'!$B$4,"Red",IF($H704-'[2]Read Me'!$B$4&lt;=21,"Amber","Green"))))</f>
        <v>Amber</v>
      </c>
    </row>
    <row r="705" spans="10:13" x14ac:dyDescent="0.3">
      <c r="J705" s="6" t="str">
        <f t="shared" si="32"/>
        <v/>
      </c>
      <c r="L705" s="7" t="str">
        <f t="shared" ca="1" si="33"/>
        <v/>
      </c>
      <c r="M705" s="4" t="str">
        <f>IF($I705="Complete","Green",IF($H705="","Amber",IF($H705&lt;'[2]Read Me'!$B$4,"Red",IF($H705-'[2]Read Me'!$B$4&lt;=21,"Amber","Green"))))</f>
        <v>Amber</v>
      </c>
    </row>
    <row r="706" spans="10:13" x14ac:dyDescent="0.3">
      <c r="J706" s="6" t="str">
        <f t="shared" si="32"/>
        <v/>
      </c>
      <c r="L706" s="7" t="str">
        <f t="shared" ca="1" si="33"/>
        <v/>
      </c>
      <c r="M706" s="4" t="str">
        <f>IF($I706="Complete","Green",IF($H706="","Amber",IF($H706&lt;'[2]Read Me'!$B$4,"Red",IF($H706-'[2]Read Me'!$B$4&lt;=21,"Amber","Green"))))</f>
        <v>Amber</v>
      </c>
    </row>
    <row r="707" spans="10:13" x14ac:dyDescent="0.3">
      <c r="J707" s="6" t="str">
        <f t="shared" si="32"/>
        <v/>
      </c>
      <c r="L707" s="7" t="str">
        <f t="shared" ca="1" si="33"/>
        <v/>
      </c>
      <c r="M707" s="4" t="str">
        <f>IF($I707="Complete","Green",IF($H707="","Amber",IF($H707&lt;'[2]Read Me'!$B$4,"Red",IF($H707-'[2]Read Me'!$B$4&lt;=21,"Amber","Green"))))</f>
        <v>Amber</v>
      </c>
    </row>
    <row r="708" spans="10:13" x14ac:dyDescent="0.3">
      <c r="J708" s="6" t="str">
        <f t="shared" ref="J708:J771" si="34">IF(OR($G708="",$H708=""),"",$H708-$G708)</f>
        <v/>
      </c>
      <c r="L708" s="7" t="str">
        <f t="shared" ca="1" si="33"/>
        <v/>
      </c>
      <c r="M708" s="4" t="str">
        <f>IF($I708="Complete","Green",IF($H708="","Amber",IF($H708&lt;'[2]Read Me'!$B$4,"Red",IF($H708-'[2]Read Me'!$B$4&lt;=21,"Amber","Green"))))</f>
        <v>Amber</v>
      </c>
    </row>
    <row r="709" spans="10:13" x14ac:dyDescent="0.3">
      <c r="J709" s="6" t="str">
        <f t="shared" si="34"/>
        <v/>
      </c>
      <c r="L709" s="7" t="str">
        <f t="shared" ref="L709:L772" ca="1" si="35">IF(I709="Completed",0,IF(H709="","",H709-TODAY()))</f>
        <v/>
      </c>
      <c r="M709" s="4" t="str">
        <f>IF($I709="Complete","Green",IF($H709="","Amber",IF($H709&lt;'[2]Read Me'!$B$4,"Red",IF($H709-'[2]Read Me'!$B$4&lt;=21,"Amber","Green"))))</f>
        <v>Amber</v>
      </c>
    </row>
    <row r="710" spans="10:13" x14ac:dyDescent="0.3">
      <c r="J710" s="6" t="str">
        <f t="shared" si="34"/>
        <v/>
      </c>
      <c r="L710" s="7" t="str">
        <f t="shared" ca="1" si="35"/>
        <v/>
      </c>
      <c r="M710" s="4" t="str">
        <f>IF($I710="Complete","Green",IF($H710="","Amber",IF($H710&lt;'[2]Read Me'!$B$4,"Red",IF($H710-'[2]Read Me'!$B$4&lt;=21,"Amber","Green"))))</f>
        <v>Amber</v>
      </c>
    </row>
    <row r="711" spans="10:13" x14ac:dyDescent="0.3">
      <c r="J711" s="6" t="str">
        <f t="shared" si="34"/>
        <v/>
      </c>
      <c r="L711" s="7" t="str">
        <f t="shared" ca="1" si="35"/>
        <v/>
      </c>
      <c r="M711" s="4" t="str">
        <f>IF($I711="Complete","Green",IF($H711="","Amber",IF($H711&lt;'[2]Read Me'!$B$4,"Red",IF($H711-'[2]Read Me'!$B$4&lt;=21,"Amber","Green"))))</f>
        <v>Amber</v>
      </c>
    </row>
    <row r="712" spans="10:13" x14ac:dyDescent="0.3">
      <c r="J712" s="6" t="str">
        <f t="shared" si="34"/>
        <v/>
      </c>
      <c r="L712" s="7" t="str">
        <f t="shared" ca="1" si="35"/>
        <v/>
      </c>
      <c r="M712" s="4" t="str">
        <f>IF($I712="Complete","Green",IF($H712="","Amber",IF($H712&lt;'[2]Read Me'!$B$4,"Red",IF($H712-'[2]Read Me'!$B$4&lt;=21,"Amber","Green"))))</f>
        <v>Amber</v>
      </c>
    </row>
    <row r="713" spans="10:13" x14ac:dyDescent="0.3">
      <c r="J713" s="6" t="str">
        <f t="shared" si="34"/>
        <v/>
      </c>
      <c r="L713" s="7" t="str">
        <f t="shared" ca="1" si="35"/>
        <v/>
      </c>
      <c r="M713" s="4" t="str">
        <f>IF($I713="Complete","Green",IF($H713="","Amber",IF($H713&lt;'[2]Read Me'!$B$4,"Red",IF($H713-'[2]Read Me'!$B$4&lt;=21,"Amber","Green"))))</f>
        <v>Amber</v>
      </c>
    </row>
    <row r="714" spans="10:13" x14ac:dyDescent="0.3">
      <c r="J714" s="6" t="str">
        <f t="shared" si="34"/>
        <v/>
      </c>
      <c r="L714" s="7" t="str">
        <f t="shared" ca="1" si="35"/>
        <v/>
      </c>
      <c r="M714" s="4" t="str">
        <f>IF($I714="Complete","Green",IF($H714="","Amber",IF($H714&lt;'[2]Read Me'!$B$4,"Red",IF($H714-'[2]Read Me'!$B$4&lt;=21,"Amber","Green"))))</f>
        <v>Amber</v>
      </c>
    </row>
    <row r="715" spans="10:13" x14ac:dyDescent="0.3">
      <c r="J715" s="6" t="str">
        <f t="shared" si="34"/>
        <v/>
      </c>
      <c r="L715" s="7" t="str">
        <f t="shared" ca="1" si="35"/>
        <v/>
      </c>
      <c r="M715" s="4" t="str">
        <f>IF($I715="Complete","Green",IF($H715="","Amber",IF($H715&lt;'[2]Read Me'!$B$4,"Red",IF($H715-'[2]Read Me'!$B$4&lt;=21,"Amber","Green"))))</f>
        <v>Amber</v>
      </c>
    </row>
    <row r="716" spans="10:13" x14ac:dyDescent="0.3">
      <c r="J716" s="6" t="str">
        <f t="shared" si="34"/>
        <v/>
      </c>
      <c r="L716" s="7" t="str">
        <f t="shared" ca="1" si="35"/>
        <v/>
      </c>
      <c r="M716" s="4" t="str">
        <f>IF($I716="Complete","Green",IF($H716="","Amber",IF($H716&lt;'[2]Read Me'!$B$4,"Red",IF($H716-'[2]Read Me'!$B$4&lt;=21,"Amber","Green"))))</f>
        <v>Amber</v>
      </c>
    </row>
    <row r="717" spans="10:13" x14ac:dyDescent="0.3">
      <c r="J717" s="6" t="str">
        <f t="shared" si="34"/>
        <v/>
      </c>
      <c r="L717" s="7" t="str">
        <f t="shared" ca="1" si="35"/>
        <v/>
      </c>
      <c r="M717" s="4" t="str">
        <f>IF($I717="Complete","Green",IF($H717="","Amber",IF($H717&lt;'[2]Read Me'!$B$4,"Red",IF($H717-'[2]Read Me'!$B$4&lt;=21,"Amber","Green"))))</f>
        <v>Amber</v>
      </c>
    </row>
    <row r="718" spans="10:13" x14ac:dyDescent="0.3">
      <c r="J718" s="6" t="str">
        <f t="shared" si="34"/>
        <v/>
      </c>
      <c r="L718" s="7" t="str">
        <f t="shared" ca="1" si="35"/>
        <v/>
      </c>
      <c r="M718" s="4" t="str">
        <f>IF($I718="Complete","Green",IF($H718="","Amber",IF($H718&lt;'[2]Read Me'!$B$4,"Red",IF($H718-'[2]Read Me'!$B$4&lt;=21,"Amber","Green"))))</f>
        <v>Amber</v>
      </c>
    </row>
    <row r="719" spans="10:13" x14ac:dyDescent="0.3">
      <c r="J719" s="6" t="str">
        <f t="shared" si="34"/>
        <v/>
      </c>
      <c r="L719" s="7" t="str">
        <f t="shared" ca="1" si="35"/>
        <v/>
      </c>
      <c r="M719" s="4" t="str">
        <f>IF($I719="Complete","Green",IF($H719="","Amber",IF($H719&lt;'[2]Read Me'!$B$4,"Red",IF($H719-'[2]Read Me'!$B$4&lt;=21,"Amber","Green"))))</f>
        <v>Amber</v>
      </c>
    </row>
    <row r="720" spans="10:13" x14ac:dyDescent="0.3">
      <c r="J720" s="6" t="str">
        <f t="shared" si="34"/>
        <v/>
      </c>
      <c r="L720" s="7" t="str">
        <f t="shared" ca="1" si="35"/>
        <v/>
      </c>
      <c r="M720" s="4" t="str">
        <f>IF($I720="Complete","Green",IF($H720="","Amber",IF($H720&lt;'[2]Read Me'!$B$4,"Red",IF($H720-'[2]Read Me'!$B$4&lt;=21,"Amber","Green"))))</f>
        <v>Amber</v>
      </c>
    </row>
    <row r="721" spans="10:13" x14ac:dyDescent="0.3">
      <c r="J721" s="6" t="str">
        <f t="shared" si="34"/>
        <v/>
      </c>
      <c r="L721" s="7" t="str">
        <f t="shared" ca="1" si="35"/>
        <v/>
      </c>
      <c r="M721" s="4" t="str">
        <f>IF($I721="Complete","Green",IF($H721="","Amber",IF($H721&lt;'[2]Read Me'!$B$4,"Red",IF($H721-'[2]Read Me'!$B$4&lt;=21,"Amber","Green"))))</f>
        <v>Amber</v>
      </c>
    </row>
    <row r="722" spans="10:13" x14ac:dyDescent="0.3">
      <c r="J722" s="6" t="str">
        <f t="shared" si="34"/>
        <v/>
      </c>
      <c r="L722" s="7" t="str">
        <f t="shared" ca="1" si="35"/>
        <v/>
      </c>
      <c r="M722" s="4" t="str">
        <f>IF($I722="Complete","Green",IF($H722="","Amber",IF($H722&lt;'[2]Read Me'!$B$4,"Red",IF($H722-'[2]Read Me'!$B$4&lt;=21,"Amber","Green"))))</f>
        <v>Amber</v>
      </c>
    </row>
    <row r="723" spans="10:13" x14ac:dyDescent="0.3">
      <c r="J723" s="6" t="str">
        <f t="shared" si="34"/>
        <v/>
      </c>
      <c r="L723" s="7" t="str">
        <f t="shared" ca="1" si="35"/>
        <v/>
      </c>
      <c r="M723" s="4" t="str">
        <f>IF($I723="Complete","Green",IF($H723="","Amber",IF($H723&lt;'[2]Read Me'!$B$4,"Red",IF($H723-'[2]Read Me'!$B$4&lt;=21,"Amber","Green"))))</f>
        <v>Amber</v>
      </c>
    </row>
    <row r="724" spans="10:13" x14ac:dyDescent="0.3">
      <c r="J724" s="6" t="str">
        <f t="shared" si="34"/>
        <v/>
      </c>
      <c r="L724" s="7" t="str">
        <f t="shared" ca="1" si="35"/>
        <v/>
      </c>
      <c r="M724" s="4" t="str">
        <f>IF($I724="Complete","Green",IF($H724="","Amber",IF($H724&lt;'[2]Read Me'!$B$4,"Red",IF($H724-'[2]Read Me'!$B$4&lt;=21,"Amber","Green"))))</f>
        <v>Amber</v>
      </c>
    </row>
    <row r="725" spans="10:13" x14ac:dyDescent="0.3">
      <c r="J725" s="6" t="str">
        <f t="shared" si="34"/>
        <v/>
      </c>
      <c r="L725" s="7" t="str">
        <f t="shared" ca="1" si="35"/>
        <v/>
      </c>
      <c r="M725" s="4" t="str">
        <f>IF($I725="Complete","Green",IF($H725="","Amber",IF($H725&lt;'[2]Read Me'!$B$4,"Red",IF($H725-'[2]Read Me'!$B$4&lt;=21,"Amber","Green"))))</f>
        <v>Amber</v>
      </c>
    </row>
    <row r="726" spans="10:13" x14ac:dyDescent="0.3">
      <c r="J726" s="6" t="str">
        <f t="shared" si="34"/>
        <v/>
      </c>
      <c r="L726" s="7" t="str">
        <f t="shared" ca="1" si="35"/>
        <v/>
      </c>
      <c r="M726" s="4" t="str">
        <f>IF($I726="Complete","Green",IF($H726="","Amber",IF($H726&lt;'[2]Read Me'!$B$4,"Red",IF($H726-'[2]Read Me'!$B$4&lt;=21,"Amber","Green"))))</f>
        <v>Amber</v>
      </c>
    </row>
    <row r="727" spans="10:13" x14ac:dyDescent="0.3">
      <c r="J727" s="6" t="str">
        <f t="shared" si="34"/>
        <v/>
      </c>
      <c r="L727" s="7" t="str">
        <f t="shared" ca="1" si="35"/>
        <v/>
      </c>
      <c r="M727" s="4" t="str">
        <f>IF($I727="Complete","Green",IF($H727="","Amber",IF($H727&lt;'[2]Read Me'!$B$4,"Red",IF($H727-'[2]Read Me'!$B$4&lt;=21,"Amber","Green"))))</f>
        <v>Amber</v>
      </c>
    </row>
    <row r="728" spans="10:13" x14ac:dyDescent="0.3">
      <c r="J728" s="6" t="str">
        <f t="shared" si="34"/>
        <v/>
      </c>
      <c r="L728" s="7" t="str">
        <f t="shared" ca="1" si="35"/>
        <v/>
      </c>
      <c r="M728" s="4" t="str">
        <f>IF($I728="Complete","Green",IF($H728="","Amber",IF($H728&lt;'[2]Read Me'!$B$4,"Red",IF($H728-'[2]Read Me'!$B$4&lt;=21,"Amber","Green"))))</f>
        <v>Amber</v>
      </c>
    </row>
    <row r="729" spans="10:13" x14ac:dyDescent="0.3">
      <c r="J729" s="6" t="str">
        <f t="shared" si="34"/>
        <v/>
      </c>
      <c r="L729" s="7" t="str">
        <f t="shared" ca="1" si="35"/>
        <v/>
      </c>
      <c r="M729" s="4" t="str">
        <f>IF($I729="Complete","Green",IF($H729="","Amber",IF($H729&lt;'[2]Read Me'!$B$4,"Red",IF($H729-'[2]Read Me'!$B$4&lt;=21,"Amber","Green"))))</f>
        <v>Amber</v>
      </c>
    </row>
    <row r="730" spans="10:13" x14ac:dyDescent="0.3">
      <c r="J730" s="6" t="str">
        <f t="shared" si="34"/>
        <v/>
      </c>
      <c r="L730" s="7" t="str">
        <f t="shared" ca="1" si="35"/>
        <v/>
      </c>
      <c r="M730" s="4" t="str">
        <f>IF($I730="Complete","Green",IF($H730="","Amber",IF($H730&lt;'[2]Read Me'!$B$4,"Red",IF($H730-'[2]Read Me'!$B$4&lt;=21,"Amber","Green"))))</f>
        <v>Amber</v>
      </c>
    </row>
    <row r="731" spans="10:13" x14ac:dyDescent="0.3">
      <c r="J731" s="6" t="str">
        <f t="shared" si="34"/>
        <v/>
      </c>
      <c r="L731" s="7" t="str">
        <f t="shared" ca="1" si="35"/>
        <v/>
      </c>
      <c r="M731" s="4" t="str">
        <f>IF($I731="Complete","Green",IF($H731="","Amber",IF($H731&lt;'[2]Read Me'!$B$4,"Red",IF($H731-'[2]Read Me'!$B$4&lt;=21,"Amber","Green"))))</f>
        <v>Amber</v>
      </c>
    </row>
    <row r="732" spans="10:13" x14ac:dyDescent="0.3">
      <c r="J732" s="6" t="str">
        <f t="shared" si="34"/>
        <v/>
      </c>
      <c r="L732" s="7" t="str">
        <f t="shared" ca="1" si="35"/>
        <v/>
      </c>
      <c r="M732" s="4" t="str">
        <f>IF($I732="Complete","Green",IF($H732="","Amber",IF($H732&lt;'[2]Read Me'!$B$4,"Red",IF($H732-'[2]Read Me'!$B$4&lt;=21,"Amber","Green"))))</f>
        <v>Amber</v>
      </c>
    </row>
    <row r="733" spans="10:13" x14ac:dyDescent="0.3">
      <c r="J733" s="6" t="str">
        <f t="shared" si="34"/>
        <v/>
      </c>
      <c r="L733" s="7" t="str">
        <f t="shared" ca="1" si="35"/>
        <v/>
      </c>
      <c r="M733" s="4" t="str">
        <f>IF($I733="Complete","Green",IF($H733="","Amber",IF($H733&lt;'[2]Read Me'!$B$4,"Red",IF($H733-'[2]Read Me'!$B$4&lt;=21,"Amber","Green"))))</f>
        <v>Amber</v>
      </c>
    </row>
    <row r="734" spans="10:13" x14ac:dyDescent="0.3">
      <c r="J734" s="6" t="str">
        <f t="shared" si="34"/>
        <v/>
      </c>
      <c r="L734" s="7" t="str">
        <f t="shared" ca="1" si="35"/>
        <v/>
      </c>
      <c r="M734" s="4" t="str">
        <f>IF($I734="Complete","Green",IF($H734="","Amber",IF($H734&lt;'[2]Read Me'!$B$4,"Red",IF($H734-'[2]Read Me'!$B$4&lt;=21,"Amber","Green"))))</f>
        <v>Amber</v>
      </c>
    </row>
    <row r="735" spans="10:13" x14ac:dyDescent="0.3">
      <c r="J735" s="6" t="str">
        <f t="shared" si="34"/>
        <v/>
      </c>
      <c r="L735" s="7" t="str">
        <f t="shared" ca="1" si="35"/>
        <v/>
      </c>
      <c r="M735" s="4" t="str">
        <f>IF($I735="Complete","Green",IF($H735="","Amber",IF($H735&lt;'[2]Read Me'!$B$4,"Red",IF($H735-'[2]Read Me'!$B$4&lt;=21,"Amber","Green"))))</f>
        <v>Amber</v>
      </c>
    </row>
    <row r="736" spans="10:13" x14ac:dyDescent="0.3">
      <c r="J736" s="6" t="str">
        <f t="shared" si="34"/>
        <v/>
      </c>
      <c r="L736" s="7" t="str">
        <f t="shared" ca="1" si="35"/>
        <v/>
      </c>
      <c r="M736" s="4" t="str">
        <f>IF($I736="Complete","Green",IF($H736="","Amber",IF($H736&lt;'[2]Read Me'!$B$4,"Red",IF($H736-'[2]Read Me'!$B$4&lt;=21,"Amber","Green"))))</f>
        <v>Amber</v>
      </c>
    </row>
    <row r="737" spans="10:13" x14ac:dyDescent="0.3">
      <c r="J737" s="6" t="str">
        <f t="shared" si="34"/>
        <v/>
      </c>
      <c r="L737" s="7" t="str">
        <f t="shared" ca="1" si="35"/>
        <v/>
      </c>
      <c r="M737" s="4" t="str">
        <f>IF($I737="Complete","Green",IF($H737="","Amber",IF($H737&lt;'[2]Read Me'!$B$4,"Red",IF($H737-'[2]Read Me'!$B$4&lt;=21,"Amber","Green"))))</f>
        <v>Amber</v>
      </c>
    </row>
    <row r="738" spans="10:13" x14ac:dyDescent="0.3">
      <c r="J738" s="6" t="str">
        <f t="shared" si="34"/>
        <v/>
      </c>
      <c r="L738" s="7" t="str">
        <f t="shared" ca="1" si="35"/>
        <v/>
      </c>
      <c r="M738" s="4" t="str">
        <f>IF($I738="Complete","Green",IF($H738="","Amber",IF($H738&lt;'[2]Read Me'!$B$4,"Red",IF($H738-'[2]Read Me'!$B$4&lt;=21,"Amber","Green"))))</f>
        <v>Amber</v>
      </c>
    </row>
    <row r="739" spans="10:13" x14ac:dyDescent="0.3">
      <c r="J739" s="6" t="str">
        <f t="shared" si="34"/>
        <v/>
      </c>
      <c r="L739" s="7" t="str">
        <f t="shared" ca="1" si="35"/>
        <v/>
      </c>
      <c r="M739" s="4" t="str">
        <f>IF($I739="Complete","Green",IF($H739="","Amber",IF($H739&lt;'[2]Read Me'!$B$4,"Red",IF($H739-'[2]Read Me'!$B$4&lt;=21,"Amber","Green"))))</f>
        <v>Amber</v>
      </c>
    </row>
    <row r="740" spans="10:13" x14ac:dyDescent="0.3">
      <c r="J740" s="6" t="str">
        <f t="shared" si="34"/>
        <v/>
      </c>
      <c r="L740" s="7" t="str">
        <f t="shared" ca="1" si="35"/>
        <v/>
      </c>
      <c r="M740" s="4" t="str">
        <f>IF($I740="Complete","Green",IF($H740="","Amber",IF($H740&lt;'[2]Read Me'!$B$4,"Red",IF($H740-'[2]Read Me'!$B$4&lt;=21,"Amber","Green"))))</f>
        <v>Amber</v>
      </c>
    </row>
    <row r="741" spans="10:13" x14ac:dyDescent="0.3">
      <c r="J741" s="6" t="str">
        <f t="shared" si="34"/>
        <v/>
      </c>
      <c r="L741" s="7" t="str">
        <f t="shared" ca="1" si="35"/>
        <v/>
      </c>
      <c r="M741" s="4" t="str">
        <f>IF($I741="Complete","Green",IF($H741="","Amber",IF($H741&lt;'[2]Read Me'!$B$4,"Red",IF($H741-'[2]Read Me'!$B$4&lt;=21,"Amber","Green"))))</f>
        <v>Amber</v>
      </c>
    </row>
    <row r="742" spans="10:13" x14ac:dyDescent="0.3">
      <c r="J742" s="6" t="str">
        <f t="shared" si="34"/>
        <v/>
      </c>
      <c r="L742" s="7" t="str">
        <f t="shared" ca="1" si="35"/>
        <v/>
      </c>
      <c r="M742" s="4" t="str">
        <f>IF($I742="Complete","Green",IF($H742="","Amber",IF($H742&lt;'[2]Read Me'!$B$4,"Red",IF($H742-'[2]Read Me'!$B$4&lt;=21,"Amber","Green"))))</f>
        <v>Amber</v>
      </c>
    </row>
    <row r="743" spans="10:13" x14ac:dyDescent="0.3">
      <c r="J743" s="6" t="str">
        <f t="shared" si="34"/>
        <v/>
      </c>
      <c r="L743" s="7" t="str">
        <f t="shared" ca="1" si="35"/>
        <v/>
      </c>
      <c r="M743" s="4" t="str">
        <f>IF($I743="Complete","Green",IF($H743="","Amber",IF($H743&lt;'[2]Read Me'!$B$4,"Red",IF($H743-'[2]Read Me'!$B$4&lt;=21,"Amber","Green"))))</f>
        <v>Amber</v>
      </c>
    </row>
    <row r="744" spans="10:13" x14ac:dyDescent="0.3">
      <c r="J744" s="6" t="str">
        <f t="shared" si="34"/>
        <v/>
      </c>
      <c r="L744" s="7" t="str">
        <f t="shared" ca="1" si="35"/>
        <v/>
      </c>
      <c r="M744" s="4" t="str">
        <f>IF($I744="Complete","Green",IF($H744="","Amber",IF($H744&lt;'[2]Read Me'!$B$4,"Red",IF($H744-'[2]Read Me'!$B$4&lt;=21,"Amber","Green"))))</f>
        <v>Amber</v>
      </c>
    </row>
    <row r="745" spans="10:13" x14ac:dyDescent="0.3">
      <c r="J745" s="6" t="str">
        <f t="shared" si="34"/>
        <v/>
      </c>
      <c r="L745" s="7" t="str">
        <f t="shared" ca="1" si="35"/>
        <v/>
      </c>
      <c r="M745" s="4" t="str">
        <f>IF($I745="Complete","Green",IF($H745="","Amber",IF($H745&lt;'[2]Read Me'!$B$4,"Red",IF($H745-'[2]Read Me'!$B$4&lt;=21,"Amber","Green"))))</f>
        <v>Amber</v>
      </c>
    </row>
    <row r="746" spans="10:13" x14ac:dyDescent="0.3">
      <c r="J746" s="6" t="str">
        <f t="shared" si="34"/>
        <v/>
      </c>
      <c r="L746" s="7" t="str">
        <f t="shared" ca="1" si="35"/>
        <v/>
      </c>
      <c r="M746" s="4" t="str">
        <f>IF($I746="Complete","Green",IF($H746="","Amber",IF($H746&lt;'[2]Read Me'!$B$4,"Red",IF($H746-'[2]Read Me'!$B$4&lt;=21,"Amber","Green"))))</f>
        <v>Amber</v>
      </c>
    </row>
    <row r="747" spans="10:13" x14ac:dyDescent="0.3">
      <c r="J747" s="6" t="str">
        <f t="shared" si="34"/>
        <v/>
      </c>
      <c r="L747" s="7" t="str">
        <f t="shared" ca="1" si="35"/>
        <v/>
      </c>
      <c r="M747" s="4" t="str">
        <f>IF($I747="Complete","Green",IF($H747="","Amber",IF($H747&lt;'[2]Read Me'!$B$4,"Red",IF($H747-'[2]Read Me'!$B$4&lt;=21,"Amber","Green"))))</f>
        <v>Amber</v>
      </c>
    </row>
    <row r="748" spans="10:13" x14ac:dyDescent="0.3">
      <c r="J748" s="6" t="str">
        <f t="shared" si="34"/>
        <v/>
      </c>
      <c r="L748" s="7" t="str">
        <f t="shared" ca="1" si="35"/>
        <v/>
      </c>
      <c r="M748" s="4" t="str">
        <f>IF($I748="Complete","Green",IF($H748="","Amber",IF($H748&lt;'[2]Read Me'!$B$4,"Red",IF($H748-'[2]Read Me'!$B$4&lt;=21,"Amber","Green"))))</f>
        <v>Amber</v>
      </c>
    </row>
    <row r="749" spans="10:13" x14ac:dyDescent="0.3">
      <c r="J749" s="6" t="str">
        <f t="shared" si="34"/>
        <v/>
      </c>
      <c r="L749" s="7" t="str">
        <f t="shared" ca="1" si="35"/>
        <v/>
      </c>
      <c r="M749" s="4" t="str">
        <f>IF($I749="Complete","Green",IF($H749="","Amber",IF($H749&lt;'[2]Read Me'!$B$4,"Red",IF($H749-'[2]Read Me'!$B$4&lt;=21,"Amber","Green"))))</f>
        <v>Amber</v>
      </c>
    </row>
    <row r="750" spans="10:13" x14ac:dyDescent="0.3">
      <c r="J750" s="6" t="str">
        <f t="shared" si="34"/>
        <v/>
      </c>
      <c r="L750" s="7" t="str">
        <f t="shared" ca="1" si="35"/>
        <v/>
      </c>
      <c r="M750" s="4" t="str">
        <f>IF($I750="Complete","Green",IF($H750="","Amber",IF($H750&lt;'[2]Read Me'!$B$4,"Red",IF($H750-'[2]Read Me'!$B$4&lt;=21,"Amber","Green"))))</f>
        <v>Amber</v>
      </c>
    </row>
    <row r="751" spans="10:13" x14ac:dyDescent="0.3">
      <c r="J751" s="6" t="str">
        <f t="shared" si="34"/>
        <v/>
      </c>
      <c r="L751" s="7" t="str">
        <f t="shared" ca="1" si="35"/>
        <v/>
      </c>
      <c r="M751" s="4" t="str">
        <f>IF($I751="Complete","Green",IF($H751="","Amber",IF($H751&lt;'[2]Read Me'!$B$4,"Red",IF($H751-'[2]Read Me'!$B$4&lt;=21,"Amber","Green"))))</f>
        <v>Amber</v>
      </c>
    </row>
    <row r="752" spans="10:13" x14ac:dyDescent="0.3">
      <c r="J752" s="6" t="str">
        <f t="shared" si="34"/>
        <v/>
      </c>
      <c r="L752" s="7" t="str">
        <f t="shared" ca="1" si="35"/>
        <v/>
      </c>
      <c r="M752" s="4" t="str">
        <f>IF($I752="Complete","Green",IF($H752="","Amber",IF($H752&lt;'[2]Read Me'!$B$4,"Red",IF($H752-'[2]Read Me'!$B$4&lt;=21,"Amber","Green"))))</f>
        <v>Amber</v>
      </c>
    </row>
    <row r="753" spans="10:13" x14ac:dyDescent="0.3">
      <c r="J753" s="6" t="str">
        <f t="shared" si="34"/>
        <v/>
      </c>
      <c r="L753" s="7" t="str">
        <f t="shared" ca="1" si="35"/>
        <v/>
      </c>
      <c r="M753" s="4" t="str">
        <f>IF($I753="Complete","Green",IF($H753="","Amber",IF($H753&lt;'[2]Read Me'!$B$4,"Red",IF($H753-'[2]Read Me'!$B$4&lt;=21,"Amber","Green"))))</f>
        <v>Amber</v>
      </c>
    </row>
    <row r="754" spans="10:13" x14ac:dyDescent="0.3">
      <c r="J754" s="6" t="str">
        <f t="shared" si="34"/>
        <v/>
      </c>
      <c r="L754" s="7" t="str">
        <f t="shared" ca="1" si="35"/>
        <v/>
      </c>
      <c r="M754" s="4" t="str">
        <f>IF($I754="Complete","Green",IF($H754="","Amber",IF($H754&lt;'[2]Read Me'!$B$4,"Red",IF($H754-'[2]Read Me'!$B$4&lt;=21,"Amber","Green"))))</f>
        <v>Amber</v>
      </c>
    </row>
    <row r="755" spans="10:13" x14ac:dyDescent="0.3">
      <c r="J755" s="6" t="str">
        <f t="shared" si="34"/>
        <v/>
      </c>
      <c r="L755" s="7" t="str">
        <f t="shared" ca="1" si="35"/>
        <v/>
      </c>
      <c r="M755" s="4" t="str">
        <f>IF($I755="Complete","Green",IF($H755="","Amber",IF($H755&lt;'[2]Read Me'!$B$4,"Red",IF($H755-'[2]Read Me'!$B$4&lt;=21,"Amber","Green"))))</f>
        <v>Amber</v>
      </c>
    </row>
    <row r="756" spans="10:13" x14ac:dyDescent="0.3">
      <c r="J756" s="6" t="str">
        <f t="shared" si="34"/>
        <v/>
      </c>
      <c r="L756" s="7" t="str">
        <f t="shared" ca="1" si="35"/>
        <v/>
      </c>
      <c r="M756" s="4" t="str">
        <f>IF($I756="Complete","Green",IF($H756="","Amber",IF($H756&lt;'[2]Read Me'!$B$4,"Red",IF($H756-'[2]Read Me'!$B$4&lt;=21,"Amber","Green"))))</f>
        <v>Amber</v>
      </c>
    </row>
    <row r="757" spans="10:13" x14ac:dyDescent="0.3">
      <c r="J757" s="6" t="str">
        <f t="shared" si="34"/>
        <v/>
      </c>
      <c r="L757" s="7" t="str">
        <f t="shared" ca="1" si="35"/>
        <v/>
      </c>
      <c r="M757" s="4" t="str">
        <f>IF($I757="Complete","Green",IF($H757="","Amber",IF($H757&lt;'[2]Read Me'!$B$4,"Red",IF($H757-'[2]Read Me'!$B$4&lt;=21,"Amber","Green"))))</f>
        <v>Amber</v>
      </c>
    </row>
    <row r="758" spans="10:13" x14ac:dyDescent="0.3">
      <c r="J758" s="6" t="str">
        <f t="shared" si="34"/>
        <v/>
      </c>
      <c r="L758" s="7" t="str">
        <f t="shared" ca="1" si="35"/>
        <v/>
      </c>
      <c r="M758" s="4" t="str">
        <f>IF($I758="Complete","Green",IF($H758="","Amber",IF($H758&lt;'[2]Read Me'!$B$4,"Red",IF($H758-'[2]Read Me'!$B$4&lt;=21,"Amber","Green"))))</f>
        <v>Amber</v>
      </c>
    </row>
    <row r="759" spans="10:13" x14ac:dyDescent="0.3">
      <c r="J759" s="6" t="str">
        <f t="shared" si="34"/>
        <v/>
      </c>
      <c r="L759" s="7" t="str">
        <f t="shared" ca="1" si="35"/>
        <v/>
      </c>
      <c r="M759" s="4" t="str">
        <f>IF($I759="Complete","Green",IF($H759="","Amber",IF($H759&lt;'[2]Read Me'!$B$4,"Red",IF($H759-'[2]Read Me'!$B$4&lt;=21,"Amber","Green"))))</f>
        <v>Amber</v>
      </c>
    </row>
    <row r="760" spans="10:13" x14ac:dyDescent="0.3">
      <c r="J760" s="6" t="str">
        <f t="shared" si="34"/>
        <v/>
      </c>
      <c r="L760" s="7" t="str">
        <f t="shared" ca="1" si="35"/>
        <v/>
      </c>
      <c r="M760" s="4" t="str">
        <f>IF($I760="Complete","Green",IF($H760="","Amber",IF($H760&lt;'[2]Read Me'!$B$4,"Red",IF($H760-'[2]Read Me'!$B$4&lt;=21,"Amber","Green"))))</f>
        <v>Amber</v>
      </c>
    </row>
    <row r="761" spans="10:13" x14ac:dyDescent="0.3">
      <c r="J761" s="6" t="str">
        <f t="shared" si="34"/>
        <v/>
      </c>
      <c r="L761" s="7" t="str">
        <f t="shared" ca="1" si="35"/>
        <v/>
      </c>
      <c r="M761" s="4" t="str">
        <f>IF($I761="Complete","Green",IF($H761="","Amber",IF($H761&lt;'[2]Read Me'!$B$4,"Red",IF($H761-'[2]Read Me'!$B$4&lt;=21,"Amber","Green"))))</f>
        <v>Amber</v>
      </c>
    </row>
    <row r="762" spans="10:13" x14ac:dyDescent="0.3">
      <c r="J762" s="6" t="str">
        <f t="shared" si="34"/>
        <v/>
      </c>
      <c r="L762" s="7" t="str">
        <f t="shared" ca="1" si="35"/>
        <v/>
      </c>
      <c r="M762" s="4" t="str">
        <f>IF($I762="Complete","Green",IF($H762="","Amber",IF($H762&lt;'[2]Read Me'!$B$4,"Red",IF($H762-'[2]Read Me'!$B$4&lt;=21,"Amber","Green"))))</f>
        <v>Amber</v>
      </c>
    </row>
    <row r="763" spans="10:13" x14ac:dyDescent="0.3">
      <c r="J763" s="6" t="str">
        <f t="shared" si="34"/>
        <v/>
      </c>
      <c r="L763" s="7" t="str">
        <f t="shared" ca="1" si="35"/>
        <v/>
      </c>
      <c r="M763" s="4" t="str">
        <f>IF($I763="Complete","Green",IF($H763="","Amber",IF($H763&lt;'[2]Read Me'!$B$4,"Red",IF($H763-'[2]Read Me'!$B$4&lt;=21,"Amber","Green"))))</f>
        <v>Amber</v>
      </c>
    </row>
    <row r="764" spans="10:13" x14ac:dyDescent="0.3">
      <c r="J764" s="6" t="str">
        <f t="shared" si="34"/>
        <v/>
      </c>
      <c r="L764" s="7" t="str">
        <f t="shared" ca="1" si="35"/>
        <v/>
      </c>
      <c r="M764" s="4" t="str">
        <f>IF($I764="Complete","Green",IF($H764="","Amber",IF($H764&lt;'[2]Read Me'!$B$4,"Red",IF($H764-'[2]Read Me'!$B$4&lt;=21,"Amber","Green"))))</f>
        <v>Amber</v>
      </c>
    </row>
    <row r="765" spans="10:13" x14ac:dyDescent="0.3">
      <c r="J765" s="6" t="str">
        <f t="shared" si="34"/>
        <v/>
      </c>
      <c r="L765" s="7" t="str">
        <f t="shared" ca="1" si="35"/>
        <v/>
      </c>
      <c r="M765" s="4" t="str">
        <f>IF($I765="Complete","Green",IF($H765="","Amber",IF($H765&lt;'[2]Read Me'!$B$4,"Red",IF($H765-'[2]Read Me'!$B$4&lt;=21,"Amber","Green"))))</f>
        <v>Amber</v>
      </c>
    </row>
    <row r="766" spans="10:13" x14ac:dyDescent="0.3">
      <c r="J766" s="6" t="str">
        <f t="shared" si="34"/>
        <v/>
      </c>
      <c r="L766" s="7" t="str">
        <f t="shared" ca="1" si="35"/>
        <v/>
      </c>
      <c r="M766" s="4" t="str">
        <f>IF($I766="Complete","Green",IF($H766="","Amber",IF($H766&lt;'[2]Read Me'!$B$4,"Red",IF($H766-'[2]Read Me'!$B$4&lt;=21,"Amber","Green"))))</f>
        <v>Amber</v>
      </c>
    </row>
    <row r="767" spans="10:13" x14ac:dyDescent="0.3">
      <c r="J767" s="6" t="str">
        <f t="shared" si="34"/>
        <v/>
      </c>
      <c r="L767" s="7" t="str">
        <f t="shared" ca="1" si="35"/>
        <v/>
      </c>
      <c r="M767" s="4" t="str">
        <f>IF($I767="Complete","Green",IF($H767="","Amber",IF($H767&lt;'[2]Read Me'!$B$4,"Red",IF($H767-'[2]Read Me'!$B$4&lt;=21,"Amber","Green"))))</f>
        <v>Amber</v>
      </c>
    </row>
    <row r="768" spans="10:13" x14ac:dyDescent="0.3">
      <c r="J768" s="6" t="str">
        <f t="shared" si="34"/>
        <v/>
      </c>
      <c r="L768" s="7" t="str">
        <f t="shared" ca="1" si="35"/>
        <v/>
      </c>
      <c r="M768" s="4" t="str">
        <f>IF($I768="Complete","Green",IF($H768="","Amber",IF($H768&lt;'[2]Read Me'!$B$4,"Red",IF($H768-'[2]Read Me'!$B$4&lt;=21,"Amber","Green"))))</f>
        <v>Amber</v>
      </c>
    </row>
    <row r="769" spans="10:13" x14ac:dyDescent="0.3">
      <c r="J769" s="6" t="str">
        <f t="shared" si="34"/>
        <v/>
      </c>
      <c r="L769" s="7" t="str">
        <f t="shared" ca="1" si="35"/>
        <v/>
      </c>
      <c r="M769" s="4" t="str">
        <f>IF($I769="Complete","Green",IF($H769="","Amber",IF($H769&lt;'[2]Read Me'!$B$4,"Red",IF($H769-'[2]Read Me'!$B$4&lt;=21,"Amber","Green"))))</f>
        <v>Amber</v>
      </c>
    </row>
    <row r="770" spans="10:13" x14ac:dyDescent="0.3">
      <c r="J770" s="6" t="str">
        <f t="shared" si="34"/>
        <v/>
      </c>
      <c r="L770" s="7" t="str">
        <f t="shared" ca="1" si="35"/>
        <v/>
      </c>
      <c r="M770" s="4" t="str">
        <f>IF($I770="Complete","Green",IF($H770="","Amber",IF($H770&lt;'[2]Read Me'!$B$4,"Red",IF($H770-'[2]Read Me'!$B$4&lt;=21,"Amber","Green"))))</f>
        <v>Amber</v>
      </c>
    </row>
    <row r="771" spans="10:13" x14ac:dyDescent="0.3">
      <c r="J771" s="6" t="str">
        <f t="shared" si="34"/>
        <v/>
      </c>
      <c r="L771" s="7" t="str">
        <f t="shared" ca="1" si="35"/>
        <v/>
      </c>
      <c r="M771" s="4" t="str">
        <f>IF($I771="Complete","Green",IF($H771="","Amber",IF($H771&lt;'[2]Read Me'!$B$4,"Red",IF($H771-'[2]Read Me'!$B$4&lt;=21,"Amber","Green"))))</f>
        <v>Amber</v>
      </c>
    </row>
    <row r="772" spans="10:13" x14ac:dyDescent="0.3">
      <c r="J772" s="6" t="str">
        <f t="shared" ref="J772:J835" si="36">IF(OR($G772="",$H772=""),"",$H772-$G772)</f>
        <v/>
      </c>
      <c r="L772" s="7" t="str">
        <f t="shared" ca="1" si="35"/>
        <v/>
      </c>
      <c r="M772" s="4" t="str">
        <f>IF($I772="Complete","Green",IF($H772="","Amber",IF($H772&lt;'[2]Read Me'!$B$4,"Red",IF($H772-'[2]Read Me'!$B$4&lt;=21,"Amber","Green"))))</f>
        <v>Amber</v>
      </c>
    </row>
    <row r="773" spans="10:13" x14ac:dyDescent="0.3">
      <c r="J773" s="6" t="str">
        <f t="shared" si="36"/>
        <v/>
      </c>
      <c r="L773" s="7" t="str">
        <f t="shared" ref="L773:L836" ca="1" si="37">IF(I773="Completed",0,IF(H773="","",H773-TODAY()))</f>
        <v/>
      </c>
      <c r="M773" s="4" t="str">
        <f>IF($I773="Complete","Green",IF($H773="","Amber",IF($H773&lt;'[2]Read Me'!$B$4,"Red",IF($H773-'[2]Read Me'!$B$4&lt;=21,"Amber","Green"))))</f>
        <v>Amber</v>
      </c>
    </row>
    <row r="774" spans="10:13" x14ac:dyDescent="0.3">
      <c r="J774" s="6" t="str">
        <f t="shared" si="36"/>
        <v/>
      </c>
      <c r="L774" s="7" t="str">
        <f t="shared" ca="1" si="37"/>
        <v/>
      </c>
      <c r="M774" s="4" t="str">
        <f>IF($I774="Complete","Green",IF($H774="","Amber",IF($H774&lt;'[2]Read Me'!$B$4,"Red",IF($H774-'[2]Read Me'!$B$4&lt;=21,"Amber","Green"))))</f>
        <v>Amber</v>
      </c>
    </row>
    <row r="775" spans="10:13" x14ac:dyDescent="0.3">
      <c r="J775" s="6" t="str">
        <f t="shared" si="36"/>
        <v/>
      </c>
      <c r="L775" s="7" t="str">
        <f t="shared" ca="1" si="37"/>
        <v/>
      </c>
      <c r="M775" s="4" t="str">
        <f>IF($I775="Complete","Green",IF($H775="","Amber",IF($H775&lt;'[2]Read Me'!$B$4,"Red",IF($H775-'[2]Read Me'!$B$4&lt;=21,"Amber","Green"))))</f>
        <v>Amber</v>
      </c>
    </row>
    <row r="776" spans="10:13" x14ac:dyDescent="0.3">
      <c r="J776" s="6" t="str">
        <f t="shared" si="36"/>
        <v/>
      </c>
      <c r="L776" s="7" t="str">
        <f t="shared" ca="1" si="37"/>
        <v/>
      </c>
      <c r="M776" s="4" t="str">
        <f>IF($I776="Complete","Green",IF($H776="","Amber",IF($H776&lt;'[2]Read Me'!$B$4,"Red",IF($H776-'[2]Read Me'!$B$4&lt;=21,"Amber","Green"))))</f>
        <v>Amber</v>
      </c>
    </row>
    <row r="777" spans="10:13" x14ac:dyDescent="0.3">
      <c r="J777" s="6" t="str">
        <f t="shared" si="36"/>
        <v/>
      </c>
      <c r="L777" s="7" t="str">
        <f t="shared" ca="1" si="37"/>
        <v/>
      </c>
      <c r="M777" s="4" t="str">
        <f>IF($I777="Complete","Green",IF($H777="","Amber",IF($H777&lt;'[2]Read Me'!$B$4,"Red",IF($H777-'[2]Read Me'!$B$4&lt;=21,"Amber","Green"))))</f>
        <v>Amber</v>
      </c>
    </row>
    <row r="778" spans="10:13" x14ac:dyDescent="0.3">
      <c r="J778" s="6" t="str">
        <f t="shared" si="36"/>
        <v/>
      </c>
      <c r="L778" s="7" t="str">
        <f t="shared" ca="1" si="37"/>
        <v/>
      </c>
      <c r="M778" s="4" t="str">
        <f>IF($I778="Complete","Green",IF($H778="","Amber",IF($H778&lt;'[2]Read Me'!$B$4,"Red",IF($H778-'[2]Read Me'!$B$4&lt;=21,"Amber","Green"))))</f>
        <v>Amber</v>
      </c>
    </row>
    <row r="779" spans="10:13" x14ac:dyDescent="0.3">
      <c r="J779" s="6" t="str">
        <f t="shared" si="36"/>
        <v/>
      </c>
      <c r="L779" s="7" t="str">
        <f t="shared" ca="1" si="37"/>
        <v/>
      </c>
      <c r="M779" s="4" t="str">
        <f>IF($I779="Complete","Green",IF($H779="","Amber",IF($H779&lt;'[2]Read Me'!$B$4,"Red",IF($H779-'[2]Read Me'!$B$4&lt;=21,"Amber","Green"))))</f>
        <v>Amber</v>
      </c>
    </row>
    <row r="780" spans="10:13" x14ac:dyDescent="0.3">
      <c r="J780" s="6" t="str">
        <f t="shared" si="36"/>
        <v/>
      </c>
      <c r="L780" s="7" t="str">
        <f t="shared" ca="1" si="37"/>
        <v/>
      </c>
      <c r="M780" s="4" t="str">
        <f>IF($I780="Complete","Green",IF($H780="","Amber",IF($H780&lt;'[2]Read Me'!$B$4,"Red",IF($H780-'[2]Read Me'!$B$4&lt;=21,"Amber","Green"))))</f>
        <v>Amber</v>
      </c>
    </row>
    <row r="781" spans="10:13" x14ac:dyDescent="0.3">
      <c r="J781" s="6" t="str">
        <f t="shared" si="36"/>
        <v/>
      </c>
      <c r="L781" s="7" t="str">
        <f t="shared" ca="1" si="37"/>
        <v/>
      </c>
      <c r="M781" s="4" t="str">
        <f>IF($I781="Complete","Green",IF($H781="","Amber",IF($H781&lt;'[2]Read Me'!$B$4,"Red",IF($H781-'[2]Read Me'!$B$4&lt;=21,"Amber","Green"))))</f>
        <v>Amber</v>
      </c>
    </row>
    <row r="782" spans="10:13" x14ac:dyDescent="0.3">
      <c r="J782" s="6" t="str">
        <f t="shared" si="36"/>
        <v/>
      </c>
      <c r="L782" s="7" t="str">
        <f t="shared" ca="1" si="37"/>
        <v/>
      </c>
      <c r="M782" s="4" t="str">
        <f>IF($I782="Complete","Green",IF($H782="","Amber",IF($H782&lt;'[2]Read Me'!$B$4,"Red",IF($H782-'[2]Read Me'!$B$4&lt;=21,"Amber","Green"))))</f>
        <v>Amber</v>
      </c>
    </row>
    <row r="783" spans="10:13" x14ac:dyDescent="0.3">
      <c r="J783" s="6" t="str">
        <f t="shared" si="36"/>
        <v/>
      </c>
      <c r="L783" s="7" t="str">
        <f t="shared" ca="1" si="37"/>
        <v/>
      </c>
      <c r="M783" s="4" t="str">
        <f>IF($I783="Complete","Green",IF($H783="","Amber",IF($H783&lt;'[2]Read Me'!$B$4,"Red",IF($H783-'[2]Read Me'!$B$4&lt;=21,"Amber","Green"))))</f>
        <v>Amber</v>
      </c>
    </row>
    <row r="784" spans="10:13" x14ac:dyDescent="0.3">
      <c r="J784" s="6" t="str">
        <f t="shared" si="36"/>
        <v/>
      </c>
      <c r="L784" s="7" t="str">
        <f t="shared" ca="1" si="37"/>
        <v/>
      </c>
      <c r="M784" s="4" t="str">
        <f>IF($I784="Complete","Green",IF($H784="","Amber",IF($H784&lt;'[2]Read Me'!$B$4,"Red",IF($H784-'[2]Read Me'!$B$4&lt;=21,"Amber","Green"))))</f>
        <v>Amber</v>
      </c>
    </row>
    <row r="785" spans="10:13" x14ac:dyDescent="0.3">
      <c r="J785" s="6" t="str">
        <f t="shared" si="36"/>
        <v/>
      </c>
      <c r="L785" s="7" t="str">
        <f t="shared" ca="1" si="37"/>
        <v/>
      </c>
      <c r="M785" s="4" t="str">
        <f>IF($I785="Complete","Green",IF($H785="","Amber",IF($H785&lt;'[2]Read Me'!$B$4,"Red",IF($H785-'[2]Read Me'!$B$4&lt;=21,"Amber","Green"))))</f>
        <v>Amber</v>
      </c>
    </row>
    <row r="786" spans="10:13" x14ac:dyDescent="0.3">
      <c r="J786" s="6" t="str">
        <f t="shared" si="36"/>
        <v/>
      </c>
      <c r="L786" s="7" t="str">
        <f t="shared" ca="1" si="37"/>
        <v/>
      </c>
      <c r="M786" s="4" t="str">
        <f>IF($I786="Complete","Green",IF($H786="","Amber",IF($H786&lt;'[2]Read Me'!$B$4,"Red",IF($H786-'[2]Read Me'!$B$4&lt;=21,"Amber","Green"))))</f>
        <v>Amber</v>
      </c>
    </row>
    <row r="787" spans="10:13" x14ac:dyDescent="0.3">
      <c r="J787" s="6" t="str">
        <f t="shared" si="36"/>
        <v/>
      </c>
      <c r="L787" s="7" t="str">
        <f t="shared" ca="1" si="37"/>
        <v/>
      </c>
      <c r="M787" s="4" t="str">
        <f>IF($I787="Complete","Green",IF($H787="","Amber",IF($H787&lt;'[2]Read Me'!$B$4,"Red",IF($H787-'[2]Read Me'!$B$4&lt;=21,"Amber","Green"))))</f>
        <v>Amber</v>
      </c>
    </row>
    <row r="788" spans="10:13" x14ac:dyDescent="0.3">
      <c r="J788" s="6" t="str">
        <f t="shared" si="36"/>
        <v/>
      </c>
      <c r="L788" s="7" t="str">
        <f t="shared" ca="1" si="37"/>
        <v/>
      </c>
      <c r="M788" s="4" t="str">
        <f>IF($I788="Complete","Green",IF($H788="","Amber",IF($H788&lt;'[2]Read Me'!$B$4,"Red",IF($H788-'[2]Read Me'!$B$4&lt;=21,"Amber","Green"))))</f>
        <v>Amber</v>
      </c>
    </row>
    <row r="789" spans="10:13" x14ac:dyDescent="0.3">
      <c r="J789" s="6" t="str">
        <f t="shared" si="36"/>
        <v/>
      </c>
      <c r="L789" s="7" t="str">
        <f t="shared" ca="1" si="37"/>
        <v/>
      </c>
      <c r="M789" s="4" t="str">
        <f>IF($I789="Complete","Green",IF($H789="","Amber",IF($H789&lt;'[2]Read Me'!$B$4,"Red",IF($H789-'[2]Read Me'!$B$4&lt;=21,"Amber","Green"))))</f>
        <v>Amber</v>
      </c>
    </row>
    <row r="790" spans="10:13" x14ac:dyDescent="0.3">
      <c r="J790" s="6" t="str">
        <f t="shared" si="36"/>
        <v/>
      </c>
      <c r="L790" s="7" t="str">
        <f t="shared" ca="1" si="37"/>
        <v/>
      </c>
      <c r="M790" s="4" t="str">
        <f>IF($I790="Complete","Green",IF($H790="","Amber",IF($H790&lt;'[2]Read Me'!$B$4,"Red",IF($H790-'[2]Read Me'!$B$4&lt;=21,"Amber","Green"))))</f>
        <v>Amber</v>
      </c>
    </row>
    <row r="791" spans="10:13" x14ac:dyDescent="0.3">
      <c r="J791" s="6" t="str">
        <f t="shared" si="36"/>
        <v/>
      </c>
      <c r="L791" s="7" t="str">
        <f t="shared" ca="1" si="37"/>
        <v/>
      </c>
      <c r="M791" s="4" t="str">
        <f>IF($I791="Complete","Green",IF($H791="","Amber",IF($H791&lt;'[2]Read Me'!$B$4,"Red",IF($H791-'[2]Read Me'!$B$4&lt;=21,"Amber","Green"))))</f>
        <v>Amber</v>
      </c>
    </row>
    <row r="792" spans="10:13" x14ac:dyDescent="0.3">
      <c r="J792" s="6" t="str">
        <f t="shared" si="36"/>
        <v/>
      </c>
      <c r="L792" s="7" t="str">
        <f t="shared" ca="1" si="37"/>
        <v/>
      </c>
      <c r="M792" s="4" t="str">
        <f>IF($I792="Complete","Green",IF($H792="","Amber",IF($H792&lt;'[2]Read Me'!$B$4,"Red",IF($H792-'[2]Read Me'!$B$4&lt;=21,"Amber","Green"))))</f>
        <v>Amber</v>
      </c>
    </row>
    <row r="793" spans="10:13" x14ac:dyDescent="0.3">
      <c r="J793" s="6" t="str">
        <f t="shared" si="36"/>
        <v/>
      </c>
      <c r="L793" s="7" t="str">
        <f t="shared" ca="1" si="37"/>
        <v/>
      </c>
      <c r="M793" s="4" t="str">
        <f>IF($I793="Complete","Green",IF($H793="","Amber",IF($H793&lt;'[2]Read Me'!$B$4,"Red",IF($H793-'[2]Read Me'!$B$4&lt;=21,"Amber","Green"))))</f>
        <v>Amber</v>
      </c>
    </row>
    <row r="794" spans="10:13" x14ac:dyDescent="0.3">
      <c r="J794" s="6" t="str">
        <f t="shared" si="36"/>
        <v/>
      </c>
      <c r="L794" s="7" t="str">
        <f t="shared" ca="1" si="37"/>
        <v/>
      </c>
      <c r="M794" s="4" t="str">
        <f>IF($I794="Complete","Green",IF($H794="","Amber",IF($H794&lt;'[2]Read Me'!$B$4,"Red",IF($H794-'[2]Read Me'!$B$4&lt;=21,"Amber","Green"))))</f>
        <v>Amber</v>
      </c>
    </row>
    <row r="795" spans="10:13" x14ac:dyDescent="0.3">
      <c r="J795" s="6" t="str">
        <f t="shared" si="36"/>
        <v/>
      </c>
      <c r="L795" s="7" t="str">
        <f t="shared" ca="1" si="37"/>
        <v/>
      </c>
      <c r="M795" s="4" t="str">
        <f>IF($I795="Complete","Green",IF($H795="","Amber",IF($H795&lt;'[2]Read Me'!$B$4,"Red",IF($H795-'[2]Read Me'!$B$4&lt;=21,"Amber","Green"))))</f>
        <v>Amber</v>
      </c>
    </row>
    <row r="796" spans="10:13" x14ac:dyDescent="0.3">
      <c r="J796" s="6" t="str">
        <f t="shared" si="36"/>
        <v/>
      </c>
      <c r="L796" s="7" t="str">
        <f t="shared" ca="1" si="37"/>
        <v/>
      </c>
      <c r="M796" s="4" t="str">
        <f>IF($I796="Complete","Green",IF($H796="","Amber",IF($H796&lt;'[2]Read Me'!$B$4,"Red",IF($H796-'[2]Read Me'!$B$4&lt;=21,"Amber","Green"))))</f>
        <v>Amber</v>
      </c>
    </row>
    <row r="797" spans="10:13" x14ac:dyDescent="0.3">
      <c r="J797" s="6" t="str">
        <f t="shared" si="36"/>
        <v/>
      </c>
      <c r="L797" s="7" t="str">
        <f t="shared" ca="1" si="37"/>
        <v/>
      </c>
      <c r="M797" s="4" t="str">
        <f>IF($I797="Complete","Green",IF($H797="","Amber",IF($H797&lt;'[2]Read Me'!$B$4,"Red",IF($H797-'[2]Read Me'!$B$4&lt;=21,"Amber","Green"))))</f>
        <v>Amber</v>
      </c>
    </row>
    <row r="798" spans="10:13" x14ac:dyDescent="0.3">
      <c r="J798" s="6" t="str">
        <f t="shared" si="36"/>
        <v/>
      </c>
      <c r="L798" s="7" t="str">
        <f t="shared" ca="1" si="37"/>
        <v/>
      </c>
      <c r="M798" s="4" t="str">
        <f>IF($I798="Complete","Green",IF($H798="","Amber",IF($H798&lt;'[2]Read Me'!$B$4,"Red",IF($H798-'[2]Read Me'!$B$4&lt;=21,"Amber","Green"))))</f>
        <v>Amber</v>
      </c>
    </row>
    <row r="799" spans="10:13" x14ac:dyDescent="0.3">
      <c r="J799" s="6" t="str">
        <f t="shared" si="36"/>
        <v/>
      </c>
      <c r="L799" s="7" t="str">
        <f t="shared" ca="1" si="37"/>
        <v/>
      </c>
      <c r="M799" s="4" t="str">
        <f>IF($I799="Complete","Green",IF($H799="","Amber",IF($H799&lt;'[2]Read Me'!$B$4,"Red",IF($H799-'[2]Read Me'!$B$4&lt;=21,"Amber","Green"))))</f>
        <v>Amber</v>
      </c>
    </row>
    <row r="800" spans="10:13" x14ac:dyDescent="0.3">
      <c r="J800" s="6" t="str">
        <f t="shared" si="36"/>
        <v/>
      </c>
      <c r="L800" s="7" t="str">
        <f t="shared" ca="1" si="37"/>
        <v/>
      </c>
      <c r="M800" s="4" t="str">
        <f>IF($I800="Complete","Green",IF($H800="","Amber",IF($H800&lt;'[2]Read Me'!$B$4,"Red",IF($H800-'[2]Read Me'!$B$4&lt;=21,"Amber","Green"))))</f>
        <v>Amber</v>
      </c>
    </row>
    <row r="801" spans="10:13" x14ac:dyDescent="0.3">
      <c r="J801" s="6" t="str">
        <f t="shared" si="36"/>
        <v/>
      </c>
      <c r="L801" s="7" t="str">
        <f t="shared" ca="1" si="37"/>
        <v/>
      </c>
      <c r="M801" s="4" t="str">
        <f>IF($I801="Complete","Green",IF($H801="","Amber",IF($H801&lt;'[2]Read Me'!$B$4,"Red",IF($H801-'[2]Read Me'!$B$4&lt;=21,"Amber","Green"))))</f>
        <v>Amber</v>
      </c>
    </row>
    <row r="802" spans="10:13" x14ac:dyDescent="0.3">
      <c r="J802" s="6" t="str">
        <f t="shared" si="36"/>
        <v/>
      </c>
      <c r="L802" s="7" t="str">
        <f t="shared" ca="1" si="37"/>
        <v/>
      </c>
      <c r="M802" s="4" t="str">
        <f>IF($I802="Complete","Green",IF($H802="","Amber",IF($H802&lt;'[2]Read Me'!$B$4,"Red",IF($H802-'[2]Read Me'!$B$4&lt;=21,"Amber","Green"))))</f>
        <v>Amber</v>
      </c>
    </row>
    <row r="803" spans="10:13" x14ac:dyDescent="0.3">
      <c r="J803" s="6" t="str">
        <f t="shared" si="36"/>
        <v/>
      </c>
      <c r="L803" s="7" t="str">
        <f t="shared" ca="1" si="37"/>
        <v/>
      </c>
      <c r="M803" s="4" t="str">
        <f>IF($I803="Complete","Green",IF($H803="","Amber",IF($H803&lt;'[2]Read Me'!$B$4,"Red",IF($H803-'[2]Read Me'!$B$4&lt;=21,"Amber","Green"))))</f>
        <v>Amber</v>
      </c>
    </row>
    <row r="804" spans="10:13" x14ac:dyDescent="0.3">
      <c r="J804" s="6" t="str">
        <f t="shared" si="36"/>
        <v/>
      </c>
      <c r="L804" s="7" t="str">
        <f t="shared" ca="1" si="37"/>
        <v/>
      </c>
      <c r="M804" s="4" t="str">
        <f>IF($I804="Complete","Green",IF($H804="","Amber",IF($H804&lt;'[2]Read Me'!$B$4,"Red",IF($H804-'[2]Read Me'!$B$4&lt;=21,"Amber","Green"))))</f>
        <v>Amber</v>
      </c>
    </row>
    <row r="805" spans="10:13" x14ac:dyDescent="0.3">
      <c r="J805" s="6" t="str">
        <f t="shared" si="36"/>
        <v/>
      </c>
      <c r="L805" s="7" t="str">
        <f t="shared" ca="1" si="37"/>
        <v/>
      </c>
      <c r="M805" s="4" t="str">
        <f>IF($I805="Complete","Green",IF($H805="","Amber",IF($H805&lt;'[2]Read Me'!$B$4,"Red",IF($H805-'[2]Read Me'!$B$4&lt;=21,"Amber","Green"))))</f>
        <v>Amber</v>
      </c>
    </row>
    <row r="806" spans="10:13" x14ac:dyDescent="0.3">
      <c r="J806" s="6" t="str">
        <f t="shared" si="36"/>
        <v/>
      </c>
      <c r="L806" s="7" t="str">
        <f t="shared" ca="1" si="37"/>
        <v/>
      </c>
      <c r="M806" s="4" t="str">
        <f>IF($I806="Complete","Green",IF($H806="","Amber",IF($H806&lt;'[2]Read Me'!$B$4,"Red",IF($H806-'[2]Read Me'!$B$4&lt;=21,"Amber","Green"))))</f>
        <v>Amber</v>
      </c>
    </row>
    <row r="807" spans="10:13" x14ac:dyDescent="0.3">
      <c r="J807" s="6" t="str">
        <f t="shared" si="36"/>
        <v/>
      </c>
      <c r="L807" s="7" t="str">
        <f t="shared" ca="1" si="37"/>
        <v/>
      </c>
      <c r="M807" s="4" t="str">
        <f>IF($I807="Complete","Green",IF($H807="","Amber",IF($H807&lt;'[2]Read Me'!$B$4,"Red",IF($H807-'[2]Read Me'!$B$4&lt;=21,"Amber","Green"))))</f>
        <v>Amber</v>
      </c>
    </row>
    <row r="808" spans="10:13" x14ac:dyDescent="0.3">
      <c r="J808" s="6" t="str">
        <f t="shared" si="36"/>
        <v/>
      </c>
      <c r="L808" s="7" t="str">
        <f t="shared" ca="1" si="37"/>
        <v/>
      </c>
      <c r="M808" s="4" t="str">
        <f>IF($I808="Complete","Green",IF($H808="","Amber",IF($H808&lt;'[2]Read Me'!$B$4,"Red",IF($H808-'[2]Read Me'!$B$4&lt;=21,"Amber","Green"))))</f>
        <v>Amber</v>
      </c>
    </row>
    <row r="809" spans="10:13" x14ac:dyDescent="0.3">
      <c r="J809" s="6" t="str">
        <f t="shared" si="36"/>
        <v/>
      </c>
      <c r="L809" s="7" t="str">
        <f t="shared" ca="1" si="37"/>
        <v/>
      </c>
      <c r="M809" s="4" t="str">
        <f>IF($I809="Complete","Green",IF($H809="","Amber",IF($H809&lt;'[2]Read Me'!$B$4,"Red",IF($H809-'[2]Read Me'!$B$4&lt;=21,"Amber","Green"))))</f>
        <v>Amber</v>
      </c>
    </row>
    <row r="810" spans="10:13" x14ac:dyDescent="0.3">
      <c r="J810" s="6" t="str">
        <f t="shared" si="36"/>
        <v/>
      </c>
      <c r="L810" s="7" t="str">
        <f t="shared" ca="1" si="37"/>
        <v/>
      </c>
      <c r="M810" s="4" t="str">
        <f>IF($I810="Complete","Green",IF($H810="","Amber",IF($H810&lt;'[2]Read Me'!$B$4,"Red",IF($H810-'[2]Read Me'!$B$4&lt;=21,"Amber","Green"))))</f>
        <v>Amber</v>
      </c>
    </row>
    <row r="811" spans="10:13" x14ac:dyDescent="0.3">
      <c r="J811" s="6" t="str">
        <f t="shared" si="36"/>
        <v/>
      </c>
      <c r="L811" s="7" t="str">
        <f t="shared" ca="1" si="37"/>
        <v/>
      </c>
      <c r="M811" s="4" t="str">
        <f>IF($I811="Complete","Green",IF($H811="","Amber",IF($H811&lt;'[2]Read Me'!$B$4,"Red",IF($H811-'[2]Read Me'!$B$4&lt;=21,"Amber","Green"))))</f>
        <v>Amber</v>
      </c>
    </row>
    <row r="812" spans="10:13" x14ac:dyDescent="0.3">
      <c r="J812" s="6" t="str">
        <f t="shared" si="36"/>
        <v/>
      </c>
      <c r="L812" s="7" t="str">
        <f t="shared" ca="1" si="37"/>
        <v/>
      </c>
      <c r="M812" s="4" t="str">
        <f>IF($I812="Complete","Green",IF($H812="","Amber",IF($H812&lt;'[2]Read Me'!$B$4,"Red",IF($H812-'[2]Read Me'!$B$4&lt;=21,"Amber","Green"))))</f>
        <v>Amber</v>
      </c>
    </row>
    <row r="813" spans="10:13" x14ac:dyDescent="0.3">
      <c r="J813" s="6" t="str">
        <f t="shared" si="36"/>
        <v/>
      </c>
      <c r="L813" s="7" t="str">
        <f t="shared" ca="1" si="37"/>
        <v/>
      </c>
      <c r="M813" s="4" t="str">
        <f>IF($I813="Complete","Green",IF($H813="","Amber",IF($H813&lt;'[2]Read Me'!$B$4,"Red",IF($H813-'[2]Read Me'!$B$4&lt;=21,"Amber","Green"))))</f>
        <v>Amber</v>
      </c>
    </row>
    <row r="814" spans="10:13" x14ac:dyDescent="0.3">
      <c r="J814" s="6" t="str">
        <f t="shared" si="36"/>
        <v/>
      </c>
      <c r="L814" s="7" t="str">
        <f t="shared" ca="1" si="37"/>
        <v/>
      </c>
      <c r="M814" s="4" t="str">
        <f>IF($I814="Complete","Green",IF($H814="","Amber",IF($H814&lt;'[2]Read Me'!$B$4,"Red",IF($H814-'[2]Read Me'!$B$4&lt;=21,"Amber","Green"))))</f>
        <v>Amber</v>
      </c>
    </row>
    <row r="815" spans="10:13" x14ac:dyDescent="0.3">
      <c r="J815" s="6" t="str">
        <f t="shared" si="36"/>
        <v/>
      </c>
      <c r="L815" s="7" t="str">
        <f t="shared" ca="1" si="37"/>
        <v/>
      </c>
      <c r="M815" s="4" t="str">
        <f>IF($I815="Complete","Green",IF($H815="","Amber",IF($H815&lt;'[2]Read Me'!$B$4,"Red",IF($H815-'[2]Read Me'!$B$4&lt;=21,"Amber","Green"))))</f>
        <v>Amber</v>
      </c>
    </row>
    <row r="816" spans="10:13" x14ac:dyDescent="0.3">
      <c r="J816" s="6" t="str">
        <f t="shared" si="36"/>
        <v/>
      </c>
      <c r="L816" s="7" t="str">
        <f t="shared" ca="1" si="37"/>
        <v/>
      </c>
      <c r="M816" s="4" t="str">
        <f>IF($I816="Complete","Green",IF($H816="","Amber",IF($H816&lt;'[2]Read Me'!$B$4,"Red",IF($H816-'[2]Read Me'!$B$4&lt;=21,"Amber","Green"))))</f>
        <v>Amber</v>
      </c>
    </row>
    <row r="817" spans="10:13" x14ac:dyDescent="0.3">
      <c r="J817" s="6" t="str">
        <f t="shared" si="36"/>
        <v/>
      </c>
      <c r="L817" s="7" t="str">
        <f t="shared" ca="1" si="37"/>
        <v/>
      </c>
      <c r="M817" s="4" t="str">
        <f>IF($I817="Complete","Green",IF($H817="","Amber",IF($H817&lt;'[2]Read Me'!$B$4,"Red",IF($H817-'[2]Read Me'!$B$4&lt;=21,"Amber","Green"))))</f>
        <v>Amber</v>
      </c>
    </row>
    <row r="818" spans="10:13" x14ac:dyDescent="0.3">
      <c r="J818" s="6" t="str">
        <f t="shared" si="36"/>
        <v/>
      </c>
      <c r="L818" s="7" t="str">
        <f t="shared" ca="1" si="37"/>
        <v/>
      </c>
      <c r="M818" s="4" t="str">
        <f>IF($I818="Complete","Green",IF($H818="","Amber",IF($H818&lt;'[2]Read Me'!$B$4,"Red",IF($H818-'[2]Read Me'!$B$4&lt;=21,"Amber","Green"))))</f>
        <v>Amber</v>
      </c>
    </row>
    <row r="819" spans="10:13" x14ac:dyDescent="0.3">
      <c r="J819" s="6" t="str">
        <f t="shared" si="36"/>
        <v/>
      </c>
      <c r="L819" s="7" t="str">
        <f t="shared" ca="1" si="37"/>
        <v/>
      </c>
      <c r="M819" s="4" t="str">
        <f>IF($I819="Complete","Green",IF($H819="","Amber",IF($H819&lt;'[2]Read Me'!$B$4,"Red",IF($H819-'[2]Read Me'!$B$4&lt;=21,"Amber","Green"))))</f>
        <v>Amber</v>
      </c>
    </row>
    <row r="820" spans="10:13" x14ac:dyDescent="0.3">
      <c r="J820" s="6" t="str">
        <f t="shared" si="36"/>
        <v/>
      </c>
      <c r="L820" s="7" t="str">
        <f t="shared" ca="1" si="37"/>
        <v/>
      </c>
      <c r="M820" s="4" t="str">
        <f>IF($I820="Complete","Green",IF($H820="","Amber",IF($H820&lt;'[2]Read Me'!$B$4,"Red",IF($H820-'[2]Read Me'!$B$4&lt;=21,"Amber","Green"))))</f>
        <v>Amber</v>
      </c>
    </row>
    <row r="821" spans="10:13" x14ac:dyDescent="0.3">
      <c r="J821" s="6" t="str">
        <f t="shared" si="36"/>
        <v/>
      </c>
      <c r="L821" s="7" t="str">
        <f t="shared" ca="1" si="37"/>
        <v/>
      </c>
      <c r="M821" s="4" t="str">
        <f>IF($I821="Complete","Green",IF($H821="","Amber",IF($H821&lt;'[2]Read Me'!$B$4,"Red",IF($H821-'[2]Read Me'!$B$4&lt;=21,"Amber","Green"))))</f>
        <v>Amber</v>
      </c>
    </row>
    <row r="822" spans="10:13" x14ac:dyDescent="0.3">
      <c r="J822" s="6" t="str">
        <f t="shared" si="36"/>
        <v/>
      </c>
      <c r="L822" s="7" t="str">
        <f t="shared" ca="1" si="37"/>
        <v/>
      </c>
      <c r="M822" s="4" t="str">
        <f>IF($I822="Complete","Green",IF($H822="","Amber",IF($H822&lt;'[2]Read Me'!$B$4,"Red",IF($H822-'[2]Read Me'!$B$4&lt;=21,"Amber","Green"))))</f>
        <v>Amber</v>
      </c>
    </row>
    <row r="823" spans="10:13" x14ac:dyDescent="0.3">
      <c r="J823" s="6" t="str">
        <f t="shared" si="36"/>
        <v/>
      </c>
      <c r="L823" s="7" t="str">
        <f t="shared" ca="1" si="37"/>
        <v/>
      </c>
      <c r="M823" s="4" t="str">
        <f>IF($I823="Complete","Green",IF($H823="","Amber",IF($H823&lt;'[2]Read Me'!$B$4,"Red",IF($H823-'[2]Read Me'!$B$4&lt;=21,"Amber","Green"))))</f>
        <v>Amber</v>
      </c>
    </row>
    <row r="824" spans="10:13" x14ac:dyDescent="0.3">
      <c r="J824" s="6" t="str">
        <f t="shared" si="36"/>
        <v/>
      </c>
      <c r="L824" s="7" t="str">
        <f t="shared" ca="1" si="37"/>
        <v/>
      </c>
      <c r="M824" s="4" t="str">
        <f>IF($I824="Complete","Green",IF($H824="","Amber",IF($H824&lt;'[2]Read Me'!$B$4,"Red",IF($H824-'[2]Read Me'!$B$4&lt;=21,"Amber","Green"))))</f>
        <v>Amber</v>
      </c>
    </row>
    <row r="825" spans="10:13" x14ac:dyDescent="0.3">
      <c r="J825" s="6" t="str">
        <f t="shared" si="36"/>
        <v/>
      </c>
      <c r="L825" s="7" t="str">
        <f t="shared" ca="1" si="37"/>
        <v/>
      </c>
      <c r="M825" s="4" t="str">
        <f>IF($I825="Complete","Green",IF($H825="","Amber",IF($H825&lt;'[2]Read Me'!$B$4,"Red",IF($H825-'[2]Read Me'!$B$4&lt;=21,"Amber","Green"))))</f>
        <v>Amber</v>
      </c>
    </row>
    <row r="826" spans="10:13" x14ac:dyDescent="0.3">
      <c r="J826" s="6" t="str">
        <f t="shared" si="36"/>
        <v/>
      </c>
      <c r="L826" s="7" t="str">
        <f t="shared" ca="1" si="37"/>
        <v/>
      </c>
      <c r="M826" s="4" t="str">
        <f>IF($I826="Complete","Green",IF($H826="","Amber",IF($H826&lt;'[2]Read Me'!$B$4,"Red",IF($H826-'[2]Read Me'!$B$4&lt;=21,"Amber","Green"))))</f>
        <v>Amber</v>
      </c>
    </row>
    <row r="827" spans="10:13" x14ac:dyDescent="0.3">
      <c r="J827" s="6" t="str">
        <f t="shared" si="36"/>
        <v/>
      </c>
      <c r="L827" s="7" t="str">
        <f t="shared" ca="1" si="37"/>
        <v/>
      </c>
      <c r="M827" s="4" t="str">
        <f>IF($I827="Complete","Green",IF($H827="","Amber",IF($H827&lt;'[2]Read Me'!$B$4,"Red",IF($H827-'[2]Read Me'!$B$4&lt;=21,"Amber","Green"))))</f>
        <v>Amber</v>
      </c>
    </row>
    <row r="828" spans="10:13" x14ac:dyDescent="0.3">
      <c r="J828" s="6" t="str">
        <f t="shared" si="36"/>
        <v/>
      </c>
      <c r="L828" s="7" t="str">
        <f t="shared" ca="1" si="37"/>
        <v/>
      </c>
      <c r="M828" s="4" t="str">
        <f>IF($I828="Complete","Green",IF($H828="","Amber",IF($H828&lt;'[2]Read Me'!$B$4,"Red",IF($H828-'[2]Read Me'!$B$4&lt;=21,"Amber","Green"))))</f>
        <v>Amber</v>
      </c>
    </row>
    <row r="829" spans="10:13" x14ac:dyDescent="0.3">
      <c r="J829" s="6" t="str">
        <f t="shared" si="36"/>
        <v/>
      </c>
      <c r="L829" s="7" t="str">
        <f t="shared" ca="1" si="37"/>
        <v/>
      </c>
      <c r="M829" s="4" t="str">
        <f>IF($I829="Complete","Green",IF($H829="","Amber",IF($H829&lt;'[2]Read Me'!$B$4,"Red",IF($H829-'[2]Read Me'!$B$4&lt;=21,"Amber","Green"))))</f>
        <v>Amber</v>
      </c>
    </row>
    <row r="830" spans="10:13" x14ac:dyDescent="0.3">
      <c r="J830" s="6" t="str">
        <f t="shared" si="36"/>
        <v/>
      </c>
      <c r="L830" s="7" t="str">
        <f t="shared" ca="1" si="37"/>
        <v/>
      </c>
      <c r="M830" s="4" t="str">
        <f>IF($I830="Complete","Green",IF($H830="","Amber",IF($H830&lt;'[2]Read Me'!$B$4,"Red",IF($H830-'[2]Read Me'!$B$4&lt;=21,"Amber","Green"))))</f>
        <v>Amber</v>
      </c>
    </row>
    <row r="831" spans="10:13" x14ac:dyDescent="0.3">
      <c r="J831" s="6" t="str">
        <f t="shared" si="36"/>
        <v/>
      </c>
      <c r="L831" s="7" t="str">
        <f t="shared" ca="1" si="37"/>
        <v/>
      </c>
      <c r="M831" s="4" t="str">
        <f>IF($I831="Complete","Green",IF($H831="","Amber",IF($H831&lt;'[2]Read Me'!$B$4,"Red",IF($H831-'[2]Read Me'!$B$4&lt;=21,"Amber","Green"))))</f>
        <v>Amber</v>
      </c>
    </row>
    <row r="832" spans="10:13" x14ac:dyDescent="0.3">
      <c r="J832" s="6" t="str">
        <f t="shared" si="36"/>
        <v/>
      </c>
      <c r="L832" s="7" t="str">
        <f t="shared" ca="1" si="37"/>
        <v/>
      </c>
      <c r="M832" s="4" t="str">
        <f>IF($I832="Complete","Green",IF($H832="","Amber",IF($H832&lt;'[2]Read Me'!$B$4,"Red",IF($H832-'[2]Read Me'!$B$4&lt;=21,"Amber","Green"))))</f>
        <v>Amber</v>
      </c>
    </row>
    <row r="833" spans="10:13" x14ac:dyDescent="0.3">
      <c r="J833" s="6" t="str">
        <f t="shared" si="36"/>
        <v/>
      </c>
      <c r="L833" s="7" t="str">
        <f t="shared" ca="1" si="37"/>
        <v/>
      </c>
      <c r="M833" s="4" t="str">
        <f>IF($I833="Complete","Green",IF($H833="","Amber",IF($H833&lt;'[2]Read Me'!$B$4,"Red",IF($H833-'[2]Read Me'!$B$4&lt;=21,"Amber","Green"))))</f>
        <v>Amber</v>
      </c>
    </row>
    <row r="834" spans="10:13" x14ac:dyDescent="0.3">
      <c r="J834" s="6" t="str">
        <f t="shared" si="36"/>
        <v/>
      </c>
      <c r="L834" s="7" t="str">
        <f t="shared" ca="1" si="37"/>
        <v/>
      </c>
      <c r="M834" s="4" t="str">
        <f>IF($I834="Complete","Green",IF($H834="","Amber",IF($H834&lt;'[2]Read Me'!$B$4,"Red",IF($H834-'[2]Read Me'!$B$4&lt;=21,"Amber","Green"))))</f>
        <v>Amber</v>
      </c>
    </row>
    <row r="835" spans="10:13" x14ac:dyDescent="0.3">
      <c r="J835" s="6" t="str">
        <f t="shared" si="36"/>
        <v/>
      </c>
      <c r="L835" s="7" t="str">
        <f t="shared" ca="1" si="37"/>
        <v/>
      </c>
      <c r="M835" s="4" t="str">
        <f>IF($I835="Complete","Green",IF($H835="","Amber",IF($H835&lt;'[2]Read Me'!$B$4,"Red",IF($H835-'[2]Read Me'!$B$4&lt;=21,"Amber","Green"))))</f>
        <v>Amber</v>
      </c>
    </row>
    <row r="836" spans="10:13" x14ac:dyDescent="0.3">
      <c r="J836" s="6" t="str">
        <f t="shared" ref="J836:J899" si="38">IF(OR($G836="",$H836=""),"",$H836-$G836)</f>
        <v/>
      </c>
      <c r="L836" s="7" t="str">
        <f t="shared" ca="1" si="37"/>
        <v/>
      </c>
      <c r="M836" s="4" t="str">
        <f>IF($I836="Complete","Green",IF($H836="","Amber",IF($H836&lt;'[2]Read Me'!$B$4,"Red",IF($H836-'[2]Read Me'!$B$4&lt;=21,"Amber","Green"))))</f>
        <v>Amber</v>
      </c>
    </row>
    <row r="837" spans="10:13" x14ac:dyDescent="0.3">
      <c r="J837" s="6" t="str">
        <f t="shared" si="38"/>
        <v/>
      </c>
      <c r="L837" s="7" t="str">
        <f t="shared" ref="L837:L900" ca="1" si="39">IF(I837="Completed",0,IF(H837="","",H837-TODAY()))</f>
        <v/>
      </c>
      <c r="M837" s="4" t="str">
        <f>IF($I837="Complete","Green",IF($H837="","Amber",IF($H837&lt;'[2]Read Me'!$B$4,"Red",IF($H837-'[2]Read Me'!$B$4&lt;=21,"Amber","Green"))))</f>
        <v>Amber</v>
      </c>
    </row>
    <row r="838" spans="10:13" x14ac:dyDescent="0.3">
      <c r="J838" s="6" t="str">
        <f t="shared" si="38"/>
        <v/>
      </c>
      <c r="L838" s="7" t="str">
        <f t="shared" ca="1" si="39"/>
        <v/>
      </c>
      <c r="M838" s="4" t="str">
        <f>IF($I838="Complete","Green",IF($H838="","Amber",IF($H838&lt;'[2]Read Me'!$B$4,"Red",IF($H838-'[2]Read Me'!$B$4&lt;=21,"Amber","Green"))))</f>
        <v>Amber</v>
      </c>
    </row>
    <row r="839" spans="10:13" x14ac:dyDescent="0.3">
      <c r="J839" s="6" t="str">
        <f t="shared" si="38"/>
        <v/>
      </c>
      <c r="L839" s="7" t="str">
        <f t="shared" ca="1" si="39"/>
        <v/>
      </c>
      <c r="M839" s="4" t="str">
        <f>IF($I839="Complete","Green",IF($H839="","Amber",IF($H839&lt;'[2]Read Me'!$B$4,"Red",IF($H839-'[2]Read Me'!$B$4&lt;=21,"Amber","Green"))))</f>
        <v>Amber</v>
      </c>
    </row>
    <row r="840" spans="10:13" x14ac:dyDescent="0.3">
      <c r="J840" s="6" t="str">
        <f t="shared" si="38"/>
        <v/>
      </c>
      <c r="L840" s="7" t="str">
        <f t="shared" ca="1" si="39"/>
        <v/>
      </c>
      <c r="M840" s="4" t="str">
        <f>IF($I840="Complete","Green",IF($H840="","Amber",IF($H840&lt;'[2]Read Me'!$B$4,"Red",IF($H840-'[2]Read Me'!$B$4&lt;=21,"Amber","Green"))))</f>
        <v>Amber</v>
      </c>
    </row>
    <row r="841" spans="10:13" x14ac:dyDescent="0.3">
      <c r="J841" s="6" t="str">
        <f t="shared" si="38"/>
        <v/>
      </c>
      <c r="L841" s="7" t="str">
        <f t="shared" ca="1" si="39"/>
        <v/>
      </c>
      <c r="M841" s="4" t="str">
        <f>IF($I841="Complete","Green",IF($H841="","Amber",IF($H841&lt;'[2]Read Me'!$B$4,"Red",IF($H841-'[2]Read Me'!$B$4&lt;=21,"Amber","Green"))))</f>
        <v>Amber</v>
      </c>
    </row>
    <row r="842" spans="10:13" x14ac:dyDescent="0.3">
      <c r="J842" s="6" t="str">
        <f t="shared" si="38"/>
        <v/>
      </c>
      <c r="L842" s="7" t="str">
        <f t="shared" ca="1" si="39"/>
        <v/>
      </c>
      <c r="M842" s="4" t="str">
        <f>IF($I842="Complete","Green",IF($H842="","Amber",IF($H842&lt;'[2]Read Me'!$B$4,"Red",IF($H842-'[2]Read Me'!$B$4&lt;=21,"Amber","Green"))))</f>
        <v>Amber</v>
      </c>
    </row>
    <row r="843" spans="10:13" x14ac:dyDescent="0.3">
      <c r="J843" s="6" t="str">
        <f t="shared" si="38"/>
        <v/>
      </c>
      <c r="L843" s="7" t="str">
        <f t="shared" ca="1" si="39"/>
        <v/>
      </c>
      <c r="M843" s="4" t="str">
        <f>IF($I843="Complete","Green",IF($H843="","Amber",IF($H843&lt;'[2]Read Me'!$B$4,"Red",IF($H843-'[2]Read Me'!$B$4&lt;=21,"Amber","Green"))))</f>
        <v>Amber</v>
      </c>
    </row>
    <row r="844" spans="10:13" x14ac:dyDescent="0.3">
      <c r="J844" s="6" t="str">
        <f t="shared" si="38"/>
        <v/>
      </c>
      <c r="L844" s="7" t="str">
        <f t="shared" ca="1" si="39"/>
        <v/>
      </c>
      <c r="M844" s="4" t="str">
        <f>IF($I844="Complete","Green",IF($H844="","Amber",IF($H844&lt;'[2]Read Me'!$B$4,"Red",IF($H844-'[2]Read Me'!$B$4&lt;=21,"Amber","Green"))))</f>
        <v>Amber</v>
      </c>
    </row>
    <row r="845" spans="10:13" x14ac:dyDescent="0.3">
      <c r="J845" s="6" t="str">
        <f t="shared" si="38"/>
        <v/>
      </c>
      <c r="L845" s="7" t="str">
        <f t="shared" ca="1" si="39"/>
        <v/>
      </c>
      <c r="M845" s="4" t="str">
        <f>IF($I845="Complete","Green",IF($H845="","Amber",IF($H845&lt;'[2]Read Me'!$B$4,"Red",IF($H845-'[2]Read Me'!$B$4&lt;=21,"Amber","Green"))))</f>
        <v>Amber</v>
      </c>
    </row>
    <row r="846" spans="10:13" x14ac:dyDescent="0.3">
      <c r="J846" s="6" t="str">
        <f t="shared" si="38"/>
        <v/>
      </c>
      <c r="L846" s="7" t="str">
        <f t="shared" ca="1" si="39"/>
        <v/>
      </c>
      <c r="M846" s="4" t="str">
        <f>IF($I846="Complete","Green",IF($H846="","Amber",IF($H846&lt;'[2]Read Me'!$B$4,"Red",IF($H846-'[2]Read Me'!$B$4&lt;=21,"Amber","Green"))))</f>
        <v>Amber</v>
      </c>
    </row>
    <row r="847" spans="10:13" x14ac:dyDescent="0.3">
      <c r="J847" s="6" t="str">
        <f t="shared" si="38"/>
        <v/>
      </c>
      <c r="L847" s="7" t="str">
        <f t="shared" ca="1" si="39"/>
        <v/>
      </c>
      <c r="M847" s="4" t="str">
        <f>IF($I847="Complete","Green",IF($H847="","Amber",IF($H847&lt;'[2]Read Me'!$B$4,"Red",IF($H847-'[2]Read Me'!$B$4&lt;=21,"Amber","Green"))))</f>
        <v>Amber</v>
      </c>
    </row>
    <row r="848" spans="10:13" x14ac:dyDescent="0.3">
      <c r="J848" s="6" t="str">
        <f t="shared" si="38"/>
        <v/>
      </c>
      <c r="L848" s="7" t="str">
        <f t="shared" ca="1" si="39"/>
        <v/>
      </c>
      <c r="M848" s="4" t="str">
        <f>IF($I848="Complete","Green",IF($H848="","Amber",IF($H848&lt;'[2]Read Me'!$B$4,"Red",IF($H848-'[2]Read Me'!$B$4&lt;=21,"Amber","Green"))))</f>
        <v>Amber</v>
      </c>
    </row>
    <row r="849" spans="10:13" x14ac:dyDescent="0.3">
      <c r="J849" s="6" t="str">
        <f t="shared" si="38"/>
        <v/>
      </c>
      <c r="L849" s="7" t="str">
        <f t="shared" ca="1" si="39"/>
        <v/>
      </c>
      <c r="M849" s="4" t="str">
        <f>IF($I849="Complete","Green",IF($H849="","Amber",IF($H849&lt;'[2]Read Me'!$B$4,"Red",IF($H849-'[2]Read Me'!$B$4&lt;=21,"Amber","Green"))))</f>
        <v>Amber</v>
      </c>
    </row>
    <row r="850" spans="10:13" x14ac:dyDescent="0.3">
      <c r="J850" s="6" t="str">
        <f t="shared" si="38"/>
        <v/>
      </c>
      <c r="L850" s="7" t="str">
        <f t="shared" ca="1" si="39"/>
        <v/>
      </c>
      <c r="M850" s="4" t="str">
        <f>IF($I850="Complete","Green",IF($H850="","Amber",IF($H850&lt;'[2]Read Me'!$B$4,"Red",IF($H850-'[2]Read Me'!$B$4&lt;=21,"Amber","Green"))))</f>
        <v>Amber</v>
      </c>
    </row>
    <row r="851" spans="10:13" x14ac:dyDescent="0.3">
      <c r="J851" s="6" t="str">
        <f t="shared" si="38"/>
        <v/>
      </c>
      <c r="L851" s="7" t="str">
        <f t="shared" ca="1" si="39"/>
        <v/>
      </c>
      <c r="M851" s="4" t="str">
        <f>IF($I851="Complete","Green",IF($H851="","Amber",IF($H851&lt;'[2]Read Me'!$B$4,"Red",IF($H851-'[2]Read Me'!$B$4&lt;=21,"Amber","Green"))))</f>
        <v>Amber</v>
      </c>
    </row>
    <row r="852" spans="10:13" x14ac:dyDescent="0.3">
      <c r="J852" s="6" t="str">
        <f t="shared" si="38"/>
        <v/>
      </c>
      <c r="L852" s="7" t="str">
        <f t="shared" ca="1" si="39"/>
        <v/>
      </c>
      <c r="M852" s="4" t="str">
        <f>IF($I852="Complete","Green",IF($H852="","Amber",IF($H852&lt;'[2]Read Me'!$B$4,"Red",IF($H852-'[2]Read Me'!$B$4&lt;=21,"Amber","Green"))))</f>
        <v>Amber</v>
      </c>
    </row>
    <row r="853" spans="10:13" x14ac:dyDescent="0.3">
      <c r="J853" s="6" t="str">
        <f t="shared" si="38"/>
        <v/>
      </c>
      <c r="L853" s="7" t="str">
        <f t="shared" ca="1" si="39"/>
        <v/>
      </c>
      <c r="M853" s="4" t="str">
        <f>IF($I853="Complete","Green",IF($H853="","Amber",IF($H853&lt;'[2]Read Me'!$B$4,"Red",IF($H853-'[2]Read Me'!$B$4&lt;=21,"Amber","Green"))))</f>
        <v>Amber</v>
      </c>
    </row>
    <row r="854" spans="10:13" x14ac:dyDescent="0.3">
      <c r="J854" s="6" t="str">
        <f t="shared" si="38"/>
        <v/>
      </c>
      <c r="L854" s="7" t="str">
        <f t="shared" ca="1" si="39"/>
        <v/>
      </c>
      <c r="M854" s="4" t="str">
        <f>IF($I854="Complete","Green",IF($H854="","Amber",IF($H854&lt;'[2]Read Me'!$B$4,"Red",IF($H854-'[2]Read Me'!$B$4&lt;=21,"Amber","Green"))))</f>
        <v>Amber</v>
      </c>
    </row>
    <row r="855" spans="10:13" x14ac:dyDescent="0.3">
      <c r="J855" s="6" t="str">
        <f t="shared" si="38"/>
        <v/>
      </c>
      <c r="L855" s="7" t="str">
        <f t="shared" ca="1" si="39"/>
        <v/>
      </c>
      <c r="M855" s="4" t="str">
        <f>IF($I855="Complete","Green",IF($H855="","Amber",IF($H855&lt;'[2]Read Me'!$B$4,"Red",IF($H855-'[2]Read Me'!$B$4&lt;=21,"Amber","Green"))))</f>
        <v>Amber</v>
      </c>
    </row>
    <row r="856" spans="10:13" x14ac:dyDescent="0.3">
      <c r="J856" s="6" t="str">
        <f t="shared" si="38"/>
        <v/>
      </c>
      <c r="L856" s="7" t="str">
        <f t="shared" ca="1" si="39"/>
        <v/>
      </c>
      <c r="M856" s="4" t="str">
        <f>IF($I856="Complete","Green",IF($H856="","Amber",IF($H856&lt;'[2]Read Me'!$B$4,"Red",IF($H856-'[2]Read Me'!$B$4&lt;=21,"Amber","Green"))))</f>
        <v>Amber</v>
      </c>
    </row>
    <row r="857" spans="10:13" x14ac:dyDescent="0.3">
      <c r="J857" s="6" t="str">
        <f t="shared" si="38"/>
        <v/>
      </c>
      <c r="L857" s="7" t="str">
        <f t="shared" ca="1" si="39"/>
        <v/>
      </c>
      <c r="M857" s="4" t="str">
        <f>IF($I857="Complete","Green",IF($H857="","Amber",IF($H857&lt;'[2]Read Me'!$B$4,"Red",IF($H857-'[2]Read Me'!$B$4&lt;=21,"Amber","Green"))))</f>
        <v>Amber</v>
      </c>
    </row>
    <row r="858" spans="10:13" x14ac:dyDescent="0.3">
      <c r="J858" s="6" t="str">
        <f t="shared" si="38"/>
        <v/>
      </c>
      <c r="L858" s="7" t="str">
        <f t="shared" ca="1" si="39"/>
        <v/>
      </c>
      <c r="M858" s="4" t="str">
        <f>IF($I858="Complete","Green",IF($H858="","Amber",IF($H858&lt;'[2]Read Me'!$B$4,"Red",IF($H858-'[2]Read Me'!$B$4&lt;=21,"Amber","Green"))))</f>
        <v>Amber</v>
      </c>
    </row>
    <row r="859" spans="10:13" x14ac:dyDescent="0.3">
      <c r="J859" s="6" t="str">
        <f t="shared" si="38"/>
        <v/>
      </c>
      <c r="L859" s="7" t="str">
        <f t="shared" ca="1" si="39"/>
        <v/>
      </c>
      <c r="M859" s="4" t="str">
        <f>IF($I859="Complete","Green",IF($H859="","Amber",IF($H859&lt;'[2]Read Me'!$B$4,"Red",IF($H859-'[2]Read Me'!$B$4&lt;=21,"Amber","Green"))))</f>
        <v>Amber</v>
      </c>
    </row>
    <row r="860" spans="10:13" x14ac:dyDescent="0.3">
      <c r="J860" s="6" t="str">
        <f t="shared" si="38"/>
        <v/>
      </c>
      <c r="L860" s="7" t="str">
        <f t="shared" ca="1" si="39"/>
        <v/>
      </c>
      <c r="M860" s="4" t="str">
        <f>IF($I860="Complete","Green",IF($H860="","Amber",IF($H860&lt;'[2]Read Me'!$B$4,"Red",IF($H860-'[2]Read Me'!$B$4&lt;=21,"Amber","Green"))))</f>
        <v>Amber</v>
      </c>
    </row>
    <row r="861" spans="10:13" x14ac:dyDescent="0.3">
      <c r="J861" s="6" t="str">
        <f t="shared" si="38"/>
        <v/>
      </c>
      <c r="L861" s="7" t="str">
        <f t="shared" ca="1" si="39"/>
        <v/>
      </c>
      <c r="M861" s="4" t="str">
        <f>IF($I861="Complete","Green",IF($H861="","Amber",IF($H861&lt;'[2]Read Me'!$B$4,"Red",IF($H861-'[2]Read Me'!$B$4&lt;=21,"Amber","Green"))))</f>
        <v>Amber</v>
      </c>
    </row>
    <row r="862" spans="10:13" x14ac:dyDescent="0.3">
      <c r="J862" s="6" t="str">
        <f t="shared" si="38"/>
        <v/>
      </c>
      <c r="L862" s="7" t="str">
        <f t="shared" ca="1" si="39"/>
        <v/>
      </c>
      <c r="M862" s="4" t="str">
        <f>IF($I862="Complete","Green",IF($H862="","Amber",IF($H862&lt;'[2]Read Me'!$B$4,"Red",IF($H862-'[2]Read Me'!$B$4&lt;=21,"Amber","Green"))))</f>
        <v>Amber</v>
      </c>
    </row>
    <row r="863" spans="10:13" x14ac:dyDescent="0.3">
      <c r="J863" s="6" t="str">
        <f t="shared" si="38"/>
        <v/>
      </c>
      <c r="L863" s="7" t="str">
        <f t="shared" ca="1" si="39"/>
        <v/>
      </c>
      <c r="M863" s="4" t="str">
        <f>IF($I863="Complete","Green",IF($H863="","Amber",IF($H863&lt;'[2]Read Me'!$B$4,"Red",IF($H863-'[2]Read Me'!$B$4&lt;=21,"Amber","Green"))))</f>
        <v>Amber</v>
      </c>
    </row>
    <row r="864" spans="10:13" x14ac:dyDescent="0.3">
      <c r="J864" s="6" t="str">
        <f t="shared" si="38"/>
        <v/>
      </c>
      <c r="L864" s="7" t="str">
        <f t="shared" ca="1" si="39"/>
        <v/>
      </c>
      <c r="M864" s="4" t="str">
        <f>IF($I864="Complete","Green",IF($H864="","Amber",IF($H864&lt;'[2]Read Me'!$B$4,"Red",IF($H864-'[2]Read Me'!$B$4&lt;=21,"Amber","Green"))))</f>
        <v>Amber</v>
      </c>
    </row>
    <row r="865" spans="10:13" x14ac:dyDescent="0.3">
      <c r="J865" s="6" t="str">
        <f t="shared" si="38"/>
        <v/>
      </c>
      <c r="L865" s="7" t="str">
        <f t="shared" ca="1" si="39"/>
        <v/>
      </c>
      <c r="M865" s="4" t="str">
        <f>IF($I865="Complete","Green",IF($H865="","Amber",IF($H865&lt;'[2]Read Me'!$B$4,"Red",IF($H865-'[2]Read Me'!$B$4&lt;=21,"Amber","Green"))))</f>
        <v>Amber</v>
      </c>
    </row>
    <row r="866" spans="10:13" x14ac:dyDescent="0.3">
      <c r="J866" s="6" t="str">
        <f t="shared" si="38"/>
        <v/>
      </c>
      <c r="L866" s="7" t="str">
        <f t="shared" ca="1" si="39"/>
        <v/>
      </c>
      <c r="M866" s="4" t="str">
        <f>IF($I866="Complete","Green",IF($H866="","Amber",IF($H866&lt;'[2]Read Me'!$B$4,"Red",IF($H866-'[2]Read Me'!$B$4&lt;=21,"Amber","Green"))))</f>
        <v>Amber</v>
      </c>
    </row>
    <row r="867" spans="10:13" x14ac:dyDescent="0.3">
      <c r="J867" s="6" t="str">
        <f t="shared" si="38"/>
        <v/>
      </c>
      <c r="L867" s="7" t="str">
        <f t="shared" ca="1" si="39"/>
        <v/>
      </c>
      <c r="M867" s="4" t="str">
        <f>IF($I867="Complete","Green",IF($H867="","Amber",IF($H867&lt;'[2]Read Me'!$B$4,"Red",IF($H867-'[2]Read Me'!$B$4&lt;=21,"Amber","Green"))))</f>
        <v>Amber</v>
      </c>
    </row>
    <row r="868" spans="10:13" x14ac:dyDescent="0.3">
      <c r="J868" s="6" t="str">
        <f t="shared" si="38"/>
        <v/>
      </c>
      <c r="L868" s="7" t="str">
        <f t="shared" ca="1" si="39"/>
        <v/>
      </c>
      <c r="M868" s="4" t="str">
        <f>IF($I868="Complete","Green",IF($H868="","Amber",IF($H868&lt;'[2]Read Me'!$B$4,"Red",IF($H868-'[2]Read Me'!$B$4&lt;=21,"Amber","Green"))))</f>
        <v>Amber</v>
      </c>
    </row>
    <row r="869" spans="10:13" x14ac:dyDescent="0.3">
      <c r="J869" s="6" t="str">
        <f t="shared" si="38"/>
        <v/>
      </c>
      <c r="L869" s="7" t="str">
        <f t="shared" ca="1" si="39"/>
        <v/>
      </c>
      <c r="M869" s="4" t="str">
        <f>IF($I869="Complete","Green",IF($H869="","Amber",IF($H869&lt;'[2]Read Me'!$B$4,"Red",IF($H869-'[2]Read Me'!$B$4&lt;=21,"Amber","Green"))))</f>
        <v>Amber</v>
      </c>
    </row>
    <row r="870" spans="10:13" x14ac:dyDescent="0.3">
      <c r="J870" s="6" t="str">
        <f t="shared" si="38"/>
        <v/>
      </c>
      <c r="L870" s="7" t="str">
        <f t="shared" ca="1" si="39"/>
        <v/>
      </c>
      <c r="M870" s="4" t="str">
        <f>IF($I870="Complete","Green",IF($H870="","Amber",IF($H870&lt;'[2]Read Me'!$B$4,"Red",IF($H870-'[2]Read Me'!$B$4&lt;=21,"Amber","Green"))))</f>
        <v>Amber</v>
      </c>
    </row>
    <row r="871" spans="10:13" x14ac:dyDescent="0.3">
      <c r="J871" s="6" t="str">
        <f t="shared" si="38"/>
        <v/>
      </c>
      <c r="L871" s="7" t="str">
        <f t="shared" ca="1" si="39"/>
        <v/>
      </c>
      <c r="M871" s="4" t="str">
        <f>IF($I871="Complete","Green",IF($H871="","Amber",IF($H871&lt;'[2]Read Me'!$B$4,"Red",IF($H871-'[2]Read Me'!$B$4&lt;=21,"Amber","Green"))))</f>
        <v>Amber</v>
      </c>
    </row>
    <row r="872" spans="10:13" x14ac:dyDescent="0.3">
      <c r="J872" s="6" t="str">
        <f t="shared" si="38"/>
        <v/>
      </c>
      <c r="L872" s="7" t="str">
        <f t="shared" ca="1" si="39"/>
        <v/>
      </c>
      <c r="M872" s="4" t="str">
        <f>IF($I872="Complete","Green",IF($H872="","Amber",IF($H872&lt;'[2]Read Me'!$B$4,"Red",IF($H872-'[2]Read Me'!$B$4&lt;=21,"Amber","Green"))))</f>
        <v>Amber</v>
      </c>
    </row>
    <row r="873" spans="10:13" x14ac:dyDescent="0.3">
      <c r="J873" s="6" t="str">
        <f t="shared" si="38"/>
        <v/>
      </c>
      <c r="L873" s="7" t="str">
        <f t="shared" ca="1" si="39"/>
        <v/>
      </c>
      <c r="M873" s="4" t="str">
        <f>IF($I873="Complete","Green",IF($H873="","Amber",IF($H873&lt;'[2]Read Me'!$B$4,"Red",IF($H873-'[2]Read Me'!$B$4&lt;=21,"Amber","Green"))))</f>
        <v>Amber</v>
      </c>
    </row>
    <row r="874" spans="10:13" x14ac:dyDescent="0.3">
      <c r="J874" s="6" t="str">
        <f t="shared" si="38"/>
        <v/>
      </c>
      <c r="L874" s="7" t="str">
        <f t="shared" ca="1" si="39"/>
        <v/>
      </c>
      <c r="M874" s="4" t="str">
        <f>IF($I874="Complete","Green",IF($H874="","Amber",IF($H874&lt;'[2]Read Me'!$B$4,"Red",IF($H874-'[2]Read Me'!$B$4&lt;=21,"Amber","Green"))))</f>
        <v>Amber</v>
      </c>
    </row>
    <row r="875" spans="10:13" x14ac:dyDescent="0.3">
      <c r="J875" s="6" t="str">
        <f t="shared" si="38"/>
        <v/>
      </c>
      <c r="L875" s="7" t="str">
        <f t="shared" ca="1" si="39"/>
        <v/>
      </c>
      <c r="M875" s="4" t="str">
        <f>IF($I875="Complete","Green",IF($H875="","Amber",IF($H875&lt;'[2]Read Me'!$B$4,"Red",IF($H875-'[2]Read Me'!$B$4&lt;=21,"Amber","Green"))))</f>
        <v>Amber</v>
      </c>
    </row>
    <row r="876" spans="10:13" x14ac:dyDescent="0.3">
      <c r="J876" s="6" t="str">
        <f t="shared" si="38"/>
        <v/>
      </c>
      <c r="L876" s="7" t="str">
        <f t="shared" ca="1" si="39"/>
        <v/>
      </c>
      <c r="M876" s="4" t="str">
        <f>IF($I876="Complete","Green",IF($H876="","Amber",IF($H876&lt;'[2]Read Me'!$B$4,"Red",IF($H876-'[2]Read Me'!$B$4&lt;=21,"Amber","Green"))))</f>
        <v>Amber</v>
      </c>
    </row>
    <row r="877" spans="10:13" x14ac:dyDescent="0.3">
      <c r="J877" s="6" t="str">
        <f t="shared" si="38"/>
        <v/>
      </c>
      <c r="L877" s="7" t="str">
        <f t="shared" ca="1" si="39"/>
        <v/>
      </c>
      <c r="M877" s="4" t="str">
        <f>IF($I877="Complete","Green",IF($H877="","Amber",IF($H877&lt;'[2]Read Me'!$B$4,"Red",IF($H877-'[2]Read Me'!$B$4&lt;=21,"Amber","Green"))))</f>
        <v>Amber</v>
      </c>
    </row>
    <row r="878" spans="10:13" x14ac:dyDescent="0.3">
      <c r="J878" s="6" t="str">
        <f t="shared" si="38"/>
        <v/>
      </c>
      <c r="L878" s="7" t="str">
        <f t="shared" ca="1" si="39"/>
        <v/>
      </c>
      <c r="M878" s="4" t="str">
        <f>IF($I878="Complete","Green",IF($H878="","Amber",IF($H878&lt;'[2]Read Me'!$B$4,"Red",IF($H878-'[2]Read Me'!$B$4&lt;=21,"Amber","Green"))))</f>
        <v>Amber</v>
      </c>
    </row>
    <row r="879" spans="10:13" x14ac:dyDescent="0.3">
      <c r="J879" s="6" t="str">
        <f t="shared" si="38"/>
        <v/>
      </c>
      <c r="L879" s="7" t="str">
        <f t="shared" ca="1" si="39"/>
        <v/>
      </c>
      <c r="M879" s="4" t="str">
        <f>IF($I879="Complete","Green",IF($H879="","Amber",IF($H879&lt;'[2]Read Me'!$B$4,"Red",IF($H879-'[2]Read Me'!$B$4&lt;=21,"Amber","Green"))))</f>
        <v>Amber</v>
      </c>
    </row>
    <row r="880" spans="10:13" x14ac:dyDescent="0.3">
      <c r="J880" s="6" t="str">
        <f t="shared" si="38"/>
        <v/>
      </c>
      <c r="L880" s="7" t="str">
        <f t="shared" ca="1" si="39"/>
        <v/>
      </c>
      <c r="M880" s="4" t="str">
        <f>IF($I880="Complete","Green",IF($H880="","Amber",IF($H880&lt;'[2]Read Me'!$B$4,"Red",IF($H880-'[2]Read Me'!$B$4&lt;=21,"Amber","Green"))))</f>
        <v>Amber</v>
      </c>
    </row>
    <row r="881" spans="10:13" x14ac:dyDescent="0.3">
      <c r="J881" s="6" t="str">
        <f t="shared" si="38"/>
        <v/>
      </c>
      <c r="L881" s="7" t="str">
        <f t="shared" ca="1" si="39"/>
        <v/>
      </c>
      <c r="M881" s="4" t="str">
        <f>IF($I881="Complete","Green",IF($H881="","Amber",IF($H881&lt;'[2]Read Me'!$B$4,"Red",IF($H881-'[2]Read Me'!$B$4&lt;=21,"Amber","Green"))))</f>
        <v>Amber</v>
      </c>
    </row>
    <row r="882" spans="10:13" x14ac:dyDescent="0.3">
      <c r="J882" s="6" t="str">
        <f t="shared" si="38"/>
        <v/>
      </c>
      <c r="L882" s="7" t="str">
        <f t="shared" ca="1" si="39"/>
        <v/>
      </c>
      <c r="M882" s="4" t="str">
        <f>IF($I882="Complete","Green",IF($H882="","Amber",IF($H882&lt;'[2]Read Me'!$B$4,"Red",IF($H882-'[2]Read Me'!$B$4&lt;=21,"Amber","Green"))))</f>
        <v>Amber</v>
      </c>
    </row>
    <row r="883" spans="10:13" x14ac:dyDescent="0.3">
      <c r="J883" s="6" t="str">
        <f t="shared" si="38"/>
        <v/>
      </c>
      <c r="L883" s="7" t="str">
        <f t="shared" ca="1" si="39"/>
        <v/>
      </c>
      <c r="M883" s="4" t="str">
        <f>IF($I883="Complete","Green",IF($H883="","Amber",IF($H883&lt;'[2]Read Me'!$B$4,"Red",IF($H883-'[2]Read Me'!$B$4&lt;=21,"Amber","Green"))))</f>
        <v>Amber</v>
      </c>
    </row>
    <row r="884" spans="10:13" x14ac:dyDescent="0.3">
      <c r="J884" s="6" t="str">
        <f t="shared" si="38"/>
        <v/>
      </c>
      <c r="L884" s="7" t="str">
        <f t="shared" ca="1" si="39"/>
        <v/>
      </c>
      <c r="M884" s="4" t="str">
        <f>IF($I884="Complete","Green",IF($H884="","Amber",IF($H884&lt;'[2]Read Me'!$B$4,"Red",IF($H884-'[2]Read Me'!$B$4&lt;=21,"Amber","Green"))))</f>
        <v>Amber</v>
      </c>
    </row>
    <row r="885" spans="10:13" x14ac:dyDescent="0.3">
      <c r="J885" s="6" t="str">
        <f t="shared" si="38"/>
        <v/>
      </c>
      <c r="L885" s="7" t="str">
        <f t="shared" ca="1" si="39"/>
        <v/>
      </c>
      <c r="M885" s="4" t="str">
        <f>IF($I885="Complete","Green",IF($H885="","Amber",IF($H885&lt;'[2]Read Me'!$B$4,"Red",IF($H885-'[2]Read Me'!$B$4&lt;=21,"Amber","Green"))))</f>
        <v>Amber</v>
      </c>
    </row>
    <row r="886" spans="10:13" x14ac:dyDescent="0.3">
      <c r="J886" s="6" t="str">
        <f t="shared" si="38"/>
        <v/>
      </c>
      <c r="L886" s="7" t="str">
        <f t="shared" ca="1" si="39"/>
        <v/>
      </c>
      <c r="M886" s="4" t="str">
        <f>IF($I886="Complete","Green",IF($H886="","Amber",IF($H886&lt;'[2]Read Me'!$B$4,"Red",IF($H886-'[2]Read Me'!$B$4&lt;=21,"Amber","Green"))))</f>
        <v>Amber</v>
      </c>
    </row>
    <row r="887" spans="10:13" x14ac:dyDescent="0.3">
      <c r="J887" s="6" t="str">
        <f t="shared" si="38"/>
        <v/>
      </c>
      <c r="L887" s="7" t="str">
        <f t="shared" ca="1" si="39"/>
        <v/>
      </c>
      <c r="M887" s="4" t="str">
        <f>IF($I887="Complete","Green",IF($H887="","Amber",IF($H887&lt;'[2]Read Me'!$B$4,"Red",IF($H887-'[2]Read Me'!$B$4&lt;=21,"Amber","Green"))))</f>
        <v>Amber</v>
      </c>
    </row>
    <row r="888" spans="10:13" x14ac:dyDescent="0.3">
      <c r="J888" s="6" t="str">
        <f t="shared" si="38"/>
        <v/>
      </c>
      <c r="L888" s="7" t="str">
        <f t="shared" ca="1" si="39"/>
        <v/>
      </c>
      <c r="M888" s="4" t="str">
        <f>IF($I888="Complete","Green",IF($H888="","Amber",IF($H888&lt;'[2]Read Me'!$B$4,"Red",IF($H888-'[2]Read Me'!$B$4&lt;=21,"Amber","Green"))))</f>
        <v>Amber</v>
      </c>
    </row>
    <row r="889" spans="10:13" x14ac:dyDescent="0.3">
      <c r="J889" s="6" t="str">
        <f t="shared" si="38"/>
        <v/>
      </c>
      <c r="L889" s="7" t="str">
        <f t="shared" ca="1" si="39"/>
        <v/>
      </c>
      <c r="M889" s="4" t="str">
        <f>IF($I889="Complete","Green",IF($H889="","Amber",IF($H889&lt;'[2]Read Me'!$B$4,"Red",IF($H889-'[2]Read Me'!$B$4&lt;=21,"Amber","Green"))))</f>
        <v>Amber</v>
      </c>
    </row>
    <row r="890" spans="10:13" x14ac:dyDescent="0.3">
      <c r="J890" s="6" t="str">
        <f t="shared" si="38"/>
        <v/>
      </c>
      <c r="L890" s="7" t="str">
        <f t="shared" ca="1" si="39"/>
        <v/>
      </c>
      <c r="M890" s="4" t="str">
        <f>IF($I890="Complete","Green",IF($H890="","Amber",IF($H890&lt;'[2]Read Me'!$B$4,"Red",IF($H890-'[2]Read Me'!$B$4&lt;=21,"Amber","Green"))))</f>
        <v>Amber</v>
      </c>
    </row>
    <row r="891" spans="10:13" x14ac:dyDescent="0.3">
      <c r="J891" s="6" t="str">
        <f t="shared" si="38"/>
        <v/>
      </c>
      <c r="L891" s="7" t="str">
        <f t="shared" ca="1" si="39"/>
        <v/>
      </c>
      <c r="M891" s="4" t="str">
        <f>IF($I891="Complete","Green",IF($H891="","Amber",IF($H891&lt;'[2]Read Me'!$B$4,"Red",IF($H891-'[2]Read Me'!$B$4&lt;=21,"Amber","Green"))))</f>
        <v>Amber</v>
      </c>
    </row>
    <row r="892" spans="10:13" x14ac:dyDescent="0.3">
      <c r="J892" s="6" t="str">
        <f t="shared" si="38"/>
        <v/>
      </c>
      <c r="L892" s="7" t="str">
        <f t="shared" ca="1" si="39"/>
        <v/>
      </c>
      <c r="M892" s="4" t="str">
        <f>IF($I892="Complete","Green",IF($H892="","Amber",IF($H892&lt;'[2]Read Me'!$B$4,"Red",IF($H892-'[2]Read Me'!$B$4&lt;=21,"Amber","Green"))))</f>
        <v>Amber</v>
      </c>
    </row>
    <row r="893" spans="10:13" x14ac:dyDescent="0.3">
      <c r="J893" s="6" t="str">
        <f t="shared" si="38"/>
        <v/>
      </c>
      <c r="L893" s="7" t="str">
        <f t="shared" ca="1" si="39"/>
        <v/>
      </c>
      <c r="M893" s="4" t="str">
        <f>IF($I893="Complete","Green",IF($H893="","Amber",IF($H893&lt;'[2]Read Me'!$B$4,"Red",IF($H893-'[2]Read Me'!$B$4&lt;=21,"Amber","Green"))))</f>
        <v>Amber</v>
      </c>
    </row>
    <row r="894" spans="10:13" x14ac:dyDescent="0.3">
      <c r="J894" s="6" t="str">
        <f t="shared" si="38"/>
        <v/>
      </c>
      <c r="L894" s="7" t="str">
        <f t="shared" ca="1" si="39"/>
        <v/>
      </c>
      <c r="M894" s="4" t="str">
        <f>IF($I894="Complete","Green",IF($H894="","Amber",IF($H894&lt;'[2]Read Me'!$B$4,"Red",IF($H894-'[2]Read Me'!$B$4&lt;=21,"Amber","Green"))))</f>
        <v>Amber</v>
      </c>
    </row>
    <row r="895" spans="10:13" x14ac:dyDescent="0.3">
      <c r="J895" s="6" t="str">
        <f t="shared" si="38"/>
        <v/>
      </c>
      <c r="L895" s="7" t="str">
        <f t="shared" ca="1" si="39"/>
        <v/>
      </c>
      <c r="M895" s="4" t="str">
        <f>IF($I895="Complete","Green",IF($H895="","Amber",IF($H895&lt;'[2]Read Me'!$B$4,"Red",IF($H895-'[2]Read Me'!$B$4&lt;=21,"Amber","Green"))))</f>
        <v>Amber</v>
      </c>
    </row>
    <row r="896" spans="10:13" x14ac:dyDescent="0.3">
      <c r="J896" s="6" t="str">
        <f t="shared" si="38"/>
        <v/>
      </c>
      <c r="L896" s="7" t="str">
        <f t="shared" ca="1" si="39"/>
        <v/>
      </c>
      <c r="M896" s="4" t="str">
        <f>IF($I896="Complete","Green",IF($H896="","Amber",IF($H896&lt;'[2]Read Me'!$B$4,"Red",IF($H896-'[2]Read Me'!$B$4&lt;=21,"Amber","Green"))))</f>
        <v>Amber</v>
      </c>
    </row>
    <row r="897" spans="10:13" x14ac:dyDescent="0.3">
      <c r="J897" s="6" t="str">
        <f t="shared" si="38"/>
        <v/>
      </c>
      <c r="L897" s="7" t="str">
        <f t="shared" ca="1" si="39"/>
        <v/>
      </c>
      <c r="M897" s="4" t="str">
        <f>IF($I897="Complete","Green",IF($H897="","Amber",IF($H897&lt;'[2]Read Me'!$B$4,"Red",IF($H897-'[2]Read Me'!$B$4&lt;=21,"Amber","Green"))))</f>
        <v>Amber</v>
      </c>
    </row>
    <row r="898" spans="10:13" x14ac:dyDescent="0.3">
      <c r="J898" s="6" t="str">
        <f t="shared" si="38"/>
        <v/>
      </c>
      <c r="L898" s="7" t="str">
        <f t="shared" ca="1" si="39"/>
        <v/>
      </c>
      <c r="M898" s="4" t="str">
        <f>IF($I898="Complete","Green",IF($H898="","Amber",IF($H898&lt;'[2]Read Me'!$B$4,"Red",IF($H898-'[2]Read Me'!$B$4&lt;=21,"Amber","Green"))))</f>
        <v>Amber</v>
      </c>
    </row>
    <row r="899" spans="10:13" x14ac:dyDescent="0.3">
      <c r="J899" s="6" t="str">
        <f t="shared" si="38"/>
        <v/>
      </c>
      <c r="L899" s="7" t="str">
        <f t="shared" ca="1" si="39"/>
        <v/>
      </c>
      <c r="M899" s="4" t="str">
        <f>IF($I899="Complete","Green",IF($H899="","Amber",IF($H899&lt;'[2]Read Me'!$B$4,"Red",IF($H899-'[2]Read Me'!$B$4&lt;=21,"Amber","Green"))))</f>
        <v>Amber</v>
      </c>
    </row>
    <row r="900" spans="10:13" x14ac:dyDescent="0.3">
      <c r="J900" s="6" t="str">
        <f t="shared" ref="J900:J963" si="40">IF(OR($G900="",$H900=""),"",$H900-$G900)</f>
        <v/>
      </c>
      <c r="L900" s="7" t="str">
        <f t="shared" ca="1" si="39"/>
        <v/>
      </c>
      <c r="M900" s="4" t="str">
        <f>IF($I900="Complete","Green",IF($H900="","Amber",IF($H900&lt;'[2]Read Me'!$B$4,"Red",IF($H900-'[2]Read Me'!$B$4&lt;=21,"Amber","Green"))))</f>
        <v>Amber</v>
      </c>
    </row>
    <row r="901" spans="10:13" x14ac:dyDescent="0.3">
      <c r="J901" s="6" t="str">
        <f t="shared" si="40"/>
        <v/>
      </c>
      <c r="L901" s="7" t="str">
        <f t="shared" ref="L901:L964" ca="1" si="41">IF(I901="Completed",0,IF(H901="","",H901-TODAY()))</f>
        <v/>
      </c>
      <c r="M901" s="4" t="str">
        <f>IF($I901="Complete","Green",IF($H901="","Amber",IF($H901&lt;'[2]Read Me'!$B$4,"Red",IF($H901-'[2]Read Me'!$B$4&lt;=21,"Amber","Green"))))</f>
        <v>Amber</v>
      </c>
    </row>
    <row r="902" spans="10:13" x14ac:dyDescent="0.3">
      <c r="J902" s="6" t="str">
        <f t="shared" si="40"/>
        <v/>
      </c>
      <c r="L902" s="7" t="str">
        <f t="shared" ca="1" si="41"/>
        <v/>
      </c>
      <c r="M902" s="4" t="str">
        <f>IF($I902="Complete","Green",IF($H902="","Amber",IF($H902&lt;'[2]Read Me'!$B$4,"Red",IF($H902-'[2]Read Me'!$B$4&lt;=21,"Amber","Green"))))</f>
        <v>Amber</v>
      </c>
    </row>
    <row r="903" spans="10:13" x14ac:dyDescent="0.3">
      <c r="J903" s="6" t="str">
        <f t="shared" si="40"/>
        <v/>
      </c>
      <c r="L903" s="7" t="str">
        <f t="shared" ca="1" si="41"/>
        <v/>
      </c>
      <c r="M903" s="4" t="str">
        <f>IF($I903="Complete","Green",IF($H903="","Amber",IF($H903&lt;'[2]Read Me'!$B$4,"Red",IF($H903-'[2]Read Me'!$B$4&lt;=21,"Amber","Green"))))</f>
        <v>Amber</v>
      </c>
    </row>
    <row r="904" spans="10:13" x14ac:dyDescent="0.3">
      <c r="J904" s="6" t="str">
        <f t="shared" si="40"/>
        <v/>
      </c>
      <c r="L904" s="7" t="str">
        <f t="shared" ca="1" si="41"/>
        <v/>
      </c>
      <c r="M904" s="4" t="str">
        <f>IF($I904="Complete","Green",IF($H904="","Amber",IF($H904&lt;'[2]Read Me'!$B$4,"Red",IF($H904-'[2]Read Me'!$B$4&lt;=21,"Amber","Green"))))</f>
        <v>Amber</v>
      </c>
    </row>
    <row r="905" spans="10:13" x14ac:dyDescent="0.3">
      <c r="J905" s="6" t="str">
        <f t="shared" si="40"/>
        <v/>
      </c>
      <c r="L905" s="7" t="str">
        <f t="shared" ca="1" si="41"/>
        <v/>
      </c>
      <c r="M905" s="4" t="str">
        <f>IF($I905="Complete","Green",IF($H905="","Amber",IF($H905&lt;'[2]Read Me'!$B$4,"Red",IF($H905-'[2]Read Me'!$B$4&lt;=21,"Amber","Green"))))</f>
        <v>Amber</v>
      </c>
    </row>
    <row r="906" spans="10:13" x14ac:dyDescent="0.3">
      <c r="J906" s="6" t="str">
        <f t="shared" si="40"/>
        <v/>
      </c>
      <c r="L906" s="7" t="str">
        <f t="shared" ca="1" si="41"/>
        <v/>
      </c>
      <c r="M906" s="4" t="str">
        <f>IF($I906="Complete","Green",IF($H906="","Amber",IF($H906&lt;'[2]Read Me'!$B$4,"Red",IF($H906-'[2]Read Me'!$B$4&lt;=21,"Amber","Green"))))</f>
        <v>Amber</v>
      </c>
    </row>
    <row r="907" spans="10:13" x14ac:dyDescent="0.3">
      <c r="J907" s="6" t="str">
        <f t="shared" si="40"/>
        <v/>
      </c>
      <c r="L907" s="7" t="str">
        <f t="shared" ca="1" si="41"/>
        <v/>
      </c>
      <c r="M907" s="4" t="str">
        <f>IF($I907="Complete","Green",IF($H907="","Amber",IF($H907&lt;'[2]Read Me'!$B$4,"Red",IF($H907-'[2]Read Me'!$B$4&lt;=21,"Amber","Green"))))</f>
        <v>Amber</v>
      </c>
    </row>
    <row r="908" spans="10:13" x14ac:dyDescent="0.3">
      <c r="J908" s="6" t="str">
        <f t="shared" si="40"/>
        <v/>
      </c>
      <c r="L908" s="7" t="str">
        <f t="shared" ca="1" si="41"/>
        <v/>
      </c>
      <c r="M908" s="4" t="str">
        <f>IF($I908="Complete","Green",IF($H908="","Amber",IF($H908&lt;'[2]Read Me'!$B$4,"Red",IF($H908-'[2]Read Me'!$B$4&lt;=21,"Amber","Green"))))</f>
        <v>Amber</v>
      </c>
    </row>
    <row r="909" spans="10:13" x14ac:dyDescent="0.3">
      <c r="J909" s="6" t="str">
        <f t="shared" si="40"/>
        <v/>
      </c>
      <c r="L909" s="7" t="str">
        <f t="shared" ca="1" si="41"/>
        <v/>
      </c>
      <c r="M909" s="4" t="str">
        <f>IF($I909="Complete","Green",IF($H909="","Amber",IF($H909&lt;'[2]Read Me'!$B$4,"Red",IF($H909-'[2]Read Me'!$B$4&lt;=21,"Amber","Green"))))</f>
        <v>Amber</v>
      </c>
    </row>
    <row r="910" spans="10:13" x14ac:dyDescent="0.3">
      <c r="J910" s="6" t="str">
        <f t="shared" si="40"/>
        <v/>
      </c>
      <c r="L910" s="7" t="str">
        <f t="shared" ca="1" si="41"/>
        <v/>
      </c>
      <c r="M910" s="4" t="str">
        <f>IF($I910="Complete","Green",IF($H910="","Amber",IF($H910&lt;'[2]Read Me'!$B$4,"Red",IF($H910-'[2]Read Me'!$B$4&lt;=21,"Amber","Green"))))</f>
        <v>Amber</v>
      </c>
    </row>
    <row r="911" spans="10:13" x14ac:dyDescent="0.3">
      <c r="J911" s="6" t="str">
        <f t="shared" si="40"/>
        <v/>
      </c>
      <c r="L911" s="7" t="str">
        <f t="shared" ca="1" si="41"/>
        <v/>
      </c>
      <c r="M911" s="4" t="str">
        <f>IF($I911="Complete","Green",IF($H911="","Amber",IF($H911&lt;'[2]Read Me'!$B$4,"Red",IF($H911-'[2]Read Me'!$B$4&lt;=21,"Amber","Green"))))</f>
        <v>Amber</v>
      </c>
    </row>
    <row r="912" spans="10:13" x14ac:dyDescent="0.3">
      <c r="J912" s="6" t="str">
        <f t="shared" si="40"/>
        <v/>
      </c>
      <c r="L912" s="7" t="str">
        <f t="shared" ca="1" si="41"/>
        <v/>
      </c>
      <c r="M912" s="4" t="str">
        <f>IF($I912="Complete","Green",IF($H912="","Amber",IF($H912&lt;'[2]Read Me'!$B$4,"Red",IF($H912-'[2]Read Me'!$B$4&lt;=21,"Amber","Green"))))</f>
        <v>Amber</v>
      </c>
    </row>
    <row r="913" spans="10:13" x14ac:dyDescent="0.3">
      <c r="J913" s="6" t="str">
        <f t="shared" si="40"/>
        <v/>
      </c>
      <c r="L913" s="7" t="str">
        <f t="shared" ca="1" si="41"/>
        <v/>
      </c>
      <c r="M913" s="4" t="str">
        <f>IF($I913="Complete","Green",IF($H913="","Amber",IF($H913&lt;'[2]Read Me'!$B$4,"Red",IF($H913-'[2]Read Me'!$B$4&lt;=21,"Amber","Green"))))</f>
        <v>Amber</v>
      </c>
    </row>
    <row r="914" spans="10:13" x14ac:dyDescent="0.3">
      <c r="J914" s="6" t="str">
        <f t="shared" si="40"/>
        <v/>
      </c>
      <c r="L914" s="7" t="str">
        <f t="shared" ca="1" si="41"/>
        <v/>
      </c>
      <c r="M914" s="4" t="str">
        <f>IF($I914="Complete","Green",IF($H914="","Amber",IF($H914&lt;'[2]Read Me'!$B$4,"Red",IF($H914-'[2]Read Me'!$B$4&lt;=21,"Amber","Green"))))</f>
        <v>Amber</v>
      </c>
    </row>
    <row r="915" spans="10:13" x14ac:dyDescent="0.3">
      <c r="J915" s="6" t="str">
        <f t="shared" si="40"/>
        <v/>
      </c>
      <c r="L915" s="7" t="str">
        <f t="shared" ca="1" si="41"/>
        <v/>
      </c>
      <c r="M915" s="4" t="str">
        <f>IF($I915="Complete","Green",IF($H915="","Amber",IF($H915&lt;'[2]Read Me'!$B$4,"Red",IF($H915-'[2]Read Me'!$B$4&lt;=21,"Amber","Green"))))</f>
        <v>Amber</v>
      </c>
    </row>
    <row r="916" spans="10:13" x14ac:dyDescent="0.3">
      <c r="J916" s="6" t="str">
        <f t="shared" si="40"/>
        <v/>
      </c>
      <c r="L916" s="7" t="str">
        <f t="shared" ca="1" si="41"/>
        <v/>
      </c>
      <c r="M916" s="4" t="str">
        <f>IF($I916="Complete","Green",IF($H916="","Amber",IF($H916&lt;'[2]Read Me'!$B$4,"Red",IF($H916-'[2]Read Me'!$B$4&lt;=21,"Amber","Green"))))</f>
        <v>Amber</v>
      </c>
    </row>
    <row r="917" spans="10:13" x14ac:dyDescent="0.3">
      <c r="J917" s="6" t="str">
        <f t="shared" si="40"/>
        <v/>
      </c>
      <c r="L917" s="7" t="str">
        <f t="shared" ca="1" si="41"/>
        <v/>
      </c>
      <c r="M917" s="4" t="str">
        <f>IF($I917="Complete","Green",IF($H917="","Amber",IF($H917&lt;'[2]Read Me'!$B$4,"Red",IF($H917-'[2]Read Me'!$B$4&lt;=21,"Amber","Green"))))</f>
        <v>Amber</v>
      </c>
    </row>
    <row r="918" spans="10:13" x14ac:dyDescent="0.3">
      <c r="J918" s="6" t="str">
        <f t="shared" si="40"/>
        <v/>
      </c>
      <c r="L918" s="7" t="str">
        <f t="shared" ca="1" si="41"/>
        <v/>
      </c>
      <c r="M918" s="4" t="str">
        <f>IF($I918="Complete","Green",IF($H918="","Amber",IF($H918&lt;'[2]Read Me'!$B$4,"Red",IF($H918-'[2]Read Me'!$B$4&lt;=21,"Amber","Green"))))</f>
        <v>Amber</v>
      </c>
    </row>
    <row r="919" spans="10:13" x14ac:dyDescent="0.3">
      <c r="J919" s="6" t="str">
        <f t="shared" si="40"/>
        <v/>
      </c>
      <c r="L919" s="7" t="str">
        <f t="shared" ca="1" si="41"/>
        <v/>
      </c>
      <c r="M919" s="4" t="str">
        <f>IF($I919="Complete","Green",IF($H919="","Amber",IF($H919&lt;'[2]Read Me'!$B$4,"Red",IF($H919-'[2]Read Me'!$B$4&lt;=21,"Amber","Green"))))</f>
        <v>Amber</v>
      </c>
    </row>
    <row r="920" spans="10:13" x14ac:dyDescent="0.3">
      <c r="J920" s="6" t="str">
        <f t="shared" si="40"/>
        <v/>
      </c>
      <c r="L920" s="7" t="str">
        <f t="shared" ca="1" si="41"/>
        <v/>
      </c>
      <c r="M920" s="4" t="str">
        <f>IF($I920="Complete","Green",IF($H920="","Amber",IF($H920&lt;'[2]Read Me'!$B$4,"Red",IF($H920-'[2]Read Me'!$B$4&lt;=21,"Amber","Green"))))</f>
        <v>Amber</v>
      </c>
    </row>
    <row r="921" spans="10:13" x14ac:dyDescent="0.3">
      <c r="J921" s="6" t="str">
        <f t="shared" si="40"/>
        <v/>
      </c>
      <c r="L921" s="7" t="str">
        <f t="shared" ca="1" si="41"/>
        <v/>
      </c>
      <c r="M921" s="4" t="str">
        <f>IF($I921="Complete","Green",IF($H921="","Amber",IF($H921&lt;'[2]Read Me'!$B$4,"Red",IF($H921-'[2]Read Me'!$B$4&lt;=21,"Amber","Green"))))</f>
        <v>Amber</v>
      </c>
    </row>
    <row r="922" spans="10:13" x14ac:dyDescent="0.3">
      <c r="J922" s="6" t="str">
        <f t="shared" si="40"/>
        <v/>
      </c>
      <c r="L922" s="7" t="str">
        <f t="shared" ca="1" si="41"/>
        <v/>
      </c>
      <c r="M922" s="4" t="str">
        <f>IF($I922="Complete","Green",IF($H922="","Amber",IF($H922&lt;'[2]Read Me'!$B$4,"Red",IF($H922-'[2]Read Me'!$B$4&lt;=21,"Amber","Green"))))</f>
        <v>Amber</v>
      </c>
    </row>
    <row r="923" spans="10:13" x14ac:dyDescent="0.3">
      <c r="J923" s="6" t="str">
        <f t="shared" si="40"/>
        <v/>
      </c>
      <c r="L923" s="7" t="str">
        <f t="shared" ca="1" si="41"/>
        <v/>
      </c>
      <c r="M923" s="4" t="str">
        <f>IF($I923="Complete","Green",IF($H923="","Amber",IF($H923&lt;'[2]Read Me'!$B$4,"Red",IF($H923-'[2]Read Me'!$B$4&lt;=21,"Amber","Green"))))</f>
        <v>Amber</v>
      </c>
    </row>
    <row r="924" spans="10:13" x14ac:dyDescent="0.3">
      <c r="J924" s="6" t="str">
        <f t="shared" si="40"/>
        <v/>
      </c>
      <c r="L924" s="7" t="str">
        <f t="shared" ca="1" si="41"/>
        <v/>
      </c>
      <c r="M924" s="4" t="str">
        <f>IF($I924="Complete","Green",IF($H924="","Amber",IF($H924&lt;'[2]Read Me'!$B$4,"Red",IF($H924-'[2]Read Me'!$B$4&lt;=21,"Amber","Green"))))</f>
        <v>Amber</v>
      </c>
    </row>
    <row r="925" spans="10:13" x14ac:dyDescent="0.3">
      <c r="J925" s="6" t="str">
        <f t="shared" si="40"/>
        <v/>
      </c>
      <c r="L925" s="7" t="str">
        <f t="shared" ca="1" si="41"/>
        <v/>
      </c>
      <c r="M925" s="4" t="str">
        <f>IF($I925="Complete","Green",IF($H925="","Amber",IF($H925&lt;'[2]Read Me'!$B$4,"Red",IF($H925-'[2]Read Me'!$B$4&lt;=21,"Amber","Green"))))</f>
        <v>Amber</v>
      </c>
    </row>
    <row r="926" spans="10:13" x14ac:dyDescent="0.3">
      <c r="J926" s="6" t="str">
        <f t="shared" si="40"/>
        <v/>
      </c>
      <c r="L926" s="7" t="str">
        <f t="shared" ca="1" si="41"/>
        <v/>
      </c>
      <c r="M926" s="4" t="str">
        <f>IF($I926="Complete","Green",IF($H926="","Amber",IF($H926&lt;'[2]Read Me'!$B$4,"Red",IF($H926-'[2]Read Me'!$B$4&lt;=21,"Amber","Green"))))</f>
        <v>Amber</v>
      </c>
    </row>
    <row r="927" spans="10:13" x14ac:dyDescent="0.3">
      <c r="J927" s="6" t="str">
        <f t="shared" si="40"/>
        <v/>
      </c>
      <c r="L927" s="7" t="str">
        <f t="shared" ca="1" si="41"/>
        <v/>
      </c>
      <c r="M927" s="4" t="str">
        <f>IF($I927="Complete","Green",IF($H927="","Amber",IF($H927&lt;'[2]Read Me'!$B$4,"Red",IF($H927-'[2]Read Me'!$B$4&lt;=21,"Amber","Green"))))</f>
        <v>Amber</v>
      </c>
    </row>
    <row r="928" spans="10:13" x14ac:dyDescent="0.3">
      <c r="J928" s="6" t="str">
        <f t="shared" si="40"/>
        <v/>
      </c>
      <c r="L928" s="7" t="str">
        <f t="shared" ca="1" si="41"/>
        <v/>
      </c>
      <c r="M928" s="4" t="str">
        <f>IF($I928="Complete","Green",IF($H928="","Amber",IF($H928&lt;'[2]Read Me'!$B$4,"Red",IF($H928-'[2]Read Me'!$B$4&lt;=21,"Amber","Green"))))</f>
        <v>Amber</v>
      </c>
    </row>
    <row r="929" spans="10:13" x14ac:dyDescent="0.3">
      <c r="J929" s="6" t="str">
        <f t="shared" si="40"/>
        <v/>
      </c>
      <c r="L929" s="7" t="str">
        <f t="shared" ca="1" si="41"/>
        <v/>
      </c>
      <c r="M929" s="4" t="str">
        <f>IF($I929="Complete","Green",IF($H929="","Amber",IF($H929&lt;'[2]Read Me'!$B$4,"Red",IF($H929-'[2]Read Me'!$B$4&lt;=21,"Amber","Green"))))</f>
        <v>Amber</v>
      </c>
    </row>
    <row r="930" spans="10:13" x14ac:dyDescent="0.3">
      <c r="J930" s="6" t="str">
        <f t="shared" si="40"/>
        <v/>
      </c>
      <c r="L930" s="7" t="str">
        <f t="shared" ca="1" si="41"/>
        <v/>
      </c>
      <c r="M930" s="4" t="str">
        <f>IF($I930="Complete","Green",IF($H930="","Amber",IF($H930&lt;'[2]Read Me'!$B$4,"Red",IF($H930-'[2]Read Me'!$B$4&lt;=21,"Amber","Green"))))</f>
        <v>Amber</v>
      </c>
    </row>
    <row r="931" spans="10:13" x14ac:dyDescent="0.3">
      <c r="J931" s="6" t="str">
        <f t="shared" si="40"/>
        <v/>
      </c>
      <c r="L931" s="7" t="str">
        <f t="shared" ca="1" si="41"/>
        <v/>
      </c>
      <c r="M931" s="4" t="str">
        <f>IF($I931="Complete","Green",IF($H931="","Amber",IF($H931&lt;'[2]Read Me'!$B$4,"Red",IF($H931-'[2]Read Me'!$B$4&lt;=21,"Amber","Green"))))</f>
        <v>Amber</v>
      </c>
    </row>
    <row r="932" spans="10:13" x14ac:dyDescent="0.3">
      <c r="J932" s="6" t="str">
        <f t="shared" si="40"/>
        <v/>
      </c>
      <c r="L932" s="7" t="str">
        <f t="shared" ca="1" si="41"/>
        <v/>
      </c>
      <c r="M932" s="4" t="str">
        <f>IF($I932="Complete","Green",IF($H932="","Amber",IF($H932&lt;'[2]Read Me'!$B$4,"Red",IF($H932-'[2]Read Me'!$B$4&lt;=21,"Amber","Green"))))</f>
        <v>Amber</v>
      </c>
    </row>
    <row r="933" spans="10:13" x14ac:dyDescent="0.3">
      <c r="J933" s="6" t="str">
        <f t="shared" si="40"/>
        <v/>
      </c>
      <c r="L933" s="7" t="str">
        <f t="shared" ca="1" si="41"/>
        <v/>
      </c>
      <c r="M933" s="4" t="str">
        <f>IF($I933="Complete","Green",IF($H933="","Amber",IF($H933&lt;'[2]Read Me'!$B$4,"Red",IF($H933-'[2]Read Me'!$B$4&lt;=21,"Amber","Green"))))</f>
        <v>Amber</v>
      </c>
    </row>
    <row r="934" spans="10:13" x14ac:dyDescent="0.3">
      <c r="J934" s="6" t="str">
        <f t="shared" si="40"/>
        <v/>
      </c>
      <c r="L934" s="7" t="str">
        <f t="shared" ca="1" si="41"/>
        <v/>
      </c>
      <c r="M934" s="4" t="str">
        <f>IF($I934="Complete","Green",IF($H934="","Amber",IF($H934&lt;'[2]Read Me'!$B$4,"Red",IF($H934-'[2]Read Me'!$B$4&lt;=21,"Amber","Green"))))</f>
        <v>Amber</v>
      </c>
    </row>
    <row r="935" spans="10:13" x14ac:dyDescent="0.3">
      <c r="J935" s="6" t="str">
        <f t="shared" si="40"/>
        <v/>
      </c>
      <c r="L935" s="7" t="str">
        <f t="shared" ca="1" si="41"/>
        <v/>
      </c>
      <c r="M935" s="4" t="str">
        <f>IF($I935="Complete","Green",IF($H935="","Amber",IF($H935&lt;'[2]Read Me'!$B$4,"Red",IF($H935-'[2]Read Me'!$B$4&lt;=21,"Amber","Green"))))</f>
        <v>Amber</v>
      </c>
    </row>
    <row r="936" spans="10:13" x14ac:dyDescent="0.3">
      <c r="J936" s="6" t="str">
        <f t="shared" si="40"/>
        <v/>
      </c>
      <c r="L936" s="7" t="str">
        <f t="shared" ca="1" si="41"/>
        <v/>
      </c>
      <c r="M936" s="4" t="str">
        <f>IF($I936="Complete","Green",IF($H936="","Amber",IF($H936&lt;'[2]Read Me'!$B$4,"Red",IF($H936-'[2]Read Me'!$B$4&lt;=21,"Amber","Green"))))</f>
        <v>Amber</v>
      </c>
    </row>
    <row r="937" spans="10:13" x14ac:dyDescent="0.3">
      <c r="J937" s="6" t="str">
        <f t="shared" si="40"/>
        <v/>
      </c>
      <c r="L937" s="7" t="str">
        <f t="shared" ca="1" si="41"/>
        <v/>
      </c>
      <c r="M937" s="4" t="str">
        <f>IF($I937="Complete","Green",IF($H937="","Amber",IF($H937&lt;'[2]Read Me'!$B$4,"Red",IF($H937-'[2]Read Me'!$B$4&lt;=21,"Amber","Green"))))</f>
        <v>Amber</v>
      </c>
    </row>
    <row r="938" spans="10:13" x14ac:dyDescent="0.3">
      <c r="J938" s="6" t="str">
        <f t="shared" si="40"/>
        <v/>
      </c>
      <c r="L938" s="7" t="str">
        <f t="shared" ca="1" si="41"/>
        <v/>
      </c>
      <c r="M938" s="4" t="str">
        <f>IF($I938="Complete","Green",IF($H938="","Amber",IF($H938&lt;'[2]Read Me'!$B$4,"Red",IF($H938-'[2]Read Me'!$B$4&lt;=21,"Amber","Green"))))</f>
        <v>Amber</v>
      </c>
    </row>
    <row r="939" spans="10:13" x14ac:dyDescent="0.3">
      <c r="J939" s="6" t="str">
        <f t="shared" si="40"/>
        <v/>
      </c>
      <c r="L939" s="7" t="str">
        <f t="shared" ca="1" si="41"/>
        <v/>
      </c>
      <c r="M939" s="4" t="str">
        <f>IF($I939="Complete","Green",IF($H939="","Amber",IF($H939&lt;'[2]Read Me'!$B$4,"Red",IF($H939-'[2]Read Me'!$B$4&lt;=21,"Amber","Green"))))</f>
        <v>Amber</v>
      </c>
    </row>
    <row r="940" spans="10:13" x14ac:dyDescent="0.3">
      <c r="J940" s="6" t="str">
        <f t="shared" si="40"/>
        <v/>
      </c>
      <c r="L940" s="7" t="str">
        <f t="shared" ca="1" si="41"/>
        <v/>
      </c>
      <c r="M940" s="4" t="str">
        <f>IF($I940="Complete","Green",IF($H940="","Amber",IF($H940&lt;'[2]Read Me'!$B$4,"Red",IF($H940-'[2]Read Me'!$B$4&lt;=21,"Amber","Green"))))</f>
        <v>Amber</v>
      </c>
    </row>
    <row r="941" spans="10:13" x14ac:dyDescent="0.3">
      <c r="J941" s="6" t="str">
        <f t="shared" si="40"/>
        <v/>
      </c>
      <c r="L941" s="7" t="str">
        <f t="shared" ca="1" si="41"/>
        <v/>
      </c>
      <c r="M941" s="4" t="str">
        <f>IF($I941="Complete","Green",IF($H941="","Amber",IF($H941&lt;'[2]Read Me'!$B$4,"Red",IF($H941-'[2]Read Me'!$B$4&lt;=21,"Amber","Green"))))</f>
        <v>Amber</v>
      </c>
    </row>
    <row r="942" spans="10:13" x14ac:dyDescent="0.3">
      <c r="J942" s="6" t="str">
        <f t="shared" si="40"/>
        <v/>
      </c>
      <c r="L942" s="7" t="str">
        <f t="shared" ca="1" si="41"/>
        <v/>
      </c>
      <c r="M942" s="4" t="str">
        <f>IF($I942="Complete","Green",IF($H942="","Amber",IF($H942&lt;'[2]Read Me'!$B$4,"Red",IF($H942-'[2]Read Me'!$B$4&lt;=21,"Amber","Green"))))</f>
        <v>Amber</v>
      </c>
    </row>
    <row r="943" spans="10:13" x14ac:dyDescent="0.3">
      <c r="J943" s="6" t="str">
        <f t="shared" si="40"/>
        <v/>
      </c>
      <c r="L943" s="7" t="str">
        <f t="shared" ca="1" si="41"/>
        <v/>
      </c>
      <c r="M943" s="4" t="str">
        <f>IF($I943="Complete","Green",IF($H943="","Amber",IF($H943&lt;'[2]Read Me'!$B$4,"Red",IF($H943-'[2]Read Me'!$B$4&lt;=21,"Amber","Green"))))</f>
        <v>Amber</v>
      </c>
    </row>
    <row r="944" spans="10:13" x14ac:dyDescent="0.3">
      <c r="J944" s="6" t="str">
        <f t="shared" si="40"/>
        <v/>
      </c>
      <c r="L944" s="7" t="str">
        <f t="shared" ca="1" si="41"/>
        <v/>
      </c>
      <c r="M944" s="4" t="str">
        <f>IF($I944="Complete","Green",IF($H944="","Amber",IF($H944&lt;'[2]Read Me'!$B$4,"Red",IF($H944-'[2]Read Me'!$B$4&lt;=21,"Amber","Green"))))</f>
        <v>Amber</v>
      </c>
    </row>
    <row r="945" spans="10:13" x14ac:dyDescent="0.3">
      <c r="J945" s="6" t="str">
        <f t="shared" si="40"/>
        <v/>
      </c>
      <c r="L945" s="7" t="str">
        <f t="shared" ca="1" si="41"/>
        <v/>
      </c>
      <c r="M945" s="4" t="str">
        <f>IF($I945="Complete","Green",IF($H945="","Amber",IF($H945&lt;'[2]Read Me'!$B$4,"Red",IF($H945-'[2]Read Me'!$B$4&lt;=21,"Amber","Green"))))</f>
        <v>Amber</v>
      </c>
    </row>
    <row r="946" spans="10:13" x14ac:dyDescent="0.3">
      <c r="J946" s="6" t="str">
        <f t="shared" si="40"/>
        <v/>
      </c>
      <c r="L946" s="7" t="str">
        <f t="shared" ca="1" si="41"/>
        <v/>
      </c>
      <c r="M946" s="4" t="str">
        <f>IF($I946="Complete","Green",IF($H946="","Amber",IF($H946&lt;'[2]Read Me'!$B$4,"Red",IF($H946-'[2]Read Me'!$B$4&lt;=21,"Amber","Green"))))</f>
        <v>Amber</v>
      </c>
    </row>
    <row r="947" spans="10:13" x14ac:dyDescent="0.3">
      <c r="J947" s="6" t="str">
        <f t="shared" si="40"/>
        <v/>
      </c>
      <c r="L947" s="7" t="str">
        <f t="shared" ca="1" si="41"/>
        <v/>
      </c>
      <c r="M947" s="4" t="str">
        <f>IF($I947="Complete","Green",IF($H947="","Amber",IF($H947&lt;'[2]Read Me'!$B$4,"Red",IF($H947-'[2]Read Me'!$B$4&lt;=21,"Amber","Green"))))</f>
        <v>Amber</v>
      </c>
    </row>
    <row r="948" spans="10:13" x14ac:dyDescent="0.3">
      <c r="J948" s="6" t="str">
        <f t="shared" si="40"/>
        <v/>
      </c>
      <c r="L948" s="7" t="str">
        <f t="shared" ca="1" si="41"/>
        <v/>
      </c>
      <c r="M948" s="4" t="str">
        <f>IF($I948="Complete","Green",IF($H948="","Amber",IF($H948&lt;'[2]Read Me'!$B$4,"Red",IF($H948-'[2]Read Me'!$B$4&lt;=21,"Amber","Green"))))</f>
        <v>Amber</v>
      </c>
    </row>
    <row r="949" spans="10:13" x14ac:dyDescent="0.3">
      <c r="J949" s="6" t="str">
        <f t="shared" si="40"/>
        <v/>
      </c>
      <c r="L949" s="7" t="str">
        <f t="shared" ca="1" si="41"/>
        <v/>
      </c>
      <c r="M949" s="4" t="str">
        <f>IF($I949="Complete","Green",IF($H949="","Amber",IF($H949&lt;'[2]Read Me'!$B$4,"Red",IF($H949-'[2]Read Me'!$B$4&lt;=21,"Amber","Green"))))</f>
        <v>Amber</v>
      </c>
    </row>
    <row r="950" spans="10:13" x14ac:dyDescent="0.3">
      <c r="J950" s="6" t="str">
        <f t="shared" si="40"/>
        <v/>
      </c>
      <c r="L950" s="7" t="str">
        <f t="shared" ca="1" si="41"/>
        <v/>
      </c>
      <c r="M950" s="4" t="str">
        <f>IF($I950="Complete","Green",IF($H950="","Amber",IF($H950&lt;'[2]Read Me'!$B$4,"Red",IF($H950-'[2]Read Me'!$B$4&lt;=21,"Amber","Green"))))</f>
        <v>Amber</v>
      </c>
    </row>
    <row r="951" spans="10:13" x14ac:dyDescent="0.3">
      <c r="J951" s="6" t="str">
        <f t="shared" si="40"/>
        <v/>
      </c>
      <c r="L951" s="7" t="str">
        <f t="shared" ca="1" si="41"/>
        <v/>
      </c>
      <c r="M951" s="4" t="str">
        <f>IF($I951="Complete","Green",IF($H951="","Amber",IF($H951&lt;'[2]Read Me'!$B$4,"Red",IF($H951-'[2]Read Me'!$B$4&lt;=21,"Amber","Green"))))</f>
        <v>Amber</v>
      </c>
    </row>
    <row r="952" spans="10:13" x14ac:dyDescent="0.3">
      <c r="J952" s="6" t="str">
        <f t="shared" si="40"/>
        <v/>
      </c>
      <c r="L952" s="7" t="str">
        <f t="shared" ca="1" si="41"/>
        <v/>
      </c>
      <c r="M952" s="4" t="str">
        <f>IF($I952="Complete","Green",IF($H952="","Amber",IF($H952&lt;'[2]Read Me'!$B$4,"Red",IF($H952-'[2]Read Me'!$B$4&lt;=21,"Amber","Green"))))</f>
        <v>Amber</v>
      </c>
    </row>
    <row r="953" spans="10:13" x14ac:dyDescent="0.3">
      <c r="J953" s="6" t="str">
        <f t="shared" si="40"/>
        <v/>
      </c>
      <c r="L953" s="7" t="str">
        <f t="shared" ca="1" si="41"/>
        <v/>
      </c>
      <c r="M953" s="4" t="str">
        <f>IF($I953="Complete","Green",IF($H953="","Amber",IF($H953&lt;'[2]Read Me'!$B$4,"Red",IF($H953-'[2]Read Me'!$B$4&lt;=21,"Amber","Green"))))</f>
        <v>Amber</v>
      </c>
    </row>
    <row r="954" spans="10:13" x14ac:dyDescent="0.3">
      <c r="J954" s="6" t="str">
        <f t="shared" si="40"/>
        <v/>
      </c>
      <c r="L954" s="7" t="str">
        <f t="shared" ca="1" si="41"/>
        <v/>
      </c>
      <c r="M954" s="4" t="str">
        <f>IF($I954="Complete","Green",IF($H954="","Amber",IF($H954&lt;'[2]Read Me'!$B$4,"Red",IF($H954-'[2]Read Me'!$B$4&lt;=21,"Amber","Green"))))</f>
        <v>Amber</v>
      </c>
    </row>
    <row r="955" spans="10:13" x14ac:dyDescent="0.3">
      <c r="J955" s="6" t="str">
        <f t="shared" si="40"/>
        <v/>
      </c>
      <c r="L955" s="7" t="str">
        <f t="shared" ca="1" si="41"/>
        <v/>
      </c>
      <c r="M955" s="4" t="str">
        <f>IF($I955="Complete","Green",IF($H955="","Amber",IF($H955&lt;'[2]Read Me'!$B$4,"Red",IF($H955-'[2]Read Me'!$B$4&lt;=21,"Amber","Green"))))</f>
        <v>Amber</v>
      </c>
    </row>
    <row r="956" spans="10:13" x14ac:dyDescent="0.3">
      <c r="J956" s="6" t="str">
        <f t="shared" si="40"/>
        <v/>
      </c>
      <c r="L956" s="7" t="str">
        <f t="shared" ca="1" si="41"/>
        <v/>
      </c>
      <c r="M956" s="4" t="str">
        <f>IF($I956="Complete","Green",IF($H956="","Amber",IF($H956&lt;'[2]Read Me'!$B$4,"Red",IF($H956-'[2]Read Me'!$B$4&lt;=21,"Amber","Green"))))</f>
        <v>Amber</v>
      </c>
    </row>
    <row r="957" spans="10:13" x14ac:dyDescent="0.3">
      <c r="J957" s="6" t="str">
        <f t="shared" si="40"/>
        <v/>
      </c>
      <c r="L957" s="7" t="str">
        <f t="shared" ca="1" si="41"/>
        <v/>
      </c>
      <c r="M957" s="4" t="str">
        <f>IF($I957="Complete","Green",IF($H957="","Amber",IF($H957&lt;'[2]Read Me'!$B$4,"Red",IF($H957-'[2]Read Me'!$B$4&lt;=21,"Amber","Green"))))</f>
        <v>Amber</v>
      </c>
    </row>
    <row r="958" spans="10:13" x14ac:dyDescent="0.3">
      <c r="J958" s="6" t="str">
        <f t="shared" si="40"/>
        <v/>
      </c>
      <c r="L958" s="7" t="str">
        <f t="shared" ca="1" si="41"/>
        <v/>
      </c>
      <c r="M958" s="4" t="str">
        <f>IF($I958="Complete","Green",IF($H958="","Amber",IF($H958&lt;'[2]Read Me'!$B$4,"Red",IF($H958-'[2]Read Me'!$B$4&lt;=21,"Amber","Green"))))</f>
        <v>Amber</v>
      </c>
    </row>
    <row r="959" spans="10:13" x14ac:dyDescent="0.3">
      <c r="J959" s="6" t="str">
        <f t="shared" si="40"/>
        <v/>
      </c>
      <c r="L959" s="7" t="str">
        <f t="shared" ca="1" si="41"/>
        <v/>
      </c>
      <c r="M959" s="4" t="str">
        <f>IF($I959="Complete","Green",IF($H959="","Amber",IF($H959&lt;'[2]Read Me'!$B$4,"Red",IF($H959-'[2]Read Me'!$B$4&lt;=21,"Amber","Green"))))</f>
        <v>Amber</v>
      </c>
    </row>
    <row r="960" spans="10:13" x14ac:dyDescent="0.3">
      <c r="J960" s="6" t="str">
        <f t="shared" si="40"/>
        <v/>
      </c>
      <c r="L960" s="7" t="str">
        <f t="shared" ca="1" si="41"/>
        <v/>
      </c>
      <c r="M960" s="4" t="str">
        <f>IF($I960="Complete","Green",IF($H960="","Amber",IF($H960&lt;'[2]Read Me'!$B$4,"Red",IF($H960-'[2]Read Me'!$B$4&lt;=21,"Amber","Green"))))</f>
        <v>Amber</v>
      </c>
    </row>
    <row r="961" spans="10:13" x14ac:dyDescent="0.3">
      <c r="J961" s="6" t="str">
        <f t="shared" si="40"/>
        <v/>
      </c>
      <c r="L961" s="7" t="str">
        <f t="shared" ca="1" si="41"/>
        <v/>
      </c>
      <c r="M961" s="4" t="str">
        <f>IF($I961="Complete","Green",IF($H961="","Amber",IF($H961&lt;'[2]Read Me'!$B$4,"Red",IF($H961-'[2]Read Me'!$B$4&lt;=21,"Amber","Green"))))</f>
        <v>Amber</v>
      </c>
    </row>
    <row r="962" spans="10:13" x14ac:dyDescent="0.3">
      <c r="J962" s="6" t="str">
        <f t="shared" si="40"/>
        <v/>
      </c>
      <c r="L962" s="7" t="str">
        <f t="shared" ca="1" si="41"/>
        <v/>
      </c>
      <c r="M962" s="4" t="str">
        <f>IF($I962="Complete","Green",IF($H962="","Amber",IF($H962&lt;'[2]Read Me'!$B$4,"Red",IF($H962-'[2]Read Me'!$B$4&lt;=21,"Amber","Green"))))</f>
        <v>Amber</v>
      </c>
    </row>
    <row r="963" spans="10:13" x14ac:dyDescent="0.3">
      <c r="J963" s="6" t="str">
        <f t="shared" si="40"/>
        <v/>
      </c>
      <c r="L963" s="7" t="str">
        <f t="shared" ca="1" si="41"/>
        <v/>
      </c>
      <c r="M963" s="4" t="str">
        <f>IF($I963="Complete","Green",IF($H963="","Amber",IF($H963&lt;'[2]Read Me'!$B$4,"Red",IF($H963-'[2]Read Me'!$B$4&lt;=21,"Amber","Green"))))</f>
        <v>Amber</v>
      </c>
    </row>
    <row r="964" spans="10:13" x14ac:dyDescent="0.3">
      <c r="J964" s="6" t="str">
        <f t="shared" ref="J964:J1027" si="42">IF(OR($G964="",$H964=""),"",$H964-$G964)</f>
        <v/>
      </c>
      <c r="L964" s="7" t="str">
        <f t="shared" ca="1" si="41"/>
        <v/>
      </c>
      <c r="M964" s="4" t="str">
        <f>IF($I964="Complete","Green",IF($H964="","Amber",IF($H964&lt;'[2]Read Me'!$B$4,"Red",IF($H964-'[2]Read Me'!$B$4&lt;=21,"Amber","Green"))))</f>
        <v>Amber</v>
      </c>
    </row>
    <row r="965" spans="10:13" x14ac:dyDescent="0.3">
      <c r="J965" s="6" t="str">
        <f t="shared" si="42"/>
        <v/>
      </c>
      <c r="L965" s="7" t="str">
        <f t="shared" ref="L965:L1028" ca="1" si="43">IF(I965="Completed",0,IF(H965="","",H965-TODAY()))</f>
        <v/>
      </c>
      <c r="M965" s="4" t="str">
        <f>IF($I965="Complete","Green",IF($H965="","Amber",IF($H965&lt;'[2]Read Me'!$B$4,"Red",IF($H965-'[2]Read Me'!$B$4&lt;=21,"Amber","Green"))))</f>
        <v>Amber</v>
      </c>
    </row>
    <row r="966" spans="10:13" x14ac:dyDescent="0.3">
      <c r="J966" s="6" t="str">
        <f t="shared" si="42"/>
        <v/>
      </c>
      <c r="L966" s="7" t="str">
        <f t="shared" ca="1" si="43"/>
        <v/>
      </c>
      <c r="M966" s="4" t="str">
        <f>IF($I966="Complete","Green",IF($H966="","Amber",IF($H966&lt;'[2]Read Me'!$B$4,"Red",IF($H966-'[2]Read Me'!$B$4&lt;=21,"Amber","Green"))))</f>
        <v>Amber</v>
      </c>
    </row>
    <row r="967" spans="10:13" x14ac:dyDescent="0.3">
      <c r="J967" s="6" t="str">
        <f t="shared" si="42"/>
        <v/>
      </c>
      <c r="L967" s="7" t="str">
        <f t="shared" ca="1" si="43"/>
        <v/>
      </c>
      <c r="M967" s="4" t="str">
        <f>IF($I967="Complete","Green",IF($H967="","Amber",IF($H967&lt;'[2]Read Me'!$B$4,"Red",IF($H967-'[2]Read Me'!$B$4&lt;=21,"Amber","Green"))))</f>
        <v>Amber</v>
      </c>
    </row>
    <row r="968" spans="10:13" x14ac:dyDescent="0.3">
      <c r="J968" s="6" t="str">
        <f t="shared" si="42"/>
        <v/>
      </c>
      <c r="L968" s="7" t="str">
        <f t="shared" ca="1" si="43"/>
        <v/>
      </c>
      <c r="M968" s="4" t="str">
        <f>IF($I968="Complete","Green",IF($H968="","Amber",IF($H968&lt;'[2]Read Me'!$B$4,"Red",IF($H968-'[2]Read Me'!$B$4&lt;=21,"Amber","Green"))))</f>
        <v>Amber</v>
      </c>
    </row>
    <row r="969" spans="10:13" x14ac:dyDescent="0.3">
      <c r="J969" s="6" t="str">
        <f t="shared" si="42"/>
        <v/>
      </c>
      <c r="L969" s="7" t="str">
        <f t="shared" ca="1" si="43"/>
        <v/>
      </c>
      <c r="M969" s="4" t="str">
        <f>IF($I969="Complete","Green",IF($H969="","Amber",IF($H969&lt;'[2]Read Me'!$B$4,"Red",IF($H969-'[2]Read Me'!$B$4&lt;=21,"Amber","Green"))))</f>
        <v>Amber</v>
      </c>
    </row>
    <row r="970" spans="10:13" x14ac:dyDescent="0.3">
      <c r="J970" s="6" t="str">
        <f t="shared" si="42"/>
        <v/>
      </c>
      <c r="L970" s="7" t="str">
        <f t="shared" ca="1" si="43"/>
        <v/>
      </c>
      <c r="M970" s="4" t="str">
        <f>IF($I970="Complete","Green",IF($H970="","Amber",IF($H970&lt;'[2]Read Me'!$B$4,"Red",IF($H970-'[2]Read Me'!$B$4&lt;=21,"Amber","Green"))))</f>
        <v>Amber</v>
      </c>
    </row>
    <row r="971" spans="10:13" x14ac:dyDescent="0.3">
      <c r="J971" s="6" t="str">
        <f t="shared" si="42"/>
        <v/>
      </c>
      <c r="L971" s="7" t="str">
        <f t="shared" ca="1" si="43"/>
        <v/>
      </c>
      <c r="M971" s="4" t="str">
        <f>IF($I971="Complete","Green",IF($H971="","Amber",IF($H971&lt;'[2]Read Me'!$B$4,"Red",IF($H971-'[2]Read Me'!$B$4&lt;=21,"Amber","Green"))))</f>
        <v>Amber</v>
      </c>
    </row>
    <row r="972" spans="10:13" x14ac:dyDescent="0.3">
      <c r="J972" s="6" t="str">
        <f t="shared" si="42"/>
        <v/>
      </c>
      <c r="L972" s="7" t="str">
        <f t="shared" ca="1" si="43"/>
        <v/>
      </c>
      <c r="M972" s="4" t="str">
        <f>IF($I972="Complete","Green",IF($H972="","Amber",IF($H972&lt;'[2]Read Me'!$B$4,"Red",IF($H972-'[2]Read Me'!$B$4&lt;=21,"Amber","Green"))))</f>
        <v>Amber</v>
      </c>
    </row>
    <row r="973" spans="10:13" x14ac:dyDescent="0.3">
      <c r="J973" s="6" t="str">
        <f t="shared" si="42"/>
        <v/>
      </c>
      <c r="L973" s="7" t="str">
        <f t="shared" ca="1" si="43"/>
        <v/>
      </c>
      <c r="M973" s="4" t="str">
        <f>IF($I973="Complete","Green",IF($H973="","Amber",IF($H973&lt;'[2]Read Me'!$B$4,"Red",IF($H973-'[2]Read Me'!$B$4&lt;=21,"Amber","Green"))))</f>
        <v>Amber</v>
      </c>
    </row>
    <row r="974" spans="10:13" x14ac:dyDescent="0.3">
      <c r="J974" s="6" t="str">
        <f t="shared" si="42"/>
        <v/>
      </c>
      <c r="L974" s="7" t="str">
        <f t="shared" ca="1" si="43"/>
        <v/>
      </c>
      <c r="M974" s="4" t="str">
        <f>IF($I974="Complete","Green",IF($H974="","Amber",IF($H974&lt;'[2]Read Me'!$B$4,"Red",IF($H974-'[2]Read Me'!$B$4&lt;=21,"Amber","Green"))))</f>
        <v>Amber</v>
      </c>
    </row>
    <row r="975" spans="10:13" x14ac:dyDescent="0.3">
      <c r="J975" s="6" t="str">
        <f t="shared" si="42"/>
        <v/>
      </c>
      <c r="L975" s="7" t="str">
        <f t="shared" ca="1" si="43"/>
        <v/>
      </c>
      <c r="M975" s="4" t="str">
        <f>IF($I975="Complete","Green",IF($H975="","Amber",IF($H975&lt;'[2]Read Me'!$B$4,"Red",IF($H975-'[2]Read Me'!$B$4&lt;=21,"Amber","Green"))))</f>
        <v>Amber</v>
      </c>
    </row>
    <row r="976" spans="10:13" x14ac:dyDescent="0.3">
      <c r="J976" s="6" t="str">
        <f t="shared" si="42"/>
        <v/>
      </c>
      <c r="L976" s="7" t="str">
        <f t="shared" ca="1" si="43"/>
        <v/>
      </c>
      <c r="M976" s="4" t="str">
        <f>IF($I976="Complete","Green",IF($H976="","Amber",IF($H976&lt;'[2]Read Me'!$B$4,"Red",IF($H976-'[2]Read Me'!$B$4&lt;=21,"Amber","Green"))))</f>
        <v>Amber</v>
      </c>
    </row>
    <row r="977" spans="10:13" x14ac:dyDescent="0.3">
      <c r="J977" s="6" t="str">
        <f t="shared" si="42"/>
        <v/>
      </c>
      <c r="L977" s="7" t="str">
        <f t="shared" ca="1" si="43"/>
        <v/>
      </c>
      <c r="M977" s="4" t="str">
        <f>IF($I977="Complete","Green",IF($H977="","Amber",IF($H977&lt;'[2]Read Me'!$B$4,"Red",IF($H977-'[2]Read Me'!$B$4&lt;=21,"Amber","Green"))))</f>
        <v>Amber</v>
      </c>
    </row>
    <row r="978" spans="10:13" x14ac:dyDescent="0.3">
      <c r="J978" s="6" t="str">
        <f t="shared" si="42"/>
        <v/>
      </c>
      <c r="L978" s="7" t="str">
        <f t="shared" ca="1" si="43"/>
        <v/>
      </c>
      <c r="M978" s="4" t="str">
        <f>IF($I978="Complete","Green",IF($H978="","Amber",IF($H978&lt;'[2]Read Me'!$B$4,"Red",IF($H978-'[2]Read Me'!$B$4&lt;=21,"Amber","Green"))))</f>
        <v>Amber</v>
      </c>
    </row>
    <row r="979" spans="10:13" x14ac:dyDescent="0.3">
      <c r="J979" s="6" t="str">
        <f t="shared" si="42"/>
        <v/>
      </c>
      <c r="L979" s="7" t="str">
        <f t="shared" ca="1" si="43"/>
        <v/>
      </c>
      <c r="M979" s="4" t="str">
        <f>IF($I979="Complete","Green",IF($H979="","Amber",IF($H979&lt;'[2]Read Me'!$B$4,"Red",IF($H979-'[2]Read Me'!$B$4&lt;=21,"Amber","Green"))))</f>
        <v>Amber</v>
      </c>
    </row>
    <row r="980" spans="10:13" x14ac:dyDescent="0.3">
      <c r="J980" s="6" t="str">
        <f t="shared" si="42"/>
        <v/>
      </c>
      <c r="L980" s="7" t="str">
        <f t="shared" ca="1" si="43"/>
        <v/>
      </c>
      <c r="M980" s="4" t="str">
        <f>IF($I980="Complete","Green",IF($H980="","Amber",IF($H980&lt;'[2]Read Me'!$B$4,"Red",IF($H980-'[2]Read Me'!$B$4&lt;=21,"Amber","Green"))))</f>
        <v>Amber</v>
      </c>
    </row>
    <row r="981" spans="10:13" x14ac:dyDescent="0.3">
      <c r="J981" s="6" t="str">
        <f t="shared" si="42"/>
        <v/>
      </c>
      <c r="L981" s="7" t="str">
        <f t="shared" ca="1" si="43"/>
        <v/>
      </c>
      <c r="M981" s="4" t="str">
        <f>IF($I981="Complete","Green",IF($H981="","Amber",IF($H981&lt;'[2]Read Me'!$B$4,"Red",IF($H981-'[2]Read Me'!$B$4&lt;=21,"Amber","Green"))))</f>
        <v>Amber</v>
      </c>
    </row>
    <row r="982" spans="10:13" x14ac:dyDescent="0.3">
      <c r="J982" s="6" t="str">
        <f t="shared" si="42"/>
        <v/>
      </c>
      <c r="L982" s="7" t="str">
        <f t="shared" ca="1" si="43"/>
        <v/>
      </c>
      <c r="M982" s="4" t="str">
        <f>IF($I982="Complete","Green",IF($H982="","Amber",IF($H982&lt;'[2]Read Me'!$B$4,"Red",IF($H982-'[2]Read Me'!$B$4&lt;=21,"Amber","Green"))))</f>
        <v>Amber</v>
      </c>
    </row>
    <row r="983" spans="10:13" x14ac:dyDescent="0.3">
      <c r="J983" s="6" t="str">
        <f t="shared" si="42"/>
        <v/>
      </c>
      <c r="L983" s="7" t="str">
        <f t="shared" ca="1" si="43"/>
        <v/>
      </c>
      <c r="M983" s="4" t="str">
        <f>IF($I983="Complete","Green",IF($H983="","Amber",IF($H983&lt;'[2]Read Me'!$B$4,"Red",IF($H983-'[2]Read Me'!$B$4&lt;=21,"Amber","Green"))))</f>
        <v>Amber</v>
      </c>
    </row>
    <row r="984" spans="10:13" x14ac:dyDescent="0.3">
      <c r="J984" s="6" t="str">
        <f t="shared" si="42"/>
        <v/>
      </c>
      <c r="L984" s="7" t="str">
        <f t="shared" ca="1" si="43"/>
        <v/>
      </c>
      <c r="M984" s="4" t="str">
        <f>IF($I984="Complete","Green",IF($H984="","Amber",IF($H984&lt;'[2]Read Me'!$B$4,"Red",IF($H984-'[2]Read Me'!$B$4&lt;=21,"Amber","Green"))))</f>
        <v>Amber</v>
      </c>
    </row>
    <row r="985" spans="10:13" x14ac:dyDescent="0.3">
      <c r="J985" s="6" t="str">
        <f t="shared" si="42"/>
        <v/>
      </c>
      <c r="L985" s="7" t="str">
        <f t="shared" ca="1" si="43"/>
        <v/>
      </c>
      <c r="M985" s="4" t="str">
        <f>IF($I985="Complete","Green",IF($H985="","Amber",IF($H985&lt;'[2]Read Me'!$B$4,"Red",IF($H985-'[2]Read Me'!$B$4&lt;=21,"Amber","Green"))))</f>
        <v>Amber</v>
      </c>
    </row>
    <row r="986" spans="10:13" x14ac:dyDescent="0.3">
      <c r="J986" s="6" t="str">
        <f t="shared" si="42"/>
        <v/>
      </c>
      <c r="L986" s="7" t="str">
        <f t="shared" ca="1" si="43"/>
        <v/>
      </c>
      <c r="M986" s="4" t="str">
        <f>IF($I986="Complete","Green",IF($H986="","Amber",IF($H986&lt;'[2]Read Me'!$B$4,"Red",IF($H986-'[2]Read Me'!$B$4&lt;=21,"Amber","Green"))))</f>
        <v>Amber</v>
      </c>
    </row>
    <row r="987" spans="10:13" x14ac:dyDescent="0.3">
      <c r="J987" s="6" t="str">
        <f t="shared" si="42"/>
        <v/>
      </c>
      <c r="L987" s="7" t="str">
        <f t="shared" ca="1" si="43"/>
        <v/>
      </c>
      <c r="M987" s="4" t="str">
        <f>IF($I987="Complete","Green",IF($H987="","Amber",IF($H987&lt;'[2]Read Me'!$B$4,"Red",IF($H987-'[2]Read Me'!$B$4&lt;=21,"Amber","Green"))))</f>
        <v>Amber</v>
      </c>
    </row>
    <row r="988" spans="10:13" x14ac:dyDescent="0.3">
      <c r="J988" s="6" t="str">
        <f t="shared" si="42"/>
        <v/>
      </c>
      <c r="L988" s="7" t="str">
        <f t="shared" ca="1" si="43"/>
        <v/>
      </c>
      <c r="M988" s="4" t="str">
        <f>IF($I988="Complete","Green",IF($H988="","Amber",IF($H988&lt;'[2]Read Me'!$B$4,"Red",IF($H988-'[2]Read Me'!$B$4&lt;=21,"Amber","Green"))))</f>
        <v>Amber</v>
      </c>
    </row>
    <row r="989" spans="10:13" x14ac:dyDescent="0.3">
      <c r="J989" s="6" t="str">
        <f t="shared" si="42"/>
        <v/>
      </c>
      <c r="L989" s="7" t="str">
        <f t="shared" ca="1" si="43"/>
        <v/>
      </c>
      <c r="M989" s="4" t="str">
        <f>IF($I989="Complete","Green",IF($H989="","Amber",IF($H989&lt;'[2]Read Me'!$B$4,"Red",IF($H989-'[2]Read Me'!$B$4&lt;=21,"Amber","Green"))))</f>
        <v>Amber</v>
      </c>
    </row>
    <row r="990" spans="10:13" x14ac:dyDescent="0.3">
      <c r="J990" s="6" t="str">
        <f t="shared" si="42"/>
        <v/>
      </c>
      <c r="L990" s="7" t="str">
        <f t="shared" ca="1" si="43"/>
        <v/>
      </c>
      <c r="M990" s="4" t="str">
        <f>IF($I990="Complete","Green",IF($H990="","Amber",IF($H990&lt;'[2]Read Me'!$B$4,"Red",IF($H990-'[2]Read Me'!$B$4&lt;=21,"Amber","Green"))))</f>
        <v>Amber</v>
      </c>
    </row>
    <row r="991" spans="10:13" x14ac:dyDescent="0.3">
      <c r="J991" s="6" t="str">
        <f t="shared" si="42"/>
        <v/>
      </c>
      <c r="L991" s="7" t="str">
        <f t="shared" ca="1" si="43"/>
        <v/>
      </c>
      <c r="M991" s="4" t="str">
        <f>IF($I991="Complete","Green",IF($H991="","Amber",IF($H991&lt;'[2]Read Me'!$B$4,"Red",IF($H991-'[2]Read Me'!$B$4&lt;=21,"Amber","Green"))))</f>
        <v>Amber</v>
      </c>
    </row>
    <row r="992" spans="10:13" x14ac:dyDescent="0.3">
      <c r="J992" s="6" t="str">
        <f t="shared" si="42"/>
        <v/>
      </c>
      <c r="L992" s="7" t="str">
        <f t="shared" ca="1" si="43"/>
        <v/>
      </c>
      <c r="M992" s="4" t="str">
        <f>IF($I992="Complete","Green",IF($H992="","Amber",IF($H992&lt;'[2]Read Me'!$B$4,"Red",IF($H992-'[2]Read Me'!$B$4&lt;=21,"Amber","Green"))))</f>
        <v>Amber</v>
      </c>
    </row>
    <row r="993" spans="10:13" x14ac:dyDescent="0.3">
      <c r="J993" s="6" t="str">
        <f t="shared" si="42"/>
        <v/>
      </c>
      <c r="L993" s="7" t="str">
        <f t="shared" ca="1" si="43"/>
        <v/>
      </c>
      <c r="M993" s="4" t="str">
        <f>IF($I993="Complete","Green",IF($H993="","Amber",IF($H993&lt;'[2]Read Me'!$B$4,"Red",IF($H993-'[2]Read Me'!$B$4&lt;=21,"Amber","Green"))))</f>
        <v>Amber</v>
      </c>
    </row>
    <row r="994" spans="10:13" x14ac:dyDescent="0.3">
      <c r="J994" s="6" t="str">
        <f t="shared" si="42"/>
        <v/>
      </c>
      <c r="L994" s="7" t="str">
        <f t="shared" ca="1" si="43"/>
        <v/>
      </c>
      <c r="M994" s="4" t="str">
        <f>IF($I994="Complete","Green",IF($H994="","Amber",IF($H994&lt;'[2]Read Me'!$B$4,"Red",IF($H994-'[2]Read Me'!$B$4&lt;=21,"Amber","Green"))))</f>
        <v>Amber</v>
      </c>
    </row>
    <row r="995" spans="10:13" x14ac:dyDescent="0.3">
      <c r="J995" s="6" t="str">
        <f t="shared" si="42"/>
        <v/>
      </c>
      <c r="L995" s="7" t="str">
        <f t="shared" ca="1" si="43"/>
        <v/>
      </c>
      <c r="M995" s="4" t="str">
        <f>IF($I995="Complete","Green",IF($H995="","Amber",IF($H995&lt;'[2]Read Me'!$B$4,"Red",IF($H995-'[2]Read Me'!$B$4&lt;=21,"Amber","Green"))))</f>
        <v>Amber</v>
      </c>
    </row>
    <row r="996" spans="10:13" x14ac:dyDescent="0.3">
      <c r="J996" s="6" t="str">
        <f t="shared" si="42"/>
        <v/>
      </c>
      <c r="L996" s="7" t="str">
        <f t="shared" ca="1" si="43"/>
        <v/>
      </c>
      <c r="M996" s="4" t="str">
        <f>IF($I996="Complete","Green",IF($H996="","Amber",IF($H996&lt;'[2]Read Me'!$B$4,"Red",IF($H996-'[2]Read Me'!$B$4&lt;=21,"Amber","Green"))))</f>
        <v>Amber</v>
      </c>
    </row>
    <row r="997" spans="10:13" x14ac:dyDescent="0.3">
      <c r="J997" s="6" t="str">
        <f t="shared" si="42"/>
        <v/>
      </c>
      <c r="L997" s="7" t="str">
        <f t="shared" ca="1" si="43"/>
        <v/>
      </c>
      <c r="M997" s="4" t="str">
        <f>IF($I997="Complete","Green",IF($H997="","Amber",IF($H997&lt;'[2]Read Me'!$B$4,"Red",IF($H997-'[2]Read Me'!$B$4&lt;=21,"Amber","Green"))))</f>
        <v>Amber</v>
      </c>
    </row>
    <row r="998" spans="10:13" x14ac:dyDescent="0.3">
      <c r="J998" s="6" t="str">
        <f t="shared" si="42"/>
        <v/>
      </c>
      <c r="L998" s="7" t="str">
        <f t="shared" ca="1" si="43"/>
        <v/>
      </c>
      <c r="M998" s="4" t="str">
        <f>IF($I998="Complete","Green",IF($H998="","Amber",IF($H998&lt;'[2]Read Me'!$B$4,"Red",IF($H998-'[2]Read Me'!$B$4&lt;=21,"Amber","Green"))))</f>
        <v>Amber</v>
      </c>
    </row>
    <row r="999" spans="10:13" x14ac:dyDescent="0.3">
      <c r="J999" s="6" t="str">
        <f t="shared" si="42"/>
        <v/>
      </c>
      <c r="L999" s="7" t="str">
        <f t="shared" ca="1" si="43"/>
        <v/>
      </c>
      <c r="M999" s="4" t="str">
        <f>IF($I999="Complete","Green",IF($H999="","Amber",IF($H999&lt;'[2]Read Me'!$B$4,"Red",IF($H999-'[2]Read Me'!$B$4&lt;=21,"Amber","Green"))))</f>
        <v>Amber</v>
      </c>
    </row>
    <row r="1000" spans="10:13" x14ac:dyDescent="0.3">
      <c r="J1000" s="6" t="str">
        <f t="shared" si="42"/>
        <v/>
      </c>
      <c r="L1000" s="7" t="str">
        <f t="shared" ca="1" si="43"/>
        <v/>
      </c>
      <c r="M1000" s="4" t="str">
        <f>IF($I1000="Complete","Green",IF($H1000="","Amber",IF($H1000&lt;'[2]Read Me'!$B$4,"Red",IF($H1000-'[2]Read Me'!$B$4&lt;=21,"Amber","Green"))))</f>
        <v>Amber</v>
      </c>
    </row>
    <row r="1001" spans="10:13" x14ac:dyDescent="0.3">
      <c r="J1001" s="6" t="str">
        <f t="shared" si="42"/>
        <v/>
      </c>
      <c r="L1001" s="7" t="str">
        <f t="shared" ca="1" si="43"/>
        <v/>
      </c>
      <c r="M1001" s="4" t="str">
        <f>IF($I1001="Complete","Green",IF($H1001="","Amber",IF($H1001&lt;'[2]Read Me'!$B$4,"Red",IF($H1001-'[2]Read Me'!$B$4&lt;=21,"Amber","Green"))))</f>
        <v>Amber</v>
      </c>
    </row>
    <row r="1002" spans="10:13" x14ac:dyDescent="0.3">
      <c r="J1002" s="6" t="str">
        <f t="shared" si="42"/>
        <v/>
      </c>
      <c r="L1002" s="7" t="str">
        <f t="shared" ca="1" si="43"/>
        <v/>
      </c>
      <c r="M1002" s="4" t="str">
        <f>IF($I1002="Complete","Green",IF($H1002="","Amber",IF($H1002&lt;'[2]Read Me'!$B$4,"Red",IF($H1002-'[2]Read Me'!$B$4&lt;=21,"Amber","Green"))))</f>
        <v>Amber</v>
      </c>
    </row>
    <row r="1003" spans="10:13" x14ac:dyDescent="0.3">
      <c r="J1003" s="6" t="str">
        <f t="shared" si="42"/>
        <v/>
      </c>
      <c r="L1003" s="7" t="str">
        <f t="shared" ca="1" si="43"/>
        <v/>
      </c>
      <c r="M1003" s="4" t="str">
        <f>IF($I1003="Complete","Green",IF($H1003="","Amber",IF($H1003&lt;'[2]Read Me'!$B$4,"Red",IF($H1003-'[2]Read Me'!$B$4&lt;=21,"Amber","Green"))))</f>
        <v>Amber</v>
      </c>
    </row>
    <row r="1004" spans="10:13" x14ac:dyDescent="0.3">
      <c r="J1004" s="6" t="str">
        <f t="shared" si="42"/>
        <v/>
      </c>
      <c r="L1004" s="7" t="str">
        <f t="shared" ca="1" si="43"/>
        <v/>
      </c>
      <c r="M1004" s="4" t="str">
        <f>IF($I1004="Complete","Green",IF($H1004="","Amber",IF($H1004&lt;'[2]Read Me'!$B$4,"Red",IF($H1004-'[2]Read Me'!$B$4&lt;=21,"Amber","Green"))))</f>
        <v>Amber</v>
      </c>
    </row>
    <row r="1005" spans="10:13" x14ac:dyDescent="0.3">
      <c r="J1005" s="6" t="str">
        <f t="shared" si="42"/>
        <v/>
      </c>
      <c r="L1005" s="7" t="str">
        <f t="shared" ca="1" si="43"/>
        <v/>
      </c>
      <c r="M1005" s="4" t="str">
        <f>IF($I1005="Complete","Green",IF($H1005="","Amber",IF($H1005&lt;'[2]Read Me'!$B$4,"Red",IF($H1005-'[2]Read Me'!$B$4&lt;=21,"Amber","Green"))))</f>
        <v>Amber</v>
      </c>
    </row>
    <row r="1006" spans="10:13" x14ac:dyDescent="0.3">
      <c r="J1006" s="6" t="str">
        <f t="shared" si="42"/>
        <v/>
      </c>
      <c r="L1006" s="7" t="str">
        <f t="shared" ca="1" si="43"/>
        <v/>
      </c>
      <c r="M1006" s="4" t="str">
        <f>IF($I1006="Complete","Green",IF($H1006="","Amber",IF($H1006&lt;'[2]Read Me'!$B$4,"Red",IF($H1006-'[2]Read Me'!$B$4&lt;=21,"Amber","Green"))))</f>
        <v>Amber</v>
      </c>
    </row>
    <row r="1007" spans="10:13" x14ac:dyDescent="0.3">
      <c r="J1007" s="6" t="str">
        <f t="shared" si="42"/>
        <v/>
      </c>
      <c r="L1007" s="7" t="str">
        <f t="shared" ca="1" si="43"/>
        <v/>
      </c>
      <c r="M1007" s="4" t="str">
        <f>IF($I1007="Complete","Green",IF($H1007="","Amber",IF($H1007&lt;'[2]Read Me'!$B$4,"Red",IF($H1007-'[2]Read Me'!$B$4&lt;=21,"Amber","Green"))))</f>
        <v>Amber</v>
      </c>
    </row>
    <row r="1008" spans="10:13" x14ac:dyDescent="0.3">
      <c r="J1008" s="6" t="str">
        <f t="shared" si="42"/>
        <v/>
      </c>
      <c r="L1008" s="7" t="str">
        <f t="shared" ca="1" si="43"/>
        <v/>
      </c>
      <c r="M1008" s="4" t="str">
        <f>IF($I1008="Complete","Green",IF($H1008="","Amber",IF($H1008&lt;'[2]Read Me'!$B$4,"Red",IF($H1008-'[2]Read Me'!$B$4&lt;=21,"Amber","Green"))))</f>
        <v>Amber</v>
      </c>
    </row>
    <row r="1009" spans="10:13" x14ac:dyDescent="0.3">
      <c r="J1009" s="6" t="str">
        <f t="shared" si="42"/>
        <v/>
      </c>
      <c r="L1009" s="7" t="str">
        <f t="shared" ca="1" si="43"/>
        <v/>
      </c>
      <c r="M1009" s="4" t="str">
        <f>IF($I1009="Complete","Green",IF($H1009="","Amber",IF($H1009&lt;'[2]Read Me'!$B$4,"Red",IF($H1009-'[2]Read Me'!$B$4&lt;=21,"Amber","Green"))))</f>
        <v>Amber</v>
      </c>
    </row>
    <row r="1010" spans="10:13" x14ac:dyDescent="0.3">
      <c r="J1010" s="6" t="str">
        <f t="shared" si="42"/>
        <v/>
      </c>
      <c r="L1010" s="7" t="str">
        <f t="shared" ca="1" si="43"/>
        <v/>
      </c>
      <c r="M1010" s="4" t="str">
        <f>IF($I1010="Complete","Green",IF($H1010="","Amber",IF($H1010&lt;'[2]Read Me'!$B$4,"Red",IF($H1010-'[2]Read Me'!$B$4&lt;=21,"Amber","Green"))))</f>
        <v>Amber</v>
      </c>
    </row>
    <row r="1011" spans="10:13" x14ac:dyDescent="0.3">
      <c r="J1011" s="6" t="str">
        <f t="shared" si="42"/>
        <v/>
      </c>
      <c r="L1011" s="7" t="str">
        <f t="shared" ca="1" si="43"/>
        <v/>
      </c>
      <c r="M1011" s="4" t="str">
        <f>IF($I1011="Complete","Green",IF($H1011="","Amber",IF($H1011&lt;'[2]Read Me'!$B$4,"Red",IF($H1011-'[2]Read Me'!$B$4&lt;=21,"Amber","Green"))))</f>
        <v>Amber</v>
      </c>
    </row>
    <row r="1012" spans="10:13" x14ac:dyDescent="0.3">
      <c r="J1012" s="6" t="str">
        <f t="shared" si="42"/>
        <v/>
      </c>
      <c r="L1012" s="7" t="str">
        <f t="shared" ca="1" si="43"/>
        <v/>
      </c>
      <c r="M1012" s="4" t="str">
        <f>IF($I1012="Complete","Green",IF($H1012="","Amber",IF($H1012&lt;'[2]Read Me'!$B$4,"Red",IF($H1012-'[2]Read Me'!$B$4&lt;=21,"Amber","Green"))))</f>
        <v>Amber</v>
      </c>
    </row>
    <row r="1013" spans="10:13" x14ac:dyDescent="0.3">
      <c r="J1013" s="6" t="str">
        <f t="shared" si="42"/>
        <v/>
      </c>
      <c r="L1013" s="7" t="str">
        <f t="shared" ca="1" si="43"/>
        <v/>
      </c>
      <c r="M1013" s="4" t="str">
        <f>IF($I1013="Complete","Green",IF($H1013="","Amber",IF($H1013&lt;'[2]Read Me'!$B$4,"Red",IF($H1013-'[2]Read Me'!$B$4&lt;=21,"Amber","Green"))))</f>
        <v>Amber</v>
      </c>
    </row>
    <row r="1014" spans="10:13" x14ac:dyDescent="0.3">
      <c r="J1014" s="6" t="str">
        <f t="shared" si="42"/>
        <v/>
      </c>
      <c r="L1014" s="7" t="str">
        <f t="shared" ca="1" si="43"/>
        <v/>
      </c>
      <c r="M1014" s="4" t="str">
        <f>IF($I1014="Complete","Green",IF($H1014="","Amber",IF($H1014&lt;'[2]Read Me'!$B$4,"Red",IF($H1014-'[2]Read Me'!$B$4&lt;=21,"Amber","Green"))))</f>
        <v>Amber</v>
      </c>
    </row>
    <row r="1015" spans="10:13" x14ac:dyDescent="0.3">
      <c r="J1015" s="6" t="str">
        <f t="shared" si="42"/>
        <v/>
      </c>
      <c r="L1015" s="7" t="str">
        <f t="shared" ca="1" si="43"/>
        <v/>
      </c>
      <c r="M1015" s="4" t="str">
        <f>IF($I1015="Complete","Green",IF($H1015="","Amber",IF($H1015&lt;'[2]Read Me'!$B$4,"Red",IF($H1015-'[2]Read Me'!$B$4&lt;=21,"Amber","Green"))))</f>
        <v>Amber</v>
      </c>
    </row>
    <row r="1016" spans="10:13" x14ac:dyDescent="0.3">
      <c r="J1016" s="6" t="str">
        <f t="shared" si="42"/>
        <v/>
      </c>
      <c r="L1016" s="7" t="str">
        <f t="shared" ca="1" si="43"/>
        <v/>
      </c>
      <c r="M1016" s="4" t="str">
        <f>IF($I1016="Complete","Green",IF($H1016="","Amber",IF($H1016&lt;'[2]Read Me'!$B$4,"Red",IF($H1016-'[2]Read Me'!$B$4&lt;=21,"Amber","Green"))))</f>
        <v>Amber</v>
      </c>
    </row>
    <row r="1017" spans="10:13" x14ac:dyDescent="0.3">
      <c r="J1017" s="6" t="str">
        <f t="shared" si="42"/>
        <v/>
      </c>
      <c r="L1017" s="7" t="str">
        <f t="shared" ca="1" si="43"/>
        <v/>
      </c>
      <c r="M1017" s="4" t="str">
        <f>IF($I1017="Complete","Green",IF($H1017="","Amber",IF($H1017&lt;'[2]Read Me'!$B$4,"Red",IF($H1017-'[2]Read Me'!$B$4&lt;=21,"Amber","Green"))))</f>
        <v>Amber</v>
      </c>
    </row>
    <row r="1018" spans="10:13" x14ac:dyDescent="0.3">
      <c r="J1018" s="6" t="str">
        <f t="shared" si="42"/>
        <v/>
      </c>
      <c r="L1018" s="7" t="str">
        <f t="shared" ca="1" si="43"/>
        <v/>
      </c>
      <c r="M1018" s="4" t="str">
        <f>IF($I1018="Complete","Green",IF($H1018="","Amber",IF($H1018&lt;'[2]Read Me'!$B$4,"Red",IF($H1018-'[2]Read Me'!$B$4&lt;=21,"Amber","Green"))))</f>
        <v>Amber</v>
      </c>
    </row>
    <row r="1019" spans="10:13" x14ac:dyDescent="0.3">
      <c r="J1019" s="6" t="str">
        <f t="shared" si="42"/>
        <v/>
      </c>
      <c r="L1019" s="7" t="str">
        <f t="shared" ca="1" si="43"/>
        <v/>
      </c>
      <c r="M1019" s="4" t="str">
        <f>IF($I1019="Complete","Green",IF($H1019="","Amber",IF($H1019&lt;'[2]Read Me'!$B$4,"Red",IF($H1019-'[2]Read Me'!$B$4&lt;=21,"Amber","Green"))))</f>
        <v>Amber</v>
      </c>
    </row>
    <row r="1020" spans="10:13" x14ac:dyDescent="0.3">
      <c r="J1020" s="6" t="str">
        <f t="shared" si="42"/>
        <v/>
      </c>
      <c r="L1020" s="7" t="str">
        <f t="shared" ca="1" si="43"/>
        <v/>
      </c>
      <c r="M1020" s="4" t="str">
        <f>IF($I1020="Complete","Green",IF($H1020="","Amber",IF($H1020&lt;'[2]Read Me'!$B$4,"Red",IF($H1020-'[2]Read Me'!$B$4&lt;=21,"Amber","Green"))))</f>
        <v>Amber</v>
      </c>
    </row>
    <row r="1021" spans="10:13" x14ac:dyDescent="0.3">
      <c r="J1021" s="6" t="str">
        <f t="shared" si="42"/>
        <v/>
      </c>
      <c r="L1021" s="7" t="str">
        <f t="shared" ca="1" si="43"/>
        <v/>
      </c>
      <c r="M1021" s="4" t="str">
        <f>IF($I1021="Complete","Green",IF($H1021="","Amber",IF($H1021&lt;'[2]Read Me'!$B$4,"Red",IF($H1021-'[2]Read Me'!$B$4&lt;=21,"Amber","Green"))))</f>
        <v>Amber</v>
      </c>
    </row>
    <row r="1022" spans="10:13" x14ac:dyDescent="0.3">
      <c r="J1022" s="6" t="str">
        <f t="shared" si="42"/>
        <v/>
      </c>
      <c r="L1022" s="7" t="str">
        <f t="shared" ca="1" si="43"/>
        <v/>
      </c>
      <c r="M1022" s="4" t="str">
        <f>IF($I1022="Complete","Green",IF($H1022="","Amber",IF($H1022&lt;'[2]Read Me'!$B$4,"Red",IF($H1022-'[2]Read Me'!$B$4&lt;=21,"Amber","Green"))))</f>
        <v>Amber</v>
      </c>
    </row>
    <row r="1023" spans="10:13" x14ac:dyDescent="0.3">
      <c r="J1023" s="6" t="str">
        <f t="shared" si="42"/>
        <v/>
      </c>
      <c r="L1023" s="7" t="str">
        <f t="shared" ca="1" si="43"/>
        <v/>
      </c>
      <c r="M1023" s="4" t="str">
        <f>IF($I1023="Complete","Green",IF($H1023="","Amber",IF($H1023&lt;'[2]Read Me'!$B$4,"Red",IF($H1023-'[2]Read Me'!$B$4&lt;=21,"Amber","Green"))))</f>
        <v>Amber</v>
      </c>
    </row>
    <row r="1024" spans="10:13" x14ac:dyDescent="0.3">
      <c r="J1024" s="6" t="str">
        <f t="shared" si="42"/>
        <v/>
      </c>
      <c r="L1024" s="7" t="str">
        <f t="shared" ca="1" si="43"/>
        <v/>
      </c>
      <c r="M1024" s="4" t="str">
        <f>IF($I1024="Complete","Green",IF($H1024="","Amber",IF($H1024&lt;'[2]Read Me'!$B$4,"Red",IF($H1024-'[2]Read Me'!$B$4&lt;=21,"Amber","Green"))))</f>
        <v>Amber</v>
      </c>
    </row>
    <row r="1025" spans="10:13" x14ac:dyDescent="0.3">
      <c r="J1025" s="6" t="str">
        <f t="shared" si="42"/>
        <v/>
      </c>
      <c r="L1025" s="7" t="str">
        <f t="shared" ca="1" si="43"/>
        <v/>
      </c>
      <c r="M1025" s="4" t="str">
        <f>IF($I1025="Complete","Green",IF($H1025="","Amber",IF($H1025&lt;'[2]Read Me'!$B$4,"Red",IF($H1025-'[2]Read Me'!$B$4&lt;=21,"Amber","Green"))))</f>
        <v>Amber</v>
      </c>
    </row>
    <row r="1026" spans="10:13" x14ac:dyDescent="0.3">
      <c r="J1026" s="6" t="str">
        <f t="shared" si="42"/>
        <v/>
      </c>
      <c r="L1026" s="7" t="str">
        <f t="shared" ca="1" si="43"/>
        <v/>
      </c>
      <c r="M1026" s="4" t="str">
        <f>IF($I1026="Complete","Green",IF($H1026="","Amber",IF($H1026&lt;'[2]Read Me'!$B$4,"Red",IF($H1026-'[2]Read Me'!$B$4&lt;=21,"Amber","Green"))))</f>
        <v>Amber</v>
      </c>
    </row>
    <row r="1027" spans="10:13" x14ac:dyDescent="0.3">
      <c r="J1027" s="6" t="str">
        <f t="shared" si="42"/>
        <v/>
      </c>
      <c r="L1027" s="7" t="str">
        <f t="shared" ca="1" si="43"/>
        <v/>
      </c>
      <c r="M1027" s="4" t="str">
        <f>IF($I1027="Complete","Green",IF($H1027="","Amber",IF($H1027&lt;'[2]Read Me'!$B$4,"Red",IF($H1027-'[2]Read Me'!$B$4&lt;=21,"Amber","Green"))))</f>
        <v>Amber</v>
      </c>
    </row>
    <row r="1028" spans="10:13" x14ac:dyDescent="0.3">
      <c r="J1028" s="6" t="str">
        <f t="shared" ref="J1028:J1091" si="44">IF(OR($G1028="",$H1028=""),"",$H1028-$G1028)</f>
        <v/>
      </c>
      <c r="L1028" s="7" t="str">
        <f t="shared" ca="1" si="43"/>
        <v/>
      </c>
      <c r="M1028" s="4" t="str">
        <f>IF($I1028="Complete","Green",IF($H1028="","Amber",IF($H1028&lt;'[2]Read Me'!$B$4,"Red",IF($H1028-'[2]Read Me'!$B$4&lt;=21,"Amber","Green"))))</f>
        <v>Amber</v>
      </c>
    </row>
    <row r="1029" spans="10:13" x14ac:dyDescent="0.3">
      <c r="J1029" s="6" t="str">
        <f t="shared" si="44"/>
        <v/>
      </c>
      <c r="L1029" s="7" t="str">
        <f t="shared" ref="L1029:L1092" ca="1" si="45">IF(I1029="Completed",0,IF(H1029="","",H1029-TODAY()))</f>
        <v/>
      </c>
      <c r="M1029" s="4" t="str">
        <f>IF($I1029="Complete","Green",IF($H1029="","Amber",IF($H1029&lt;'[2]Read Me'!$B$4,"Red",IF($H1029-'[2]Read Me'!$B$4&lt;=21,"Amber","Green"))))</f>
        <v>Amber</v>
      </c>
    </row>
    <row r="1030" spans="10:13" x14ac:dyDescent="0.3">
      <c r="J1030" s="6" t="str">
        <f t="shared" si="44"/>
        <v/>
      </c>
      <c r="L1030" s="7" t="str">
        <f t="shared" ca="1" si="45"/>
        <v/>
      </c>
      <c r="M1030" s="4" t="str">
        <f>IF($I1030="Complete","Green",IF($H1030="","Amber",IF($H1030&lt;'[2]Read Me'!$B$4,"Red",IF($H1030-'[2]Read Me'!$B$4&lt;=21,"Amber","Green"))))</f>
        <v>Amber</v>
      </c>
    </row>
    <row r="1031" spans="10:13" x14ac:dyDescent="0.3">
      <c r="J1031" s="6" t="str">
        <f t="shared" si="44"/>
        <v/>
      </c>
      <c r="L1031" s="7" t="str">
        <f t="shared" ca="1" si="45"/>
        <v/>
      </c>
      <c r="M1031" s="4" t="str">
        <f>IF($I1031="Complete","Green",IF($H1031="","Amber",IF($H1031&lt;'[2]Read Me'!$B$4,"Red",IF($H1031-'[2]Read Me'!$B$4&lt;=21,"Amber","Green"))))</f>
        <v>Amber</v>
      </c>
    </row>
    <row r="1032" spans="10:13" x14ac:dyDescent="0.3">
      <c r="J1032" s="6" t="str">
        <f t="shared" si="44"/>
        <v/>
      </c>
      <c r="L1032" s="7" t="str">
        <f t="shared" ca="1" si="45"/>
        <v/>
      </c>
      <c r="M1032" s="4" t="str">
        <f>IF($I1032="Complete","Green",IF($H1032="","Amber",IF($H1032&lt;'[2]Read Me'!$B$4,"Red",IF($H1032-'[2]Read Me'!$B$4&lt;=21,"Amber","Green"))))</f>
        <v>Amber</v>
      </c>
    </row>
    <row r="1033" spans="10:13" x14ac:dyDescent="0.3">
      <c r="J1033" s="6" t="str">
        <f t="shared" si="44"/>
        <v/>
      </c>
      <c r="L1033" s="7" t="str">
        <f t="shared" ca="1" si="45"/>
        <v/>
      </c>
      <c r="M1033" s="4" t="str">
        <f>IF($I1033="Complete","Green",IF($H1033="","Amber",IF($H1033&lt;'[2]Read Me'!$B$4,"Red",IF($H1033-'[2]Read Me'!$B$4&lt;=21,"Amber","Green"))))</f>
        <v>Amber</v>
      </c>
    </row>
    <row r="1034" spans="10:13" x14ac:dyDescent="0.3">
      <c r="J1034" s="6" t="str">
        <f t="shared" si="44"/>
        <v/>
      </c>
      <c r="L1034" s="7" t="str">
        <f t="shared" ca="1" si="45"/>
        <v/>
      </c>
      <c r="M1034" s="4" t="str">
        <f>IF($I1034="Complete","Green",IF($H1034="","Amber",IF($H1034&lt;'[2]Read Me'!$B$4,"Red",IF($H1034-'[2]Read Me'!$B$4&lt;=21,"Amber","Green"))))</f>
        <v>Amber</v>
      </c>
    </row>
    <row r="1035" spans="10:13" x14ac:dyDescent="0.3">
      <c r="J1035" s="6" t="str">
        <f t="shared" si="44"/>
        <v/>
      </c>
      <c r="L1035" s="7" t="str">
        <f t="shared" ca="1" si="45"/>
        <v/>
      </c>
      <c r="M1035" s="4" t="str">
        <f>IF($I1035="Complete","Green",IF($H1035="","Amber",IF($H1035&lt;'[2]Read Me'!$B$4,"Red",IF($H1035-'[2]Read Me'!$B$4&lt;=21,"Amber","Green"))))</f>
        <v>Amber</v>
      </c>
    </row>
    <row r="1036" spans="10:13" x14ac:dyDescent="0.3">
      <c r="J1036" s="6" t="str">
        <f t="shared" si="44"/>
        <v/>
      </c>
      <c r="L1036" s="7" t="str">
        <f t="shared" ca="1" si="45"/>
        <v/>
      </c>
      <c r="M1036" s="4" t="str">
        <f>IF($I1036="Complete","Green",IF($H1036="","Amber",IF($H1036&lt;'[2]Read Me'!$B$4,"Red",IF($H1036-'[2]Read Me'!$B$4&lt;=21,"Amber","Green"))))</f>
        <v>Amber</v>
      </c>
    </row>
    <row r="1037" spans="10:13" x14ac:dyDescent="0.3">
      <c r="J1037" s="6" t="str">
        <f t="shared" si="44"/>
        <v/>
      </c>
      <c r="L1037" s="7" t="str">
        <f t="shared" ca="1" si="45"/>
        <v/>
      </c>
      <c r="M1037" s="4" t="str">
        <f>IF($I1037="Complete","Green",IF($H1037="","Amber",IF($H1037&lt;'[2]Read Me'!$B$4,"Red",IF($H1037-'[2]Read Me'!$B$4&lt;=21,"Amber","Green"))))</f>
        <v>Amber</v>
      </c>
    </row>
    <row r="1038" spans="10:13" x14ac:dyDescent="0.3">
      <c r="J1038" s="6" t="str">
        <f t="shared" si="44"/>
        <v/>
      </c>
      <c r="L1038" s="7" t="str">
        <f t="shared" ca="1" si="45"/>
        <v/>
      </c>
      <c r="M1038" s="4" t="str">
        <f>IF($I1038="Complete","Green",IF($H1038="","Amber",IF($H1038&lt;'[2]Read Me'!$B$4,"Red",IF($H1038-'[2]Read Me'!$B$4&lt;=21,"Amber","Green"))))</f>
        <v>Amber</v>
      </c>
    </row>
    <row r="1039" spans="10:13" x14ac:dyDescent="0.3">
      <c r="J1039" s="6" t="str">
        <f t="shared" si="44"/>
        <v/>
      </c>
      <c r="L1039" s="7" t="str">
        <f t="shared" ca="1" si="45"/>
        <v/>
      </c>
      <c r="M1039" s="4" t="str">
        <f>IF($I1039="Complete","Green",IF($H1039="","Amber",IF($H1039&lt;'[2]Read Me'!$B$4,"Red",IF($H1039-'[2]Read Me'!$B$4&lt;=21,"Amber","Green"))))</f>
        <v>Amber</v>
      </c>
    </row>
    <row r="1040" spans="10:13" x14ac:dyDescent="0.3">
      <c r="J1040" s="6" t="str">
        <f t="shared" si="44"/>
        <v/>
      </c>
      <c r="L1040" s="7" t="str">
        <f t="shared" ca="1" si="45"/>
        <v/>
      </c>
      <c r="M1040" s="4" t="str">
        <f>IF($I1040="Complete","Green",IF($H1040="","Amber",IF($H1040&lt;'[2]Read Me'!$B$4,"Red",IF($H1040-'[2]Read Me'!$B$4&lt;=21,"Amber","Green"))))</f>
        <v>Amber</v>
      </c>
    </row>
    <row r="1041" spans="10:13" x14ac:dyDescent="0.3">
      <c r="J1041" s="6" t="str">
        <f t="shared" si="44"/>
        <v/>
      </c>
      <c r="L1041" s="7" t="str">
        <f t="shared" ca="1" si="45"/>
        <v/>
      </c>
      <c r="M1041" s="4" t="str">
        <f>IF($I1041="Complete","Green",IF($H1041="","Amber",IF($H1041&lt;'[2]Read Me'!$B$4,"Red",IF($H1041-'[2]Read Me'!$B$4&lt;=21,"Amber","Green"))))</f>
        <v>Amber</v>
      </c>
    </row>
    <row r="1042" spans="10:13" x14ac:dyDescent="0.3">
      <c r="J1042" s="6" t="str">
        <f t="shared" si="44"/>
        <v/>
      </c>
      <c r="L1042" s="7" t="str">
        <f t="shared" ca="1" si="45"/>
        <v/>
      </c>
      <c r="M1042" s="4" t="str">
        <f>IF($I1042="Complete","Green",IF($H1042="","Amber",IF($H1042&lt;'[2]Read Me'!$B$4,"Red",IF($H1042-'[2]Read Me'!$B$4&lt;=21,"Amber","Green"))))</f>
        <v>Amber</v>
      </c>
    </row>
    <row r="1043" spans="10:13" x14ac:dyDescent="0.3">
      <c r="J1043" s="6" t="str">
        <f t="shared" si="44"/>
        <v/>
      </c>
      <c r="L1043" s="7" t="str">
        <f t="shared" ca="1" si="45"/>
        <v/>
      </c>
      <c r="M1043" s="4" t="str">
        <f>IF($I1043="Complete","Green",IF($H1043="","Amber",IF($H1043&lt;'[2]Read Me'!$B$4,"Red",IF($H1043-'[2]Read Me'!$B$4&lt;=21,"Amber","Green"))))</f>
        <v>Amber</v>
      </c>
    </row>
    <row r="1044" spans="10:13" x14ac:dyDescent="0.3">
      <c r="J1044" s="6" t="str">
        <f t="shared" si="44"/>
        <v/>
      </c>
      <c r="L1044" s="7" t="str">
        <f t="shared" ca="1" si="45"/>
        <v/>
      </c>
      <c r="M1044" s="4" t="str">
        <f>IF($I1044="Complete","Green",IF($H1044="","Amber",IF($H1044&lt;'[2]Read Me'!$B$4,"Red",IF($H1044-'[2]Read Me'!$B$4&lt;=21,"Amber","Green"))))</f>
        <v>Amber</v>
      </c>
    </row>
    <row r="1045" spans="10:13" x14ac:dyDescent="0.3">
      <c r="J1045" s="6" t="str">
        <f t="shared" si="44"/>
        <v/>
      </c>
      <c r="L1045" s="7" t="str">
        <f t="shared" ca="1" si="45"/>
        <v/>
      </c>
      <c r="M1045" s="4" t="str">
        <f>IF($I1045="Complete","Green",IF($H1045="","Amber",IF($H1045&lt;'[2]Read Me'!$B$4,"Red",IF($H1045-'[2]Read Me'!$B$4&lt;=21,"Amber","Green"))))</f>
        <v>Amber</v>
      </c>
    </row>
    <row r="1046" spans="10:13" x14ac:dyDescent="0.3">
      <c r="J1046" s="6" t="str">
        <f t="shared" si="44"/>
        <v/>
      </c>
      <c r="L1046" s="7" t="str">
        <f t="shared" ca="1" si="45"/>
        <v/>
      </c>
      <c r="M1046" s="4" t="str">
        <f>IF($I1046="Complete","Green",IF($H1046="","Amber",IF($H1046&lt;'[2]Read Me'!$B$4,"Red",IF($H1046-'[2]Read Me'!$B$4&lt;=21,"Amber","Green"))))</f>
        <v>Amber</v>
      </c>
    </row>
    <row r="1047" spans="10:13" x14ac:dyDescent="0.3">
      <c r="J1047" s="6" t="str">
        <f t="shared" si="44"/>
        <v/>
      </c>
      <c r="L1047" s="7" t="str">
        <f t="shared" ca="1" si="45"/>
        <v/>
      </c>
      <c r="M1047" s="4" t="str">
        <f>IF($I1047="Complete","Green",IF($H1047="","Amber",IF($H1047&lt;'[2]Read Me'!$B$4,"Red",IF($H1047-'[2]Read Me'!$B$4&lt;=21,"Amber","Green"))))</f>
        <v>Amber</v>
      </c>
    </row>
    <row r="1048" spans="10:13" x14ac:dyDescent="0.3">
      <c r="J1048" s="6" t="str">
        <f t="shared" si="44"/>
        <v/>
      </c>
      <c r="L1048" s="7" t="str">
        <f t="shared" ca="1" si="45"/>
        <v/>
      </c>
      <c r="M1048" s="4" t="str">
        <f>IF($I1048="Complete","Green",IF($H1048="","Amber",IF($H1048&lt;'[2]Read Me'!$B$4,"Red",IF($H1048-'[2]Read Me'!$B$4&lt;=21,"Amber","Green"))))</f>
        <v>Amber</v>
      </c>
    </row>
    <row r="1049" spans="10:13" x14ac:dyDescent="0.3">
      <c r="J1049" s="6" t="str">
        <f t="shared" si="44"/>
        <v/>
      </c>
      <c r="L1049" s="7" t="str">
        <f t="shared" ca="1" si="45"/>
        <v/>
      </c>
      <c r="M1049" s="4" t="str">
        <f>IF($I1049="Complete","Green",IF($H1049="","Amber",IF($H1049&lt;'[2]Read Me'!$B$4,"Red",IF($H1049-'[2]Read Me'!$B$4&lt;=21,"Amber","Green"))))</f>
        <v>Amber</v>
      </c>
    </row>
    <row r="1050" spans="10:13" x14ac:dyDescent="0.3">
      <c r="J1050" s="6" t="str">
        <f t="shared" si="44"/>
        <v/>
      </c>
      <c r="L1050" s="7" t="str">
        <f t="shared" ca="1" si="45"/>
        <v/>
      </c>
      <c r="M1050" s="4" t="str">
        <f>IF($I1050="Complete","Green",IF($H1050="","Amber",IF($H1050&lt;'[2]Read Me'!$B$4,"Red",IF($H1050-'[2]Read Me'!$B$4&lt;=21,"Amber","Green"))))</f>
        <v>Amber</v>
      </c>
    </row>
    <row r="1051" spans="10:13" x14ac:dyDescent="0.3">
      <c r="J1051" s="6" t="str">
        <f t="shared" si="44"/>
        <v/>
      </c>
      <c r="L1051" s="7" t="str">
        <f t="shared" ca="1" si="45"/>
        <v/>
      </c>
      <c r="M1051" s="4" t="str">
        <f>IF($I1051="Complete","Green",IF($H1051="","Amber",IF($H1051&lt;'[2]Read Me'!$B$4,"Red",IF($H1051-'[2]Read Me'!$B$4&lt;=21,"Amber","Green"))))</f>
        <v>Amber</v>
      </c>
    </row>
    <row r="1052" spans="10:13" x14ac:dyDescent="0.3">
      <c r="J1052" s="6" t="str">
        <f t="shared" si="44"/>
        <v/>
      </c>
      <c r="L1052" s="7" t="str">
        <f t="shared" ca="1" si="45"/>
        <v/>
      </c>
      <c r="M1052" s="4" t="str">
        <f>IF($I1052="Complete","Green",IF($H1052="","Amber",IF($H1052&lt;'[2]Read Me'!$B$4,"Red",IF($H1052-'[2]Read Me'!$B$4&lt;=21,"Amber","Green"))))</f>
        <v>Amber</v>
      </c>
    </row>
    <row r="1053" spans="10:13" x14ac:dyDescent="0.3">
      <c r="J1053" s="6" t="str">
        <f t="shared" si="44"/>
        <v/>
      </c>
      <c r="L1053" s="7" t="str">
        <f t="shared" ca="1" si="45"/>
        <v/>
      </c>
      <c r="M1053" s="4" t="str">
        <f>IF($I1053="Complete","Green",IF($H1053="","Amber",IF($H1053&lt;'[2]Read Me'!$B$4,"Red",IF($H1053-'[2]Read Me'!$B$4&lt;=21,"Amber","Green"))))</f>
        <v>Amber</v>
      </c>
    </row>
    <row r="1054" spans="10:13" x14ac:dyDescent="0.3">
      <c r="J1054" s="6" t="str">
        <f t="shared" si="44"/>
        <v/>
      </c>
      <c r="L1054" s="7" t="str">
        <f t="shared" ca="1" si="45"/>
        <v/>
      </c>
      <c r="M1054" s="4" t="str">
        <f>IF($I1054="Complete","Green",IF($H1054="","Amber",IF($H1054&lt;'[2]Read Me'!$B$4,"Red",IF($H1054-'[2]Read Me'!$B$4&lt;=21,"Amber","Green"))))</f>
        <v>Amber</v>
      </c>
    </row>
    <row r="1055" spans="10:13" x14ac:dyDescent="0.3">
      <c r="J1055" s="6" t="str">
        <f t="shared" si="44"/>
        <v/>
      </c>
      <c r="L1055" s="7" t="str">
        <f t="shared" ca="1" si="45"/>
        <v/>
      </c>
      <c r="M1055" s="4" t="str">
        <f>IF($I1055="Complete","Green",IF($H1055="","Amber",IF($H1055&lt;'[2]Read Me'!$B$4,"Red",IF($H1055-'[2]Read Me'!$B$4&lt;=21,"Amber","Green"))))</f>
        <v>Amber</v>
      </c>
    </row>
    <row r="1056" spans="10:13" x14ac:dyDescent="0.3">
      <c r="J1056" s="6" t="str">
        <f t="shared" si="44"/>
        <v/>
      </c>
      <c r="L1056" s="7" t="str">
        <f t="shared" ca="1" si="45"/>
        <v/>
      </c>
      <c r="M1056" s="4" t="str">
        <f>IF($I1056="Complete","Green",IF($H1056="","Amber",IF($H1056&lt;'[2]Read Me'!$B$4,"Red",IF($H1056-'[2]Read Me'!$B$4&lt;=21,"Amber","Green"))))</f>
        <v>Amber</v>
      </c>
    </row>
    <row r="1057" spans="10:13" x14ac:dyDescent="0.3">
      <c r="J1057" s="6" t="str">
        <f t="shared" si="44"/>
        <v/>
      </c>
      <c r="L1057" s="7" t="str">
        <f t="shared" ca="1" si="45"/>
        <v/>
      </c>
      <c r="M1057" s="4" t="str">
        <f>IF($I1057="Complete","Green",IF($H1057="","Amber",IF($H1057&lt;'[2]Read Me'!$B$4,"Red",IF($H1057-'[2]Read Me'!$B$4&lt;=21,"Amber","Green"))))</f>
        <v>Amber</v>
      </c>
    </row>
    <row r="1058" spans="10:13" x14ac:dyDescent="0.3">
      <c r="J1058" s="6" t="str">
        <f t="shared" si="44"/>
        <v/>
      </c>
      <c r="L1058" s="7" t="str">
        <f t="shared" ca="1" si="45"/>
        <v/>
      </c>
      <c r="M1058" s="4" t="str">
        <f>IF($I1058="Complete","Green",IF($H1058="","Amber",IF($H1058&lt;'[2]Read Me'!$B$4,"Red",IF($H1058-'[2]Read Me'!$B$4&lt;=21,"Amber","Green"))))</f>
        <v>Amber</v>
      </c>
    </row>
    <row r="1059" spans="10:13" x14ac:dyDescent="0.3">
      <c r="J1059" s="6" t="str">
        <f t="shared" si="44"/>
        <v/>
      </c>
      <c r="L1059" s="7" t="str">
        <f t="shared" ca="1" si="45"/>
        <v/>
      </c>
      <c r="M1059" s="4" t="str">
        <f>IF($I1059="Complete","Green",IF($H1059="","Amber",IF($H1059&lt;'[2]Read Me'!$B$4,"Red",IF($H1059-'[2]Read Me'!$B$4&lt;=21,"Amber","Green"))))</f>
        <v>Amber</v>
      </c>
    </row>
    <row r="1060" spans="10:13" x14ac:dyDescent="0.3">
      <c r="J1060" s="6" t="str">
        <f t="shared" si="44"/>
        <v/>
      </c>
      <c r="L1060" s="7" t="str">
        <f t="shared" ca="1" si="45"/>
        <v/>
      </c>
      <c r="M1060" s="4" t="str">
        <f>IF($I1060="Complete","Green",IF($H1060="","Amber",IF($H1060&lt;'[2]Read Me'!$B$4,"Red",IF($H1060-'[2]Read Me'!$B$4&lt;=21,"Amber","Green"))))</f>
        <v>Amber</v>
      </c>
    </row>
    <row r="1061" spans="10:13" x14ac:dyDescent="0.3">
      <c r="J1061" s="6" t="str">
        <f t="shared" si="44"/>
        <v/>
      </c>
      <c r="L1061" s="7" t="str">
        <f t="shared" ca="1" si="45"/>
        <v/>
      </c>
      <c r="M1061" s="4" t="str">
        <f>IF($I1061="Complete","Green",IF($H1061="","Amber",IF($H1061&lt;'[2]Read Me'!$B$4,"Red",IF($H1061-'[2]Read Me'!$B$4&lt;=21,"Amber","Green"))))</f>
        <v>Amber</v>
      </c>
    </row>
    <row r="1062" spans="10:13" x14ac:dyDescent="0.3">
      <c r="J1062" s="6" t="str">
        <f t="shared" si="44"/>
        <v/>
      </c>
      <c r="L1062" s="7" t="str">
        <f t="shared" ca="1" si="45"/>
        <v/>
      </c>
      <c r="M1062" s="4" t="str">
        <f>IF($I1062="Complete","Green",IF($H1062="","Amber",IF($H1062&lt;'[2]Read Me'!$B$4,"Red",IF($H1062-'[2]Read Me'!$B$4&lt;=21,"Amber","Green"))))</f>
        <v>Amber</v>
      </c>
    </row>
    <row r="1063" spans="10:13" x14ac:dyDescent="0.3">
      <c r="J1063" s="6" t="str">
        <f t="shared" si="44"/>
        <v/>
      </c>
      <c r="L1063" s="7" t="str">
        <f t="shared" ca="1" si="45"/>
        <v/>
      </c>
      <c r="M1063" s="4" t="str">
        <f>IF($I1063="Complete","Green",IF($H1063="","Amber",IF($H1063&lt;'[2]Read Me'!$B$4,"Red",IF($H1063-'[2]Read Me'!$B$4&lt;=21,"Amber","Green"))))</f>
        <v>Amber</v>
      </c>
    </row>
    <row r="1064" spans="10:13" x14ac:dyDescent="0.3">
      <c r="J1064" s="6" t="str">
        <f t="shared" si="44"/>
        <v/>
      </c>
      <c r="L1064" s="7" t="str">
        <f t="shared" ca="1" si="45"/>
        <v/>
      </c>
      <c r="M1064" s="4" t="str">
        <f>IF($I1064="Complete","Green",IF($H1064="","Amber",IF($H1064&lt;'[2]Read Me'!$B$4,"Red",IF($H1064-'[2]Read Me'!$B$4&lt;=21,"Amber","Green"))))</f>
        <v>Amber</v>
      </c>
    </row>
    <row r="1065" spans="10:13" x14ac:dyDescent="0.3">
      <c r="J1065" s="6" t="str">
        <f t="shared" si="44"/>
        <v/>
      </c>
      <c r="L1065" s="7" t="str">
        <f t="shared" ca="1" si="45"/>
        <v/>
      </c>
      <c r="M1065" s="4" t="str">
        <f>IF($I1065="Complete","Green",IF($H1065="","Amber",IF($H1065&lt;'[2]Read Me'!$B$4,"Red",IF($H1065-'[2]Read Me'!$B$4&lt;=21,"Amber","Green"))))</f>
        <v>Amber</v>
      </c>
    </row>
    <row r="1066" spans="10:13" x14ac:dyDescent="0.3">
      <c r="J1066" s="6" t="str">
        <f t="shared" si="44"/>
        <v/>
      </c>
      <c r="L1066" s="7" t="str">
        <f t="shared" ca="1" si="45"/>
        <v/>
      </c>
      <c r="M1066" s="4" t="str">
        <f>IF($I1066="Complete","Green",IF($H1066="","Amber",IF($H1066&lt;'[2]Read Me'!$B$4,"Red",IF($H1066-'[2]Read Me'!$B$4&lt;=21,"Amber","Green"))))</f>
        <v>Amber</v>
      </c>
    </row>
    <row r="1067" spans="10:13" x14ac:dyDescent="0.3">
      <c r="J1067" s="6" t="str">
        <f t="shared" si="44"/>
        <v/>
      </c>
      <c r="L1067" s="7" t="str">
        <f t="shared" ca="1" si="45"/>
        <v/>
      </c>
      <c r="M1067" s="4" t="str">
        <f>IF($I1067="Complete","Green",IF($H1067="","Amber",IF($H1067&lt;'[2]Read Me'!$B$4,"Red",IF($H1067-'[2]Read Me'!$B$4&lt;=21,"Amber","Green"))))</f>
        <v>Amber</v>
      </c>
    </row>
    <row r="1068" spans="10:13" x14ac:dyDescent="0.3">
      <c r="J1068" s="6" t="str">
        <f t="shared" si="44"/>
        <v/>
      </c>
      <c r="L1068" s="7" t="str">
        <f t="shared" ca="1" si="45"/>
        <v/>
      </c>
      <c r="M1068" s="4" t="str">
        <f>IF($I1068="Complete","Green",IF($H1068="","Amber",IF($H1068&lt;'[2]Read Me'!$B$4,"Red",IF($H1068-'[2]Read Me'!$B$4&lt;=21,"Amber","Green"))))</f>
        <v>Amber</v>
      </c>
    </row>
    <row r="1069" spans="10:13" x14ac:dyDescent="0.3">
      <c r="J1069" s="6" t="str">
        <f t="shared" si="44"/>
        <v/>
      </c>
      <c r="L1069" s="7" t="str">
        <f t="shared" ca="1" si="45"/>
        <v/>
      </c>
      <c r="M1069" s="4" t="str">
        <f>IF($I1069="Complete","Green",IF($H1069="","Amber",IF($H1069&lt;'[2]Read Me'!$B$4,"Red",IF($H1069-'[2]Read Me'!$B$4&lt;=21,"Amber","Green"))))</f>
        <v>Amber</v>
      </c>
    </row>
    <row r="1070" spans="10:13" x14ac:dyDescent="0.3">
      <c r="J1070" s="6" t="str">
        <f t="shared" si="44"/>
        <v/>
      </c>
      <c r="L1070" s="7" t="str">
        <f t="shared" ca="1" si="45"/>
        <v/>
      </c>
      <c r="M1070" s="4" t="str">
        <f>IF($I1070="Complete","Green",IF($H1070="","Amber",IF($H1070&lt;'[2]Read Me'!$B$4,"Red",IF($H1070-'[2]Read Me'!$B$4&lt;=21,"Amber","Green"))))</f>
        <v>Amber</v>
      </c>
    </row>
    <row r="1071" spans="10:13" x14ac:dyDescent="0.3">
      <c r="J1071" s="6" t="str">
        <f t="shared" si="44"/>
        <v/>
      </c>
      <c r="L1071" s="7" t="str">
        <f t="shared" ca="1" si="45"/>
        <v/>
      </c>
      <c r="M1071" s="4" t="str">
        <f>IF($I1071="Complete","Green",IF($H1071="","Amber",IF($H1071&lt;'[2]Read Me'!$B$4,"Red",IF($H1071-'[2]Read Me'!$B$4&lt;=21,"Amber","Green"))))</f>
        <v>Amber</v>
      </c>
    </row>
    <row r="1072" spans="10:13" x14ac:dyDescent="0.3">
      <c r="J1072" s="6" t="str">
        <f t="shared" si="44"/>
        <v/>
      </c>
      <c r="L1072" s="7" t="str">
        <f t="shared" ca="1" si="45"/>
        <v/>
      </c>
      <c r="M1072" s="4" t="str">
        <f>IF($I1072="Complete","Green",IF($H1072="","Amber",IF($H1072&lt;'[2]Read Me'!$B$4,"Red",IF($H1072-'[2]Read Me'!$B$4&lt;=21,"Amber","Green"))))</f>
        <v>Amber</v>
      </c>
    </row>
    <row r="1073" spans="10:13" x14ac:dyDescent="0.3">
      <c r="J1073" s="6" t="str">
        <f t="shared" si="44"/>
        <v/>
      </c>
      <c r="L1073" s="7" t="str">
        <f t="shared" ca="1" si="45"/>
        <v/>
      </c>
      <c r="M1073" s="4" t="str">
        <f>IF($I1073="Complete","Green",IF($H1073="","Amber",IF($H1073&lt;'[2]Read Me'!$B$4,"Red",IF($H1073-'[2]Read Me'!$B$4&lt;=21,"Amber","Green"))))</f>
        <v>Amber</v>
      </c>
    </row>
    <row r="1074" spans="10:13" x14ac:dyDescent="0.3">
      <c r="J1074" s="6" t="str">
        <f t="shared" si="44"/>
        <v/>
      </c>
      <c r="L1074" s="7" t="str">
        <f t="shared" ca="1" si="45"/>
        <v/>
      </c>
      <c r="M1074" s="4" t="str">
        <f>IF($I1074="Complete","Green",IF($H1074="","Amber",IF($H1074&lt;'[2]Read Me'!$B$4,"Red",IF($H1074-'[2]Read Me'!$B$4&lt;=21,"Amber","Green"))))</f>
        <v>Amber</v>
      </c>
    </row>
    <row r="1075" spans="10:13" x14ac:dyDescent="0.3">
      <c r="J1075" s="6" t="str">
        <f t="shared" si="44"/>
        <v/>
      </c>
      <c r="L1075" s="7" t="str">
        <f t="shared" ca="1" si="45"/>
        <v/>
      </c>
      <c r="M1075" s="4" t="str">
        <f>IF($I1075="Complete","Green",IF($H1075="","Amber",IF($H1075&lt;'[2]Read Me'!$B$4,"Red",IF($H1075-'[2]Read Me'!$B$4&lt;=21,"Amber","Green"))))</f>
        <v>Amber</v>
      </c>
    </row>
    <row r="1076" spans="10:13" x14ac:dyDescent="0.3">
      <c r="J1076" s="6" t="str">
        <f t="shared" si="44"/>
        <v/>
      </c>
      <c r="L1076" s="7" t="str">
        <f t="shared" ca="1" si="45"/>
        <v/>
      </c>
      <c r="M1076" s="4" t="str">
        <f>IF($I1076="Complete","Green",IF($H1076="","Amber",IF($H1076&lt;'[2]Read Me'!$B$4,"Red",IF($H1076-'[2]Read Me'!$B$4&lt;=21,"Amber","Green"))))</f>
        <v>Amber</v>
      </c>
    </row>
    <row r="1077" spans="10:13" x14ac:dyDescent="0.3">
      <c r="J1077" s="6" t="str">
        <f t="shared" si="44"/>
        <v/>
      </c>
      <c r="L1077" s="7" t="str">
        <f t="shared" ca="1" si="45"/>
        <v/>
      </c>
      <c r="M1077" s="4" t="str">
        <f>IF($I1077="Complete","Green",IF($H1077="","Amber",IF($H1077&lt;'[2]Read Me'!$B$4,"Red",IF($H1077-'[2]Read Me'!$B$4&lt;=21,"Amber","Green"))))</f>
        <v>Amber</v>
      </c>
    </row>
    <row r="1078" spans="10:13" x14ac:dyDescent="0.3">
      <c r="J1078" s="6" t="str">
        <f t="shared" si="44"/>
        <v/>
      </c>
      <c r="L1078" s="7" t="str">
        <f t="shared" ca="1" si="45"/>
        <v/>
      </c>
      <c r="M1078" s="4" t="str">
        <f>IF($I1078="Complete","Green",IF($H1078="","Amber",IF($H1078&lt;'[2]Read Me'!$B$4,"Red",IF($H1078-'[2]Read Me'!$B$4&lt;=21,"Amber","Green"))))</f>
        <v>Amber</v>
      </c>
    </row>
    <row r="1079" spans="10:13" x14ac:dyDescent="0.3">
      <c r="J1079" s="6" t="str">
        <f t="shared" si="44"/>
        <v/>
      </c>
      <c r="L1079" s="7" t="str">
        <f t="shared" ca="1" si="45"/>
        <v/>
      </c>
      <c r="M1079" s="4" t="str">
        <f>IF($I1079="Complete","Green",IF($H1079="","Amber",IF($H1079&lt;'[2]Read Me'!$B$4,"Red",IF($H1079-'[2]Read Me'!$B$4&lt;=21,"Amber","Green"))))</f>
        <v>Amber</v>
      </c>
    </row>
    <row r="1080" spans="10:13" x14ac:dyDescent="0.3">
      <c r="J1080" s="6" t="str">
        <f t="shared" si="44"/>
        <v/>
      </c>
      <c r="L1080" s="7" t="str">
        <f t="shared" ca="1" si="45"/>
        <v/>
      </c>
      <c r="M1080" s="4" t="str">
        <f>IF($I1080="Complete","Green",IF($H1080="","Amber",IF($H1080&lt;'[2]Read Me'!$B$4,"Red",IF($H1080-'[2]Read Me'!$B$4&lt;=21,"Amber","Green"))))</f>
        <v>Amber</v>
      </c>
    </row>
    <row r="1081" spans="10:13" x14ac:dyDescent="0.3">
      <c r="J1081" s="6" t="str">
        <f t="shared" si="44"/>
        <v/>
      </c>
      <c r="L1081" s="7" t="str">
        <f t="shared" ca="1" si="45"/>
        <v/>
      </c>
      <c r="M1081" s="4" t="str">
        <f>IF($I1081="Complete","Green",IF($H1081="","Amber",IF($H1081&lt;'[2]Read Me'!$B$4,"Red",IF($H1081-'[2]Read Me'!$B$4&lt;=21,"Amber","Green"))))</f>
        <v>Amber</v>
      </c>
    </row>
    <row r="1082" spans="10:13" x14ac:dyDescent="0.3">
      <c r="J1082" s="6" t="str">
        <f t="shared" si="44"/>
        <v/>
      </c>
      <c r="L1082" s="7" t="str">
        <f t="shared" ca="1" si="45"/>
        <v/>
      </c>
      <c r="M1082" s="4" t="str">
        <f>IF($I1082="Complete","Green",IF($H1082="","Amber",IF($H1082&lt;'[2]Read Me'!$B$4,"Red",IF($H1082-'[2]Read Me'!$B$4&lt;=21,"Amber","Green"))))</f>
        <v>Amber</v>
      </c>
    </row>
    <row r="1083" spans="10:13" x14ac:dyDescent="0.3">
      <c r="J1083" s="6" t="str">
        <f t="shared" si="44"/>
        <v/>
      </c>
      <c r="L1083" s="7" t="str">
        <f t="shared" ca="1" si="45"/>
        <v/>
      </c>
      <c r="M1083" s="4" t="str">
        <f>IF($I1083="Complete","Green",IF($H1083="","Amber",IF($H1083&lt;'[2]Read Me'!$B$4,"Red",IF($H1083-'[2]Read Me'!$B$4&lt;=21,"Amber","Green"))))</f>
        <v>Amber</v>
      </c>
    </row>
    <row r="1084" spans="10:13" x14ac:dyDescent="0.3">
      <c r="J1084" s="6" t="str">
        <f t="shared" si="44"/>
        <v/>
      </c>
      <c r="L1084" s="7" t="str">
        <f t="shared" ca="1" si="45"/>
        <v/>
      </c>
      <c r="M1084" s="4" t="str">
        <f>IF($I1084="Complete","Green",IF($H1084="","Amber",IF($H1084&lt;'[2]Read Me'!$B$4,"Red",IF($H1084-'[2]Read Me'!$B$4&lt;=21,"Amber","Green"))))</f>
        <v>Amber</v>
      </c>
    </row>
    <row r="1085" spans="10:13" x14ac:dyDescent="0.3">
      <c r="J1085" s="6" t="str">
        <f t="shared" si="44"/>
        <v/>
      </c>
      <c r="L1085" s="7" t="str">
        <f t="shared" ca="1" si="45"/>
        <v/>
      </c>
      <c r="M1085" s="4" t="str">
        <f>IF($I1085="Complete","Green",IF($H1085="","Amber",IF($H1085&lt;'[2]Read Me'!$B$4,"Red",IF($H1085-'[2]Read Me'!$B$4&lt;=21,"Amber","Green"))))</f>
        <v>Amber</v>
      </c>
    </row>
    <row r="1086" spans="10:13" x14ac:dyDescent="0.3">
      <c r="J1086" s="6" t="str">
        <f t="shared" si="44"/>
        <v/>
      </c>
      <c r="L1086" s="7" t="str">
        <f t="shared" ca="1" si="45"/>
        <v/>
      </c>
      <c r="M1086" s="4" t="str">
        <f>IF($I1086="Complete","Green",IF($H1086="","Amber",IF($H1086&lt;'[2]Read Me'!$B$4,"Red",IF($H1086-'[2]Read Me'!$B$4&lt;=21,"Amber","Green"))))</f>
        <v>Amber</v>
      </c>
    </row>
    <row r="1087" spans="10:13" x14ac:dyDescent="0.3">
      <c r="J1087" s="6" t="str">
        <f t="shared" si="44"/>
        <v/>
      </c>
      <c r="L1087" s="7" t="str">
        <f t="shared" ca="1" si="45"/>
        <v/>
      </c>
      <c r="M1087" s="4" t="str">
        <f>IF($I1087="Complete","Green",IF($H1087="","Amber",IF($H1087&lt;'[2]Read Me'!$B$4,"Red",IF($H1087-'[2]Read Me'!$B$4&lt;=21,"Amber","Green"))))</f>
        <v>Amber</v>
      </c>
    </row>
    <row r="1088" spans="10:13" x14ac:dyDescent="0.3">
      <c r="J1088" s="6" t="str">
        <f t="shared" si="44"/>
        <v/>
      </c>
      <c r="L1088" s="7" t="str">
        <f t="shared" ca="1" si="45"/>
        <v/>
      </c>
      <c r="M1088" s="4" t="str">
        <f>IF($I1088="Complete","Green",IF($H1088="","Amber",IF($H1088&lt;'[2]Read Me'!$B$4,"Red",IF($H1088-'[2]Read Me'!$B$4&lt;=21,"Amber","Green"))))</f>
        <v>Amber</v>
      </c>
    </row>
    <row r="1089" spans="10:13" x14ac:dyDescent="0.3">
      <c r="J1089" s="6" t="str">
        <f t="shared" si="44"/>
        <v/>
      </c>
      <c r="L1089" s="7" t="str">
        <f t="shared" ca="1" si="45"/>
        <v/>
      </c>
      <c r="M1089" s="4" t="str">
        <f>IF($I1089="Complete","Green",IF($H1089="","Amber",IF($H1089&lt;'[2]Read Me'!$B$4,"Red",IF($H1089-'[2]Read Me'!$B$4&lt;=21,"Amber","Green"))))</f>
        <v>Amber</v>
      </c>
    </row>
    <row r="1090" spans="10:13" x14ac:dyDescent="0.3">
      <c r="J1090" s="6" t="str">
        <f t="shared" si="44"/>
        <v/>
      </c>
      <c r="L1090" s="7" t="str">
        <f t="shared" ca="1" si="45"/>
        <v/>
      </c>
      <c r="M1090" s="4" t="str">
        <f>IF($I1090="Complete","Green",IF($H1090="","Amber",IF($H1090&lt;'[2]Read Me'!$B$4,"Red",IF($H1090-'[2]Read Me'!$B$4&lt;=21,"Amber","Green"))))</f>
        <v>Amber</v>
      </c>
    </row>
    <row r="1091" spans="10:13" x14ac:dyDescent="0.3">
      <c r="J1091" s="6" t="str">
        <f t="shared" si="44"/>
        <v/>
      </c>
      <c r="L1091" s="7" t="str">
        <f t="shared" ca="1" si="45"/>
        <v/>
      </c>
      <c r="M1091" s="4" t="str">
        <f>IF($I1091="Complete","Green",IF($H1091="","Amber",IF($H1091&lt;'[2]Read Me'!$B$4,"Red",IF($H1091-'[2]Read Me'!$B$4&lt;=21,"Amber","Green"))))</f>
        <v>Amber</v>
      </c>
    </row>
    <row r="1092" spans="10:13" x14ac:dyDescent="0.3">
      <c r="J1092" s="6" t="str">
        <f t="shared" ref="J1092:J1109" si="46">IF(OR($G1092="",$H1092=""),"",$H1092-$G1092)</f>
        <v/>
      </c>
      <c r="L1092" s="7" t="str">
        <f t="shared" ca="1" si="45"/>
        <v/>
      </c>
      <c r="M1092" s="4" t="str">
        <f>IF($I1092="Complete","Green",IF($H1092="","Amber",IF($H1092&lt;'[2]Read Me'!$B$4,"Red",IF($H1092-'[2]Read Me'!$B$4&lt;=21,"Amber","Green"))))</f>
        <v>Amber</v>
      </c>
    </row>
    <row r="1093" spans="10:13" x14ac:dyDescent="0.3">
      <c r="J1093" s="6" t="str">
        <f t="shared" si="46"/>
        <v/>
      </c>
      <c r="L1093" s="7" t="str">
        <f t="shared" ref="L1093:L1109" ca="1" si="47">IF(I1093="Completed",0,IF(H1093="","",H1093-TODAY()))</f>
        <v/>
      </c>
      <c r="M1093" s="4" t="str">
        <f>IF($I1093="Complete","Green",IF($H1093="","Amber",IF($H1093&lt;'[2]Read Me'!$B$4,"Red",IF($H1093-'[2]Read Me'!$B$4&lt;=21,"Amber","Green"))))</f>
        <v>Amber</v>
      </c>
    </row>
    <row r="1094" spans="10:13" x14ac:dyDescent="0.3">
      <c r="J1094" s="6" t="str">
        <f t="shared" si="46"/>
        <v/>
      </c>
      <c r="L1094" s="7" t="str">
        <f t="shared" ca="1" si="47"/>
        <v/>
      </c>
      <c r="M1094" s="4" t="str">
        <f>IF($I1094="Complete","Green",IF($H1094="","Amber",IF($H1094&lt;'[2]Read Me'!$B$4,"Red",IF($H1094-'[2]Read Me'!$B$4&lt;=21,"Amber","Green"))))</f>
        <v>Amber</v>
      </c>
    </row>
    <row r="1095" spans="10:13" x14ac:dyDescent="0.3">
      <c r="J1095" s="6" t="str">
        <f t="shared" si="46"/>
        <v/>
      </c>
      <c r="L1095" s="7" t="str">
        <f t="shared" ca="1" si="47"/>
        <v/>
      </c>
      <c r="M1095" s="4" t="str">
        <f>IF($I1095="Complete","Green",IF($H1095="","Amber",IF($H1095&lt;'[2]Read Me'!$B$4,"Red",IF($H1095-'[2]Read Me'!$B$4&lt;=21,"Amber","Green"))))</f>
        <v>Amber</v>
      </c>
    </row>
    <row r="1096" spans="10:13" x14ac:dyDescent="0.3">
      <c r="J1096" s="6" t="str">
        <f t="shared" si="46"/>
        <v/>
      </c>
      <c r="L1096" s="7" t="str">
        <f t="shared" ca="1" si="47"/>
        <v/>
      </c>
      <c r="M1096" s="4" t="str">
        <f>IF($I1096="Complete","Green",IF($H1096="","Amber",IF($H1096&lt;'[2]Read Me'!$B$4,"Red",IF($H1096-'[2]Read Me'!$B$4&lt;=21,"Amber","Green"))))</f>
        <v>Amber</v>
      </c>
    </row>
    <row r="1097" spans="10:13" x14ac:dyDescent="0.3">
      <c r="J1097" s="6" t="str">
        <f t="shared" si="46"/>
        <v/>
      </c>
      <c r="L1097" s="7" t="str">
        <f t="shared" ca="1" si="47"/>
        <v/>
      </c>
      <c r="M1097" s="4" t="str">
        <f>IF($I1097="Complete","Green",IF($H1097="","Amber",IF($H1097&lt;'[2]Read Me'!$B$4,"Red",IF($H1097-'[2]Read Me'!$B$4&lt;=21,"Amber","Green"))))</f>
        <v>Amber</v>
      </c>
    </row>
    <row r="1098" spans="10:13" x14ac:dyDescent="0.3">
      <c r="J1098" s="6" t="str">
        <f t="shared" si="46"/>
        <v/>
      </c>
      <c r="L1098" s="7" t="str">
        <f t="shared" ca="1" si="47"/>
        <v/>
      </c>
      <c r="M1098" s="4" t="str">
        <f>IF($I1098="Complete","Green",IF($H1098="","Amber",IF($H1098&lt;'[2]Read Me'!$B$4,"Red",IF($H1098-'[2]Read Me'!$B$4&lt;=21,"Amber","Green"))))</f>
        <v>Amber</v>
      </c>
    </row>
    <row r="1099" spans="10:13" x14ac:dyDescent="0.3">
      <c r="J1099" s="6" t="str">
        <f t="shared" si="46"/>
        <v/>
      </c>
      <c r="L1099" s="7" t="str">
        <f t="shared" ca="1" si="47"/>
        <v/>
      </c>
      <c r="M1099" s="4" t="str">
        <f>IF($I1099="Complete","Green",IF($H1099="","Amber",IF($H1099&lt;'[2]Read Me'!$B$4,"Red",IF($H1099-'[2]Read Me'!$B$4&lt;=21,"Amber","Green"))))</f>
        <v>Amber</v>
      </c>
    </row>
    <row r="1100" spans="10:13" x14ac:dyDescent="0.3">
      <c r="J1100" s="6" t="str">
        <f t="shared" si="46"/>
        <v/>
      </c>
      <c r="L1100" s="7" t="str">
        <f t="shared" ca="1" si="47"/>
        <v/>
      </c>
      <c r="M1100" s="4" t="str">
        <f>IF($I1100="Complete","Green",IF($H1100="","Amber",IF($H1100&lt;'[2]Read Me'!$B$4,"Red",IF($H1100-'[2]Read Me'!$B$4&lt;=21,"Amber","Green"))))</f>
        <v>Amber</v>
      </c>
    </row>
    <row r="1101" spans="10:13" x14ac:dyDescent="0.3">
      <c r="J1101" s="6" t="str">
        <f t="shared" si="46"/>
        <v/>
      </c>
      <c r="L1101" s="7" t="str">
        <f t="shared" ca="1" si="47"/>
        <v/>
      </c>
      <c r="M1101" s="4" t="str">
        <f>IF($I1101="Complete","Green",IF($H1101="","Amber",IF($H1101&lt;'[2]Read Me'!$B$4,"Red",IF($H1101-'[2]Read Me'!$B$4&lt;=21,"Amber","Green"))))</f>
        <v>Amber</v>
      </c>
    </row>
    <row r="1102" spans="10:13" x14ac:dyDescent="0.3">
      <c r="J1102" s="6" t="str">
        <f t="shared" si="46"/>
        <v/>
      </c>
      <c r="L1102" s="7" t="str">
        <f t="shared" ca="1" si="47"/>
        <v/>
      </c>
      <c r="M1102" s="4" t="str">
        <f>IF($I1102="Complete","Green",IF($H1102="","Amber",IF($H1102&lt;'[2]Read Me'!$B$4,"Red",IF($H1102-'[2]Read Me'!$B$4&lt;=21,"Amber","Green"))))</f>
        <v>Amber</v>
      </c>
    </row>
    <row r="1103" spans="10:13" x14ac:dyDescent="0.3">
      <c r="J1103" s="6" t="str">
        <f t="shared" si="46"/>
        <v/>
      </c>
      <c r="L1103" s="7" t="str">
        <f t="shared" ca="1" si="47"/>
        <v/>
      </c>
      <c r="M1103" s="4" t="str">
        <f>IF($I1103="Complete","Green",IF($H1103="","Amber",IF($H1103&lt;'[2]Read Me'!$B$4,"Red",IF($H1103-'[2]Read Me'!$B$4&lt;=21,"Amber","Green"))))</f>
        <v>Amber</v>
      </c>
    </row>
    <row r="1104" spans="10:13" x14ac:dyDescent="0.3">
      <c r="J1104" s="6" t="str">
        <f t="shared" si="46"/>
        <v/>
      </c>
      <c r="L1104" s="7" t="str">
        <f t="shared" ca="1" si="47"/>
        <v/>
      </c>
      <c r="M1104" s="4" t="str">
        <f>IF($I1104="Complete","Green",IF($H1104="","Amber",IF($H1104&lt;'[2]Read Me'!$B$4,"Red",IF($H1104-'[2]Read Me'!$B$4&lt;=21,"Amber","Green"))))</f>
        <v>Amber</v>
      </c>
    </row>
    <row r="1105" spans="10:13" x14ac:dyDescent="0.3">
      <c r="J1105" s="6" t="str">
        <f t="shared" si="46"/>
        <v/>
      </c>
      <c r="L1105" s="7" t="str">
        <f t="shared" ca="1" si="47"/>
        <v/>
      </c>
      <c r="M1105" s="4" t="str">
        <f>IF($I1105="Complete","Green",IF($H1105="","Amber",IF($H1105&lt;'[2]Read Me'!$B$4,"Red",IF($H1105-'[2]Read Me'!$B$4&lt;=21,"Amber","Green"))))</f>
        <v>Amber</v>
      </c>
    </row>
    <row r="1106" spans="10:13" x14ac:dyDescent="0.3">
      <c r="J1106" s="6" t="str">
        <f t="shared" si="46"/>
        <v/>
      </c>
      <c r="L1106" s="7" t="str">
        <f t="shared" ca="1" si="47"/>
        <v/>
      </c>
      <c r="M1106" s="4" t="str">
        <f>IF($I1106="Complete","Green",IF($H1106="","Amber",IF($H1106&lt;'[2]Read Me'!$B$4,"Red",IF($H1106-'[2]Read Me'!$B$4&lt;=21,"Amber","Green"))))</f>
        <v>Amber</v>
      </c>
    </row>
    <row r="1107" spans="10:13" x14ac:dyDescent="0.3">
      <c r="J1107" s="6" t="str">
        <f t="shared" si="46"/>
        <v/>
      </c>
      <c r="L1107" s="7" t="str">
        <f t="shared" ca="1" si="47"/>
        <v/>
      </c>
      <c r="M1107" s="4" t="str">
        <f>IF($I1107="Complete","Green",IF($H1107="","Amber",IF($H1107&lt;'[2]Read Me'!$B$4,"Red",IF($H1107-'[2]Read Me'!$B$4&lt;=21,"Amber","Green"))))</f>
        <v>Amber</v>
      </c>
    </row>
    <row r="1108" spans="10:13" x14ac:dyDescent="0.3">
      <c r="J1108" s="6" t="str">
        <f t="shared" si="46"/>
        <v/>
      </c>
      <c r="L1108" s="7" t="str">
        <f t="shared" ca="1" si="47"/>
        <v/>
      </c>
      <c r="M1108" s="4" t="str">
        <f>IF($I1108="Complete","Green",IF($H1108="","Amber",IF($H1108&lt;'[2]Read Me'!$B$4,"Red",IF($H1108-'[2]Read Me'!$B$4&lt;=21,"Amber","Green"))))</f>
        <v>Amber</v>
      </c>
    </row>
    <row r="1109" spans="10:13" x14ac:dyDescent="0.3">
      <c r="J1109" s="6" t="str">
        <f t="shared" si="46"/>
        <v/>
      </c>
      <c r="L1109" s="7" t="str">
        <f t="shared" ca="1" si="47"/>
        <v/>
      </c>
      <c r="M1109" s="4" t="str">
        <f>IF($I1109="Complete","Green",IF($H1109="","Amber",IF($H1109&lt;'[2]Read Me'!$B$4,"Red",IF($H1109-'[2]Read Me'!$B$4&lt;=21,"Amber","Green"))))</f>
        <v>Amber</v>
      </c>
    </row>
  </sheetData>
  <autoFilter ref="A3:N1109" xr:uid="{00000000-0001-0000-0700-000000000000}"/>
  <mergeCells count="1">
    <mergeCell ref="A2:N2"/>
  </mergeCells>
  <conditionalFormatting sqref="M4:M1109">
    <cfRule type="cellIs" dxfId="333" priority="29" operator="equal">
      <formula>"Green"</formula>
    </cfRule>
    <cfRule type="cellIs" dxfId="332" priority="30" operator="equal">
      <formula>"Amber"</formula>
    </cfRule>
    <cfRule type="cellIs" dxfId="331" priority="31" operator="equal">
      <formula>"Red"</formula>
    </cfRule>
  </conditionalFormatting>
  <conditionalFormatting sqref="I4:I142">
    <cfRule type="expression" dxfId="330" priority="11">
      <formula>EXACT($I4,"Completed")</formula>
    </cfRule>
  </conditionalFormatting>
  <conditionalFormatting sqref="I4:I142">
    <cfRule type="expression" dxfId="329" priority="12">
      <formula>EXACT($I4,"Inprogress")</formula>
    </cfRule>
  </conditionalFormatting>
  <conditionalFormatting sqref="I4:I142">
    <cfRule type="expression" dxfId="328" priority="32">
      <formula>EXACT($I4,"Not Started")</formula>
    </cfRule>
  </conditionalFormatting>
  <conditionalFormatting sqref="I4:I142">
    <cfRule type="expression" dxfId="327" priority="33">
      <formula>EXACT($I4,"Overdue")</formula>
    </cfRule>
  </conditionalFormatting>
  <conditionalFormatting sqref="K4:K243">
    <cfRule type="expression" dxfId="326" priority="7">
      <formula>EXACT($K4,"No")</formula>
    </cfRule>
  </conditionalFormatting>
  <conditionalFormatting sqref="K4:K243">
    <cfRule type="expression" dxfId="325" priority="8">
      <formula>EXACT($K4,"Yes")</formula>
    </cfRule>
  </conditionalFormatting>
  <conditionalFormatting sqref="K4:K243">
    <cfRule type="expression" dxfId="324" priority="36">
      <formula>EXACT($K4,"-")</formula>
    </cfRule>
  </conditionalFormatting>
  <conditionalFormatting sqref="A4:A2000">
    <cfRule type="expression" dxfId="323" priority="26" stopIfTrue="1">
      <formula>A4=""</formula>
    </cfRule>
    <cfRule type="expression" dxfId="322" priority="28">
      <formula>C4=""</formula>
    </cfRule>
  </conditionalFormatting>
  <conditionalFormatting sqref="B4:B2000">
    <cfRule type="expression" dxfId="321" priority="23" stopIfTrue="1">
      <formula>$A4=""</formula>
    </cfRule>
    <cfRule type="expression" dxfId="320" priority="24">
      <formula>$C4=""</formula>
    </cfRule>
  </conditionalFormatting>
  <conditionalFormatting sqref="C4:C2000">
    <cfRule type="expression" dxfId="319" priority="25" stopIfTrue="1">
      <formula>$A4=""</formula>
    </cfRule>
    <cfRule type="expression" dxfId="318" priority="27">
      <formula>$C4=""</formula>
    </cfRule>
  </conditionalFormatting>
  <conditionalFormatting sqref="D4:D2000">
    <cfRule type="expression" dxfId="317" priority="21" stopIfTrue="1">
      <formula>$A4=""</formula>
    </cfRule>
    <cfRule type="expression" dxfId="316" priority="22">
      <formula>$C4=""</formula>
    </cfRule>
  </conditionalFormatting>
  <conditionalFormatting sqref="E4:E2000">
    <cfRule type="expression" dxfId="315" priority="19" stopIfTrue="1">
      <formula>$A4=""</formula>
    </cfRule>
    <cfRule type="expression" dxfId="314" priority="20">
      <formula>$C4=""</formula>
    </cfRule>
  </conditionalFormatting>
  <conditionalFormatting sqref="F4:F2000">
    <cfRule type="expression" dxfId="313" priority="17" stopIfTrue="1">
      <formula>$A4=""</formula>
    </cfRule>
    <cfRule type="expression" dxfId="312" priority="18">
      <formula>$C4=""</formula>
    </cfRule>
  </conditionalFormatting>
  <conditionalFormatting sqref="G4:G2000">
    <cfRule type="expression" dxfId="311" priority="15" stopIfTrue="1">
      <formula>$A4=""</formula>
    </cfRule>
    <cfRule type="expression" dxfId="310" priority="16">
      <formula>$C4=""</formula>
    </cfRule>
  </conditionalFormatting>
  <conditionalFormatting sqref="H4:H2000">
    <cfRule type="expression" dxfId="309" priority="13" stopIfTrue="1">
      <formula>$A4=""</formula>
    </cfRule>
    <cfRule type="expression" dxfId="308" priority="14">
      <formula>$C4=""</formula>
    </cfRule>
  </conditionalFormatting>
  <conditionalFormatting sqref="I4:I2000">
    <cfRule type="expression" dxfId="307" priority="34" stopIfTrue="1">
      <formula>$A4=""</formula>
    </cfRule>
    <cfRule type="expression" dxfId="306" priority="35">
      <formula>$C4=""</formula>
    </cfRule>
  </conditionalFormatting>
  <conditionalFormatting sqref="J4:J2000">
    <cfRule type="expression" dxfId="305" priority="9" stopIfTrue="1">
      <formula>$A4=""</formula>
    </cfRule>
    <cfRule type="expression" dxfId="304" priority="10">
      <formula>$C4=""</formula>
    </cfRule>
  </conditionalFormatting>
  <conditionalFormatting sqref="K4:K2000">
    <cfRule type="expression" dxfId="303" priority="37" stopIfTrue="1">
      <formula>$A4=""</formula>
    </cfRule>
    <cfRule type="expression" dxfId="302" priority="38">
      <formula>$C4=""</formula>
    </cfRule>
  </conditionalFormatting>
  <conditionalFormatting sqref="L1110:L2000">
    <cfRule type="expression" dxfId="301" priority="5" stopIfTrue="1">
      <formula>$A1110=""</formula>
    </cfRule>
    <cfRule type="expression" dxfId="300" priority="6">
      <formula>$C1110=""</formula>
    </cfRule>
  </conditionalFormatting>
  <conditionalFormatting sqref="L4:L1109">
    <cfRule type="expression" dxfId="299" priority="1" stopIfTrue="1">
      <formula>$A4=""</formula>
    </cfRule>
    <cfRule type="expression" dxfId="298" priority="2">
      <formula>$C4=""</formula>
    </cfRule>
  </conditionalFormatting>
  <dataValidations count="1">
    <dataValidation type="list" allowBlank="1" sqref="I4:I312" xr:uid="{F6EA8EFA-8631-4BE1-8ACC-5EADEA0D361B}">
      <formula1>"Not Started,In Progress,Complete"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C939F-0862-4A6B-AD2F-6BFC3258C47F}">
  <sheetPr codeName="Sheet8" filterMode="1">
    <tabColor rgb="FF777777"/>
  </sheetPr>
  <dimension ref="A1:R1113"/>
  <sheetViews>
    <sheetView showGridLines="0" zoomScaleNormal="100" workbookViewId="0">
      <pane xSplit="3" ySplit="3" topLeftCell="D8" activePane="bottomRight" state="frozen"/>
      <selection pane="topRight" activeCell="D1" sqref="D1"/>
      <selection pane="bottomLeft" activeCell="A4" sqref="A4"/>
      <selection pane="bottomRight" activeCell="A10" sqref="A10"/>
    </sheetView>
  </sheetViews>
  <sheetFormatPr defaultColWidth="8.6640625" defaultRowHeight="14.4" x14ac:dyDescent="0.3"/>
  <cols>
    <col min="1" max="1" width="20" customWidth="1"/>
    <col min="2" max="2" width="17" customWidth="1"/>
    <col min="3" max="3" width="34" customWidth="1"/>
    <col min="4" max="4" width="30" customWidth="1"/>
    <col min="5" max="5" width="12" customWidth="1"/>
    <col min="6" max="6" width="11" customWidth="1"/>
    <col min="7" max="7" width="15.109375" bestFit="1" customWidth="1"/>
    <col min="8" max="8" width="16.77734375" customWidth="1"/>
    <col min="9" max="9" width="12" customWidth="1"/>
    <col min="10" max="11" width="8" customWidth="1"/>
    <col min="12" max="13" width="7" customWidth="1"/>
    <col min="14" max="14" width="26" customWidth="1"/>
    <col min="15" max="18" width="3" hidden="1" customWidth="1"/>
  </cols>
  <sheetData>
    <row r="1" spans="1:18" ht="24" customHeight="1" x14ac:dyDescent="0.3">
      <c r="A1" s="10" t="s">
        <v>463</v>
      </c>
      <c r="B1" s="10"/>
      <c r="C1" s="10"/>
      <c r="D1" s="10"/>
      <c r="E1" s="10"/>
      <c r="F1" s="10"/>
      <c r="G1" s="11">
        <f>+MAX(G4:G2000)</f>
        <v>46652</v>
      </c>
      <c r="H1" s="11">
        <f>+MAX(H4:H2000)</f>
        <v>46672</v>
      </c>
      <c r="I1" s="12">
        <f t="shared" ref="I1" si="0">IF(OR($G1="",$H1=""),"",$H1-$G1)</f>
        <v>20</v>
      </c>
      <c r="J1" s="10"/>
      <c r="K1" s="10"/>
      <c r="L1" s="10"/>
      <c r="M1" s="10"/>
      <c r="N1" s="10"/>
    </row>
    <row r="2" spans="1:18" ht="14.25" customHeight="1" x14ac:dyDescent="0.3">
      <c r="A2" s="17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8" ht="30" customHeight="1" x14ac:dyDescent="0.3">
      <c r="A3" s="1" t="s">
        <v>0</v>
      </c>
      <c r="B3" s="1" t="s">
        <v>24</v>
      </c>
      <c r="C3" s="1" t="s">
        <v>25</v>
      </c>
      <c r="D3" s="1" t="s">
        <v>26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59</v>
      </c>
      <c r="M3" s="1" t="s">
        <v>8</v>
      </c>
      <c r="N3" s="1" t="s">
        <v>9</v>
      </c>
      <c r="O3" s="1" t="s">
        <v>10</v>
      </c>
      <c r="P3" s="1" t="s">
        <v>11</v>
      </c>
      <c r="Q3" s="1" t="s">
        <v>12</v>
      </c>
      <c r="R3" s="1" t="s">
        <v>13</v>
      </c>
    </row>
    <row r="4" spans="1:18" ht="33.75" hidden="1" customHeight="1" x14ac:dyDescent="0.3">
      <c r="A4" s="2" t="s">
        <v>519</v>
      </c>
      <c r="B4" s="2" t="s">
        <v>49</v>
      </c>
      <c r="C4" s="3"/>
      <c r="D4" s="3"/>
      <c r="E4" s="2"/>
      <c r="F4" s="2"/>
      <c r="G4" s="5"/>
      <c r="H4" s="5">
        <v>46278</v>
      </c>
      <c r="I4" s="2"/>
      <c r="J4" s="6" t="str">
        <f t="shared" ref="J4:J67" si="1">IF(OR($G4="",$H4=""),"",$H4-$G4)</f>
        <v/>
      </c>
      <c r="K4" s="4" t="str">
        <f t="shared" ref="K4:K67" ca="1" si="2">IF(C4="","",IF(H4="","",IF($I4="completed","-",IF($H4&gt;TODAY(),"No","Yes"))))</f>
        <v/>
      </c>
      <c r="L4" s="7">
        <f>IF(I4="Completed","0",IF($H4="","",$H4-'[2]Read Me'!$B$4))</f>
        <v>91</v>
      </c>
      <c r="M4" s="4" t="str">
        <f>IF($I4="Complete","Green",IF($H4="","Amber",IF($H4&lt;'[2]Read Me'!$B$4,"Red",IF($H4-'[2]Read Me'!$B$4&lt;=21,"Amber","Green"))))</f>
        <v>Green</v>
      </c>
      <c r="N4" s="3"/>
      <c r="O4" t="e">
        <f>IF($I4&lt;&gt;"Complete",IF(COUNTIFS(#REF!,$A4,#REF!,$B4,#REF!,"&lt;&gt;Complete")=0,$A4&amp;"|"&amp;$B4,""),"")</f>
        <v>#REF!</v>
      </c>
      <c r="P4" t="str">
        <f ca="1">IF($K4="Yes",COUNTIFS($K$4:$K4,"Yes"),"")</f>
        <v/>
      </c>
      <c r="Q4">
        <f t="shared" ref="Q4:Q67" ca="1" si="3">IF(OR($I4="In Progress",$K4="Yes"),1,0)</f>
        <v>0</v>
      </c>
      <c r="R4" t="str">
        <f ca="1">IF($Q4=1,SUM($Q$4:$Q4),"")</f>
        <v/>
      </c>
    </row>
    <row r="5" spans="1:18" ht="33.75" hidden="1" customHeight="1" x14ac:dyDescent="0.3">
      <c r="A5" s="2" t="s">
        <v>519</v>
      </c>
      <c r="B5" s="2" t="s">
        <v>49</v>
      </c>
      <c r="C5" s="3" t="s">
        <v>520</v>
      </c>
      <c r="D5" s="3" t="s">
        <v>521</v>
      </c>
      <c r="E5" s="2" t="s">
        <v>104</v>
      </c>
      <c r="F5" s="2"/>
      <c r="G5" s="5"/>
      <c r="H5" s="5">
        <v>46106</v>
      </c>
      <c r="I5" s="2" t="s">
        <v>31</v>
      </c>
      <c r="J5" s="6" t="str">
        <f t="shared" si="1"/>
        <v/>
      </c>
      <c r="K5" s="4" t="str">
        <f t="shared" ca="1" si="2"/>
        <v>-</v>
      </c>
      <c r="L5" s="7" t="str">
        <f>IF(I5="Completed","0",IF($H5="","",$H5-'[2]Read Me'!$B$4))</f>
        <v>0</v>
      </c>
      <c r="M5" s="4" t="str">
        <f>IF($I5="Complete","Green",IF($H5="","Amber",IF($H5&lt;'[2]Read Me'!$B$4,"Red",IF($H5-'[2]Read Me'!$B$4&lt;=21,"Amber","Green"))))</f>
        <v>Red</v>
      </c>
      <c r="N5" s="3"/>
      <c r="O5" t="str">
        <f>IF($I5&lt;&gt;"Complete",IF(COUNTIFS($A$4:$A4,$A5,$B$4:$B4,$B5,$I$4:$I4,"&lt;&gt;Complete")=0,$A5&amp;"|"&amp;$B5,""),"")</f>
        <v/>
      </c>
      <c r="P5" t="str">
        <f ca="1">IF($K5="Yes",COUNTIFS($K$4:$K5,"Yes"),"")</f>
        <v/>
      </c>
      <c r="Q5">
        <f t="shared" ca="1" si="3"/>
        <v>0</v>
      </c>
      <c r="R5" t="str">
        <f ca="1">IF($Q5=1,SUM($Q$4:$Q5),"")</f>
        <v/>
      </c>
    </row>
    <row r="6" spans="1:18" ht="33.75" hidden="1" customHeight="1" x14ac:dyDescent="0.3">
      <c r="A6" s="2" t="s">
        <v>519</v>
      </c>
      <c r="B6" s="2" t="s">
        <v>49</v>
      </c>
      <c r="C6" s="3" t="s">
        <v>520</v>
      </c>
      <c r="D6" s="3" t="s">
        <v>522</v>
      </c>
      <c r="E6" s="2" t="s">
        <v>104</v>
      </c>
      <c r="F6" s="2"/>
      <c r="G6" s="5"/>
      <c r="H6" s="5">
        <v>46278</v>
      </c>
      <c r="I6" s="2" t="s">
        <v>46</v>
      </c>
      <c r="J6" s="6" t="str">
        <f t="shared" si="1"/>
        <v/>
      </c>
      <c r="K6" s="4" t="str">
        <f t="shared" ca="1" si="2"/>
        <v>No</v>
      </c>
      <c r="L6" s="7">
        <f>IF(I6="Completed","0",IF($H6="","",$H6-'[2]Read Me'!$B$4))</f>
        <v>91</v>
      </c>
      <c r="M6" s="4" t="str">
        <f>IF($I6="Complete","Green",IF($H6="","Amber",IF($H6&lt;'[2]Read Me'!$B$4,"Red",IF($H6-'[2]Read Me'!$B$4&lt;=21,"Amber","Green"))))</f>
        <v>Green</v>
      </c>
      <c r="N6" s="3"/>
      <c r="O6" t="str">
        <f>IF($I6&lt;&gt;"Complete",IF(COUNTIFS($A$4:$A5,$A6,$B$4:$B5,$B6,$I$4:$I5,"&lt;&gt;Complete")=0,$A6&amp;"|"&amp;$B6,""),"")</f>
        <v/>
      </c>
      <c r="P6" t="str">
        <f ca="1">IF($K6="Yes",COUNTIFS($K$4:$K6,"Yes"),"")</f>
        <v/>
      </c>
      <c r="Q6">
        <f t="shared" ca="1" si="3"/>
        <v>0</v>
      </c>
      <c r="R6" t="str">
        <f ca="1">IF($Q6=1,SUM($Q$4:$Q6),"")</f>
        <v/>
      </c>
    </row>
    <row r="7" spans="1:18" ht="33.75" hidden="1" customHeight="1" x14ac:dyDescent="0.3">
      <c r="A7" s="2" t="s">
        <v>519</v>
      </c>
      <c r="B7" s="2" t="s">
        <v>49</v>
      </c>
      <c r="C7" s="3" t="s">
        <v>520</v>
      </c>
      <c r="D7" s="3" t="s">
        <v>523</v>
      </c>
      <c r="E7" s="2" t="s">
        <v>104</v>
      </c>
      <c r="F7" s="2"/>
      <c r="G7" s="5"/>
      <c r="H7" s="5"/>
      <c r="I7" s="2" t="s">
        <v>31</v>
      </c>
      <c r="J7" s="6" t="str">
        <f t="shared" si="1"/>
        <v/>
      </c>
      <c r="K7" s="4" t="str">
        <f t="shared" ca="1" si="2"/>
        <v/>
      </c>
      <c r="L7" s="7" t="str">
        <f>IF(I7="Completed","0",IF($H7="","",$H7-'[2]Read Me'!$B$4))</f>
        <v>0</v>
      </c>
      <c r="M7" s="4" t="str">
        <f>IF($I7="Complete","Green",IF($H7="","Amber",IF($H7&lt;'[2]Read Me'!$B$4,"Red",IF($H7-'[2]Read Me'!$B$4&lt;=21,"Amber","Green"))))</f>
        <v>Amber</v>
      </c>
      <c r="N7" s="3"/>
      <c r="O7" t="str">
        <f>IF($I7&lt;&gt;"Complete",IF(COUNTIFS($A$4:$A6,$A7,$B$4:$B6,$B7,$I$4:$I6,"&lt;&gt;Complete")=0,$A7&amp;"|"&amp;$B7,""),"")</f>
        <v/>
      </c>
      <c r="P7" t="str">
        <f ca="1">IF($K7="Yes",COUNTIFS($K$4:$K7,"Yes"),"")</f>
        <v/>
      </c>
      <c r="Q7">
        <f t="shared" ca="1" si="3"/>
        <v>0</v>
      </c>
      <c r="R7" t="str">
        <f ca="1">IF($Q7=1,SUM($Q$4:$Q7),"")</f>
        <v/>
      </c>
    </row>
    <row r="8" spans="1:18" ht="33.75" customHeight="1" x14ac:dyDescent="0.3">
      <c r="A8" s="2" t="s">
        <v>463</v>
      </c>
      <c r="B8" s="2" t="s">
        <v>21</v>
      </c>
      <c r="C8" s="3"/>
      <c r="D8" s="3"/>
      <c r="E8" s="2"/>
      <c r="F8" s="2"/>
      <c r="G8" s="5">
        <v>46001</v>
      </c>
      <c r="H8" s="5">
        <v>46199</v>
      </c>
      <c r="I8" s="2"/>
      <c r="J8" s="6">
        <f t="shared" si="1"/>
        <v>198</v>
      </c>
      <c r="K8" s="4" t="str">
        <f t="shared" ca="1" si="2"/>
        <v/>
      </c>
      <c r="L8" s="7">
        <f ca="1">IF(I8="Completed",0,IF(H8="","",H8-TODAY()))</f>
        <v>-9</v>
      </c>
      <c r="M8" s="4" t="str">
        <f>IF($I8="Complete","Green",IF($H8="","Amber",IF($H8&lt;'[2]Read Me'!$B$4,"Red",IF($H8-'[2]Read Me'!$B$4&lt;=21,"Amber","Green"))))</f>
        <v>Amber</v>
      </c>
      <c r="N8" s="3"/>
      <c r="O8" t="str">
        <f>IF($I8&lt;&gt;"Complete",IF(COUNTIFS($A$4:$A7,$A8,$B$4:$B7,$B8,$I$4:$I7,"&lt;&gt;Complete")=0,$A8&amp;"|"&amp;$B8,""),"")</f>
        <v>DRJ|Landscape</v>
      </c>
      <c r="P8" t="str">
        <f ca="1">IF($K8="Yes",COUNTIFS($K$4:$K8,"Yes"),"")</f>
        <v/>
      </c>
      <c r="Q8">
        <f t="shared" ca="1" si="3"/>
        <v>0</v>
      </c>
      <c r="R8" t="str">
        <f ca="1">IF($Q8=1,SUM($Q$4:$Q8),"")</f>
        <v/>
      </c>
    </row>
    <row r="9" spans="1:18" ht="33.75" customHeight="1" x14ac:dyDescent="0.3">
      <c r="A9" s="2" t="s">
        <v>463</v>
      </c>
      <c r="B9" s="2" t="s">
        <v>21</v>
      </c>
      <c r="C9" s="3" t="s">
        <v>524</v>
      </c>
      <c r="D9" s="3" t="s">
        <v>525</v>
      </c>
      <c r="E9" s="2" t="s">
        <v>215</v>
      </c>
      <c r="F9" s="2" t="s">
        <v>526</v>
      </c>
      <c r="G9" s="5">
        <v>45837</v>
      </c>
      <c r="H9" s="5">
        <v>45837</v>
      </c>
      <c r="I9" s="2" t="s">
        <v>31</v>
      </c>
      <c r="J9" s="6">
        <f t="shared" si="1"/>
        <v>0</v>
      </c>
      <c r="K9" s="4" t="str">
        <f t="shared" ca="1" si="2"/>
        <v>-</v>
      </c>
      <c r="L9" s="7">
        <f t="shared" ref="L9:L72" ca="1" si="4">IF(I9="Completed",0,IF(H9="","",H9-TODAY()))</f>
        <v>0</v>
      </c>
      <c r="M9" s="4" t="str">
        <f>IF($I9="Complete","Green",IF($H9="","Amber",IF($H9&lt;'[2]Read Me'!$B$4,"Red",IF($H9-'[2]Read Me'!$B$4&lt;=21,"Amber","Green"))))</f>
        <v>Red</v>
      </c>
      <c r="N9" s="3"/>
      <c r="O9" t="str">
        <f>IF($I9&lt;&gt;"Complete",IF(COUNTIFS($A$4:$A8,$A9,$B$4:$B8,$B9,$I$4:$I8,"&lt;&gt;Complete")=0,$A9&amp;"|"&amp;$B9,""),"")</f>
        <v/>
      </c>
      <c r="P9" t="str">
        <f ca="1">IF($K9="Yes",COUNTIFS($K$4:$K9,"Yes"),"")</f>
        <v/>
      </c>
      <c r="Q9">
        <f t="shared" ca="1" si="3"/>
        <v>0</v>
      </c>
      <c r="R9" t="str">
        <f ca="1">IF($Q9=1,SUM($Q$4:$Q9),"")</f>
        <v/>
      </c>
    </row>
    <row r="10" spans="1:18" ht="33.75" customHeight="1" x14ac:dyDescent="0.3">
      <c r="A10" s="2" t="s">
        <v>463</v>
      </c>
      <c r="B10" s="2" t="s">
        <v>21</v>
      </c>
      <c r="C10" s="3" t="s">
        <v>524</v>
      </c>
      <c r="D10" s="3" t="s">
        <v>58</v>
      </c>
      <c r="E10" s="2" t="s">
        <v>215</v>
      </c>
      <c r="F10" s="2" t="s">
        <v>526</v>
      </c>
      <c r="G10" s="5">
        <v>45851</v>
      </c>
      <c r="H10" s="5">
        <v>45851</v>
      </c>
      <c r="I10" s="2" t="s">
        <v>31</v>
      </c>
      <c r="J10" s="6">
        <f t="shared" si="1"/>
        <v>0</v>
      </c>
      <c r="K10" s="4" t="str">
        <f t="shared" ca="1" si="2"/>
        <v>-</v>
      </c>
      <c r="L10" s="7">
        <f t="shared" ca="1" si="4"/>
        <v>0</v>
      </c>
      <c r="M10" s="4" t="str">
        <f>IF($I10="Complete","Green",IF($H10="","Amber",IF($H10&lt;'[2]Read Me'!$B$4,"Red",IF($H10-'[2]Read Me'!$B$4&lt;=21,"Amber","Green"))))</f>
        <v>Red</v>
      </c>
      <c r="N10" s="3"/>
      <c r="O10" t="str">
        <f>IF($I10&lt;&gt;"Complete",IF(COUNTIFS($A$4:$A9,$A10,$B$4:$B9,$B10,$I$4:$I9,"&lt;&gt;Complete")=0,$A10&amp;"|"&amp;$B10,""),"")</f>
        <v/>
      </c>
      <c r="P10" t="str">
        <f ca="1">IF($K10="Yes",COUNTIFS($K$4:$K10,"Yes"),"")</f>
        <v/>
      </c>
      <c r="Q10">
        <f t="shared" ca="1" si="3"/>
        <v>0</v>
      </c>
      <c r="R10" t="str">
        <f ca="1">IF($Q10=1,SUM($Q$4:$Q10),"")</f>
        <v/>
      </c>
    </row>
    <row r="11" spans="1:18" ht="33.75" customHeight="1" x14ac:dyDescent="0.3">
      <c r="A11" s="2" t="s">
        <v>463</v>
      </c>
      <c r="B11" s="2" t="s">
        <v>21</v>
      </c>
      <c r="C11" s="3" t="s">
        <v>524</v>
      </c>
      <c r="D11" s="3" t="s">
        <v>527</v>
      </c>
      <c r="E11" s="2" t="s">
        <v>215</v>
      </c>
      <c r="F11" s="2" t="s">
        <v>526</v>
      </c>
      <c r="G11" s="5">
        <v>45879</v>
      </c>
      <c r="H11" s="5">
        <v>45879</v>
      </c>
      <c r="I11" s="2" t="s">
        <v>31</v>
      </c>
      <c r="J11" s="6">
        <f t="shared" si="1"/>
        <v>0</v>
      </c>
      <c r="K11" s="4" t="str">
        <f t="shared" ca="1" si="2"/>
        <v>-</v>
      </c>
      <c r="L11" s="7">
        <f t="shared" ca="1" si="4"/>
        <v>0</v>
      </c>
      <c r="M11" s="4" t="str">
        <f>IF($I11="Complete","Green",IF($H11="","Amber",IF($H11&lt;'[2]Read Me'!$B$4,"Red",IF($H11-'[2]Read Me'!$B$4&lt;=21,"Amber","Green"))))</f>
        <v>Red</v>
      </c>
      <c r="N11" s="3"/>
      <c r="O11" t="str">
        <f>IF($I11&lt;&gt;"Complete",IF(COUNTIFS($A$4:$A10,$A11,$B$4:$B10,$B11,$I$4:$I10,"&lt;&gt;Complete")=0,$A11&amp;"|"&amp;$B11,""),"")</f>
        <v/>
      </c>
      <c r="P11" t="str">
        <f ca="1">IF($K11="Yes",COUNTIFS($K$4:$K11,"Yes"),"")</f>
        <v/>
      </c>
      <c r="Q11">
        <f t="shared" ca="1" si="3"/>
        <v>0</v>
      </c>
      <c r="R11" t="str">
        <f ca="1">IF($Q11=1,SUM($Q$4:$Q11),"")</f>
        <v/>
      </c>
    </row>
    <row r="12" spans="1:18" ht="33.75" customHeight="1" x14ac:dyDescent="0.3">
      <c r="A12" s="2" t="s">
        <v>463</v>
      </c>
      <c r="B12" s="2" t="s">
        <v>21</v>
      </c>
      <c r="C12" s="3" t="s">
        <v>524</v>
      </c>
      <c r="D12" s="3" t="s">
        <v>58</v>
      </c>
      <c r="E12" s="2" t="s">
        <v>215</v>
      </c>
      <c r="F12" s="2" t="s">
        <v>526</v>
      </c>
      <c r="G12" s="5">
        <v>45893</v>
      </c>
      <c r="H12" s="5">
        <v>45893</v>
      </c>
      <c r="I12" s="2" t="s">
        <v>31</v>
      </c>
      <c r="J12" s="6">
        <f t="shared" si="1"/>
        <v>0</v>
      </c>
      <c r="K12" s="4" t="str">
        <f t="shared" ca="1" si="2"/>
        <v>-</v>
      </c>
      <c r="L12" s="7">
        <f t="shared" ca="1" si="4"/>
        <v>0</v>
      </c>
      <c r="M12" s="4" t="str">
        <f>IF($I12="Complete","Green",IF($H12="","Amber",IF($H12&lt;'[2]Read Me'!$B$4,"Red",IF($H12-'[2]Read Me'!$B$4&lt;=21,"Amber","Green"))))</f>
        <v>Red</v>
      </c>
      <c r="N12" s="3"/>
      <c r="O12" t="str">
        <f>IF($I12&lt;&gt;"Complete",IF(COUNTIFS($A$4:$A11,$A12,$B$4:$B11,$B12,$I$4:$I11,"&lt;&gt;Complete")=0,$A12&amp;"|"&amp;$B12,""),"")</f>
        <v/>
      </c>
      <c r="P12" t="str">
        <f ca="1">IF($K12="Yes",COUNTIFS($K$4:$K12,"Yes"),"")</f>
        <v/>
      </c>
      <c r="Q12">
        <f t="shared" ca="1" si="3"/>
        <v>0</v>
      </c>
      <c r="R12" t="str">
        <f ca="1">IF($Q12=1,SUM($Q$4:$Q12),"")</f>
        <v/>
      </c>
    </row>
    <row r="13" spans="1:18" ht="33.75" customHeight="1" x14ac:dyDescent="0.3">
      <c r="A13" s="2" t="s">
        <v>463</v>
      </c>
      <c r="B13" s="2" t="s">
        <v>21</v>
      </c>
      <c r="C13" s="3" t="s">
        <v>524</v>
      </c>
      <c r="D13" s="3" t="s">
        <v>528</v>
      </c>
      <c r="E13" s="2" t="s">
        <v>215</v>
      </c>
      <c r="F13" s="2" t="s">
        <v>526</v>
      </c>
      <c r="G13" s="5"/>
      <c r="H13" s="5">
        <v>46066</v>
      </c>
      <c r="I13" s="2" t="s">
        <v>31</v>
      </c>
      <c r="J13" s="6" t="str">
        <f t="shared" si="1"/>
        <v/>
      </c>
      <c r="K13" s="4" t="str">
        <f t="shared" ca="1" si="2"/>
        <v>-</v>
      </c>
      <c r="L13" s="7">
        <f t="shared" ca="1" si="4"/>
        <v>0</v>
      </c>
      <c r="M13" s="4" t="str">
        <f>IF($I13="Complete","Green",IF($H13="","Amber",IF($H13&lt;'[2]Read Me'!$B$4,"Red",IF($H13-'[2]Read Me'!$B$4&lt;=21,"Amber","Green"))))</f>
        <v>Red</v>
      </c>
      <c r="N13" s="3"/>
      <c r="O13" t="str">
        <f>IF($I13&lt;&gt;"Complete",IF(COUNTIFS($A$4:$A12,$A13,$B$4:$B12,$B13,$I$4:$I12,"&lt;&gt;Complete")=0,$A13&amp;"|"&amp;$B13,""),"")</f>
        <v/>
      </c>
      <c r="P13" t="str">
        <f ca="1">IF($K13="Yes",COUNTIFS($K$4:$K13,"Yes"),"")</f>
        <v/>
      </c>
      <c r="Q13">
        <f t="shared" ca="1" si="3"/>
        <v>0</v>
      </c>
      <c r="R13" t="str">
        <f ca="1">IF($Q13=1,SUM($Q$4:$Q13),"")</f>
        <v/>
      </c>
    </row>
    <row r="14" spans="1:18" ht="33.75" customHeight="1" x14ac:dyDescent="0.3">
      <c r="A14" s="2" t="s">
        <v>463</v>
      </c>
      <c r="B14" s="2" t="s">
        <v>21</v>
      </c>
      <c r="C14" s="3" t="s">
        <v>524</v>
      </c>
      <c r="D14" s="3" t="s">
        <v>529</v>
      </c>
      <c r="E14" s="2" t="s">
        <v>215</v>
      </c>
      <c r="F14" s="2" t="s">
        <v>526</v>
      </c>
      <c r="G14" s="5"/>
      <c r="H14" s="5">
        <v>46090</v>
      </c>
      <c r="I14" s="2" t="s">
        <v>31</v>
      </c>
      <c r="J14" s="6" t="str">
        <f t="shared" si="1"/>
        <v/>
      </c>
      <c r="K14" s="4" t="str">
        <f t="shared" ca="1" si="2"/>
        <v>-</v>
      </c>
      <c r="L14" s="7">
        <f t="shared" ca="1" si="4"/>
        <v>0</v>
      </c>
      <c r="M14" s="4" t="str">
        <f>IF($I14="Complete","Green",IF($H14="","Amber",IF($H14&lt;'[2]Read Me'!$B$4,"Red",IF($H14-'[2]Read Me'!$B$4&lt;=21,"Amber","Green"))))</f>
        <v>Red</v>
      </c>
      <c r="N14" s="3"/>
      <c r="O14" t="str">
        <f>IF($I14&lt;&gt;"Complete",IF(COUNTIFS($A$4:$A13,$A14,$B$4:$B13,$B14,$I$4:$I13,"&lt;&gt;Complete")=0,$A14&amp;"|"&amp;$B14,""),"")</f>
        <v/>
      </c>
      <c r="P14" t="str">
        <f ca="1">IF($K14="Yes",COUNTIFS($K$4:$K14,"Yes"),"")</f>
        <v/>
      </c>
      <c r="Q14">
        <f t="shared" ca="1" si="3"/>
        <v>0</v>
      </c>
      <c r="R14" t="str">
        <f ca="1">IF($Q14=1,SUM($Q$4:$Q14),"")</f>
        <v/>
      </c>
    </row>
    <row r="15" spans="1:18" ht="33.75" customHeight="1" x14ac:dyDescent="0.3">
      <c r="A15" s="2" t="s">
        <v>463</v>
      </c>
      <c r="B15" s="2" t="s">
        <v>21</v>
      </c>
      <c r="C15" s="3" t="s">
        <v>524</v>
      </c>
      <c r="D15" s="3" t="s">
        <v>530</v>
      </c>
      <c r="E15" s="2" t="s">
        <v>215</v>
      </c>
      <c r="F15" s="2" t="s">
        <v>526</v>
      </c>
      <c r="G15" s="5">
        <v>45945</v>
      </c>
      <c r="H15" s="5">
        <v>46066</v>
      </c>
      <c r="I15" s="2" t="s">
        <v>31</v>
      </c>
      <c r="J15" s="6">
        <f t="shared" si="1"/>
        <v>121</v>
      </c>
      <c r="K15" s="4" t="str">
        <f t="shared" ca="1" si="2"/>
        <v>-</v>
      </c>
      <c r="L15" s="7">
        <f t="shared" ca="1" si="4"/>
        <v>0</v>
      </c>
      <c r="M15" s="4" t="str">
        <f>IF($I15="Complete","Green",IF($H15="","Amber",IF($H15&lt;'[2]Read Me'!$B$4,"Red",IF($H15-'[2]Read Me'!$B$4&lt;=21,"Amber","Green"))))</f>
        <v>Red</v>
      </c>
      <c r="N15" s="3"/>
      <c r="O15" t="str">
        <f>IF($I15&lt;&gt;"Complete",IF(COUNTIFS($A$4:$A14,$A15,$B$4:$B14,$B15,$I$4:$I14,"&lt;&gt;Complete")=0,$A15&amp;"|"&amp;$B15,""),"")</f>
        <v/>
      </c>
      <c r="P15" t="str">
        <f ca="1">IF($K15="Yes",COUNTIFS($K$4:$K15,"Yes"),"")</f>
        <v/>
      </c>
      <c r="Q15">
        <f t="shared" ca="1" si="3"/>
        <v>0</v>
      </c>
      <c r="R15" t="str">
        <f ca="1">IF($Q15=1,SUM($Q$4:$Q15),"")</f>
        <v/>
      </c>
    </row>
    <row r="16" spans="1:18" ht="33.75" customHeight="1" x14ac:dyDescent="0.3">
      <c r="A16" s="2" t="s">
        <v>463</v>
      </c>
      <c r="B16" s="2" t="s">
        <v>21</v>
      </c>
      <c r="C16" s="3" t="s">
        <v>524</v>
      </c>
      <c r="D16" s="3" t="s">
        <v>531</v>
      </c>
      <c r="E16" s="2" t="s">
        <v>215</v>
      </c>
      <c r="F16" s="2" t="s">
        <v>526</v>
      </c>
      <c r="G16" s="5">
        <v>45966</v>
      </c>
      <c r="H16" s="5">
        <v>46090</v>
      </c>
      <c r="I16" s="2" t="s">
        <v>31</v>
      </c>
      <c r="J16" s="6">
        <f t="shared" si="1"/>
        <v>124</v>
      </c>
      <c r="K16" s="4" t="str">
        <f t="shared" ca="1" si="2"/>
        <v>-</v>
      </c>
      <c r="L16" s="7">
        <f t="shared" ca="1" si="4"/>
        <v>0</v>
      </c>
      <c r="M16" s="4" t="str">
        <f>IF($I16="Complete","Green",IF($H16="","Amber",IF($H16&lt;'[2]Read Me'!$B$4,"Red",IF($H16-'[2]Read Me'!$B$4&lt;=21,"Amber","Green"))))</f>
        <v>Red</v>
      </c>
      <c r="N16" s="3"/>
      <c r="O16" t="str">
        <f>IF($I16&lt;&gt;"Complete",IF(COUNTIFS($A$4:$A15,$A16,$B$4:$B15,$B16,$I$4:$I15,"&lt;&gt;Complete")=0,$A16&amp;"|"&amp;$B16,""),"")</f>
        <v/>
      </c>
      <c r="P16" t="str">
        <f ca="1">IF($K16="Yes",COUNTIFS($K$4:$K16,"Yes"),"")</f>
        <v/>
      </c>
      <c r="Q16">
        <f t="shared" ca="1" si="3"/>
        <v>0</v>
      </c>
      <c r="R16" t="str">
        <f ca="1">IF($Q16=1,SUM($Q$4:$Q16),"")</f>
        <v/>
      </c>
    </row>
    <row r="17" spans="1:18" ht="33.75" customHeight="1" x14ac:dyDescent="0.3">
      <c r="A17" s="2" t="s">
        <v>463</v>
      </c>
      <c r="B17" s="2" t="s">
        <v>21</v>
      </c>
      <c r="C17" s="3" t="s">
        <v>524</v>
      </c>
      <c r="D17" s="3" t="s">
        <v>532</v>
      </c>
      <c r="E17" s="2" t="s">
        <v>215</v>
      </c>
      <c r="F17" s="2" t="s">
        <v>526</v>
      </c>
      <c r="G17" s="5"/>
      <c r="H17" s="5">
        <v>46122</v>
      </c>
      <c r="I17" s="2" t="s">
        <v>31</v>
      </c>
      <c r="J17" s="6" t="str">
        <f t="shared" si="1"/>
        <v/>
      </c>
      <c r="K17" s="4" t="str">
        <f t="shared" ca="1" si="2"/>
        <v>-</v>
      </c>
      <c r="L17" s="7">
        <f t="shared" ca="1" si="4"/>
        <v>0</v>
      </c>
      <c r="M17" s="4" t="str">
        <f>IF($I17="Complete","Green",IF($H17="","Amber",IF($H17&lt;'[2]Read Me'!$B$4,"Red",IF($H17-'[2]Read Me'!$B$4&lt;=21,"Amber","Green"))))</f>
        <v>Red</v>
      </c>
      <c r="N17" s="3"/>
      <c r="O17" t="str">
        <f>IF($I17&lt;&gt;"Complete",IF(COUNTIFS($A$4:$A16,$A17,$B$4:$B16,$B17,$I$4:$I16,"&lt;&gt;Complete")=0,$A17&amp;"|"&amp;$B17,""),"")</f>
        <v/>
      </c>
      <c r="P17" t="str">
        <f ca="1">IF($K17="Yes",COUNTIFS($K$4:$K17,"Yes"),"")</f>
        <v/>
      </c>
      <c r="Q17">
        <f t="shared" ca="1" si="3"/>
        <v>0</v>
      </c>
      <c r="R17" t="str">
        <f ca="1">IF($Q17=1,SUM($Q$4:$Q17),"")</f>
        <v/>
      </c>
    </row>
    <row r="18" spans="1:18" ht="33.75" customHeight="1" x14ac:dyDescent="0.3">
      <c r="A18" s="2" t="s">
        <v>463</v>
      </c>
      <c r="B18" s="2" t="s">
        <v>21</v>
      </c>
      <c r="C18" s="3" t="s">
        <v>524</v>
      </c>
      <c r="D18" s="3" t="s">
        <v>533</v>
      </c>
      <c r="E18" s="2" t="s">
        <v>215</v>
      </c>
      <c r="F18" s="2" t="s">
        <v>526</v>
      </c>
      <c r="G18" s="5"/>
      <c r="H18" s="5">
        <v>46199</v>
      </c>
      <c r="I18" s="2" t="s">
        <v>46</v>
      </c>
      <c r="J18" s="6" t="str">
        <f t="shared" si="1"/>
        <v/>
      </c>
      <c r="K18" s="4" t="str">
        <f t="shared" ca="1" si="2"/>
        <v>Yes</v>
      </c>
      <c r="L18" s="7">
        <f t="shared" ca="1" si="4"/>
        <v>-9</v>
      </c>
      <c r="M18" s="4" t="str">
        <f>IF($I18="Complete","Green",IF($H18="","Amber",IF($H18&lt;'[2]Read Me'!$B$4,"Red",IF($H18-'[2]Read Me'!$B$4&lt;=21,"Amber","Green"))))</f>
        <v>Amber</v>
      </c>
      <c r="N18" s="3"/>
      <c r="O18" t="str">
        <f>IF($I18&lt;&gt;"Complete",IF(COUNTIFS($A$4:$A17,$A18,$B$4:$B17,$B18,$I$4:$I17,"&lt;&gt;Complete")=0,$A18&amp;"|"&amp;$B18,""),"")</f>
        <v/>
      </c>
      <c r="P18">
        <f ca="1">IF($K18="Yes",COUNTIFS($K$4:$K18,"Yes"),"")</f>
        <v>1</v>
      </c>
      <c r="Q18">
        <f t="shared" ca="1" si="3"/>
        <v>1</v>
      </c>
      <c r="R18">
        <f ca="1">IF($Q18=1,SUM($Q$4:$Q18),"")</f>
        <v>1</v>
      </c>
    </row>
    <row r="19" spans="1:18" ht="33.75" customHeight="1" x14ac:dyDescent="0.3">
      <c r="A19" s="2" t="s">
        <v>463</v>
      </c>
      <c r="B19" s="2" t="s">
        <v>21</v>
      </c>
      <c r="C19" s="3" t="s">
        <v>524</v>
      </c>
      <c r="D19" s="3" t="s">
        <v>534</v>
      </c>
      <c r="E19" s="2" t="s">
        <v>215</v>
      </c>
      <c r="F19" s="2" t="s">
        <v>526</v>
      </c>
      <c r="G19" s="5">
        <v>45987</v>
      </c>
      <c r="H19" s="5">
        <v>46122</v>
      </c>
      <c r="I19" s="2" t="s">
        <v>31</v>
      </c>
      <c r="J19" s="6">
        <f t="shared" si="1"/>
        <v>135</v>
      </c>
      <c r="K19" s="4" t="str">
        <f t="shared" ca="1" si="2"/>
        <v>-</v>
      </c>
      <c r="L19" s="7">
        <f t="shared" ca="1" si="4"/>
        <v>0</v>
      </c>
      <c r="M19" s="4" t="str">
        <f>IF($I19="Complete","Green",IF($H19="","Amber",IF($H19&lt;'[2]Read Me'!$B$4,"Red",IF($H19-'[2]Read Me'!$B$4&lt;=21,"Amber","Green"))))</f>
        <v>Red</v>
      </c>
      <c r="N19" s="3"/>
      <c r="O19" t="str">
        <f>IF($I19&lt;&gt;"Complete",IF(COUNTIFS($A$4:$A18,$A19,$B$4:$B18,$B19,$I$4:$I18,"&lt;&gt;Complete")=0,$A19&amp;"|"&amp;$B19,""),"")</f>
        <v/>
      </c>
      <c r="P19" t="str">
        <f ca="1">IF($K19="Yes",COUNTIFS($K$4:$K19,"Yes"),"")</f>
        <v/>
      </c>
      <c r="Q19">
        <f t="shared" ca="1" si="3"/>
        <v>0</v>
      </c>
      <c r="R19" t="str">
        <f ca="1">IF($Q19=1,SUM($Q$4:$Q19),"")</f>
        <v/>
      </c>
    </row>
    <row r="20" spans="1:18" ht="33.75" customHeight="1" x14ac:dyDescent="0.3">
      <c r="A20" s="2" t="s">
        <v>463</v>
      </c>
      <c r="B20" s="2" t="s">
        <v>21</v>
      </c>
      <c r="C20" s="3" t="s">
        <v>524</v>
      </c>
      <c r="D20" s="3" t="s">
        <v>531</v>
      </c>
      <c r="E20" s="2" t="s">
        <v>215</v>
      </c>
      <c r="F20" s="2" t="s">
        <v>526</v>
      </c>
      <c r="G20" s="5">
        <v>46001</v>
      </c>
      <c r="H20" s="5">
        <v>46199</v>
      </c>
      <c r="I20" s="2" t="s">
        <v>46</v>
      </c>
      <c r="J20" s="6">
        <f t="shared" si="1"/>
        <v>198</v>
      </c>
      <c r="K20" s="4" t="str">
        <f t="shared" ca="1" si="2"/>
        <v>Yes</v>
      </c>
      <c r="L20" s="7">
        <f t="shared" ca="1" si="4"/>
        <v>-9</v>
      </c>
      <c r="M20" s="4" t="str">
        <f>IF($I20="Complete","Green",IF($H20="","Amber",IF($H20&lt;'[2]Read Me'!$B$4,"Red",IF($H20-'[2]Read Me'!$B$4&lt;=21,"Amber","Green"))))</f>
        <v>Amber</v>
      </c>
      <c r="N20" s="3"/>
      <c r="O20" t="str">
        <f>IF($I20&lt;&gt;"Complete",IF(COUNTIFS($A$4:$A19,$A20,$B$4:$B19,$B20,$I$4:$I19,"&lt;&gt;Complete")=0,$A20&amp;"|"&amp;$B20,""),"")</f>
        <v/>
      </c>
      <c r="P20">
        <f ca="1">IF($K20="Yes",COUNTIFS($K$4:$K20,"Yes"),"")</f>
        <v>2</v>
      </c>
      <c r="Q20">
        <f t="shared" ca="1" si="3"/>
        <v>1</v>
      </c>
      <c r="R20">
        <f ca="1">IF($Q20=1,SUM($Q$4:$Q20),"")</f>
        <v>2</v>
      </c>
    </row>
    <row r="21" spans="1:18" ht="33.75" customHeight="1" x14ac:dyDescent="0.3">
      <c r="A21" s="2" t="s">
        <v>463</v>
      </c>
      <c r="B21" s="2" t="s">
        <v>21</v>
      </c>
      <c r="C21" s="3"/>
      <c r="D21" s="3"/>
      <c r="E21" s="2"/>
      <c r="F21" s="2"/>
      <c r="G21" s="5">
        <v>46148</v>
      </c>
      <c r="H21" s="5">
        <v>46153</v>
      </c>
      <c r="I21" s="2"/>
      <c r="J21" s="6">
        <f t="shared" si="1"/>
        <v>5</v>
      </c>
      <c r="K21" s="4" t="str">
        <f t="shared" ca="1" si="2"/>
        <v/>
      </c>
      <c r="L21" s="7">
        <f t="shared" ca="1" si="4"/>
        <v>-55</v>
      </c>
      <c r="M21" s="4" t="str">
        <f>IF($I21="Complete","Green",IF($H21="","Amber",IF($H21&lt;'[2]Read Me'!$B$4,"Red",IF($H21-'[2]Read Me'!$B$4&lt;=21,"Amber","Green"))))</f>
        <v>Red</v>
      </c>
      <c r="N21" s="3"/>
      <c r="O21" t="str">
        <f>IF($I21&lt;&gt;"Complete",IF(COUNTIFS($A$4:$A20,$A21,$B$4:$B20,$B21,$I$4:$I20,"&lt;&gt;Complete")=0,$A21&amp;"|"&amp;$B21,""),"")</f>
        <v/>
      </c>
      <c r="P21" t="str">
        <f ca="1">IF($K21="Yes",COUNTIFS($K$4:$K21,"Yes"),"")</f>
        <v/>
      </c>
      <c r="Q21">
        <f t="shared" ca="1" si="3"/>
        <v>0</v>
      </c>
      <c r="R21" t="str">
        <f ca="1">IF($Q21=1,SUM($Q$4:$Q21),"")</f>
        <v/>
      </c>
    </row>
    <row r="22" spans="1:18" ht="33.75" customHeight="1" x14ac:dyDescent="0.3">
      <c r="A22" s="2" t="s">
        <v>463</v>
      </c>
      <c r="B22" s="2" t="s">
        <v>21</v>
      </c>
      <c r="C22" s="3" t="s">
        <v>535</v>
      </c>
      <c r="D22" s="3" t="s">
        <v>78</v>
      </c>
      <c r="E22" s="2" t="s">
        <v>215</v>
      </c>
      <c r="F22" s="2" t="s">
        <v>79</v>
      </c>
      <c r="G22" s="5">
        <v>46057</v>
      </c>
      <c r="H22" s="5">
        <v>46057</v>
      </c>
      <c r="I22" s="2" t="s">
        <v>31</v>
      </c>
      <c r="J22" s="6">
        <f t="shared" si="1"/>
        <v>0</v>
      </c>
      <c r="K22" s="4" t="str">
        <f t="shared" ca="1" si="2"/>
        <v>-</v>
      </c>
      <c r="L22" s="7">
        <f t="shared" ca="1" si="4"/>
        <v>0</v>
      </c>
      <c r="M22" s="4" t="str">
        <f>IF($I22="Complete","Green",IF($H22="","Amber",IF($H22&lt;'[2]Read Me'!$B$4,"Red",IF($H22-'[2]Read Me'!$B$4&lt;=21,"Amber","Green"))))</f>
        <v>Red</v>
      </c>
      <c r="N22" s="3"/>
      <c r="O22" t="str">
        <f>IF($I22&lt;&gt;"Complete",IF(COUNTIFS($A$4:$A21,$A22,$B$4:$B21,$B22,$I$4:$I21,"&lt;&gt;Complete")=0,$A22&amp;"|"&amp;$B22,""),"")</f>
        <v/>
      </c>
      <c r="P22" t="str">
        <f ca="1">IF($K22="Yes",COUNTIFS($K$4:$K22,"Yes"),"")</f>
        <v/>
      </c>
      <c r="Q22">
        <f t="shared" ca="1" si="3"/>
        <v>0</v>
      </c>
      <c r="R22" t="str">
        <f ca="1">IF($Q22=1,SUM($Q$4:$Q22),"")</f>
        <v/>
      </c>
    </row>
    <row r="23" spans="1:18" ht="33.75" customHeight="1" x14ac:dyDescent="0.3">
      <c r="A23" s="2" t="s">
        <v>463</v>
      </c>
      <c r="B23" s="2" t="s">
        <v>21</v>
      </c>
      <c r="C23" s="3" t="s">
        <v>535</v>
      </c>
      <c r="D23" s="3" t="s">
        <v>80</v>
      </c>
      <c r="E23" s="2" t="s">
        <v>215</v>
      </c>
      <c r="F23" s="2" t="s">
        <v>79</v>
      </c>
      <c r="G23" s="5">
        <v>46064</v>
      </c>
      <c r="H23" s="5">
        <v>46064</v>
      </c>
      <c r="I23" s="2" t="s">
        <v>31</v>
      </c>
      <c r="J23" s="6">
        <f t="shared" si="1"/>
        <v>0</v>
      </c>
      <c r="K23" s="4" t="str">
        <f t="shared" ca="1" si="2"/>
        <v>-</v>
      </c>
      <c r="L23" s="7">
        <f t="shared" ca="1" si="4"/>
        <v>0</v>
      </c>
      <c r="M23" s="4" t="str">
        <f>IF($I23="Complete","Green",IF($H23="","Amber",IF($H23&lt;'[2]Read Me'!$B$4,"Red",IF($H23-'[2]Read Me'!$B$4&lt;=21,"Amber","Green"))))</f>
        <v>Red</v>
      </c>
      <c r="N23" s="3"/>
      <c r="O23" t="str">
        <f>IF($I23&lt;&gt;"Complete",IF(COUNTIFS($A$4:$A22,$A23,$B$4:$B22,$B23,$I$4:$I22,"&lt;&gt;Complete")=0,$A23&amp;"|"&amp;$B23,""),"")</f>
        <v/>
      </c>
      <c r="P23" t="str">
        <f ca="1">IF($K23="Yes",COUNTIFS($K$4:$K23,"Yes"),"")</f>
        <v/>
      </c>
      <c r="Q23">
        <f t="shared" ca="1" si="3"/>
        <v>0</v>
      </c>
      <c r="R23" t="str">
        <f ca="1">IF($Q23=1,SUM($Q$4:$Q23),"")</f>
        <v/>
      </c>
    </row>
    <row r="24" spans="1:18" ht="33.75" customHeight="1" x14ac:dyDescent="0.3">
      <c r="A24" s="2" t="s">
        <v>463</v>
      </c>
      <c r="B24" s="2" t="s">
        <v>21</v>
      </c>
      <c r="C24" s="3" t="s">
        <v>535</v>
      </c>
      <c r="D24" s="3" t="s">
        <v>536</v>
      </c>
      <c r="E24" s="2" t="s">
        <v>215</v>
      </c>
      <c r="F24" s="2" t="s">
        <v>79</v>
      </c>
      <c r="G24" s="5">
        <v>46145</v>
      </c>
      <c r="H24" s="5">
        <v>46148</v>
      </c>
      <c r="I24" s="2" t="s">
        <v>31</v>
      </c>
      <c r="J24" s="6">
        <f t="shared" si="1"/>
        <v>3</v>
      </c>
      <c r="K24" s="4" t="str">
        <f t="shared" ca="1" si="2"/>
        <v>-</v>
      </c>
      <c r="L24" s="7">
        <f t="shared" ca="1" si="4"/>
        <v>0</v>
      </c>
      <c r="M24" s="4" t="str">
        <f>IF($I24="Complete","Green",IF($H24="","Amber",IF($H24&lt;'[2]Read Me'!$B$4,"Red",IF($H24-'[2]Read Me'!$B$4&lt;=21,"Amber","Green"))))</f>
        <v>Red</v>
      </c>
      <c r="N24" s="3"/>
      <c r="O24" t="str">
        <f>IF($I24&lt;&gt;"Complete",IF(COUNTIFS($A$4:$A23,$A24,$B$4:$B23,$B24,$I$4:$I23,"&lt;&gt;Complete")=0,$A24&amp;"|"&amp;$B24,""),"")</f>
        <v/>
      </c>
      <c r="P24" t="str">
        <f ca="1">IF($K24="Yes",COUNTIFS($K$4:$K24,"Yes"),"")</f>
        <v/>
      </c>
      <c r="Q24">
        <f t="shared" ca="1" si="3"/>
        <v>0</v>
      </c>
      <c r="R24" t="str">
        <f ca="1">IF($Q24=1,SUM($Q$4:$Q24),"")</f>
        <v/>
      </c>
    </row>
    <row r="25" spans="1:18" ht="33.75" customHeight="1" x14ac:dyDescent="0.3">
      <c r="A25" s="2" t="s">
        <v>463</v>
      </c>
      <c r="B25" s="2" t="s">
        <v>21</v>
      </c>
      <c r="C25" s="3" t="s">
        <v>535</v>
      </c>
      <c r="D25" s="3" t="s">
        <v>533</v>
      </c>
      <c r="E25" s="2" t="s">
        <v>215</v>
      </c>
      <c r="F25" s="2" t="s">
        <v>79</v>
      </c>
      <c r="G25" s="5">
        <v>46148</v>
      </c>
      <c r="H25" s="5">
        <v>46153</v>
      </c>
      <c r="I25" s="2" t="s">
        <v>31</v>
      </c>
      <c r="J25" s="6">
        <f t="shared" si="1"/>
        <v>5</v>
      </c>
      <c r="K25" s="4" t="str">
        <f t="shared" ca="1" si="2"/>
        <v>-</v>
      </c>
      <c r="L25" s="7">
        <f t="shared" ca="1" si="4"/>
        <v>0</v>
      </c>
      <c r="M25" s="4" t="str">
        <f>IF($I25="Complete","Green",IF($H25="","Amber",IF($H25&lt;'[2]Read Me'!$B$4,"Red",IF($H25-'[2]Read Me'!$B$4&lt;=21,"Amber","Green"))))</f>
        <v>Red</v>
      </c>
      <c r="N25" s="3"/>
      <c r="O25" t="str">
        <f>IF($I25&lt;&gt;"Complete",IF(COUNTIFS($A$4:$A24,$A25,$B$4:$B24,$B25,$I$4:$I24,"&lt;&gt;Complete")=0,$A25&amp;"|"&amp;$B25,""),"")</f>
        <v/>
      </c>
      <c r="P25" t="str">
        <f ca="1">IF($K25="Yes",COUNTIFS($K$4:$K25,"Yes"),"")</f>
        <v/>
      </c>
      <c r="Q25">
        <f t="shared" ca="1" si="3"/>
        <v>0</v>
      </c>
      <c r="R25" t="str">
        <f ca="1">IF($Q25=1,SUM($Q$4:$Q25),"")</f>
        <v/>
      </c>
    </row>
    <row r="26" spans="1:18" ht="33.75" customHeight="1" x14ac:dyDescent="0.3">
      <c r="A26" s="2" t="s">
        <v>463</v>
      </c>
      <c r="B26" s="2" t="s">
        <v>21</v>
      </c>
      <c r="C26" s="3" t="s">
        <v>535</v>
      </c>
      <c r="D26" s="3" t="s">
        <v>537</v>
      </c>
      <c r="E26" s="2" t="s">
        <v>215</v>
      </c>
      <c r="F26" s="2" t="s">
        <v>79</v>
      </c>
      <c r="G26" s="5">
        <v>46145</v>
      </c>
      <c r="H26" s="5">
        <v>46148</v>
      </c>
      <c r="I26" s="2" t="s">
        <v>31</v>
      </c>
      <c r="J26" s="6">
        <f t="shared" si="1"/>
        <v>3</v>
      </c>
      <c r="K26" s="4" t="str">
        <f t="shared" ca="1" si="2"/>
        <v>-</v>
      </c>
      <c r="L26" s="7">
        <f t="shared" ca="1" si="4"/>
        <v>0</v>
      </c>
      <c r="M26" s="4" t="str">
        <f>IF($I26="Complete","Green",IF($H26="","Amber",IF($H26&lt;'[2]Read Me'!$B$4,"Red",IF($H26-'[2]Read Me'!$B$4&lt;=21,"Amber","Green"))))</f>
        <v>Red</v>
      </c>
      <c r="N26" s="3"/>
      <c r="O26" t="str">
        <f>IF($I26&lt;&gt;"Complete",IF(COUNTIFS($A$4:$A25,$A26,$B$4:$B25,$B26,$I$4:$I25,"&lt;&gt;Complete")=0,$A26&amp;"|"&amp;$B26,""),"")</f>
        <v/>
      </c>
      <c r="P26" t="str">
        <f ca="1">IF($K26="Yes",COUNTIFS($K$4:$K26,"Yes"),"")</f>
        <v/>
      </c>
      <c r="Q26">
        <f t="shared" ca="1" si="3"/>
        <v>0</v>
      </c>
      <c r="R26" t="str">
        <f ca="1">IF($Q26=1,SUM($Q$4:$Q26),"")</f>
        <v/>
      </c>
    </row>
    <row r="27" spans="1:18" ht="33.75" customHeight="1" x14ac:dyDescent="0.3">
      <c r="A27" s="2" t="s">
        <v>463</v>
      </c>
      <c r="B27" s="2" t="s">
        <v>21</v>
      </c>
      <c r="C27" s="3" t="s">
        <v>535</v>
      </c>
      <c r="D27" s="3" t="s">
        <v>531</v>
      </c>
      <c r="E27" s="2" t="s">
        <v>215</v>
      </c>
      <c r="F27" s="2" t="s">
        <v>79</v>
      </c>
      <c r="G27" s="5">
        <v>46148</v>
      </c>
      <c r="H27" s="5">
        <v>46153</v>
      </c>
      <c r="I27" s="2" t="s">
        <v>31</v>
      </c>
      <c r="J27" s="6">
        <f t="shared" si="1"/>
        <v>5</v>
      </c>
      <c r="K27" s="4" t="str">
        <f t="shared" ca="1" si="2"/>
        <v>-</v>
      </c>
      <c r="L27" s="7">
        <f t="shared" ca="1" si="4"/>
        <v>0</v>
      </c>
      <c r="M27" s="4" t="str">
        <f>IF($I27="Complete","Green",IF($H27="","Amber",IF($H27&lt;'[2]Read Me'!$B$4,"Red",IF($H27-'[2]Read Me'!$B$4&lt;=21,"Amber","Green"))))</f>
        <v>Red</v>
      </c>
      <c r="N27" s="3"/>
      <c r="O27" t="str">
        <f>IF($I27&lt;&gt;"Complete",IF(COUNTIFS($A$4:$A26,$A27,$B$4:$B26,$B27,$I$4:$I26,"&lt;&gt;Complete")=0,$A27&amp;"|"&amp;$B27,""),"")</f>
        <v/>
      </c>
      <c r="P27" t="str">
        <f ca="1">IF($K27="Yes",COUNTIFS($K$4:$K27,"Yes"),"")</f>
        <v/>
      </c>
      <c r="Q27">
        <f t="shared" ca="1" si="3"/>
        <v>0</v>
      </c>
      <c r="R27" t="str">
        <f ca="1">IF($Q27=1,SUM($Q$4:$Q27),"")</f>
        <v/>
      </c>
    </row>
    <row r="28" spans="1:18" ht="33.75" customHeight="1" x14ac:dyDescent="0.3">
      <c r="A28" s="2" t="s">
        <v>463</v>
      </c>
      <c r="B28" s="2" t="s">
        <v>21</v>
      </c>
      <c r="C28" s="3" t="s">
        <v>535</v>
      </c>
      <c r="D28" s="3" t="s">
        <v>538</v>
      </c>
      <c r="E28" s="2" t="s">
        <v>215</v>
      </c>
      <c r="F28" s="2" t="s">
        <v>79</v>
      </c>
      <c r="G28" s="5">
        <v>46145</v>
      </c>
      <c r="H28" s="5">
        <v>46148</v>
      </c>
      <c r="I28" s="2" t="s">
        <v>31</v>
      </c>
      <c r="J28" s="6">
        <f t="shared" si="1"/>
        <v>3</v>
      </c>
      <c r="K28" s="4" t="str">
        <f t="shared" ca="1" si="2"/>
        <v>-</v>
      </c>
      <c r="L28" s="7">
        <f t="shared" ca="1" si="4"/>
        <v>0</v>
      </c>
      <c r="M28" s="4" t="str">
        <f>IF($I28="Complete","Green",IF($H28="","Amber",IF($H28&lt;'[2]Read Me'!$B$4,"Red",IF($H28-'[2]Read Me'!$B$4&lt;=21,"Amber","Green"))))</f>
        <v>Red</v>
      </c>
      <c r="N28" s="3"/>
      <c r="O28" t="str">
        <f>IF($I28&lt;&gt;"Complete",IF(COUNTIFS($A$4:$A27,$A28,$B$4:$B27,$B28,$I$4:$I27,"&lt;&gt;Complete")=0,$A28&amp;"|"&amp;$B28,""),"")</f>
        <v/>
      </c>
      <c r="P28" t="str">
        <f ca="1">IF($K28="Yes",COUNTIFS($K$4:$K28,"Yes"),"")</f>
        <v/>
      </c>
      <c r="Q28">
        <f t="shared" ca="1" si="3"/>
        <v>0</v>
      </c>
      <c r="R28" t="str">
        <f ca="1">IF($Q28=1,SUM($Q$4:$Q28),"")</f>
        <v/>
      </c>
    </row>
    <row r="29" spans="1:18" ht="33.75" customHeight="1" x14ac:dyDescent="0.3">
      <c r="A29" s="2" t="s">
        <v>463</v>
      </c>
      <c r="B29" s="2" t="s">
        <v>21</v>
      </c>
      <c r="C29" s="3" t="s">
        <v>535</v>
      </c>
      <c r="D29" s="3" t="s">
        <v>533</v>
      </c>
      <c r="E29" s="2" t="s">
        <v>215</v>
      </c>
      <c r="F29" s="2" t="s">
        <v>79</v>
      </c>
      <c r="G29" s="5">
        <v>46148</v>
      </c>
      <c r="H29" s="5">
        <v>46153</v>
      </c>
      <c r="I29" s="2" t="s">
        <v>31</v>
      </c>
      <c r="J29" s="6">
        <f t="shared" si="1"/>
        <v>5</v>
      </c>
      <c r="K29" s="4" t="str">
        <f t="shared" ca="1" si="2"/>
        <v>-</v>
      </c>
      <c r="L29" s="7">
        <f t="shared" ca="1" si="4"/>
        <v>0</v>
      </c>
      <c r="M29" s="4" t="str">
        <f>IF($I29="Complete","Green",IF($H29="","Amber",IF($H29&lt;'[2]Read Me'!$B$4,"Red",IF($H29-'[2]Read Me'!$B$4&lt;=21,"Amber","Green"))))</f>
        <v>Red</v>
      </c>
      <c r="N29" s="3"/>
      <c r="O29" t="str">
        <f>IF($I29&lt;&gt;"Complete",IF(COUNTIFS($A$4:$A28,$A29,$B$4:$B28,$B29,$I$4:$I28,"&lt;&gt;Complete")=0,$A29&amp;"|"&amp;$B29,""),"")</f>
        <v/>
      </c>
      <c r="P29" t="str">
        <f ca="1">IF($K29="Yes",COUNTIFS($K$4:$K29,"Yes"),"")</f>
        <v/>
      </c>
      <c r="Q29">
        <f t="shared" ca="1" si="3"/>
        <v>0</v>
      </c>
      <c r="R29" t="str">
        <f ca="1">IF($Q29=1,SUM($Q$4:$Q29),"")</f>
        <v/>
      </c>
    </row>
    <row r="30" spans="1:18" ht="33.75" customHeight="1" x14ac:dyDescent="0.3">
      <c r="A30" s="2" t="s">
        <v>463</v>
      </c>
      <c r="B30" s="2" t="s">
        <v>21</v>
      </c>
      <c r="C30" s="3" t="s">
        <v>535</v>
      </c>
      <c r="D30" s="3" t="s">
        <v>539</v>
      </c>
      <c r="E30" s="2" t="s">
        <v>215</v>
      </c>
      <c r="F30" s="2" t="s">
        <v>79</v>
      </c>
      <c r="G30" s="5">
        <v>46145</v>
      </c>
      <c r="H30" s="5">
        <v>46148</v>
      </c>
      <c r="I30" s="2" t="s">
        <v>31</v>
      </c>
      <c r="J30" s="6">
        <f t="shared" si="1"/>
        <v>3</v>
      </c>
      <c r="K30" s="4" t="str">
        <f t="shared" ca="1" si="2"/>
        <v>-</v>
      </c>
      <c r="L30" s="7">
        <f t="shared" ca="1" si="4"/>
        <v>0</v>
      </c>
      <c r="M30" s="4" t="str">
        <f>IF($I30="Complete","Green",IF($H30="","Amber",IF($H30&lt;'[2]Read Me'!$B$4,"Red",IF($H30-'[2]Read Me'!$B$4&lt;=21,"Amber","Green"))))</f>
        <v>Red</v>
      </c>
      <c r="N30" s="3"/>
      <c r="O30" t="str">
        <f>IF($I30&lt;&gt;"Complete",IF(COUNTIFS($A$4:$A29,$A30,$B$4:$B29,$B30,$I$4:$I29,"&lt;&gt;Complete")=0,$A30&amp;"|"&amp;$B30,""),"")</f>
        <v/>
      </c>
      <c r="P30" t="str">
        <f ca="1">IF($K30="Yes",COUNTIFS($K$4:$K30,"Yes"),"")</f>
        <v/>
      </c>
      <c r="Q30">
        <f t="shared" ca="1" si="3"/>
        <v>0</v>
      </c>
      <c r="R30" t="str">
        <f ca="1">IF($Q30=1,SUM($Q$4:$Q30),"")</f>
        <v/>
      </c>
    </row>
    <row r="31" spans="1:18" ht="14.25" customHeight="1" x14ac:dyDescent="0.3">
      <c r="A31" s="2" t="s">
        <v>463</v>
      </c>
      <c r="B31" s="2" t="s">
        <v>21</v>
      </c>
      <c r="C31" s="3" t="s">
        <v>535</v>
      </c>
      <c r="D31" s="3" t="s">
        <v>531</v>
      </c>
      <c r="E31" s="2" t="s">
        <v>215</v>
      </c>
      <c r="F31" s="2" t="s">
        <v>79</v>
      </c>
      <c r="G31" s="5">
        <v>46148</v>
      </c>
      <c r="H31" s="5">
        <v>46153</v>
      </c>
      <c r="I31" s="2" t="s">
        <v>31</v>
      </c>
      <c r="J31" s="6">
        <f t="shared" si="1"/>
        <v>5</v>
      </c>
      <c r="K31" s="4" t="str">
        <f t="shared" ca="1" si="2"/>
        <v>-</v>
      </c>
      <c r="L31" s="7">
        <f t="shared" ca="1" si="4"/>
        <v>0</v>
      </c>
      <c r="M31" s="4" t="str">
        <f>IF($I31="Complete","Green",IF($H31="","Amber",IF($H31&lt;'[2]Read Me'!$B$4,"Red",IF($H31-'[2]Read Me'!$B$4&lt;=21,"Amber","Green"))))</f>
        <v>Red</v>
      </c>
      <c r="N31" s="3"/>
      <c r="O31" t="str">
        <f>IF($I31&lt;&gt;"Complete",IF(COUNTIFS($A$4:$A30,$A31,$B$4:$B30,$B31,$I$4:$I30,"&lt;&gt;Complete")=0,$A31&amp;"|"&amp;$B31,""),"")</f>
        <v/>
      </c>
      <c r="P31" t="str">
        <f ca="1">IF($K31="Yes",COUNTIFS($K$4:$K31,"Yes"),"")</f>
        <v/>
      </c>
      <c r="Q31">
        <f t="shared" ca="1" si="3"/>
        <v>0</v>
      </c>
      <c r="R31" t="str">
        <f ca="1">IF($Q31=1,SUM($Q$4:$Q31),"")</f>
        <v/>
      </c>
    </row>
    <row r="32" spans="1:18" ht="14.25" customHeight="1" x14ac:dyDescent="0.3">
      <c r="A32" s="2" t="s">
        <v>540</v>
      </c>
      <c r="B32" s="2" t="s">
        <v>21</v>
      </c>
      <c r="C32" s="3"/>
      <c r="D32" s="3"/>
      <c r="E32" s="2"/>
      <c r="F32" s="2"/>
      <c r="G32" s="5">
        <v>46210</v>
      </c>
      <c r="H32" s="5">
        <v>46225</v>
      </c>
      <c r="I32" s="2"/>
      <c r="J32" s="6">
        <f t="shared" si="1"/>
        <v>15</v>
      </c>
      <c r="K32" s="4" t="str">
        <f t="shared" ca="1" si="2"/>
        <v/>
      </c>
      <c r="L32" s="7">
        <f t="shared" ca="1" si="4"/>
        <v>17</v>
      </c>
      <c r="M32" s="4" t="str">
        <f>IF($I32="Complete","Green",IF($H32="","Amber",IF($H32&lt;'[2]Read Me'!$B$4,"Red",IF($H32-'[2]Read Me'!$B$4&lt;=21,"Amber","Green"))))</f>
        <v>Green</v>
      </c>
      <c r="N32" s="3"/>
      <c r="O32" t="str">
        <f>IF($I32&lt;&gt;"Complete",IF(COUNTIFS($A$4:$A31,$A32,$B$4:$B31,$B32,$I$4:$I31,"&lt;&gt;Complete")=0,$A32&amp;"|"&amp;$B32,""),"")</f>
        <v>Centeral Park|Landscape</v>
      </c>
      <c r="P32" t="str">
        <f ca="1">IF($K32="Yes",COUNTIFS($K$4:$K32,"Yes"),"")</f>
        <v/>
      </c>
      <c r="Q32">
        <f t="shared" ca="1" si="3"/>
        <v>0</v>
      </c>
      <c r="R32" t="str">
        <f ca="1">IF($Q32=1,SUM($Q$4:$Q32),"")</f>
        <v/>
      </c>
    </row>
    <row r="33" spans="1:18" ht="14.25" customHeight="1" x14ac:dyDescent="0.3">
      <c r="A33" s="2" t="s">
        <v>540</v>
      </c>
      <c r="B33" s="2" t="s">
        <v>21</v>
      </c>
      <c r="C33" s="3" t="s">
        <v>541</v>
      </c>
      <c r="D33" s="3" t="s">
        <v>127</v>
      </c>
      <c r="E33" s="2" t="s">
        <v>215</v>
      </c>
      <c r="F33" s="2" t="s">
        <v>79</v>
      </c>
      <c r="G33" s="5">
        <v>46187</v>
      </c>
      <c r="H33" s="5">
        <v>46202</v>
      </c>
      <c r="I33" s="2" t="s">
        <v>46</v>
      </c>
      <c r="J33" s="6">
        <f t="shared" si="1"/>
        <v>15</v>
      </c>
      <c r="K33" s="4" t="str">
        <f t="shared" ca="1" si="2"/>
        <v>Yes</v>
      </c>
      <c r="L33" s="7">
        <f t="shared" ca="1" si="4"/>
        <v>-6</v>
      </c>
      <c r="M33" s="4" t="str">
        <f>IF($I33="Complete","Green",IF($H33="","Amber",IF($H33&lt;'[2]Read Me'!$B$4,"Red",IF($H33-'[2]Read Me'!$B$4&lt;=21,"Amber","Green"))))</f>
        <v>Amber</v>
      </c>
      <c r="N33" s="3"/>
      <c r="O33" t="str">
        <f>IF($I33&lt;&gt;"Complete",IF(COUNTIFS($A$4:$A32,$A33,$B$4:$B32,$B33,$I$4:$I32,"&lt;&gt;Complete")=0,$A33&amp;"|"&amp;$B33,""),"")</f>
        <v/>
      </c>
      <c r="P33">
        <f ca="1">IF($K33="Yes",COUNTIFS($K$4:$K33,"Yes"),"")</f>
        <v>3</v>
      </c>
      <c r="Q33">
        <f t="shared" ca="1" si="3"/>
        <v>1</v>
      </c>
      <c r="R33">
        <f ca="1">IF($Q33=1,SUM($Q$4:$Q33),"")</f>
        <v>3</v>
      </c>
    </row>
    <row r="34" spans="1:18" ht="14.25" customHeight="1" x14ac:dyDescent="0.3">
      <c r="A34" s="2" t="s">
        <v>540</v>
      </c>
      <c r="B34" s="2" t="s">
        <v>21</v>
      </c>
      <c r="C34" s="3" t="s">
        <v>541</v>
      </c>
      <c r="D34" s="3" t="s">
        <v>35</v>
      </c>
      <c r="E34" s="2" t="s">
        <v>215</v>
      </c>
      <c r="F34" s="2"/>
      <c r="G34" s="5">
        <v>46189</v>
      </c>
      <c r="H34" s="5">
        <v>46204</v>
      </c>
      <c r="I34" s="2" t="s">
        <v>17</v>
      </c>
      <c r="J34" s="6">
        <f t="shared" si="1"/>
        <v>15</v>
      </c>
      <c r="K34" s="4" t="str">
        <f t="shared" ca="1" si="2"/>
        <v>Yes</v>
      </c>
      <c r="L34" s="7">
        <f t="shared" ca="1" si="4"/>
        <v>-4</v>
      </c>
      <c r="M34" s="4" t="str">
        <f>IF($I34="Complete","Green",IF($H34="","Amber",IF($H34&lt;'[2]Read Me'!$B$4,"Red",IF($H34-'[2]Read Me'!$B$4&lt;=21,"Amber","Green"))))</f>
        <v>Amber</v>
      </c>
      <c r="N34" s="3"/>
      <c r="O34" t="str">
        <f>IF($I34&lt;&gt;"Complete",IF(COUNTIFS($A$4:$A33,$A34,$B$4:$B33,$B34,$I$4:$I33,"&lt;&gt;Complete")=0,$A34&amp;"|"&amp;$B34,""),"")</f>
        <v/>
      </c>
      <c r="P34">
        <f ca="1">IF($K34="Yes",COUNTIFS($K$4:$K34,"Yes"),"")</f>
        <v>4</v>
      </c>
      <c r="Q34">
        <f t="shared" ca="1" si="3"/>
        <v>1</v>
      </c>
      <c r="R34">
        <f ca="1">IF($Q34=1,SUM($Q$4:$Q34),"")</f>
        <v>4</v>
      </c>
    </row>
    <row r="35" spans="1:18" ht="14.25" customHeight="1" x14ac:dyDescent="0.3">
      <c r="A35" s="2" t="s">
        <v>540</v>
      </c>
      <c r="B35" s="2" t="s">
        <v>21</v>
      </c>
      <c r="C35" s="3" t="s">
        <v>541</v>
      </c>
      <c r="D35" s="3" t="s">
        <v>20</v>
      </c>
      <c r="E35" s="2" t="s">
        <v>184</v>
      </c>
      <c r="F35" s="2"/>
      <c r="G35" s="5">
        <v>46201</v>
      </c>
      <c r="H35" s="5">
        <v>46216</v>
      </c>
      <c r="I35" s="2" t="s">
        <v>17</v>
      </c>
      <c r="J35" s="6">
        <f t="shared" si="1"/>
        <v>15</v>
      </c>
      <c r="K35" s="4" t="str">
        <f t="shared" ca="1" si="2"/>
        <v>No</v>
      </c>
      <c r="L35" s="7">
        <f t="shared" ca="1" si="4"/>
        <v>8</v>
      </c>
      <c r="M35" s="4" t="str">
        <f>IF($I35="Complete","Green",IF($H35="","Amber",IF($H35&lt;'[2]Read Me'!$B$4,"Red",IF($H35-'[2]Read Me'!$B$4&lt;=21,"Amber","Green"))))</f>
        <v>Green</v>
      </c>
      <c r="N35" s="3"/>
      <c r="O35" t="str">
        <f>IF($I35&lt;&gt;"Complete",IF(COUNTIFS($A$4:$A34,$A35,$B$4:$B34,$B35,$I$4:$I34,"&lt;&gt;Complete")=0,$A35&amp;"|"&amp;$B35,""),"")</f>
        <v/>
      </c>
      <c r="P35" t="str">
        <f ca="1">IF($K35="Yes",COUNTIFS($K$4:$K35,"Yes"),"")</f>
        <v/>
      </c>
      <c r="Q35">
        <f t="shared" ca="1" si="3"/>
        <v>0</v>
      </c>
      <c r="R35" t="str">
        <f ca="1">IF($Q35=1,SUM($Q$4:$Q35),"")</f>
        <v/>
      </c>
    </row>
    <row r="36" spans="1:18" ht="14.25" customHeight="1" x14ac:dyDescent="0.3">
      <c r="A36" s="2" t="s">
        <v>540</v>
      </c>
      <c r="B36" s="2" t="s">
        <v>21</v>
      </c>
      <c r="C36" s="3" t="s">
        <v>541</v>
      </c>
      <c r="D36" s="3" t="s">
        <v>542</v>
      </c>
      <c r="E36" s="2" t="s">
        <v>215</v>
      </c>
      <c r="F36" s="2" t="s">
        <v>79</v>
      </c>
      <c r="G36" s="5">
        <v>46203</v>
      </c>
      <c r="H36" s="5">
        <v>46218</v>
      </c>
      <c r="I36" s="2" t="s">
        <v>17</v>
      </c>
      <c r="J36" s="6">
        <f t="shared" si="1"/>
        <v>15</v>
      </c>
      <c r="K36" s="4" t="str">
        <f t="shared" ca="1" si="2"/>
        <v>No</v>
      </c>
      <c r="L36" s="7">
        <f t="shared" ca="1" si="4"/>
        <v>10</v>
      </c>
      <c r="M36" s="4" t="str">
        <f>IF($I36="Complete","Green",IF($H36="","Amber",IF($H36&lt;'[2]Read Me'!$B$4,"Red",IF($H36-'[2]Read Me'!$B$4&lt;=21,"Amber","Green"))))</f>
        <v>Green</v>
      </c>
      <c r="N36" s="3"/>
      <c r="O36" t="str">
        <f>IF($I36&lt;&gt;"Complete",IF(COUNTIFS($A$4:$A35,$A36,$B$4:$B35,$B36,$I$4:$I35,"&lt;&gt;Complete")=0,$A36&amp;"|"&amp;$B36,""),"")</f>
        <v/>
      </c>
      <c r="P36" t="str">
        <f ca="1">IF($K36="Yes",COUNTIFS($K$4:$K36,"Yes"),"")</f>
        <v/>
      </c>
      <c r="Q36">
        <f t="shared" ca="1" si="3"/>
        <v>0</v>
      </c>
      <c r="R36" t="str">
        <f ca="1">IF($Q36=1,SUM($Q$4:$Q36),"")</f>
        <v/>
      </c>
    </row>
    <row r="37" spans="1:18" ht="14.25" customHeight="1" x14ac:dyDescent="0.3">
      <c r="A37" s="2" t="s">
        <v>543</v>
      </c>
      <c r="B37" s="2" t="s">
        <v>21</v>
      </c>
      <c r="C37" s="3" t="s">
        <v>541</v>
      </c>
      <c r="D37" s="3" t="s">
        <v>37</v>
      </c>
      <c r="E37" s="2" t="s">
        <v>215</v>
      </c>
      <c r="F37" s="2"/>
      <c r="G37" s="5">
        <v>46210</v>
      </c>
      <c r="H37" s="5">
        <v>46225</v>
      </c>
      <c r="I37" s="2" t="s">
        <v>17</v>
      </c>
      <c r="J37" s="6">
        <f t="shared" si="1"/>
        <v>15</v>
      </c>
      <c r="K37" s="4" t="str">
        <f t="shared" ca="1" si="2"/>
        <v>No</v>
      </c>
      <c r="L37" s="7">
        <f t="shared" ca="1" si="4"/>
        <v>17</v>
      </c>
      <c r="M37" s="4" t="str">
        <f>IF($I37="Complete","Green",IF($H37="","Amber",IF($H37&lt;'[2]Read Me'!$B$4,"Red",IF($H37-'[2]Read Me'!$B$4&lt;=21,"Amber","Green"))))</f>
        <v>Green</v>
      </c>
      <c r="N37" s="3"/>
      <c r="O37" t="str">
        <f>IF($I37&lt;&gt;"Complete",IF(COUNTIFS($A$4:$A36,$A37,$B$4:$B36,$B37,$I$4:$I36,"&lt;&gt;Complete")=0,$A37&amp;"|"&amp;$B37,""),"")</f>
        <v>RW - Centeral Park|Landscape</v>
      </c>
      <c r="P37" t="str">
        <f ca="1">IF($K37="Yes",COUNTIFS($K$4:$K37,"Yes"),"")</f>
        <v/>
      </c>
      <c r="Q37">
        <f t="shared" ca="1" si="3"/>
        <v>0</v>
      </c>
      <c r="R37" t="str">
        <f ca="1">IF($Q37=1,SUM($Q$4:$Q37),"")</f>
        <v/>
      </c>
    </row>
    <row r="38" spans="1:18" ht="14.25" customHeight="1" x14ac:dyDescent="0.3">
      <c r="A38" s="2" t="s">
        <v>543</v>
      </c>
      <c r="B38" s="2" t="s">
        <v>21</v>
      </c>
      <c r="C38" s="3"/>
      <c r="D38" s="3"/>
      <c r="E38" s="2"/>
      <c r="F38" s="2"/>
      <c r="G38" s="5">
        <v>46288</v>
      </c>
      <c r="H38" s="5">
        <v>46320</v>
      </c>
      <c r="I38" s="2"/>
      <c r="J38" s="6">
        <f t="shared" si="1"/>
        <v>32</v>
      </c>
      <c r="K38" s="4" t="str">
        <f t="shared" ca="1" si="2"/>
        <v/>
      </c>
      <c r="L38" s="7">
        <f t="shared" ca="1" si="4"/>
        <v>112</v>
      </c>
      <c r="M38" s="4" t="str">
        <f>IF($I38="Complete","Green",IF($H38="","Amber",IF($H38&lt;'[2]Read Me'!$B$4,"Red",IF($H38-'[2]Read Me'!$B$4&lt;=21,"Amber","Green"))))</f>
        <v>Green</v>
      </c>
      <c r="N38" s="3"/>
      <c r="O38" t="str">
        <f>IF($I38&lt;&gt;"Complete",IF(COUNTIFS($A$4:$A37,$A38,$B$4:$B37,$B38,$I$4:$I37,"&lt;&gt;Complete")=0,$A38&amp;"|"&amp;$B38,""),"")</f>
        <v/>
      </c>
      <c r="P38" t="str">
        <f ca="1">IF($K38="Yes",COUNTIFS($K$4:$K38,"Yes"),"")</f>
        <v/>
      </c>
      <c r="Q38">
        <f t="shared" ca="1" si="3"/>
        <v>0</v>
      </c>
      <c r="R38" t="str">
        <f ca="1">IF($Q38=1,SUM($Q$4:$Q38),"")</f>
        <v/>
      </c>
    </row>
    <row r="39" spans="1:18" ht="14.25" customHeight="1" x14ac:dyDescent="0.3">
      <c r="A39" s="2" t="s">
        <v>543</v>
      </c>
      <c r="B39" s="2" t="s">
        <v>21</v>
      </c>
      <c r="C39" s="3" t="s">
        <v>544</v>
      </c>
      <c r="D39" s="3" t="s">
        <v>545</v>
      </c>
      <c r="E39" s="2" t="s">
        <v>215</v>
      </c>
      <c r="F39" s="2" t="s">
        <v>79</v>
      </c>
      <c r="G39" s="5">
        <v>46162</v>
      </c>
      <c r="H39" s="5">
        <v>46148</v>
      </c>
      <c r="I39" s="2" t="s">
        <v>31</v>
      </c>
      <c r="J39" s="6">
        <f t="shared" si="1"/>
        <v>-14</v>
      </c>
      <c r="K39" s="4" t="str">
        <f t="shared" ca="1" si="2"/>
        <v>-</v>
      </c>
      <c r="L39" s="7">
        <f t="shared" ca="1" si="4"/>
        <v>0</v>
      </c>
      <c r="M39" s="4" t="str">
        <f>IF($I39="Complete","Green",IF($H39="","Amber",IF($H39&lt;'[2]Read Me'!$B$4,"Red",IF($H39-'[2]Read Me'!$B$4&lt;=21,"Amber","Green"))))</f>
        <v>Red</v>
      </c>
      <c r="N39" s="3"/>
      <c r="O39" t="str">
        <f>IF($I39&lt;&gt;"Complete",IF(COUNTIFS($A$4:$A38,$A39,$B$4:$B38,$B39,$I$4:$I38,"&lt;&gt;Complete")=0,$A39&amp;"|"&amp;$B39,""),"")</f>
        <v/>
      </c>
      <c r="P39" t="str">
        <f ca="1">IF($K39="Yes",COUNTIFS($K$4:$K39,"Yes"),"")</f>
        <v/>
      </c>
      <c r="Q39">
        <f t="shared" ca="1" si="3"/>
        <v>0</v>
      </c>
      <c r="R39" t="str">
        <f ca="1">IF($Q39=1,SUM($Q$4:$Q39),"")</f>
        <v/>
      </c>
    </row>
    <row r="40" spans="1:18" ht="14.25" customHeight="1" x14ac:dyDescent="0.3">
      <c r="A40" s="2" t="s">
        <v>543</v>
      </c>
      <c r="B40" s="2" t="s">
        <v>21</v>
      </c>
      <c r="C40" s="3" t="s">
        <v>544</v>
      </c>
      <c r="D40" s="3" t="s">
        <v>32</v>
      </c>
      <c r="E40" s="2" t="s">
        <v>215</v>
      </c>
      <c r="F40" s="2"/>
      <c r="G40" s="5">
        <v>46169</v>
      </c>
      <c r="H40" s="5">
        <v>46153</v>
      </c>
      <c r="I40" s="2" t="s">
        <v>31</v>
      </c>
      <c r="J40" s="6">
        <f t="shared" si="1"/>
        <v>-16</v>
      </c>
      <c r="K40" s="4" t="str">
        <f t="shared" ca="1" si="2"/>
        <v>-</v>
      </c>
      <c r="L40" s="7">
        <f t="shared" ca="1" si="4"/>
        <v>0</v>
      </c>
      <c r="M40" s="4" t="str">
        <f>IF($I40="Complete","Green",IF($H40="","Amber",IF($H40&lt;'[2]Read Me'!$B$4,"Red",IF($H40-'[2]Read Me'!$B$4&lt;=21,"Amber","Green"))))</f>
        <v>Red</v>
      </c>
      <c r="N40" s="3"/>
      <c r="O40" t="str">
        <f>IF($I40&lt;&gt;"Complete",IF(COUNTIFS($A$4:$A39,$A40,$B$4:$B39,$B40,$I$4:$I39,"&lt;&gt;Complete")=0,$A40&amp;"|"&amp;$B40,""),"")</f>
        <v/>
      </c>
      <c r="P40" t="str">
        <f ca="1">IF($K40="Yes",COUNTIFS($K$4:$K40,"Yes"),"")</f>
        <v/>
      </c>
      <c r="Q40">
        <f t="shared" ca="1" si="3"/>
        <v>0</v>
      </c>
      <c r="R40" t="str">
        <f ca="1">IF($Q40=1,SUM($Q$4:$Q40),"")</f>
        <v/>
      </c>
    </row>
    <row r="41" spans="1:18" ht="14.25" customHeight="1" x14ac:dyDescent="0.3">
      <c r="A41" s="2" t="s">
        <v>543</v>
      </c>
      <c r="B41" s="2" t="s">
        <v>21</v>
      </c>
      <c r="C41" s="3" t="s">
        <v>544</v>
      </c>
      <c r="D41" s="3" t="s">
        <v>126</v>
      </c>
      <c r="E41" s="2" t="s">
        <v>215</v>
      </c>
      <c r="F41" s="2" t="s">
        <v>79</v>
      </c>
      <c r="G41" s="5">
        <v>46197</v>
      </c>
      <c r="H41" s="5">
        <v>46229</v>
      </c>
      <c r="I41" s="2" t="s">
        <v>17</v>
      </c>
      <c r="J41" s="6">
        <f t="shared" si="1"/>
        <v>32</v>
      </c>
      <c r="K41" s="4" t="str">
        <f t="shared" ca="1" si="2"/>
        <v>No</v>
      </c>
      <c r="L41" s="7">
        <f t="shared" ca="1" si="4"/>
        <v>21</v>
      </c>
      <c r="M41" s="4" t="str">
        <f>IF($I41="Complete","Green",IF($H41="","Amber",IF($H41&lt;'[2]Read Me'!$B$4,"Red",IF($H41-'[2]Read Me'!$B$4&lt;=21,"Amber","Green"))))</f>
        <v>Green</v>
      </c>
      <c r="N41" s="3"/>
      <c r="O41" t="str">
        <f>IF($I41&lt;&gt;"Complete",IF(COUNTIFS($A$4:$A40,$A41,$B$4:$B40,$B41,$I$4:$I40,"&lt;&gt;Complete")=0,$A41&amp;"|"&amp;$B41,""),"")</f>
        <v/>
      </c>
      <c r="P41" t="str">
        <f ca="1">IF($K41="Yes",COUNTIFS($K$4:$K41,"Yes"),"")</f>
        <v/>
      </c>
      <c r="Q41">
        <f t="shared" ca="1" si="3"/>
        <v>0</v>
      </c>
      <c r="R41" t="str">
        <f ca="1">IF($Q41=1,SUM($Q$4:$Q41),"")</f>
        <v/>
      </c>
    </row>
    <row r="42" spans="1:18" ht="22.5" customHeight="1" x14ac:dyDescent="0.3">
      <c r="A42" s="2" t="s">
        <v>543</v>
      </c>
      <c r="B42" s="2" t="s">
        <v>21</v>
      </c>
      <c r="C42" s="3" t="s">
        <v>544</v>
      </c>
      <c r="D42" s="3" t="s">
        <v>34</v>
      </c>
      <c r="E42" s="2" t="s">
        <v>215</v>
      </c>
      <c r="F42" s="2"/>
      <c r="G42" s="5">
        <v>46211</v>
      </c>
      <c r="H42" s="5">
        <v>46243</v>
      </c>
      <c r="I42" s="2" t="s">
        <v>17</v>
      </c>
      <c r="J42" s="6">
        <f t="shared" si="1"/>
        <v>32</v>
      </c>
      <c r="K42" s="4" t="str">
        <f t="shared" ca="1" si="2"/>
        <v>No</v>
      </c>
      <c r="L42" s="7">
        <f t="shared" ca="1" si="4"/>
        <v>35</v>
      </c>
      <c r="M42" s="4" t="str">
        <f>IF($I42="Complete","Green",IF($H42="","Amber",IF($H42&lt;'[2]Read Me'!$B$4,"Red",IF($H42-'[2]Read Me'!$B$4&lt;=21,"Amber","Green"))))</f>
        <v>Green</v>
      </c>
      <c r="N42" s="3"/>
      <c r="O42" t="str">
        <f>IF($I42&lt;&gt;"Complete",IF(COUNTIFS($A$4:$A41,$A42,$B$4:$B41,$B42,$I$4:$I41,"&lt;&gt;Complete")=0,$A42&amp;"|"&amp;$B42,""),"")</f>
        <v/>
      </c>
      <c r="P42" t="str">
        <f ca="1">IF($K42="Yes",COUNTIFS($K$4:$K42,"Yes"),"")</f>
        <v/>
      </c>
      <c r="Q42">
        <f t="shared" ca="1" si="3"/>
        <v>0</v>
      </c>
      <c r="R42" t="str">
        <f ca="1">IF($Q42=1,SUM($Q$4:$Q42),"")</f>
        <v/>
      </c>
    </row>
    <row r="43" spans="1:18" ht="22.5" customHeight="1" x14ac:dyDescent="0.3">
      <c r="A43" s="2" t="s">
        <v>543</v>
      </c>
      <c r="B43" s="2" t="s">
        <v>21</v>
      </c>
      <c r="C43" s="3" t="s">
        <v>544</v>
      </c>
      <c r="D43" s="3" t="s">
        <v>127</v>
      </c>
      <c r="E43" s="2" t="s">
        <v>215</v>
      </c>
      <c r="F43" s="2" t="s">
        <v>79</v>
      </c>
      <c r="G43" s="5">
        <v>46239</v>
      </c>
      <c r="H43" s="5">
        <v>46271</v>
      </c>
      <c r="I43" s="2" t="s">
        <v>17</v>
      </c>
      <c r="J43" s="6">
        <f t="shared" si="1"/>
        <v>32</v>
      </c>
      <c r="K43" s="4" t="str">
        <f t="shared" ca="1" si="2"/>
        <v>No</v>
      </c>
      <c r="L43" s="7">
        <f t="shared" ca="1" si="4"/>
        <v>63</v>
      </c>
      <c r="M43" s="4" t="str">
        <f>IF($I43="Complete","Green",IF($H43="","Amber",IF($H43&lt;'[2]Read Me'!$B$4,"Red",IF($H43-'[2]Read Me'!$B$4&lt;=21,"Amber","Green"))))</f>
        <v>Green</v>
      </c>
      <c r="N43" s="3"/>
      <c r="O43" t="str">
        <f>IF($I43&lt;&gt;"Complete",IF(COUNTIFS($A$4:$A42,$A43,$B$4:$B42,$B43,$I$4:$I42,"&lt;&gt;Complete")=0,$A43&amp;"|"&amp;$B43,""),"")</f>
        <v/>
      </c>
      <c r="P43" t="str">
        <f ca="1">IF($K43="Yes",COUNTIFS($K$4:$K43,"Yes"),"")</f>
        <v/>
      </c>
      <c r="Q43">
        <f t="shared" ca="1" si="3"/>
        <v>0</v>
      </c>
      <c r="R43" t="str">
        <f ca="1">IF($Q43=1,SUM($Q$4:$Q43),"")</f>
        <v/>
      </c>
    </row>
    <row r="44" spans="1:18" ht="14.25" customHeight="1" x14ac:dyDescent="0.3">
      <c r="A44" s="2" t="s">
        <v>543</v>
      </c>
      <c r="B44" s="2" t="s">
        <v>21</v>
      </c>
      <c r="C44" s="3" t="s">
        <v>544</v>
      </c>
      <c r="D44" s="3" t="s">
        <v>35</v>
      </c>
      <c r="E44" s="2" t="s">
        <v>215</v>
      </c>
      <c r="F44" s="2"/>
      <c r="G44" s="5">
        <v>46253</v>
      </c>
      <c r="H44" s="5">
        <v>46285</v>
      </c>
      <c r="I44" s="4" t="s">
        <v>17</v>
      </c>
      <c r="J44" s="6">
        <f t="shared" si="1"/>
        <v>32</v>
      </c>
      <c r="K44" s="4" t="str">
        <f t="shared" ca="1" si="2"/>
        <v>No</v>
      </c>
      <c r="L44" s="7">
        <f t="shared" ca="1" si="4"/>
        <v>77</v>
      </c>
      <c r="M44" s="4" t="str">
        <f>IF($I44="Complete","Green",IF($H44="","Amber",IF($H44&lt;'[2]Read Me'!$B$4,"Red",IF($H44-'[2]Read Me'!$B$4&lt;=21,"Amber","Green"))))</f>
        <v>Green</v>
      </c>
      <c r="N44" s="3"/>
      <c r="O44" t="str">
        <f>IF($I44&lt;&gt;"Complete",IF(COUNTIFS($A$4:$A43,$A44,$B$4:$B43,$B44,$I$4:$I43,"&lt;&gt;Complete")=0,$A44&amp;"|"&amp;$B44,""),"")</f>
        <v/>
      </c>
      <c r="P44" t="str">
        <f ca="1">IF($K44="Yes",COUNTIFS($K$4:$K44,"Yes"),"")</f>
        <v/>
      </c>
      <c r="Q44">
        <f t="shared" ca="1" si="3"/>
        <v>0</v>
      </c>
      <c r="R44" t="str">
        <f ca="1">IF($Q44=1,SUM($Q$4:$Q44),"")</f>
        <v/>
      </c>
    </row>
    <row r="45" spans="1:18" ht="14.25" customHeight="1" x14ac:dyDescent="0.3">
      <c r="A45" s="2" t="s">
        <v>543</v>
      </c>
      <c r="B45" s="2" t="s">
        <v>21</v>
      </c>
      <c r="C45" s="3" t="s">
        <v>544</v>
      </c>
      <c r="D45" s="3" t="s">
        <v>16</v>
      </c>
      <c r="E45" s="2" t="s">
        <v>215</v>
      </c>
      <c r="F45" s="2" t="s">
        <v>79</v>
      </c>
      <c r="G45" s="5">
        <v>46274</v>
      </c>
      <c r="H45" s="5">
        <v>46306</v>
      </c>
      <c r="I45" s="4" t="s">
        <v>17</v>
      </c>
      <c r="J45" s="6">
        <f t="shared" si="1"/>
        <v>32</v>
      </c>
      <c r="K45" s="4" t="str">
        <f t="shared" ca="1" si="2"/>
        <v>No</v>
      </c>
      <c r="L45" s="7">
        <f t="shared" ca="1" si="4"/>
        <v>98</v>
      </c>
      <c r="M45" s="4" t="str">
        <f>IF($I45="Complete","Green",IF($H45="","Amber",IF($H45&lt;'[2]Read Me'!$B$4,"Red",IF($H45-'[2]Read Me'!$B$4&lt;=21,"Amber","Green"))))</f>
        <v>Green</v>
      </c>
      <c r="N45" s="3"/>
      <c r="O45" t="str">
        <f>IF($I45&lt;&gt;"Complete",IF(COUNTIFS($A$4:$A44,$A45,$B$4:$B44,$B45,$I$4:$I44,"&lt;&gt;Complete")=0,$A45&amp;"|"&amp;$B45,""),"")</f>
        <v/>
      </c>
      <c r="P45" t="str">
        <f ca="1">IF($K45="Yes",COUNTIFS($K$4:$K45,"Yes"),"")</f>
        <v/>
      </c>
      <c r="Q45">
        <f t="shared" ca="1" si="3"/>
        <v>0</v>
      </c>
      <c r="R45" t="str">
        <f ca="1">IF($Q45=1,SUM($Q$4:$Q45),"")</f>
        <v/>
      </c>
    </row>
    <row r="46" spans="1:18" ht="22.5" customHeight="1" x14ac:dyDescent="0.3">
      <c r="A46" s="2" t="s">
        <v>543</v>
      </c>
      <c r="B46" s="2" t="s">
        <v>21</v>
      </c>
      <c r="C46" s="3" t="s">
        <v>544</v>
      </c>
      <c r="D46" s="3" t="s">
        <v>37</v>
      </c>
      <c r="E46" s="2" t="s">
        <v>215</v>
      </c>
      <c r="F46" s="2"/>
      <c r="G46" s="5">
        <v>46288</v>
      </c>
      <c r="H46" s="5">
        <v>46320</v>
      </c>
      <c r="I46" s="4" t="s">
        <v>17</v>
      </c>
      <c r="J46" s="6">
        <f t="shared" si="1"/>
        <v>32</v>
      </c>
      <c r="K46" s="4" t="str">
        <f t="shared" ca="1" si="2"/>
        <v>No</v>
      </c>
      <c r="L46" s="7">
        <f t="shared" ca="1" si="4"/>
        <v>112</v>
      </c>
      <c r="M46" s="4" t="str">
        <f>IF($I46="Complete","Green",IF($H46="","Amber",IF($H46&lt;'[2]Read Me'!$B$4,"Red",IF($H46-'[2]Read Me'!$B$4&lt;=21,"Amber","Green"))))</f>
        <v>Green</v>
      </c>
      <c r="N46" s="3"/>
      <c r="O46" t="str">
        <f>IF($I46&lt;&gt;"Complete",IF(COUNTIFS($A$4:$A45,$A46,$B$4:$B45,$B46,$I$4:$I45,"&lt;&gt;Complete")=0,$A46&amp;"|"&amp;$B46,""),"")</f>
        <v/>
      </c>
      <c r="P46" t="str">
        <f ca="1">IF($K46="Yes",COUNTIFS($K$4:$K46,"Yes"),"")</f>
        <v/>
      </c>
      <c r="Q46">
        <f t="shared" ca="1" si="3"/>
        <v>0</v>
      </c>
      <c r="R46" t="str">
        <f ca="1">IF($Q46=1,SUM($Q$4:$Q46),"")</f>
        <v/>
      </c>
    </row>
    <row r="47" spans="1:18" ht="14.25" customHeight="1" x14ac:dyDescent="0.3">
      <c r="A47" s="2" t="s">
        <v>546</v>
      </c>
      <c r="B47" s="2" t="s">
        <v>21</v>
      </c>
      <c r="C47" s="3"/>
      <c r="D47" s="3"/>
      <c r="E47" s="2"/>
      <c r="F47" s="2"/>
      <c r="G47" s="5">
        <v>46439</v>
      </c>
      <c r="H47" s="5">
        <v>46471</v>
      </c>
      <c r="I47" s="4"/>
      <c r="J47" s="6">
        <f t="shared" si="1"/>
        <v>32</v>
      </c>
      <c r="K47" s="4" t="str">
        <f t="shared" ca="1" si="2"/>
        <v/>
      </c>
      <c r="L47" s="7">
        <f t="shared" ca="1" si="4"/>
        <v>263</v>
      </c>
      <c r="M47" s="4" t="str">
        <f>IF($I47="Complete","Green",IF($H47="","Amber",IF($H47&lt;'[2]Read Me'!$B$4,"Red",IF($H47-'[2]Read Me'!$B$4&lt;=21,"Amber","Green"))))</f>
        <v>Green</v>
      </c>
      <c r="N47" s="3"/>
      <c r="O47" t="str">
        <f>IF($I47&lt;&gt;"Complete",IF(COUNTIFS($A$4:$A46,$A47,$B$4:$B46,$B47,$I$4:$I46,"&lt;&gt;Complete")=0,$A47&amp;"|"&amp;$B47,""),"")</f>
        <v>CH - Centeral Park|Landscape</v>
      </c>
      <c r="P47" t="str">
        <f ca="1">IF($K47="Yes",COUNTIFS($K$4:$K47,"Yes"),"")</f>
        <v/>
      </c>
      <c r="Q47">
        <f t="shared" ca="1" si="3"/>
        <v>0</v>
      </c>
      <c r="R47" t="str">
        <f ca="1">IF($Q47=1,SUM($Q$4:$Q47),"")</f>
        <v/>
      </c>
    </row>
    <row r="48" spans="1:18" ht="14.25" customHeight="1" x14ac:dyDescent="0.3">
      <c r="A48" s="2" t="s">
        <v>546</v>
      </c>
      <c r="B48" s="2" t="s">
        <v>21</v>
      </c>
      <c r="C48" s="3" t="s">
        <v>547</v>
      </c>
      <c r="D48" s="3" t="s">
        <v>548</v>
      </c>
      <c r="E48" s="2" t="s">
        <v>215</v>
      </c>
      <c r="F48" s="2" t="s">
        <v>79</v>
      </c>
      <c r="G48" s="5">
        <v>46313</v>
      </c>
      <c r="H48" s="5">
        <v>46345</v>
      </c>
      <c r="I48" s="4" t="s">
        <v>17</v>
      </c>
      <c r="J48" s="6">
        <f t="shared" si="1"/>
        <v>32</v>
      </c>
      <c r="K48" s="4" t="str">
        <f t="shared" ca="1" si="2"/>
        <v>No</v>
      </c>
      <c r="L48" s="7">
        <f t="shared" ca="1" si="4"/>
        <v>137</v>
      </c>
      <c r="M48" s="4" t="str">
        <f>IF($I48="Complete","Green",IF($H48="","Amber",IF($H48&lt;'[2]Read Me'!$B$4,"Red",IF($H48-'[2]Read Me'!$B$4&lt;=21,"Amber","Green"))))</f>
        <v>Green</v>
      </c>
      <c r="N48" s="3"/>
      <c r="O48" t="str">
        <f>IF($I48&lt;&gt;"Complete",IF(COUNTIFS($A$4:$A47,$A48,$B$4:$B47,$B48,$I$4:$I47,"&lt;&gt;Complete")=0,$A48&amp;"|"&amp;$B48,""),"")</f>
        <v/>
      </c>
      <c r="P48" t="str">
        <f ca="1">IF($K48="Yes",COUNTIFS($K$4:$K48,"Yes"),"")</f>
        <v/>
      </c>
      <c r="Q48">
        <f t="shared" ca="1" si="3"/>
        <v>0</v>
      </c>
      <c r="R48" t="str">
        <f ca="1">IF($Q48=1,SUM($Q$4:$Q48),"")</f>
        <v/>
      </c>
    </row>
    <row r="49" spans="1:18" ht="14.25" customHeight="1" x14ac:dyDescent="0.3">
      <c r="A49" s="2" t="s">
        <v>546</v>
      </c>
      <c r="B49" s="2" t="s">
        <v>21</v>
      </c>
      <c r="C49" s="3" t="s">
        <v>547</v>
      </c>
      <c r="D49" s="3" t="s">
        <v>32</v>
      </c>
      <c r="E49" s="2" t="s">
        <v>215</v>
      </c>
      <c r="F49" s="2"/>
      <c r="G49" s="5">
        <v>46320</v>
      </c>
      <c r="H49" s="5">
        <v>46352</v>
      </c>
      <c r="I49" s="4" t="s">
        <v>17</v>
      </c>
      <c r="J49" s="6">
        <f t="shared" si="1"/>
        <v>32</v>
      </c>
      <c r="K49" s="4" t="str">
        <f t="shared" ca="1" si="2"/>
        <v>No</v>
      </c>
      <c r="L49" s="7">
        <f t="shared" ca="1" si="4"/>
        <v>144</v>
      </c>
      <c r="M49" s="4" t="str">
        <f>IF($I49="Complete","Green",IF($H49="","Amber",IF($H49&lt;'[2]Read Me'!$B$4,"Red",IF($H49-'[2]Read Me'!$B$4&lt;=21,"Amber","Green"))))</f>
        <v>Green</v>
      </c>
      <c r="N49" s="3"/>
      <c r="O49" t="str">
        <f>IF($I49&lt;&gt;"Complete",IF(COUNTIFS($A$4:$A48,$A49,$B$4:$B48,$B49,$I$4:$I48,"&lt;&gt;Complete")=0,$A49&amp;"|"&amp;$B49,""),"")</f>
        <v/>
      </c>
      <c r="P49" t="str">
        <f ca="1">IF($K49="Yes",COUNTIFS($K$4:$K49,"Yes"),"")</f>
        <v/>
      </c>
      <c r="Q49">
        <f t="shared" ca="1" si="3"/>
        <v>0</v>
      </c>
      <c r="R49" t="str">
        <f ca="1">IF($Q49=1,SUM($Q$4:$Q49),"")</f>
        <v/>
      </c>
    </row>
    <row r="50" spans="1:18" ht="14.25" customHeight="1" x14ac:dyDescent="0.3">
      <c r="A50" s="2" t="s">
        <v>546</v>
      </c>
      <c r="B50" s="2" t="s">
        <v>21</v>
      </c>
      <c r="C50" s="3" t="s">
        <v>547</v>
      </c>
      <c r="D50" s="3" t="s">
        <v>126</v>
      </c>
      <c r="E50" s="2" t="s">
        <v>215</v>
      </c>
      <c r="F50" s="2" t="s">
        <v>79</v>
      </c>
      <c r="G50" s="5">
        <v>46348</v>
      </c>
      <c r="H50" s="5">
        <v>46380</v>
      </c>
      <c r="I50" s="4" t="s">
        <v>17</v>
      </c>
      <c r="J50" s="6">
        <f t="shared" si="1"/>
        <v>32</v>
      </c>
      <c r="K50" s="4" t="str">
        <f t="shared" ca="1" si="2"/>
        <v>No</v>
      </c>
      <c r="L50" s="7">
        <f t="shared" ca="1" si="4"/>
        <v>172</v>
      </c>
      <c r="M50" s="4" t="str">
        <f>IF($I50="Complete","Green",IF($H50="","Amber",IF($H50&lt;'[2]Read Me'!$B$4,"Red",IF($H50-'[2]Read Me'!$B$4&lt;=21,"Amber","Green"))))</f>
        <v>Green</v>
      </c>
      <c r="N50" s="3"/>
      <c r="O50" t="str">
        <f>IF($I50&lt;&gt;"Complete",IF(COUNTIFS($A$4:$A49,$A50,$B$4:$B49,$B50,$I$4:$I49,"&lt;&gt;Complete")=0,$A50&amp;"|"&amp;$B50,""),"")</f>
        <v/>
      </c>
      <c r="P50" t="str">
        <f ca="1">IF($K50="Yes",COUNTIFS($K$4:$K50,"Yes"),"")</f>
        <v/>
      </c>
      <c r="Q50">
        <f t="shared" ca="1" si="3"/>
        <v>0</v>
      </c>
      <c r="R50" t="str">
        <f ca="1">IF($Q50=1,SUM($Q$4:$Q50),"")</f>
        <v/>
      </c>
    </row>
    <row r="51" spans="1:18" ht="22.5" customHeight="1" x14ac:dyDescent="0.3">
      <c r="A51" s="2" t="s">
        <v>546</v>
      </c>
      <c r="B51" s="2" t="s">
        <v>21</v>
      </c>
      <c r="C51" s="3" t="s">
        <v>547</v>
      </c>
      <c r="D51" s="3" t="s">
        <v>34</v>
      </c>
      <c r="E51" s="2" t="s">
        <v>215</v>
      </c>
      <c r="F51" s="2"/>
      <c r="G51" s="5">
        <v>46362</v>
      </c>
      <c r="H51" s="5">
        <v>46394</v>
      </c>
      <c r="I51" s="4" t="s">
        <v>17</v>
      </c>
      <c r="J51" s="6">
        <f t="shared" si="1"/>
        <v>32</v>
      </c>
      <c r="K51" s="4" t="str">
        <f t="shared" ca="1" si="2"/>
        <v>No</v>
      </c>
      <c r="L51" s="7">
        <f t="shared" ca="1" si="4"/>
        <v>186</v>
      </c>
      <c r="M51" s="4" t="str">
        <f>IF($I51="Complete","Green",IF($H51="","Amber",IF($H51&lt;'[2]Read Me'!$B$4,"Red",IF($H51-'[2]Read Me'!$B$4&lt;=21,"Amber","Green"))))</f>
        <v>Green</v>
      </c>
      <c r="N51" s="3"/>
      <c r="O51" t="str">
        <f>IF($I51&lt;&gt;"Complete",IF(COUNTIFS($A$4:$A50,$A51,$B$4:$B50,$B51,$I$4:$I50,"&lt;&gt;Complete")=0,$A51&amp;"|"&amp;$B51,""),"")</f>
        <v/>
      </c>
      <c r="P51" t="str">
        <f ca="1">IF($K51="Yes",COUNTIFS($K$4:$K51,"Yes"),"")</f>
        <v/>
      </c>
      <c r="Q51">
        <f t="shared" ca="1" si="3"/>
        <v>0</v>
      </c>
      <c r="R51" t="str">
        <f ca="1">IF($Q51=1,SUM($Q$4:$Q51),"")</f>
        <v/>
      </c>
    </row>
    <row r="52" spans="1:18" ht="33.75" customHeight="1" x14ac:dyDescent="0.3">
      <c r="A52" s="2" t="s">
        <v>546</v>
      </c>
      <c r="B52" s="2" t="s">
        <v>21</v>
      </c>
      <c r="C52" s="3" t="s">
        <v>547</v>
      </c>
      <c r="D52" s="3" t="s">
        <v>127</v>
      </c>
      <c r="E52" s="2" t="s">
        <v>215</v>
      </c>
      <c r="F52" s="2" t="s">
        <v>79</v>
      </c>
      <c r="G52" s="5">
        <v>46390</v>
      </c>
      <c r="H52" s="5">
        <v>46422</v>
      </c>
      <c r="I52" s="4" t="s">
        <v>17</v>
      </c>
      <c r="J52" s="6">
        <f t="shared" si="1"/>
        <v>32</v>
      </c>
      <c r="K52" s="4" t="str">
        <f t="shared" ca="1" si="2"/>
        <v>No</v>
      </c>
      <c r="L52" s="7">
        <f t="shared" ca="1" si="4"/>
        <v>214</v>
      </c>
      <c r="M52" s="4" t="str">
        <f>IF($I52="Complete","Green",IF($H52="","Amber",IF($H52&lt;'[2]Read Me'!$B$4,"Red",IF($H52-'[2]Read Me'!$B$4&lt;=21,"Amber","Green"))))</f>
        <v>Green</v>
      </c>
      <c r="N52" s="3"/>
      <c r="O52" t="str">
        <f>IF($I52&lt;&gt;"Complete",IF(COUNTIFS($A$4:$A51,$A52,$B$4:$B51,$B52,$I$4:$I51,"&lt;&gt;Complete")=0,$A52&amp;"|"&amp;$B52,""),"")</f>
        <v/>
      </c>
      <c r="P52" t="str">
        <f ca="1">IF($K52="Yes",COUNTIFS($K$4:$K52,"Yes"),"")</f>
        <v/>
      </c>
      <c r="Q52">
        <f t="shared" ca="1" si="3"/>
        <v>0</v>
      </c>
      <c r="R52" t="str">
        <f ca="1">IF($Q52=1,SUM($Q$4:$Q52),"")</f>
        <v/>
      </c>
    </row>
    <row r="53" spans="1:18" ht="14.25" customHeight="1" x14ac:dyDescent="0.3">
      <c r="A53" s="2" t="s">
        <v>546</v>
      </c>
      <c r="B53" s="2" t="s">
        <v>21</v>
      </c>
      <c r="C53" s="3" t="s">
        <v>547</v>
      </c>
      <c r="D53" s="3" t="s">
        <v>35</v>
      </c>
      <c r="E53" s="2" t="s">
        <v>215</v>
      </c>
      <c r="F53" s="2"/>
      <c r="G53" s="5">
        <v>46404</v>
      </c>
      <c r="H53" s="5">
        <v>46436</v>
      </c>
      <c r="I53" s="4" t="s">
        <v>17</v>
      </c>
      <c r="J53" s="6">
        <f t="shared" si="1"/>
        <v>32</v>
      </c>
      <c r="K53" s="4" t="str">
        <f t="shared" ca="1" si="2"/>
        <v>No</v>
      </c>
      <c r="L53" s="7">
        <f t="shared" ca="1" si="4"/>
        <v>228</v>
      </c>
      <c r="M53" s="4" t="str">
        <f>IF($I53="Complete","Green",IF($H53="","Amber",IF($H53&lt;'[2]Read Me'!$B$4,"Red",IF($H53-'[2]Read Me'!$B$4&lt;=21,"Amber","Green"))))</f>
        <v>Green</v>
      </c>
      <c r="N53" s="3"/>
      <c r="O53" t="str">
        <f>IF($I53&lt;&gt;"Complete",IF(COUNTIFS($A$4:$A52,$A53,$B$4:$B52,$B53,$I$4:$I52,"&lt;&gt;Complete")=0,$A53&amp;"|"&amp;$B53,""),"")</f>
        <v/>
      </c>
      <c r="P53" t="str">
        <f ca="1">IF($K53="Yes",COUNTIFS($K$4:$K53,"Yes"),"")</f>
        <v/>
      </c>
      <c r="Q53">
        <f t="shared" ca="1" si="3"/>
        <v>0</v>
      </c>
      <c r="R53" t="str">
        <f ca="1">IF($Q53=1,SUM($Q$4:$Q53),"")</f>
        <v/>
      </c>
    </row>
    <row r="54" spans="1:18" ht="14.25" customHeight="1" x14ac:dyDescent="0.3">
      <c r="A54" s="2" t="s">
        <v>546</v>
      </c>
      <c r="B54" s="2" t="s">
        <v>21</v>
      </c>
      <c r="C54" s="3" t="s">
        <v>547</v>
      </c>
      <c r="D54" s="3" t="s">
        <v>20</v>
      </c>
      <c r="E54" s="2" t="s">
        <v>215</v>
      </c>
      <c r="F54" s="2"/>
      <c r="G54" s="5">
        <v>46404</v>
      </c>
      <c r="H54" s="5">
        <v>46436</v>
      </c>
      <c r="I54" s="4" t="s">
        <v>17</v>
      </c>
      <c r="J54" s="6">
        <f t="shared" si="1"/>
        <v>32</v>
      </c>
      <c r="K54" s="4" t="str">
        <f t="shared" ca="1" si="2"/>
        <v>No</v>
      </c>
      <c r="L54" s="7">
        <f t="shared" ca="1" si="4"/>
        <v>228</v>
      </c>
      <c r="M54" s="4" t="str">
        <f>IF($I54="Complete","Green",IF($H54="","Amber",IF($H54&lt;'[2]Read Me'!$B$4,"Red",IF($H54-'[2]Read Me'!$B$4&lt;=21,"Amber","Green"))))</f>
        <v>Green</v>
      </c>
      <c r="N54" s="3"/>
      <c r="O54" t="str">
        <f>IF($I54&lt;&gt;"Complete",IF(COUNTIFS($A$4:$A53,$A54,$B$4:$B53,$B54,$I$4:$I53,"&lt;&gt;Complete")=0,$A54&amp;"|"&amp;$B54,""),"")</f>
        <v/>
      </c>
      <c r="P54" t="str">
        <f ca="1">IF($K54="Yes",COUNTIFS($K$4:$K54,"Yes"),"")</f>
        <v/>
      </c>
      <c r="Q54">
        <f t="shared" ca="1" si="3"/>
        <v>0</v>
      </c>
      <c r="R54" t="str">
        <f ca="1">IF($Q54=1,SUM($Q$4:$Q54),"")</f>
        <v/>
      </c>
    </row>
    <row r="55" spans="1:18" ht="14.25" customHeight="1" x14ac:dyDescent="0.3">
      <c r="A55" s="2" t="s">
        <v>546</v>
      </c>
      <c r="B55" s="2" t="s">
        <v>21</v>
      </c>
      <c r="C55" s="3" t="s">
        <v>547</v>
      </c>
      <c r="D55" s="3" t="s">
        <v>16</v>
      </c>
      <c r="E55" s="2" t="s">
        <v>215</v>
      </c>
      <c r="F55" s="2" t="s">
        <v>79</v>
      </c>
      <c r="G55" s="5">
        <v>46425</v>
      </c>
      <c r="H55" s="5">
        <v>46457</v>
      </c>
      <c r="I55" s="4" t="s">
        <v>17</v>
      </c>
      <c r="J55" s="6">
        <f t="shared" si="1"/>
        <v>32</v>
      </c>
      <c r="K55" s="4" t="str">
        <f t="shared" ca="1" si="2"/>
        <v>No</v>
      </c>
      <c r="L55" s="7">
        <f t="shared" ca="1" si="4"/>
        <v>249</v>
      </c>
      <c r="M55" s="4" t="str">
        <f>IF($I55="Complete","Green",IF($H55="","Amber",IF($H55&lt;'[2]Read Me'!$B$4,"Red",IF($H55-'[2]Read Me'!$B$4&lt;=21,"Amber","Green"))))</f>
        <v>Green</v>
      </c>
      <c r="N55" s="3"/>
      <c r="O55" t="str">
        <f>IF($I55&lt;&gt;"Complete",IF(COUNTIFS($A$4:$A54,$A55,$B$4:$B54,$B55,$I$4:$I54,"&lt;&gt;Complete")=0,$A55&amp;"|"&amp;$B55,""),"")</f>
        <v/>
      </c>
      <c r="P55" t="str">
        <f ca="1">IF($K55="Yes",COUNTIFS($K$4:$K55,"Yes"),"")</f>
        <v/>
      </c>
      <c r="Q55">
        <f t="shared" ca="1" si="3"/>
        <v>0</v>
      </c>
      <c r="R55" t="str">
        <f ca="1">IF($Q55=1,SUM($Q$4:$Q55),"")</f>
        <v/>
      </c>
    </row>
    <row r="56" spans="1:18" ht="14.25" customHeight="1" x14ac:dyDescent="0.3">
      <c r="A56" s="2" t="s">
        <v>546</v>
      </c>
      <c r="B56" s="2" t="s">
        <v>21</v>
      </c>
      <c r="C56" s="3" t="s">
        <v>547</v>
      </c>
      <c r="D56" s="3" t="s">
        <v>37</v>
      </c>
      <c r="E56" s="2" t="s">
        <v>215</v>
      </c>
      <c r="F56" s="2"/>
      <c r="G56" s="5">
        <v>46439</v>
      </c>
      <c r="H56" s="5">
        <v>46471</v>
      </c>
      <c r="I56" s="4" t="s">
        <v>17</v>
      </c>
      <c r="J56" s="6">
        <f t="shared" si="1"/>
        <v>32</v>
      </c>
      <c r="K56" s="4" t="str">
        <f t="shared" ca="1" si="2"/>
        <v>No</v>
      </c>
      <c r="L56" s="7">
        <f t="shared" ca="1" si="4"/>
        <v>263</v>
      </c>
      <c r="M56" s="4" t="str">
        <f>IF($I56="Complete","Green",IF($H56="","Amber",IF($H56&lt;'[2]Read Me'!$B$4,"Red",IF($H56-'[2]Read Me'!$B$4&lt;=21,"Amber","Green"))))</f>
        <v>Green</v>
      </c>
      <c r="N56" s="3"/>
      <c r="O56" t="str">
        <f>IF($I56&lt;&gt;"Complete",IF(COUNTIFS($A$4:$A55,$A56,$B$4:$B55,$B56,$I$4:$I55,"&lt;&gt;Complete")=0,$A56&amp;"|"&amp;$B56,""),"")</f>
        <v/>
      </c>
      <c r="P56" t="str">
        <f ca="1">IF($K56="Yes",COUNTIFS($K$4:$K56,"Yes"),"")</f>
        <v/>
      </c>
      <c r="Q56">
        <f t="shared" ca="1" si="3"/>
        <v>0</v>
      </c>
      <c r="R56" t="str">
        <f ca="1">IF($Q56=1,SUM($Q$4:$Q56),"")</f>
        <v/>
      </c>
    </row>
    <row r="57" spans="1:18" ht="14.25" customHeight="1" x14ac:dyDescent="0.3">
      <c r="A57" s="2" t="s">
        <v>549</v>
      </c>
      <c r="B57" s="2" t="s">
        <v>21</v>
      </c>
      <c r="C57" s="3"/>
      <c r="D57" s="3"/>
      <c r="E57" s="2"/>
      <c r="F57" s="2"/>
      <c r="G57" s="5">
        <v>46315</v>
      </c>
      <c r="H57" s="5">
        <v>46330</v>
      </c>
      <c r="I57" s="4"/>
      <c r="J57" s="6">
        <f t="shared" si="1"/>
        <v>15</v>
      </c>
      <c r="K57" s="4" t="str">
        <f t="shared" ca="1" si="2"/>
        <v/>
      </c>
      <c r="L57" s="7">
        <f t="shared" ca="1" si="4"/>
        <v>122</v>
      </c>
      <c r="M57" s="4" t="str">
        <f>IF($I57="Complete","Green",IF($H57="","Amber",IF($H57&lt;'[2]Read Me'!$B$4,"Red",IF($H57-'[2]Read Me'!$B$4&lt;=21,"Amber","Green"))))</f>
        <v>Green</v>
      </c>
      <c r="N57" s="3"/>
      <c r="O57" t="str">
        <f>IF($I57&lt;&gt;"Complete",IF(COUNTIFS($A$4:$A56,$A57,$B$4:$B56,$B57,$I$4:$I56,"&lt;&gt;Complete")=0,$A57&amp;"|"&amp;$B57,""),"")</f>
        <v>Kiosks - Centeral Park|Landscape</v>
      </c>
      <c r="P57" t="str">
        <f ca="1">IF($K57="Yes",COUNTIFS($K$4:$K57,"Yes"),"")</f>
        <v/>
      </c>
      <c r="Q57">
        <f t="shared" ca="1" si="3"/>
        <v>0</v>
      </c>
      <c r="R57" t="str">
        <f ca="1">IF($Q57=1,SUM($Q$4:$Q57),"")</f>
        <v/>
      </c>
    </row>
    <row r="58" spans="1:18" ht="14.25" customHeight="1" x14ac:dyDescent="0.3">
      <c r="A58" s="2" t="s">
        <v>549</v>
      </c>
      <c r="B58" s="2" t="s">
        <v>21</v>
      </c>
      <c r="C58" s="3" t="s">
        <v>550</v>
      </c>
      <c r="D58" s="3" t="s">
        <v>548</v>
      </c>
      <c r="E58" s="2" t="s">
        <v>215</v>
      </c>
      <c r="F58" s="2" t="s">
        <v>79</v>
      </c>
      <c r="G58" s="5">
        <v>46203</v>
      </c>
      <c r="H58" s="5">
        <v>46218</v>
      </c>
      <c r="I58" s="4" t="s">
        <v>17</v>
      </c>
      <c r="J58" s="6">
        <f t="shared" si="1"/>
        <v>15</v>
      </c>
      <c r="K58" s="4" t="str">
        <f t="shared" ca="1" si="2"/>
        <v>No</v>
      </c>
      <c r="L58" s="7">
        <f t="shared" ca="1" si="4"/>
        <v>10</v>
      </c>
      <c r="M58" s="4" t="str">
        <f>IF($I58="Complete","Green",IF($H58="","Amber",IF($H58&lt;'[2]Read Me'!$B$4,"Red",IF($H58-'[2]Read Me'!$B$4&lt;=21,"Amber","Green"))))</f>
        <v>Green</v>
      </c>
      <c r="N58" s="3"/>
      <c r="O58" t="str">
        <f>IF($I58&lt;&gt;"Complete",IF(COUNTIFS($A$4:$A57,$A58,$B$4:$B57,$B58,$I$4:$I57,"&lt;&gt;Complete")=0,$A58&amp;"|"&amp;$B58,""),"")</f>
        <v/>
      </c>
      <c r="P58" t="str">
        <f ca="1">IF($K58="Yes",COUNTIFS($K$4:$K58,"Yes"),"")</f>
        <v/>
      </c>
      <c r="Q58">
        <f t="shared" ca="1" si="3"/>
        <v>0</v>
      </c>
      <c r="R58" t="str">
        <f ca="1">IF($Q58=1,SUM($Q$4:$Q58),"")</f>
        <v/>
      </c>
    </row>
    <row r="59" spans="1:18" ht="14.25" customHeight="1" x14ac:dyDescent="0.3">
      <c r="A59" s="2" t="s">
        <v>549</v>
      </c>
      <c r="B59" s="2" t="s">
        <v>21</v>
      </c>
      <c r="C59" s="3" t="s">
        <v>550</v>
      </c>
      <c r="D59" s="3" t="s">
        <v>32</v>
      </c>
      <c r="E59" s="2" t="s">
        <v>215</v>
      </c>
      <c r="F59" s="2"/>
      <c r="G59" s="5">
        <v>46210</v>
      </c>
      <c r="H59" s="5">
        <v>46225</v>
      </c>
      <c r="I59" s="4" t="s">
        <v>17</v>
      </c>
      <c r="J59" s="6">
        <f t="shared" si="1"/>
        <v>15</v>
      </c>
      <c r="K59" s="4" t="str">
        <f t="shared" ca="1" si="2"/>
        <v>No</v>
      </c>
      <c r="L59" s="7">
        <f t="shared" ca="1" si="4"/>
        <v>17</v>
      </c>
      <c r="M59" s="4" t="str">
        <f>IF($I59="Complete","Green",IF($H59="","Amber",IF($H59&lt;'[2]Read Me'!$B$4,"Red",IF($H59-'[2]Read Me'!$B$4&lt;=21,"Amber","Green"))))</f>
        <v>Green</v>
      </c>
      <c r="N59" s="3"/>
      <c r="O59" t="str">
        <f>IF($I59&lt;&gt;"Complete",IF(COUNTIFS($A$4:$A58,$A59,$B$4:$B58,$B59,$I$4:$I58,"&lt;&gt;Complete")=0,$A59&amp;"|"&amp;$B59,""),"")</f>
        <v/>
      </c>
      <c r="P59" t="str">
        <f ca="1">IF($K59="Yes",COUNTIFS($K$4:$K59,"Yes"),"")</f>
        <v/>
      </c>
      <c r="Q59">
        <f t="shared" ca="1" si="3"/>
        <v>0</v>
      </c>
      <c r="R59" t="str">
        <f ca="1">IF($Q59=1,SUM($Q$4:$Q59),"")</f>
        <v/>
      </c>
    </row>
    <row r="60" spans="1:18" ht="14.25" customHeight="1" x14ac:dyDescent="0.3">
      <c r="A60" s="2" t="s">
        <v>549</v>
      </c>
      <c r="B60" s="2" t="s">
        <v>21</v>
      </c>
      <c r="C60" s="3" t="s">
        <v>550</v>
      </c>
      <c r="D60" s="3" t="s">
        <v>126</v>
      </c>
      <c r="E60" s="2" t="s">
        <v>215</v>
      </c>
      <c r="F60" s="2" t="s">
        <v>79</v>
      </c>
      <c r="G60" s="5">
        <v>46238</v>
      </c>
      <c r="H60" s="5">
        <v>46253</v>
      </c>
      <c r="I60" s="4" t="s">
        <v>17</v>
      </c>
      <c r="J60" s="6">
        <f t="shared" si="1"/>
        <v>15</v>
      </c>
      <c r="K60" s="4" t="str">
        <f t="shared" ca="1" si="2"/>
        <v>No</v>
      </c>
      <c r="L60" s="7">
        <f t="shared" ca="1" si="4"/>
        <v>45</v>
      </c>
      <c r="M60" s="4" t="str">
        <f>IF($I60="Complete","Green",IF($H60="","Amber",IF($H60&lt;'[2]Read Me'!$B$4,"Red",IF($H60-'[2]Read Me'!$B$4&lt;=21,"Amber","Green"))))</f>
        <v>Green</v>
      </c>
      <c r="N60" s="3"/>
      <c r="O60" t="str">
        <f>IF($I60&lt;&gt;"Complete",IF(COUNTIFS($A$4:$A59,$A60,$B$4:$B59,$B60,$I$4:$I59,"&lt;&gt;Complete")=0,$A60&amp;"|"&amp;$B60,""),"")</f>
        <v/>
      </c>
      <c r="P60" t="str">
        <f ca="1">IF($K60="Yes",COUNTIFS($K$4:$K60,"Yes"),"")</f>
        <v/>
      </c>
      <c r="Q60">
        <f t="shared" ca="1" si="3"/>
        <v>0</v>
      </c>
      <c r="R60" t="str">
        <f ca="1">IF($Q60=1,SUM($Q$4:$Q60),"")</f>
        <v/>
      </c>
    </row>
    <row r="61" spans="1:18" ht="14.25" customHeight="1" x14ac:dyDescent="0.3">
      <c r="A61" s="2" t="s">
        <v>549</v>
      </c>
      <c r="B61" s="2" t="s">
        <v>21</v>
      </c>
      <c r="C61" s="3" t="s">
        <v>550</v>
      </c>
      <c r="D61" s="3" t="s">
        <v>34</v>
      </c>
      <c r="E61" s="2" t="s">
        <v>215</v>
      </c>
      <c r="F61" s="2"/>
      <c r="G61" s="5">
        <v>46252</v>
      </c>
      <c r="H61" s="5">
        <v>46267</v>
      </c>
      <c r="I61" s="4" t="s">
        <v>17</v>
      </c>
      <c r="J61" s="6">
        <f t="shared" si="1"/>
        <v>15</v>
      </c>
      <c r="K61" s="4" t="str">
        <f t="shared" ca="1" si="2"/>
        <v>No</v>
      </c>
      <c r="L61" s="7">
        <f t="shared" ca="1" si="4"/>
        <v>59</v>
      </c>
      <c r="M61" s="4" t="str">
        <f>IF($I61="Complete","Green",IF($H61="","Amber",IF($H61&lt;'[2]Read Me'!$B$4,"Red",IF($H61-'[2]Read Me'!$B$4&lt;=21,"Amber","Green"))))</f>
        <v>Green</v>
      </c>
      <c r="N61" s="3"/>
      <c r="O61" t="str">
        <f>IF($I61&lt;&gt;"Complete",IF(COUNTIFS($A$4:$A60,$A61,$B$4:$B60,$B61,$I$4:$I60,"&lt;&gt;Complete")=0,$A61&amp;"|"&amp;$B61,""),"")</f>
        <v/>
      </c>
      <c r="P61" t="str">
        <f ca="1">IF($K61="Yes",COUNTIFS($K$4:$K61,"Yes"),"")</f>
        <v/>
      </c>
      <c r="Q61">
        <f t="shared" ca="1" si="3"/>
        <v>0</v>
      </c>
      <c r="R61" t="str">
        <f ca="1">IF($Q61=1,SUM($Q$4:$Q61),"")</f>
        <v/>
      </c>
    </row>
    <row r="62" spans="1:18" ht="14.25" customHeight="1" x14ac:dyDescent="0.3">
      <c r="A62" s="2" t="s">
        <v>549</v>
      </c>
      <c r="B62" s="2" t="s">
        <v>21</v>
      </c>
      <c r="C62" s="3" t="s">
        <v>550</v>
      </c>
      <c r="D62" s="3" t="s">
        <v>127</v>
      </c>
      <c r="E62" s="2" t="s">
        <v>215</v>
      </c>
      <c r="F62" s="2" t="s">
        <v>79</v>
      </c>
      <c r="G62" s="5">
        <v>46266</v>
      </c>
      <c r="H62" s="5">
        <v>46281</v>
      </c>
      <c r="I62" s="4" t="s">
        <v>17</v>
      </c>
      <c r="J62" s="6">
        <f t="shared" si="1"/>
        <v>15</v>
      </c>
      <c r="K62" s="4" t="str">
        <f t="shared" ca="1" si="2"/>
        <v>No</v>
      </c>
      <c r="L62" s="7">
        <f t="shared" ca="1" si="4"/>
        <v>73</v>
      </c>
      <c r="M62" s="4" t="str">
        <f>IF($I62="Complete","Green",IF($H62="","Amber",IF($H62&lt;'[2]Read Me'!$B$4,"Red",IF($H62-'[2]Read Me'!$B$4&lt;=21,"Amber","Green"))))</f>
        <v>Green</v>
      </c>
      <c r="N62" s="3"/>
      <c r="O62" t="str">
        <f>IF($I62&lt;&gt;"Complete",IF(COUNTIFS($A$4:$A61,$A62,$B$4:$B61,$B62,$I$4:$I61,"&lt;&gt;Complete")=0,$A62&amp;"|"&amp;$B62,""),"")</f>
        <v/>
      </c>
      <c r="P62" t="str">
        <f ca="1">IF($K62="Yes",COUNTIFS($K$4:$K62,"Yes"),"")</f>
        <v/>
      </c>
      <c r="Q62">
        <f t="shared" ca="1" si="3"/>
        <v>0</v>
      </c>
      <c r="R62" t="str">
        <f ca="1">IF($Q62=1,SUM($Q$4:$Q62),"")</f>
        <v/>
      </c>
    </row>
    <row r="63" spans="1:18" ht="22.5" customHeight="1" x14ac:dyDescent="0.3">
      <c r="A63" s="2" t="s">
        <v>549</v>
      </c>
      <c r="B63" s="2" t="s">
        <v>21</v>
      </c>
      <c r="C63" s="3" t="s">
        <v>550</v>
      </c>
      <c r="D63" s="3" t="s">
        <v>35</v>
      </c>
      <c r="E63" s="2" t="s">
        <v>215</v>
      </c>
      <c r="F63" s="2"/>
      <c r="G63" s="5">
        <v>46280</v>
      </c>
      <c r="H63" s="5">
        <v>46295</v>
      </c>
      <c r="I63" s="4" t="s">
        <v>17</v>
      </c>
      <c r="J63" s="6">
        <f t="shared" si="1"/>
        <v>15</v>
      </c>
      <c r="K63" s="4" t="str">
        <f t="shared" ca="1" si="2"/>
        <v>No</v>
      </c>
      <c r="L63" s="7">
        <f t="shared" ca="1" si="4"/>
        <v>87</v>
      </c>
      <c r="M63" s="4" t="str">
        <f>IF($I63="Complete","Green",IF($H63="","Amber",IF($H63&lt;'[2]Read Me'!$B$4,"Red",IF($H63-'[2]Read Me'!$B$4&lt;=21,"Amber","Green"))))</f>
        <v>Green</v>
      </c>
      <c r="N63" s="3"/>
      <c r="O63" t="str">
        <f>IF($I63&lt;&gt;"Complete",IF(COUNTIFS($A$4:$A62,$A63,$B$4:$B62,$B63,$I$4:$I62,"&lt;&gt;Complete")=0,$A63&amp;"|"&amp;$B63,""),"")</f>
        <v/>
      </c>
      <c r="P63" t="str">
        <f ca="1">IF($K63="Yes",COUNTIFS($K$4:$K63,"Yes"),"")</f>
        <v/>
      </c>
      <c r="Q63">
        <f t="shared" ca="1" si="3"/>
        <v>0</v>
      </c>
      <c r="R63" t="str">
        <f ca="1">IF($Q63=1,SUM($Q$4:$Q63),"")</f>
        <v/>
      </c>
    </row>
    <row r="64" spans="1:18" ht="22.5" customHeight="1" x14ac:dyDescent="0.3">
      <c r="A64" s="2" t="s">
        <v>549</v>
      </c>
      <c r="B64" s="2" t="s">
        <v>21</v>
      </c>
      <c r="C64" s="3" t="s">
        <v>550</v>
      </c>
      <c r="D64" s="3" t="s">
        <v>16</v>
      </c>
      <c r="E64" s="2" t="s">
        <v>215</v>
      </c>
      <c r="F64" s="2" t="s">
        <v>79</v>
      </c>
      <c r="G64" s="5">
        <v>46301</v>
      </c>
      <c r="H64" s="5">
        <v>46316</v>
      </c>
      <c r="I64" s="4" t="s">
        <v>17</v>
      </c>
      <c r="J64" s="6">
        <f t="shared" si="1"/>
        <v>15</v>
      </c>
      <c r="K64" s="4" t="str">
        <f t="shared" ca="1" si="2"/>
        <v>No</v>
      </c>
      <c r="L64" s="7">
        <f t="shared" ca="1" si="4"/>
        <v>108</v>
      </c>
      <c r="M64" s="4" t="str">
        <f>IF($I64="Complete","Green",IF($H64="","Amber",IF($H64&lt;'[2]Read Me'!$B$4,"Red",IF($H64-'[2]Read Me'!$B$4&lt;=21,"Amber","Green"))))</f>
        <v>Green</v>
      </c>
      <c r="N64" s="3"/>
      <c r="O64" t="str">
        <f>IF($I64&lt;&gt;"Complete",IF(COUNTIFS($A$4:$A63,$A64,$B$4:$B63,$B64,$I$4:$I63,"&lt;&gt;Complete")=0,$A64&amp;"|"&amp;$B64,""),"")</f>
        <v/>
      </c>
      <c r="P64" t="str">
        <f ca="1">IF($K64="Yes",COUNTIFS($K$4:$K64,"Yes"),"")</f>
        <v/>
      </c>
      <c r="Q64">
        <f t="shared" ca="1" si="3"/>
        <v>0</v>
      </c>
      <c r="R64" t="str">
        <f ca="1">IF($Q64=1,SUM($Q$4:$Q64),"")</f>
        <v/>
      </c>
    </row>
    <row r="65" spans="1:18" ht="22.5" customHeight="1" x14ac:dyDescent="0.3">
      <c r="A65" s="2" t="s">
        <v>549</v>
      </c>
      <c r="B65" s="2" t="s">
        <v>21</v>
      </c>
      <c r="C65" s="3" t="s">
        <v>550</v>
      </c>
      <c r="D65" s="3" t="s">
        <v>37</v>
      </c>
      <c r="E65" s="2" t="s">
        <v>215</v>
      </c>
      <c r="F65" s="2"/>
      <c r="G65" s="5">
        <v>46315</v>
      </c>
      <c r="H65" s="5">
        <v>46330</v>
      </c>
      <c r="I65" s="4" t="s">
        <v>17</v>
      </c>
      <c r="J65" s="6">
        <f t="shared" si="1"/>
        <v>15</v>
      </c>
      <c r="K65" s="4" t="str">
        <f t="shared" ca="1" si="2"/>
        <v>No</v>
      </c>
      <c r="L65" s="7">
        <f t="shared" ca="1" si="4"/>
        <v>122</v>
      </c>
      <c r="M65" s="4" t="str">
        <f>IF($I65="Complete","Green",IF($H65="","Amber",IF($H65&lt;'[2]Read Me'!$B$4,"Red",IF($H65-'[2]Read Me'!$B$4&lt;=21,"Amber","Green"))))</f>
        <v>Green</v>
      </c>
      <c r="N65" s="3"/>
      <c r="O65" t="str">
        <f>IF($I65&lt;&gt;"Complete",IF(COUNTIFS($A$4:$A64,$A65,$B$4:$B64,$B65,$I$4:$I64,"&lt;&gt;Complete")=0,$A65&amp;"|"&amp;$B65,""),"")</f>
        <v/>
      </c>
      <c r="P65" t="str">
        <f ca="1">IF($K65="Yes",COUNTIFS($K$4:$K65,"Yes"),"")</f>
        <v/>
      </c>
      <c r="Q65">
        <f t="shared" ca="1" si="3"/>
        <v>0</v>
      </c>
      <c r="R65" t="str">
        <f ca="1">IF($Q65=1,SUM($Q$4:$Q65),"")</f>
        <v/>
      </c>
    </row>
    <row r="66" spans="1:18" ht="22.5" hidden="1" customHeight="1" x14ac:dyDescent="0.3">
      <c r="A66" s="2" t="s">
        <v>551</v>
      </c>
      <c r="B66" s="2" t="s">
        <v>62</v>
      </c>
      <c r="C66" s="3"/>
      <c r="D66" s="3"/>
      <c r="E66" s="2"/>
      <c r="F66" s="2"/>
      <c r="G66" s="5">
        <v>46139</v>
      </c>
      <c r="H66" s="5">
        <v>46292</v>
      </c>
      <c r="I66" s="4"/>
      <c r="J66" s="6">
        <f t="shared" si="1"/>
        <v>153</v>
      </c>
      <c r="K66" s="4" t="str">
        <f t="shared" ca="1" si="2"/>
        <v/>
      </c>
      <c r="L66" s="7">
        <f t="shared" ca="1" si="4"/>
        <v>84</v>
      </c>
      <c r="M66" s="4" t="str">
        <f>IF($I66="Complete","Green",IF($H66="","Amber",IF($H66&lt;'[2]Read Me'!$B$4,"Red",IF($H66-'[2]Read Me'!$B$4&lt;=21,"Amber","Green"))))</f>
        <v>Green</v>
      </c>
      <c r="N66" s="3"/>
      <c r="O66" t="str">
        <f>IF($I66&lt;&gt;"Complete",IF(COUNTIFS($A$4:$A65,$A66,$B$4:$B65,$B66,$I$4:$I65,"&lt;&gt;Complete")=0,$A66&amp;"|"&amp;$B66,""),"")</f>
        <v>Ph - 1A|Buildings</v>
      </c>
      <c r="P66" t="str">
        <f ca="1">IF($K66="Yes",COUNTIFS($K$4:$K66,"Yes"),"")</f>
        <v/>
      </c>
      <c r="Q66">
        <f t="shared" ca="1" si="3"/>
        <v>0</v>
      </c>
      <c r="R66" t="str">
        <f ca="1">IF($Q66=1,SUM($Q$4:$Q66),"")</f>
        <v/>
      </c>
    </row>
    <row r="67" spans="1:18" ht="22.5" hidden="1" customHeight="1" x14ac:dyDescent="0.3">
      <c r="A67" s="2" t="s">
        <v>551</v>
      </c>
      <c r="B67" s="2" t="s">
        <v>62</v>
      </c>
      <c r="C67" s="3" t="s">
        <v>552</v>
      </c>
      <c r="D67" s="3" t="s">
        <v>98</v>
      </c>
      <c r="E67" s="2" t="s">
        <v>553</v>
      </c>
      <c r="F67" s="2" t="s">
        <v>79</v>
      </c>
      <c r="G67" s="5">
        <v>45609</v>
      </c>
      <c r="H67" s="5">
        <v>45609</v>
      </c>
      <c r="I67" s="4" t="s">
        <v>31</v>
      </c>
      <c r="J67" s="6">
        <f t="shared" si="1"/>
        <v>0</v>
      </c>
      <c r="K67" s="4" t="str">
        <f t="shared" ca="1" si="2"/>
        <v>-</v>
      </c>
      <c r="L67" s="7">
        <f t="shared" ca="1" si="4"/>
        <v>0</v>
      </c>
      <c r="M67" s="4" t="str">
        <f>IF($I67="Complete","Green",IF($H67="","Amber",IF($H67&lt;'[2]Read Me'!$B$4,"Red",IF($H67-'[2]Read Me'!$B$4&lt;=21,"Amber","Green"))))</f>
        <v>Red</v>
      </c>
      <c r="N67" s="3"/>
      <c r="O67" t="str">
        <f>IF($I67&lt;&gt;"Complete",IF(COUNTIFS($A$4:$A66,$A67,$B$4:$B66,$B67,$I$4:$I66,"&lt;&gt;Complete")=0,$A67&amp;"|"&amp;$B67,""),"")</f>
        <v/>
      </c>
      <c r="P67" t="str">
        <f ca="1">IF($K67="Yes",COUNTIFS($K$4:$K67,"Yes"),"")</f>
        <v/>
      </c>
      <c r="Q67">
        <f t="shared" ca="1" si="3"/>
        <v>0</v>
      </c>
      <c r="R67" t="str">
        <f ca="1">IF($Q67=1,SUM($Q$4:$Q67),"")</f>
        <v/>
      </c>
    </row>
    <row r="68" spans="1:18" ht="22.5" hidden="1" customHeight="1" x14ac:dyDescent="0.3">
      <c r="A68" s="2" t="s">
        <v>551</v>
      </c>
      <c r="B68" s="2" t="s">
        <v>62</v>
      </c>
      <c r="C68" s="3" t="s">
        <v>552</v>
      </c>
      <c r="D68" s="3" t="s">
        <v>47</v>
      </c>
      <c r="E68" s="2" t="s">
        <v>553</v>
      </c>
      <c r="F68" s="2"/>
      <c r="G68" s="5">
        <v>45628</v>
      </c>
      <c r="H68" s="5">
        <v>45628</v>
      </c>
      <c r="I68" s="4" t="s">
        <v>31</v>
      </c>
      <c r="J68" s="6">
        <f t="shared" ref="J68:J131" si="5">IF(OR($G68="",$H68=""),"",$H68-$G68)</f>
        <v>0</v>
      </c>
      <c r="K68" s="4" t="str">
        <f t="shared" ref="K68:K131" ca="1" si="6">IF(C68="","",IF(H68="","",IF($I68="completed","-",IF($H68&gt;TODAY(),"No","Yes"))))</f>
        <v>-</v>
      </c>
      <c r="L68" s="7">
        <f t="shared" ca="1" si="4"/>
        <v>0</v>
      </c>
      <c r="M68" s="4" t="str">
        <f>IF($I68="Complete","Green",IF($H68="","Amber",IF($H68&lt;'[2]Read Me'!$B$4,"Red",IF($H68-'[2]Read Me'!$B$4&lt;=21,"Amber","Green"))))</f>
        <v>Red</v>
      </c>
      <c r="N68" s="3"/>
      <c r="O68" t="str">
        <f>IF($I68&lt;&gt;"Complete",IF(COUNTIFS($A$4:$A67,$A68,$B$4:$B67,$B68,$I$4:$I67,"&lt;&gt;Complete")=0,$A68&amp;"|"&amp;$B68,""),"")</f>
        <v/>
      </c>
      <c r="P68" t="str">
        <f ca="1">IF($K68="Yes",COUNTIFS($K$4:$K68,"Yes"),"")</f>
        <v/>
      </c>
      <c r="Q68">
        <f t="shared" ref="Q68:Q131" ca="1" si="7">IF(OR($I68="In Progress",$K68="Yes"),1,0)</f>
        <v>0</v>
      </c>
      <c r="R68" t="str">
        <f ca="1">IF($Q68=1,SUM($Q$4:$Q68),"")</f>
        <v/>
      </c>
    </row>
    <row r="69" spans="1:18" ht="22.5" hidden="1" customHeight="1" x14ac:dyDescent="0.3">
      <c r="A69" s="2" t="s">
        <v>551</v>
      </c>
      <c r="B69" s="2" t="s">
        <v>62</v>
      </c>
      <c r="C69" s="3" t="s">
        <v>552</v>
      </c>
      <c r="D69" s="3" t="s">
        <v>18</v>
      </c>
      <c r="E69" s="2" t="s">
        <v>553</v>
      </c>
      <c r="F69" s="2" t="s">
        <v>79</v>
      </c>
      <c r="G69" s="5">
        <v>45652</v>
      </c>
      <c r="H69" s="5">
        <v>45652</v>
      </c>
      <c r="I69" s="4" t="s">
        <v>31</v>
      </c>
      <c r="J69" s="6">
        <f t="shared" si="5"/>
        <v>0</v>
      </c>
      <c r="K69" s="4" t="str">
        <f t="shared" ca="1" si="6"/>
        <v>-</v>
      </c>
      <c r="L69" s="7">
        <f t="shared" ca="1" si="4"/>
        <v>0</v>
      </c>
      <c r="M69" s="4" t="str">
        <f>IF($I69="Complete","Green",IF($H69="","Amber",IF($H69&lt;'[2]Read Me'!$B$4,"Red",IF($H69-'[2]Read Me'!$B$4&lt;=21,"Amber","Green"))))</f>
        <v>Red</v>
      </c>
      <c r="N69" s="3"/>
      <c r="O69" t="str">
        <f>IF($I69&lt;&gt;"Complete",IF(COUNTIFS($A$4:$A68,$A69,$B$4:$B68,$B69,$I$4:$I68,"&lt;&gt;Complete")=0,$A69&amp;"|"&amp;$B69,""),"")</f>
        <v/>
      </c>
      <c r="P69" t="str">
        <f ca="1">IF($K69="Yes",COUNTIFS($K$4:$K69,"Yes"),"")</f>
        <v/>
      </c>
      <c r="Q69">
        <f t="shared" ca="1" si="7"/>
        <v>0</v>
      </c>
      <c r="R69" t="str">
        <f ca="1">IF($Q69=1,SUM($Q$4:$Q69),"")</f>
        <v/>
      </c>
    </row>
    <row r="70" spans="1:18" ht="22.5" hidden="1" customHeight="1" x14ac:dyDescent="0.3">
      <c r="A70" s="2" t="s">
        <v>551</v>
      </c>
      <c r="B70" s="2" t="s">
        <v>62</v>
      </c>
      <c r="C70" s="3" t="s">
        <v>552</v>
      </c>
      <c r="D70" s="3" t="s">
        <v>32</v>
      </c>
      <c r="E70" s="2" t="s">
        <v>553</v>
      </c>
      <c r="F70" s="2"/>
      <c r="G70" s="5">
        <v>45669</v>
      </c>
      <c r="H70" s="5">
        <v>45669</v>
      </c>
      <c r="I70" s="4" t="s">
        <v>31</v>
      </c>
      <c r="J70" s="6">
        <f t="shared" si="5"/>
        <v>0</v>
      </c>
      <c r="K70" s="4" t="str">
        <f t="shared" ca="1" si="6"/>
        <v>-</v>
      </c>
      <c r="L70" s="7">
        <f t="shared" ca="1" si="4"/>
        <v>0</v>
      </c>
      <c r="M70" s="4" t="str">
        <f>IF($I70="Complete","Green",IF($H70="","Amber",IF($H70&lt;'[2]Read Me'!$B$4,"Red",IF($H70-'[2]Read Me'!$B$4&lt;=21,"Amber","Green"))))</f>
        <v>Red</v>
      </c>
      <c r="N70" s="3"/>
      <c r="O70" t="str">
        <f>IF($I70&lt;&gt;"Complete",IF(COUNTIFS($A$4:$A69,$A70,$B$4:$B69,$B70,$I$4:$I69,"&lt;&gt;Complete")=0,$A70&amp;"|"&amp;$B70,""),"")</f>
        <v/>
      </c>
      <c r="P70" t="str">
        <f ca="1">IF($K70="Yes",COUNTIFS($K$4:$K70,"Yes"),"")</f>
        <v/>
      </c>
      <c r="Q70">
        <f t="shared" ca="1" si="7"/>
        <v>0</v>
      </c>
      <c r="R70" t="str">
        <f ca="1">IF($Q70=1,SUM($Q$4:$Q70),"")</f>
        <v/>
      </c>
    </row>
    <row r="71" spans="1:18" ht="22.5" hidden="1" customHeight="1" x14ac:dyDescent="0.3">
      <c r="A71" s="2" t="s">
        <v>551</v>
      </c>
      <c r="B71" s="2" t="s">
        <v>62</v>
      </c>
      <c r="C71" s="3" t="s">
        <v>552</v>
      </c>
      <c r="D71" s="3" t="s">
        <v>19</v>
      </c>
      <c r="E71" s="2" t="s">
        <v>184</v>
      </c>
      <c r="F71" s="2"/>
      <c r="G71" s="5">
        <v>45683</v>
      </c>
      <c r="H71" s="5">
        <v>45683</v>
      </c>
      <c r="I71" s="4" t="s">
        <v>31</v>
      </c>
      <c r="J71" s="6">
        <f t="shared" si="5"/>
        <v>0</v>
      </c>
      <c r="K71" s="4" t="str">
        <f t="shared" ca="1" si="6"/>
        <v>-</v>
      </c>
      <c r="L71" s="7">
        <f t="shared" ca="1" si="4"/>
        <v>0</v>
      </c>
      <c r="M71" s="4" t="str">
        <f>IF($I71="Complete","Green",IF($H71="","Amber",IF($H71&lt;'[2]Read Me'!$B$4,"Red",IF($H71-'[2]Read Me'!$B$4&lt;=21,"Amber","Green"))))</f>
        <v>Red</v>
      </c>
      <c r="N71" s="3"/>
      <c r="O71" t="str">
        <f>IF($I71&lt;&gt;"Complete",IF(COUNTIFS($A$4:$A70,$A71,$B$4:$B70,$B71,$I$4:$I70,"&lt;&gt;Complete")=0,$A71&amp;"|"&amp;$B71,""),"")</f>
        <v/>
      </c>
      <c r="P71" t="str">
        <f ca="1">IF($K71="Yes",COUNTIFS($K$4:$K71,"Yes"),"")</f>
        <v/>
      </c>
      <c r="Q71">
        <f t="shared" ca="1" si="7"/>
        <v>0</v>
      </c>
      <c r="R71" t="str">
        <f ca="1">IF($Q71=1,SUM($Q$4:$Q71),"")</f>
        <v/>
      </c>
    </row>
    <row r="72" spans="1:18" ht="33.75" hidden="1" customHeight="1" x14ac:dyDescent="0.3">
      <c r="A72" s="2" t="s">
        <v>551</v>
      </c>
      <c r="B72" s="2" t="s">
        <v>62</v>
      </c>
      <c r="C72" s="3" t="s">
        <v>552</v>
      </c>
      <c r="D72" s="3" t="s">
        <v>14</v>
      </c>
      <c r="E72" s="2" t="s">
        <v>553</v>
      </c>
      <c r="F72" s="2" t="s">
        <v>79</v>
      </c>
      <c r="G72" s="5">
        <v>45719</v>
      </c>
      <c r="H72" s="5">
        <v>45719</v>
      </c>
      <c r="I72" s="4" t="s">
        <v>31</v>
      </c>
      <c r="J72" s="6">
        <f t="shared" si="5"/>
        <v>0</v>
      </c>
      <c r="K72" s="4" t="str">
        <f t="shared" ca="1" si="6"/>
        <v>-</v>
      </c>
      <c r="L72" s="7">
        <f t="shared" ca="1" si="4"/>
        <v>0</v>
      </c>
      <c r="M72" s="4" t="str">
        <f>IF($I72="Complete","Green",IF($H72="","Amber",IF($H72&lt;'[2]Read Me'!$B$4,"Red",IF($H72-'[2]Read Me'!$B$4&lt;=21,"Amber","Green"))))</f>
        <v>Red</v>
      </c>
      <c r="N72" s="3"/>
      <c r="O72" t="str">
        <f>IF($I72&lt;&gt;"Complete",IF(COUNTIFS($A$4:$A71,$A72,$B$4:$B71,$B72,$I$4:$I71,"&lt;&gt;Complete")=0,$A72&amp;"|"&amp;$B72,""),"")</f>
        <v/>
      </c>
      <c r="P72" t="str">
        <f ca="1">IF($K72="Yes",COUNTIFS($K$4:$K72,"Yes"),"")</f>
        <v/>
      </c>
      <c r="Q72">
        <f t="shared" ca="1" si="7"/>
        <v>0</v>
      </c>
      <c r="R72" t="str">
        <f ca="1">IF($Q72=1,SUM($Q$4:$Q72),"")</f>
        <v/>
      </c>
    </row>
    <row r="73" spans="1:18" ht="33.75" hidden="1" customHeight="1" x14ac:dyDescent="0.3">
      <c r="A73" s="2" t="s">
        <v>551</v>
      </c>
      <c r="B73" s="2" t="s">
        <v>62</v>
      </c>
      <c r="C73" s="3" t="s">
        <v>552</v>
      </c>
      <c r="D73" s="3" t="s">
        <v>34</v>
      </c>
      <c r="E73" s="2" t="s">
        <v>553</v>
      </c>
      <c r="F73" s="2"/>
      <c r="G73" s="5">
        <v>45804</v>
      </c>
      <c r="H73" s="5">
        <v>45804</v>
      </c>
      <c r="I73" s="4" t="s">
        <v>31</v>
      </c>
      <c r="J73" s="6">
        <f t="shared" si="5"/>
        <v>0</v>
      </c>
      <c r="K73" s="4" t="str">
        <f t="shared" ca="1" si="6"/>
        <v>-</v>
      </c>
      <c r="L73" s="7">
        <f t="shared" ref="L73:L136" ca="1" si="8">IF(I73="Completed",0,IF(H73="","",H73-TODAY()))</f>
        <v>0</v>
      </c>
      <c r="M73" s="4" t="str">
        <f>IF($I73="Complete","Green",IF($H73="","Amber",IF($H73&lt;'[2]Read Me'!$B$4,"Red",IF($H73-'[2]Read Me'!$B$4&lt;=21,"Amber","Green"))))</f>
        <v>Red</v>
      </c>
      <c r="N73" s="3"/>
      <c r="O73" t="str">
        <f>IF($I73&lt;&gt;"Complete",IF(COUNTIFS($A$4:$A72,$A73,$B$4:$B72,$B73,$I$4:$I72,"&lt;&gt;Complete")=0,$A73&amp;"|"&amp;$B73,""),"")</f>
        <v/>
      </c>
      <c r="P73" t="str">
        <f ca="1">IF($K73="Yes",COUNTIFS($K$4:$K73,"Yes"),"")</f>
        <v/>
      </c>
      <c r="Q73">
        <f t="shared" ca="1" si="7"/>
        <v>0</v>
      </c>
      <c r="R73" t="str">
        <f ca="1">IF($Q73=1,SUM($Q$4:$Q73),"")</f>
        <v/>
      </c>
    </row>
    <row r="74" spans="1:18" ht="33.75" hidden="1" customHeight="1" x14ac:dyDescent="0.3">
      <c r="A74" s="2" t="s">
        <v>551</v>
      </c>
      <c r="B74" s="2" t="s">
        <v>62</v>
      </c>
      <c r="C74" s="3" t="s">
        <v>552</v>
      </c>
      <c r="D74" s="3" t="s">
        <v>15</v>
      </c>
      <c r="E74" s="2" t="s">
        <v>553</v>
      </c>
      <c r="F74" s="2" t="s">
        <v>79</v>
      </c>
      <c r="G74" s="5">
        <v>45887</v>
      </c>
      <c r="H74" s="5">
        <v>45887</v>
      </c>
      <c r="I74" s="4" t="s">
        <v>31</v>
      </c>
      <c r="J74" s="6">
        <f t="shared" si="5"/>
        <v>0</v>
      </c>
      <c r="K74" s="4" t="str">
        <f t="shared" ca="1" si="6"/>
        <v>-</v>
      </c>
      <c r="L74" s="7">
        <f t="shared" ca="1" si="8"/>
        <v>0</v>
      </c>
      <c r="M74" s="4" t="str">
        <f>IF($I74="Complete","Green",IF($H74="","Amber",IF($H74&lt;'[2]Read Me'!$B$4,"Red",IF($H74-'[2]Read Me'!$B$4&lt;=21,"Amber","Green"))))</f>
        <v>Red</v>
      </c>
      <c r="N74" s="3"/>
      <c r="O74" t="str">
        <f>IF($I74&lt;&gt;"Complete",IF(COUNTIFS($A$4:$A73,$A74,$B$4:$B73,$B74,$I$4:$I73,"&lt;&gt;Complete")=0,$A74&amp;"|"&amp;$B74,""),"")</f>
        <v/>
      </c>
      <c r="P74" t="str">
        <f ca="1">IF($K74="Yes",COUNTIFS($K$4:$K74,"Yes"),"")</f>
        <v/>
      </c>
      <c r="Q74">
        <f t="shared" ca="1" si="7"/>
        <v>0</v>
      </c>
      <c r="R74" t="str">
        <f ca="1">IF($Q74=1,SUM($Q$4:$Q74),"")</f>
        <v/>
      </c>
    </row>
    <row r="75" spans="1:18" ht="14.25" hidden="1" customHeight="1" x14ac:dyDescent="0.3">
      <c r="A75" s="2" t="s">
        <v>551</v>
      </c>
      <c r="B75" s="2" t="s">
        <v>62</v>
      </c>
      <c r="C75" s="3" t="s">
        <v>552</v>
      </c>
      <c r="D75" s="3" t="s">
        <v>35</v>
      </c>
      <c r="E75" s="2" t="s">
        <v>553</v>
      </c>
      <c r="F75" s="2"/>
      <c r="G75" s="5">
        <v>45901</v>
      </c>
      <c r="H75" s="5">
        <v>45901</v>
      </c>
      <c r="I75" s="4" t="s">
        <v>31</v>
      </c>
      <c r="J75" s="6">
        <f t="shared" si="5"/>
        <v>0</v>
      </c>
      <c r="K75" s="4" t="str">
        <f t="shared" ca="1" si="6"/>
        <v>-</v>
      </c>
      <c r="L75" s="7">
        <f t="shared" ca="1" si="8"/>
        <v>0</v>
      </c>
      <c r="M75" s="4" t="str">
        <f>IF($I75="Complete","Green",IF($H75="","Amber",IF($H75&lt;'[2]Read Me'!$B$4,"Red",IF($H75-'[2]Read Me'!$B$4&lt;=21,"Amber","Green"))))</f>
        <v>Red</v>
      </c>
      <c r="N75" s="3"/>
      <c r="O75" t="str">
        <f>IF($I75&lt;&gt;"Complete",IF(COUNTIFS($A$4:$A74,$A75,$B$4:$B74,$B75,$I$4:$I74,"&lt;&gt;Complete")=0,$A75&amp;"|"&amp;$B75,""),"")</f>
        <v/>
      </c>
      <c r="P75" t="str">
        <f ca="1">IF($K75="Yes",COUNTIFS($K$4:$K75,"Yes"),"")</f>
        <v/>
      </c>
      <c r="Q75">
        <f t="shared" ca="1" si="7"/>
        <v>0</v>
      </c>
      <c r="R75" t="str">
        <f ca="1">IF($Q75=1,SUM($Q$4:$Q75),"")</f>
        <v/>
      </c>
    </row>
    <row r="76" spans="1:18" ht="14.25" hidden="1" customHeight="1" x14ac:dyDescent="0.3">
      <c r="A76" s="2" t="s">
        <v>551</v>
      </c>
      <c r="B76" s="2" t="s">
        <v>62</v>
      </c>
      <c r="C76" s="3" t="s">
        <v>552</v>
      </c>
      <c r="D76" s="3" t="s">
        <v>20</v>
      </c>
      <c r="E76" s="2" t="s">
        <v>184</v>
      </c>
      <c r="F76" s="2"/>
      <c r="G76" s="5">
        <v>45901</v>
      </c>
      <c r="H76" s="5">
        <v>45901</v>
      </c>
      <c r="I76" s="4" t="s">
        <v>31</v>
      </c>
      <c r="J76" s="6">
        <f t="shared" si="5"/>
        <v>0</v>
      </c>
      <c r="K76" s="4" t="str">
        <f t="shared" ca="1" si="6"/>
        <v>-</v>
      </c>
      <c r="L76" s="7">
        <f t="shared" ca="1" si="8"/>
        <v>0</v>
      </c>
      <c r="M76" s="4" t="str">
        <f>IF($I76="Complete","Green",IF($H76="","Amber",IF($H76&lt;'[2]Read Me'!$B$4,"Red",IF($H76-'[2]Read Me'!$B$4&lt;=21,"Amber","Green"))))</f>
        <v>Red</v>
      </c>
      <c r="N76" s="3"/>
      <c r="O76" t="str">
        <f>IF($I76&lt;&gt;"Complete",IF(COUNTIFS($A$4:$A75,$A76,$B$4:$B75,$B76,$I$4:$I75,"&lt;&gt;Complete")=0,$A76&amp;"|"&amp;$B76,""),"")</f>
        <v/>
      </c>
      <c r="P76" t="str">
        <f ca="1">IF($K76="Yes",COUNTIFS($K$4:$K76,"Yes"),"")</f>
        <v/>
      </c>
      <c r="Q76">
        <f t="shared" ca="1" si="7"/>
        <v>0</v>
      </c>
      <c r="R76" t="str">
        <f ca="1">IF($Q76=1,SUM($Q$4:$Q76),"")</f>
        <v/>
      </c>
    </row>
    <row r="77" spans="1:18" ht="22.5" hidden="1" customHeight="1" x14ac:dyDescent="0.3">
      <c r="A77" s="2" t="s">
        <v>551</v>
      </c>
      <c r="B77" s="2" t="s">
        <v>62</v>
      </c>
      <c r="C77" s="3" t="s">
        <v>552</v>
      </c>
      <c r="D77" s="3" t="s">
        <v>100</v>
      </c>
      <c r="E77" s="2" t="s">
        <v>553</v>
      </c>
      <c r="F77" s="2" t="s">
        <v>79</v>
      </c>
      <c r="G77" s="5">
        <v>45930</v>
      </c>
      <c r="H77" s="5">
        <v>45930</v>
      </c>
      <c r="I77" s="4" t="s">
        <v>31</v>
      </c>
      <c r="J77" s="6">
        <f t="shared" si="5"/>
        <v>0</v>
      </c>
      <c r="K77" s="4" t="str">
        <f t="shared" ca="1" si="6"/>
        <v>-</v>
      </c>
      <c r="L77" s="7">
        <f t="shared" ca="1" si="8"/>
        <v>0</v>
      </c>
      <c r="M77" s="4" t="str">
        <f>IF($I77="Complete","Green",IF($H77="","Amber",IF($H77&lt;'[2]Read Me'!$B$4,"Red",IF($H77-'[2]Read Me'!$B$4&lt;=21,"Amber","Green"))))</f>
        <v>Red</v>
      </c>
      <c r="N77" s="3"/>
      <c r="O77" t="str">
        <f>IF($I77&lt;&gt;"Complete",IF(COUNTIFS($A$4:$A76,$A77,$B$4:$B76,$B77,$I$4:$I76,"&lt;&gt;Complete")=0,$A77&amp;"|"&amp;$B77,""),"")</f>
        <v/>
      </c>
      <c r="P77" t="str">
        <f ca="1">IF($K77="Yes",COUNTIFS($K$4:$K77,"Yes"),"")</f>
        <v/>
      </c>
      <c r="Q77">
        <f t="shared" ca="1" si="7"/>
        <v>0</v>
      </c>
      <c r="R77" t="str">
        <f ca="1">IF($Q77=1,SUM($Q$4:$Q77),"")</f>
        <v/>
      </c>
    </row>
    <row r="78" spans="1:18" ht="14.25" hidden="1" customHeight="1" x14ac:dyDescent="0.3">
      <c r="A78" s="2" t="s">
        <v>551</v>
      </c>
      <c r="B78" s="2" t="s">
        <v>62</v>
      </c>
      <c r="C78" s="3" t="s">
        <v>552</v>
      </c>
      <c r="D78" s="3" t="s">
        <v>16</v>
      </c>
      <c r="E78" s="2" t="s">
        <v>553</v>
      </c>
      <c r="F78" s="2" t="s">
        <v>79</v>
      </c>
      <c r="G78" s="5">
        <v>45932</v>
      </c>
      <c r="H78" s="5">
        <v>46099</v>
      </c>
      <c r="I78" s="4" t="s">
        <v>31</v>
      </c>
      <c r="J78" s="6">
        <f t="shared" si="5"/>
        <v>167</v>
      </c>
      <c r="K78" s="4" t="str">
        <f t="shared" ca="1" si="6"/>
        <v>-</v>
      </c>
      <c r="L78" s="7">
        <f t="shared" ca="1" si="8"/>
        <v>0</v>
      </c>
      <c r="M78" s="4" t="str">
        <f>IF($I78="Complete","Green",IF($H78="","Amber",IF($H78&lt;'[2]Read Me'!$B$4,"Red",IF($H78-'[2]Read Me'!$B$4&lt;=21,"Amber","Green"))))</f>
        <v>Red</v>
      </c>
      <c r="N78" s="3"/>
      <c r="O78" t="str">
        <f>IF($I78&lt;&gt;"Complete",IF(COUNTIFS($A$4:$A77,$A78,$B$4:$B77,$B78,$I$4:$I77,"&lt;&gt;Complete")=0,$A78&amp;"|"&amp;$B78,""),"")</f>
        <v/>
      </c>
      <c r="P78" t="str">
        <f ca="1">IF($K78="Yes",COUNTIFS($K$4:$K78,"Yes"),"")</f>
        <v/>
      </c>
      <c r="Q78">
        <f t="shared" ca="1" si="7"/>
        <v>0</v>
      </c>
      <c r="R78" t="str">
        <f ca="1">IF($Q78=1,SUM($Q$4:$Q78),"")</f>
        <v/>
      </c>
    </row>
    <row r="79" spans="1:18" ht="33.75" hidden="1" customHeight="1" x14ac:dyDescent="0.3">
      <c r="A79" s="2" t="s">
        <v>551</v>
      </c>
      <c r="B79" s="2" t="s">
        <v>62</v>
      </c>
      <c r="C79" s="3" t="s">
        <v>552</v>
      </c>
      <c r="D79" s="3" t="s">
        <v>37</v>
      </c>
      <c r="E79" s="2" t="s">
        <v>553</v>
      </c>
      <c r="F79" s="2"/>
      <c r="G79" s="5">
        <v>45946</v>
      </c>
      <c r="H79" s="5">
        <v>46117</v>
      </c>
      <c r="I79" s="4" t="s">
        <v>31</v>
      </c>
      <c r="J79" s="6">
        <f t="shared" si="5"/>
        <v>171</v>
      </c>
      <c r="K79" s="4" t="str">
        <f t="shared" ca="1" si="6"/>
        <v>-</v>
      </c>
      <c r="L79" s="7">
        <f t="shared" ca="1" si="8"/>
        <v>0</v>
      </c>
      <c r="M79" s="4" t="str">
        <f>IF($I79="Complete","Green",IF($H79="","Amber",IF($H79&lt;'[2]Read Me'!$B$4,"Red",IF($H79-'[2]Read Me'!$B$4&lt;=21,"Amber","Green"))))</f>
        <v>Red</v>
      </c>
      <c r="N79" s="3"/>
      <c r="O79" t="str">
        <f>IF($I79&lt;&gt;"Complete",IF(COUNTIFS($A$4:$A78,$A79,$B$4:$B78,$B79,$I$4:$I78,"&lt;&gt;Complete")=0,$A79&amp;"|"&amp;$B79,""),"")</f>
        <v/>
      </c>
      <c r="P79" t="str">
        <f ca="1">IF($K79="Yes",COUNTIFS($K$4:$K79,"Yes"),"")</f>
        <v/>
      </c>
      <c r="Q79">
        <f t="shared" ca="1" si="7"/>
        <v>0</v>
      </c>
      <c r="R79" t="str">
        <f ca="1">IF($Q79=1,SUM($Q$4:$Q79),"")</f>
        <v/>
      </c>
    </row>
    <row r="80" spans="1:18" ht="33.75" hidden="1" customHeight="1" x14ac:dyDescent="0.3">
      <c r="A80" s="2" t="s">
        <v>551</v>
      </c>
      <c r="B80" s="2" t="s">
        <v>49</v>
      </c>
      <c r="C80" s="3"/>
      <c r="D80" s="3"/>
      <c r="E80" s="2"/>
      <c r="F80" s="2"/>
      <c r="G80" s="5">
        <v>46139</v>
      </c>
      <c r="H80" s="5">
        <v>46292</v>
      </c>
      <c r="I80" s="4"/>
      <c r="J80" s="6">
        <f t="shared" si="5"/>
        <v>153</v>
      </c>
      <c r="K80" s="4" t="str">
        <f t="shared" ca="1" si="6"/>
        <v/>
      </c>
      <c r="L80" s="7">
        <f t="shared" ca="1" si="8"/>
        <v>84</v>
      </c>
      <c r="M80" s="4" t="str">
        <f>IF($I80="Complete","Green",IF($H80="","Amber",IF($H80&lt;'[2]Read Me'!$B$4,"Red",IF($H80-'[2]Read Me'!$B$4&lt;=21,"Amber","Green"))))</f>
        <v>Green</v>
      </c>
      <c r="N80" s="3"/>
      <c r="O80" t="str">
        <f>IF($I80&lt;&gt;"Complete",IF(COUNTIFS($A$4:$A79,$A80,$B$4:$B79,$B80,$I$4:$I79,"&lt;&gt;Complete")=0,$A80&amp;"|"&amp;$B80,""),"")</f>
        <v>Ph - 1A|Authorities</v>
      </c>
      <c r="P80" t="str">
        <f ca="1">IF($K80="Yes",COUNTIFS($K$4:$K80,"Yes"),"")</f>
        <v/>
      </c>
      <c r="Q80">
        <f t="shared" ca="1" si="7"/>
        <v>0</v>
      </c>
      <c r="R80" t="str">
        <f ca="1">IF($Q80=1,SUM($Q$4:$Q80),"")</f>
        <v/>
      </c>
    </row>
    <row r="81" spans="1:18" ht="33.75" hidden="1" customHeight="1" x14ac:dyDescent="0.3">
      <c r="A81" s="2" t="s">
        <v>551</v>
      </c>
      <c r="B81" s="2" t="s">
        <v>49</v>
      </c>
      <c r="C81" s="3" t="s">
        <v>554</v>
      </c>
      <c r="D81" s="3" t="s">
        <v>555</v>
      </c>
      <c r="E81" s="2" t="s">
        <v>104</v>
      </c>
      <c r="F81" s="2"/>
      <c r="G81" s="5">
        <v>45887</v>
      </c>
      <c r="H81" s="5">
        <v>45887</v>
      </c>
      <c r="I81" s="4" t="s">
        <v>31</v>
      </c>
      <c r="J81" s="6">
        <f t="shared" si="5"/>
        <v>0</v>
      </c>
      <c r="K81" s="4" t="str">
        <f t="shared" ca="1" si="6"/>
        <v>-</v>
      </c>
      <c r="L81" s="7">
        <f t="shared" ca="1" si="8"/>
        <v>0</v>
      </c>
      <c r="M81" s="4" t="str">
        <f>IF($I81="Complete","Green",IF($H81="","Amber",IF($H81&lt;'[2]Read Me'!$B$4,"Red",IF($H81-'[2]Read Me'!$B$4&lt;=21,"Amber","Green"))))</f>
        <v>Red</v>
      </c>
      <c r="N81" s="3"/>
      <c r="O81" t="str">
        <f>IF($I81&lt;&gt;"Complete",IF(COUNTIFS($A$4:$A80,$A81,$B$4:$B80,$B81,$I$4:$I80,"&lt;&gt;Complete")=0,$A81&amp;"|"&amp;$B81,""),"")</f>
        <v/>
      </c>
      <c r="P81" t="str">
        <f ca="1">IF($K81="Yes",COUNTIFS($K$4:$K81,"Yes"),"")</f>
        <v/>
      </c>
      <c r="Q81">
        <f t="shared" ca="1" si="7"/>
        <v>0</v>
      </c>
      <c r="R81" t="str">
        <f ca="1">IF($Q81=1,SUM($Q$4:$Q81),"")</f>
        <v/>
      </c>
    </row>
    <row r="82" spans="1:18" ht="33.75" hidden="1" customHeight="1" x14ac:dyDescent="0.3">
      <c r="A82" s="2" t="s">
        <v>551</v>
      </c>
      <c r="B82" s="2" t="s">
        <v>49</v>
      </c>
      <c r="C82" s="3" t="s">
        <v>554</v>
      </c>
      <c r="D82" s="3" t="s">
        <v>110</v>
      </c>
      <c r="E82" s="2" t="s">
        <v>104</v>
      </c>
      <c r="F82" s="2"/>
      <c r="G82" s="5">
        <v>45999</v>
      </c>
      <c r="H82" s="5">
        <v>46106</v>
      </c>
      <c r="I82" s="4" t="s">
        <v>31</v>
      </c>
      <c r="J82" s="6">
        <f t="shared" si="5"/>
        <v>107</v>
      </c>
      <c r="K82" s="4" t="str">
        <f t="shared" ca="1" si="6"/>
        <v>-</v>
      </c>
      <c r="L82" s="7">
        <f t="shared" ca="1" si="8"/>
        <v>0</v>
      </c>
      <c r="M82" s="4" t="str">
        <f>IF($I82="Complete","Green",IF($H82="","Amber",IF($H82&lt;'[2]Read Me'!$B$4,"Red",IF($H82-'[2]Read Me'!$B$4&lt;=21,"Amber","Green"))))</f>
        <v>Red</v>
      </c>
      <c r="N82" s="3"/>
      <c r="O82" t="str">
        <f>IF($I82&lt;&gt;"Complete",IF(COUNTIFS($A$4:$A81,$A82,$B$4:$B81,$B82,$I$4:$I81,"&lt;&gt;Complete")=0,$A82&amp;"|"&amp;$B82,""),"")</f>
        <v/>
      </c>
      <c r="P82" t="str">
        <f ca="1">IF($K82="Yes",COUNTIFS($K$4:$K82,"Yes"),"")</f>
        <v/>
      </c>
      <c r="Q82">
        <f t="shared" ca="1" si="7"/>
        <v>0</v>
      </c>
      <c r="R82" t="str">
        <f ca="1">IF($Q82=1,SUM($Q$4:$Q82),"")</f>
        <v/>
      </c>
    </row>
    <row r="83" spans="1:18" ht="33.75" hidden="1" customHeight="1" x14ac:dyDescent="0.3">
      <c r="A83" s="2" t="s">
        <v>551</v>
      </c>
      <c r="B83" s="2" t="s">
        <v>49</v>
      </c>
      <c r="C83" s="3" t="s">
        <v>554</v>
      </c>
      <c r="D83" s="3" t="s">
        <v>91</v>
      </c>
      <c r="E83" s="2" t="s">
        <v>104</v>
      </c>
      <c r="F83" s="2"/>
      <c r="G83" s="5">
        <v>46041</v>
      </c>
      <c r="H83" s="5">
        <v>46208</v>
      </c>
      <c r="I83" s="4" t="s">
        <v>46</v>
      </c>
      <c r="J83" s="6">
        <f t="shared" si="5"/>
        <v>167</v>
      </c>
      <c r="K83" s="4" t="str">
        <f t="shared" ca="1" si="6"/>
        <v>Yes</v>
      </c>
      <c r="L83" s="7">
        <f t="shared" ca="1" si="8"/>
        <v>0</v>
      </c>
      <c r="M83" s="4" t="str">
        <f>IF($I83="Complete","Green",IF($H83="","Amber",IF($H83&lt;'[2]Read Me'!$B$4,"Red",IF($H83-'[2]Read Me'!$B$4&lt;=21,"Amber","Green"))))</f>
        <v>Amber</v>
      </c>
      <c r="N83" s="3"/>
      <c r="O83" t="str">
        <f>IF($I83&lt;&gt;"Complete",IF(COUNTIFS($A$4:$A82,$A83,$B$4:$B82,$B83,$I$4:$I82,"&lt;&gt;Complete")=0,$A83&amp;"|"&amp;$B83,""),"")</f>
        <v/>
      </c>
      <c r="P83">
        <f ca="1">IF($K83="Yes",COUNTIFS($K$4:$K83,"Yes"),"")</f>
        <v>5</v>
      </c>
      <c r="Q83">
        <f t="shared" ca="1" si="7"/>
        <v>1</v>
      </c>
      <c r="R83">
        <f ca="1">IF($Q83=1,SUM($Q$4:$Q83),"")</f>
        <v>5</v>
      </c>
    </row>
    <row r="84" spans="1:18" ht="33.75" hidden="1" customHeight="1" x14ac:dyDescent="0.3">
      <c r="A84" s="2" t="s">
        <v>551</v>
      </c>
      <c r="B84" s="2" t="s">
        <v>49</v>
      </c>
      <c r="C84" s="3" t="s">
        <v>554</v>
      </c>
      <c r="D84" s="3" t="s">
        <v>93</v>
      </c>
      <c r="E84" s="2" t="s">
        <v>104</v>
      </c>
      <c r="F84" s="2"/>
      <c r="G84" s="5">
        <v>46083</v>
      </c>
      <c r="H84" s="5">
        <v>46236</v>
      </c>
      <c r="I84" s="4" t="s">
        <v>17</v>
      </c>
      <c r="J84" s="6">
        <f t="shared" si="5"/>
        <v>153</v>
      </c>
      <c r="K84" s="4" t="str">
        <f t="shared" ca="1" si="6"/>
        <v>No</v>
      </c>
      <c r="L84" s="7">
        <f t="shared" ca="1" si="8"/>
        <v>28</v>
      </c>
      <c r="M84" s="4" t="str">
        <f>IF($I84="Complete","Green",IF($H84="","Amber",IF($H84&lt;'[2]Read Me'!$B$4,"Red",IF($H84-'[2]Read Me'!$B$4&lt;=21,"Amber","Green"))))</f>
        <v>Green</v>
      </c>
      <c r="N84" s="3"/>
      <c r="O84" t="str">
        <f>IF($I84&lt;&gt;"Complete",IF(COUNTIFS($A$4:$A83,$A84,$B$4:$B83,$B84,$I$4:$I83,"&lt;&gt;Complete")=0,$A84&amp;"|"&amp;$B84,""),"")</f>
        <v/>
      </c>
      <c r="P84" t="str">
        <f ca="1">IF($K84="Yes",COUNTIFS($K$4:$K84,"Yes"),"")</f>
        <v/>
      </c>
      <c r="Q84">
        <f t="shared" ca="1" si="7"/>
        <v>0</v>
      </c>
      <c r="R84" t="str">
        <f ca="1">IF($Q84=1,SUM($Q$4:$Q84),"")</f>
        <v/>
      </c>
    </row>
    <row r="85" spans="1:18" ht="33.75" hidden="1" customHeight="1" x14ac:dyDescent="0.3">
      <c r="A85" s="2" t="s">
        <v>551</v>
      </c>
      <c r="B85" s="2" t="s">
        <v>49</v>
      </c>
      <c r="C85" s="3" t="s">
        <v>554</v>
      </c>
      <c r="D85" s="3" t="s">
        <v>94</v>
      </c>
      <c r="E85" s="2" t="s">
        <v>104</v>
      </c>
      <c r="F85" s="2"/>
      <c r="G85" s="5">
        <v>46139</v>
      </c>
      <c r="H85" s="5">
        <v>46292</v>
      </c>
      <c r="I85" s="4" t="s">
        <v>17</v>
      </c>
      <c r="J85" s="6">
        <f t="shared" si="5"/>
        <v>153</v>
      </c>
      <c r="K85" s="4" t="str">
        <f t="shared" ca="1" si="6"/>
        <v>No</v>
      </c>
      <c r="L85" s="7">
        <f t="shared" ca="1" si="8"/>
        <v>84</v>
      </c>
      <c r="M85" s="4" t="str">
        <f>IF($I85="Complete","Green",IF($H85="","Amber",IF($H85&lt;'[2]Read Me'!$B$4,"Red",IF($H85-'[2]Read Me'!$B$4&lt;=21,"Amber","Green"))))</f>
        <v>Green</v>
      </c>
      <c r="N85" s="3"/>
      <c r="O85" t="str">
        <f>IF($I85&lt;&gt;"Complete",IF(COUNTIFS($A$4:$A84,$A85,$B$4:$B84,$B85,$I$4:$I84,"&lt;&gt;Complete")=0,$A85&amp;"|"&amp;$B85,""),"")</f>
        <v/>
      </c>
      <c r="P85" t="str">
        <f ca="1">IF($K85="Yes",COUNTIFS($K$4:$K85,"Yes"),"")</f>
        <v/>
      </c>
      <c r="Q85">
        <f t="shared" ca="1" si="7"/>
        <v>0</v>
      </c>
      <c r="R85" t="str">
        <f ca="1">IF($Q85=1,SUM($Q$4:$Q85),"")</f>
        <v/>
      </c>
    </row>
    <row r="86" spans="1:18" ht="33.75" hidden="1" customHeight="1" x14ac:dyDescent="0.3">
      <c r="A86" s="2" t="s">
        <v>551</v>
      </c>
      <c r="B86" s="2" t="s">
        <v>186</v>
      </c>
      <c r="C86" s="3"/>
      <c r="D86" s="3"/>
      <c r="E86" s="2"/>
      <c r="F86" s="2"/>
      <c r="G86" s="5">
        <v>46201</v>
      </c>
      <c r="H86" s="5">
        <v>46232</v>
      </c>
      <c r="I86" s="4"/>
      <c r="J86" s="6">
        <f t="shared" si="5"/>
        <v>31</v>
      </c>
      <c r="K86" s="4" t="str">
        <f t="shared" ca="1" si="6"/>
        <v/>
      </c>
      <c r="L86" s="7">
        <f t="shared" ca="1" si="8"/>
        <v>24</v>
      </c>
      <c r="M86" s="4" t="str">
        <f>IF($I86="Complete","Green",IF($H86="","Amber",IF($H86&lt;'[2]Read Me'!$B$4,"Red",IF($H86-'[2]Read Me'!$B$4&lt;=21,"Amber","Green"))))</f>
        <v>Green</v>
      </c>
      <c r="N86" s="3"/>
      <c r="O86" t="str">
        <f>IF($I86&lt;&gt;"Complete",IF(COUNTIFS($A$4:$A85,$A86,$B$4:$B85,$B86,$I$4:$I85,"&lt;&gt;Complete")=0,$A86&amp;"|"&amp;$B86,""),"")</f>
        <v>Ph - 1A|Plot Fences</v>
      </c>
      <c r="P86" t="str">
        <f ca="1">IF($K86="Yes",COUNTIFS($K$4:$K86,"Yes"),"")</f>
        <v/>
      </c>
      <c r="Q86">
        <f t="shared" ca="1" si="7"/>
        <v>0</v>
      </c>
      <c r="R86" t="str">
        <f ca="1">IF($Q86=1,SUM($Q$4:$Q86),"")</f>
        <v/>
      </c>
    </row>
    <row r="87" spans="1:18" ht="33.75" hidden="1" customHeight="1" x14ac:dyDescent="0.3">
      <c r="A87" s="2" t="s">
        <v>551</v>
      </c>
      <c r="B87" s="2" t="s">
        <v>186</v>
      </c>
      <c r="C87" s="3" t="s">
        <v>556</v>
      </c>
      <c r="D87" s="3" t="s">
        <v>127</v>
      </c>
      <c r="E87" s="2" t="s">
        <v>553</v>
      </c>
      <c r="F87" s="2" t="s">
        <v>79</v>
      </c>
      <c r="G87" s="5">
        <v>46159</v>
      </c>
      <c r="H87" s="5">
        <v>46190</v>
      </c>
      <c r="I87" s="4" t="s">
        <v>31</v>
      </c>
      <c r="J87" s="6">
        <f t="shared" si="5"/>
        <v>31</v>
      </c>
      <c r="K87" s="4" t="str">
        <f t="shared" ca="1" si="6"/>
        <v>-</v>
      </c>
      <c r="L87" s="7">
        <f t="shared" ca="1" si="8"/>
        <v>0</v>
      </c>
      <c r="M87" s="4" t="str">
        <f>IF($I87="Complete","Green",IF($H87="","Amber",IF($H87&lt;'[2]Read Me'!$B$4,"Red",IF($H87-'[2]Read Me'!$B$4&lt;=21,"Amber","Green"))))</f>
        <v>Amber</v>
      </c>
      <c r="N87" s="3"/>
      <c r="O87" t="str">
        <f>IF($I87&lt;&gt;"Complete",IF(COUNTIFS($A$4:$A86,$A87,$B$4:$B86,$B87,$I$4:$I86,"&lt;&gt;Complete")=0,$A87&amp;"|"&amp;$B87,""),"")</f>
        <v/>
      </c>
      <c r="P87" t="str">
        <f ca="1">IF($K87="Yes",COUNTIFS($K$4:$K87,"Yes"),"")</f>
        <v/>
      </c>
      <c r="Q87">
        <f t="shared" ca="1" si="7"/>
        <v>0</v>
      </c>
      <c r="R87" t="str">
        <f ca="1">IF($Q87=1,SUM($Q$4:$Q87),"")</f>
        <v/>
      </c>
    </row>
    <row r="88" spans="1:18" ht="33.75" hidden="1" customHeight="1" x14ac:dyDescent="0.3">
      <c r="A88" s="2" t="s">
        <v>551</v>
      </c>
      <c r="B88" s="2" t="s">
        <v>186</v>
      </c>
      <c r="C88" s="3" t="s">
        <v>556</v>
      </c>
      <c r="D88" s="3" t="s">
        <v>35</v>
      </c>
      <c r="E88" s="2" t="s">
        <v>553</v>
      </c>
      <c r="F88" s="2"/>
      <c r="G88" s="5">
        <v>46173</v>
      </c>
      <c r="H88" s="5">
        <v>46204</v>
      </c>
      <c r="I88" s="4" t="s">
        <v>46</v>
      </c>
      <c r="J88" s="6">
        <f t="shared" si="5"/>
        <v>31</v>
      </c>
      <c r="K88" s="4" t="str">
        <f t="shared" ca="1" si="6"/>
        <v>Yes</v>
      </c>
      <c r="L88" s="7">
        <f t="shared" ca="1" si="8"/>
        <v>-4</v>
      </c>
      <c r="M88" s="4" t="str">
        <f>IF($I88="Complete","Green",IF($H88="","Amber",IF($H88&lt;'[2]Read Me'!$B$4,"Red",IF($H88-'[2]Read Me'!$B$4&lt;=21,"Amber","Green"))))</f>
        <v>Amber</v>
      </c>
      <c r="N88" s="3"/>
      <c r="O88" t="str">
        <f>IF($I88&lt;&gt;"Complete",IF(COUNTIFS($A$4:$A87,$A88,$B$4:$B87,$B88,$I$4:$I87,"&lt;&gt;Complete")=0,$A88&amp;"|"&amp;$B88,""),"")</f>
        <v/>
      </c>
      <c r="P88">
        <f ca="1">IF($K88="Yes",COUNTIFS($K$4:$K88,"Yes"),"")</f>
        <v>6</v>
      </c>
      <c r="Q88">
        <f t="shared" ca="1" si="7"/>
        <v>1</v>
      </c>
      <c r="R88">
        <f ca="1">IF($Q88=1,SUM($Q$4:$Q88),"")</f>
        <v>6</v>
      </c>
    </row>
    <row r="89" spans="1:18" ht="33.75" hidden="1" customHeight="1" x14ac:dyDescent="0.3">
      <c r="A89" s="2" t="s">
        <v>551</v>
      </c>
      <c r="B89" s="2" t="s">
        <v>186</v>
      </c>
      <c r="C89" s="3" t="s">
        <v>556</v>
      </c>
      <c r="D89" s="3" t="s">
        <v>16</v>
      </c>
      <c r="E89" s="2" t="s">
        <v>553</v>
      </c>
      <c r="F89" s="2" t="s">
        <v>79</v>
      </c>
      <c r="G89" s="5">
        <v>46187</v>
      </c>
      <c r="H89" s="5">
        <v>46218</v>
      </c>
      <c r="I89" s="4" t="s">
        <v>17</v>
      </c>
      <c r="J89" s="6">
        <f t="shared" si="5"/>
        <v>31</v>
      </c>
      <c r="K89" s="4" t="str">
        <f t="shared" ca="1" si="6"/>
        <v>No</v>
      </c>
      <c r="L89" s="7">
        <f t="shared" ca="1" si="8"/>
        <v>10</v>
      </c>
      <c r="M89" s="4" t="str">
        <f>IF($I89="Complete","Green",IF($H89="","Amber",IF($H89&lt;'[2]Read Me'!$B$4,"Red",IF($H89-'[2]Read Me'!$B$4&lt;=21,"Amber","Green"))))</f>
        <v>Green</v>
      </c>
      <c r="N89" s="3"/>
      <c r="O89" t="str">
        <f>IF($I89&lt;&gt;"Complete",IF(COUNTIFS($A$4:$A88,$A89,$B$4:$B88,$B89,$I$4:$I88,"&lt;&gt;Complete")=0,$A89&amp;"|"&amp;$B89,""),"")</f>
        <v/>
      </c>
      <c r="P89" t="str">
        <f ca="1">IF($K89="Yes",COUNTIFS($K$4:$K89,"Yes"),"")</f>
        <v/>
      </c>
      <c r="Q89">
        <f t="shared" ca="1" si="7"/>
        <v>0</v>
      </c>
      <c r="R89" t="str">
        <f ca="1">IF($Q89=1,SUM($Q$4:$Q89),"")</f>
        <v/>
      </c>
    </row>
    <row r="90" spans="1:18" ht="33.75" hidden="1" customHeight="1" x14ac:dyDescent="0.3">
      <c r="A90" s="2" t="s">
        <v>551</v>
      </c>
      <c r="B90" s="2" t="s">
        <v>186</v>
      </c>
      <c r="C90" s="3" t="s">
        <v>556</v>
      </c>
      <c r="D90" s="3" t="s">
        <v>37</v>
      </c>
      <c r="E90" s="2" t="s">
        <v>553</v>
      </c>
      <c r="F90" s="2"/>
      <c r="G90" s="5">
        <v>46201</v>
      </c>
      <c r="H90" s="5">
        <v>46232</v>
      </c>
      <c r="I90" s="4" t="s">
        <v>17</v>
      </c>
      <c r="J90" s="6">
        <f t="shared" si="5"/>
        <v>31</v>
      </c>
      <c r="K90" s="4" t="str">
        <f t="shared" ca="1" si="6"/>
        <v>No</v>
      </c>
      <c r="L90" s="7">
        <f t="shared" ca="1" si="8"/>
        <v>24</v>
      </c>
      <c r="M90" s="4" t="str">
        <f>IF($I90="Complete","Green",IF($H90="","Amber",IF($H90&lt;'[2]Read Me'!$B$4,"Red",IF($H90-'[2]Read Me'!$B$4&lt;=21,"Amber","Green"))))</f>
        <v>Green</v>
      </c>
      <c r="N90" s="3"/>
      <c r="O90" t="str">
        <f>IF($I90&lt;&gt;"Complete",IF(COUNTIFS($A$4:$A89,$A90,$B$4:$B89,$B90,$I$4:$I89,"&lt;&gt;Complete")=0,$A90&amp;"|"&amp;$B90,""),"")</f>
        <v/>
      </c>
      <c r="P90" t="str">
        <f ca="1">IF($K90="Yes",COUNTIFS($K$4:$K90,"Yes"),"")</f>
        <v/>
      </c>
      <c r="Q90">
        <f t="shared" ca="1" si="7"/>
        <v>0</v>
      </c>
      <c r="R90" t="str">
        <f ca="1">IF($Q90=1,SUM($Q$4:$Q90),"")</f>
        <v/>
      </c>
    </row>
    <row r="91" spans="1:18" ht="33.75" hidden="1" customHeight="1" x14ac:dyDescent="0.3">
      <c r="A91" s="2" t="s">
        <v>551</v>
      </c>
      <c r="B91" s="2" t="s">
        <v>41</v>
      </c>
      <c r="C91" s="3"/>
      <c r="D91" s="3"/>
      <c r="E91" s="2"/>
      <c r="F91" s="2"/>
      <c r="G91" s="5">
        <v>46215</v>
      </c>
      <c r="H91" s="5">
        <v>46352</v>
      </c>
      <c r="I91" s="4"/>
      <c r="J91" s="6">
        <f t="shared" si="5"/>
        <v>137</v>
      </c>
      <c r="K91" s="4" t="str">
        <f t="shared" ca="1" si="6"/>
        <v/>
      </c>
      <c r="L91" s="7">
        <f t="shared" ca="1" si="8"/>
        <v>144</v>
      </c>
      <c r="M91" s="4" t="str">
        <f>IF($I91="Complete","Green",IF($H91="","Amber",IF($H91&lt;'[2]Read Me'!$B$4,"Red",IF($H91-'[2]Read Me'!$B$4&lt;=21,"Amber","Green"))))</f>
        <v>Green</v>
      </c>
      <c r="N91" s="3"/>
      <c r="O91" t="str">
        <f>IF($I91&lt;&gt;"Complete",IF(COUNTIFS($A$4:$A90,$A91,$B$4:$B90,$B91,$I$4:$I90,"&lt;&gt;Complete")=0,$A91&amp;"|"&amp;$B91,""),"")</f>
        <v>Ph - 1A|Fit-out</v>
      </c>
      <c r="P91" t="str">
        <f ca="1">IF($K91="Yes",COUNTIFS($K$4:$K91,"Yes"),"")</f>
        <v/>
      </c>
      <c r="Q91">
        <f t="shared" ca="1" si="7"/>
        <v>0</v>
      </c>
      <c r="R91" t="str">
        <f ca="1">IF($Q91=1,SUM($Q$4:$Q91),"")</f>
        <v/>
      </c>
    </row>
    <row r="92" spans="1:18" ht="33.75" hidden="1" customHeight="1" x14ac:dyDescent="0.3">
      <c r="A92" s="2" t="s">
        <v>551</v>
      </c>
      <c r="B92" s="2" t="s">
        <v>41</v>
      </c>
      <c r="C92" s="3" t="s">
        <v>557</v>
      </c>
      <c r="D92" s="3" t="s">
        <v>558</v>
      </c>
      <c r="E92" s="2" t="s">
        <v>553</v>
      </c>
      <c r="F92" s="2"/>
      <c r="G92" s="5">
        <v>45973</v>
      </c>
      <c r="H92" s="5">
        <v>46009</v>
      </c>
      <c r="I92" s="4" t="s">
        <v>31</v>
      </c>
      <c r="J92" s="6">
        <f t="shared" si="5"/>
        <v>36</v>
      </c>
      <c r="K92" s="4" t="str">
        <f t="shared" ca="1" si="6"/>
        <v>-</v>
      </c>
      <c r="L92" s="7">
        <f t="shared" ca="1" si="8"/>
        <v>0</v>
      </c>
      <c r="M92" s="4" t="str">
        <f>IF($I92="Complete","Green",IF($H92="","Amber",IF($H92&lt;'[2]Read Me'!$B$4,"Red",IF($H92-'[2]Read Me'!$B$4&lt;=21,"Amber","Green"))))</f>
        <v>Red</v>
      </c>
      <c r="N92" s="3"/>
      <c r="O92" t="str">
        <f>IF($I92&lt;&gt;"Complete",IF(COUNTIFS($A$4:$A91,$A92,$B$4:$B91,$B92,$I$4:$I91,"&lt;&gt;Complete")=0,$A92&amp;"|"&amp;$B92,""),"")</f>
        <v/>
      </c>
      <c r="P92" t="str">
        <f ca="1">IF($K92="Yes",COUNTIFS($K$4:$K92,"Yes"),"")</f>
        <v/>
      </c>
      <c r="Q92">
        <f t="shared" ca="1" si="7"/>
        <v>0</v>
      </c>
      <c r="R92" t="str">
        <f ca="1">IF($Q92=1,SUM($Q$4:$Q92),"")</f>
        <v/>
      </c>
    </row>
    <row r="93" spans="1:18" ht="33.75" hidden="1" customHeight="1" x14ac:dyDescent="0.3">
      <c r="A93" s="2" t="s">
        <v>551</v>
      </c>
      <c r="B93" s="2" t="s">
        <v>41</v>
      </c>
      <c r="C93" s="3" t="s">
        <v>557</v>
      </c>
      <c r="D93" s="3" t="s">
        <v>18</v>
      </c>
      <c r="E93" s="2" t="s">
        <v>553</v>
      </c>
      <c r="F93" s="2" t="s">
        <v>79</v>
      </c>
      <c r="G93" s="5">
        <v>46015</v>
      </c>
      <c r="H93" s="5">
        <v>46051</v>
      </c>
      <c r="I93" s="4" t="s">
        <v>31</v>
      </c>
      <c r="J93" s="6">
        <f t="shared" si="5"/>
        <v>36</v>
      </c>
      <c r="K93" s="4" t="str">
        <f t="shared" ca="1" si="6"/>
        <v>-</v>
      </c>
      <c r="L93" s="7">
        <f t="shared" ca="1" si="8"/>
        <v>0</v>
      </c>
      <c r="M93" s="4" t="str">
        <f>IF($I93="Complete","Green",IF($H93="","Amber",IF($H93&lt;'[2]Read Me'!$B$4,"Red",IF($H93-'[2]Read Me'!$B$4&lt;=21,"Amber","Green"))))</f>
        <v>Red</v>
      </c>
      <c r="N93" s="3"/>
      <c r="O93" t="str">
        <f>IF($I93&lt;&gt;"Complete",IF(COUNTIFS($A$4:$A92,$A93,$B$4:$B92,$B93,$I$4:$I92,"&lt;&gt;Complete")=0,$A93&amp;"|"&amp;$B93,""),"")</f>
        <v/>
      </c>
      <c r="P93" t="str">
        <f ca="1">IF($K93="Yes",COUNTIFS($K$4:$K93,"Yes"),"")</f>
        <v/>
      </c>
      <c r="Q93">
        <f t="shared" ca="1" si="7"/>
        <v>0</v>
      </c>
      <c r="R93" t="str">
        <f ca="1">IF($Q93=1,SUM($Q$4:$Q93),"")</f>
        <v/>
      </c>
    </row>
    <row r="94" spans="1:18" ht="33.75" hidden="1" customHeight="1" x14ac:dyDescent="0.3">
      <c r="A94" s="2" t="s">
        <v>551</v>
      </c>
      <c r="B94" s="2" t="s">
        <v>41</v>
      </c>
      <c r="C94" s="3" t="s">
        <v>557</v>
      </c>
      <c r="D94" s="3" t="s">
        <v>32</v>
      </c>
      <c r="E94" s="2" t="s">
        <v>553</v>
      </c>
      <c r="F94" s="2"/>
      <c r="G94" s="5">
        <v>46029</v>
      </c>
      <c r="H94" s="5">
        <v>46061</v>
      </c>
      <c r="I94" s="4" t="s">
        <v>31</v>
      </c>
      <c r="J94" s="6">
        <f t="shared" si="5"/>
        <v>32</v>
      </c>
      <c r="K94" s="4" t="str">
        <f t="shared" ca="1" si="6"/>
        <v>-</v>
      </c>
      <c r="L94" s="7">
        <f t="shared" ca="1" si="8"/>
        <v>0</v>
      </c>
      <c r="M94" s="4" t="str">
        <f>IF($I94="Complete","Green",IF($H94="","Amber",IF($H94&lt;'[2]Read Me'!$B$4,"Red",IF($H94-'[2]Read Me'!$B$4&lt;=21,"Amber","Green"))))</f>
        <v>Red</v>
      </c>
      <c r="N94" s="3"/>
      <c r="O94" t="str">
        <f>IF($I94&lt;&gt;"Complete",IF(COUNTIFS($A$4:$A93,$A94,$B$4:$B93,$B94,$I$4:$I93,"&lt;&gt;Complete")=0,$A94&amp;"|"&amp;$B94,""),"")</f>
        <v/>
      </c>
      <c r="P94" t="str">
        <f ca="1">IF($K94="Yes",COUNTIFS($K$4:$K94,"Yes"),"")</f>
        <v/>
      </c>
      <c r="Q94">
        <f t="shared" ca="1" si="7"/>
        <v>0</v>
      </c>
      <c r="R94" t="str">
        <f ca="1">IF($Q94=1,SUM($Q$4:$Q94),"")</f>
        <v/>
      </c>
    </row>
    <row r="95" spans="1:18" ht="33.75" hidden="1" customHeight="1" x14ac:dyDescent="0.3">
      <c r="A95" s="2" t="s">
        <v>551</v>
      </c>
      <c r="B95" s="2" t="s">
        <v>41</v>
      </c>
      <c r="C95" s="3" t="s">
        <v>557</v>
      </c>
      <c r="D95" s="3" t="s">
        <v>126</v>
      </c>
      <c r="E95" s="2" t="s">
        <v>553</v>
      </c>
      <c r="F95" s="2" t="s">
        <v>79</v>
      </c>
      <c r="G95" s="5">
        <v>46057</v>
      </c>
      <c r="H95" s="5">
        <v>46146</v>
      </c>
      <c r="I95" s="4" t="s">
        <v>31</v>
      </c>
      <c r="J95" s="6">
        <f t="shared" si="5"/>
        <v>89</v>
      </c>
      <c r="K95" s="4" t="str">
        <f t="shared" ca="1" si="6"/>
        <v>-</v>
      </c>
      <c r="L95" s="7">
        <f t="shared" ca="1" si="8"/>
        <v>0</v>
      </c>
      <c r="M95" s="4" t="str">
        <f>IF($I95="Complete","Green",IF($H95="","Amber",IF($H95&lt;'[2]Read Me'!$B$4,"Red",IF($H95-'[2]Read Me'!$B$4&lt;=21,"Amber","Green"))))</f>
        <v>Red</v>
      </c>
      <c r="N95" s="3"/>
      <c r="O95" t="str">
        <f>IF($I95&lt;&gt;"Complete",IF(COUNTIFS($A$4:$A94,$A95,$B$4:$B94,$B95,$I$4:$I94,"&lt;&gt;Complete")=0,$A95&amp;"|"&amp;$B95,""),"")</f>
        <v/>
      </c>
      <c r="P95" t="str">
        <f ca="1">IF($K95="Yes",COUNTIFS($K$4:$K95,"Yes"),"")</f>
        <v/>
      </c>
      <c r="Q95">
        <f t="shared" ca="1" si="7"/>
        <v>0</v>
      </c>
      <c r="R95" t="str">
        <f ca="1">IF($Q95=1,SUM($Q$4:$Q95),"")</f>
        <v/>
      </c>
    </row>
    <row r="96" spans="1:18" ht="33.75" hidden="1" customHeight="1" x14ac:dyDescent="0.3">
      <c r="A96" s="2" t="s">
        <v>551</v>
      </c>
      <c r="B96" s="2" t="s">
        <v>41</v>
      </c>
      <c r="C96" s="3" t="s">
        <v>557</v>
      </c>
      <c r="D96" s="3" t="s">
        <v>34</v>
      </c>
      <c r="E96" s="2" t="s">
        <v>553</v>
      </c>
      <c r="F96" s="2"/>
      <c r="G96" s="5">
        <v>46071</v>
      </c>
      <c r="H96" s="5">
        <v>46167</v>
      </c>
      <c r="I96" s="4" t="s">
        <v>31</v>
      </c>
      <c r="J96" s="6">
        <f t="shared" si="5"/>
        <v>96</v>
      </c>
      <c r="K96" s="4" t="str">
        <f t="shared" ca="1" si="6"/>
        <v>-</v>
      </c>
      <c r="L96" s="7">
        <f t="shared" ca="1" si="8"/>
        <v>0</v>
      </c>
      <c r="M96" s="4" t="str">
        <f>IF($I96="Complete","Green",IF($H96="","Amber",IF($H96&lt;'[2]Read Me'!$B$4,"Red",IF($H96-'[2]Read Me'!$B$4&lt;=21,"Amber","Green"))))</f>
        <v>Red</v>
      </c>
      <c r="N96" s="3"/>
      <c r="O96" t="str">
        <f>IF($I96&lt;&gt;"Complete",IF(COUNTIFS($A$4:$A95,$A96,$B$4:$B95,$B96,$I$4:$I95,"&lt;&gt;Complete")=0,$A96&amp;"|"&amp;$B96,""),"")</f>
        <v/>
      </c>
      <c r="P96" t="str">
        <f ca="1">IF($K96="Yes",COUNTIFS($K$4:$K96,"Yes"),"")</f>
        <v/>
      </c>
      <c r="Q96">
        <f t="shared" ca="1" si="7"/>
        <v>0</v>
      </c>
      <c r="R96" t="str">
        <f ca="1">IF($Q96=1,SUM($Q$4:$Q96),"")</f>
        <v/>
      </c>
    </row>
    <row r="97" spans="1:18" ht="33.75" hidden="1" customHeight="1" x14ac:dyDescent="0.3">
      <c r="A97" s="2" t="s">
        <v>551</v>
      </c>
      <c r="B97" s="2" t="s">
        <v>41</v>
      </c>
      <c r="C97" s="3" t="s">
        <v>557</v>
      </c>
      <c r="D97" s="3" t="s">
        <v>127</v>
      </c>
      <c r="E97" s="2" t="s">
        <v>553</v>
      </c>
      <c r="F97" s="2" t="s">
        <v>79</v>
      </c>
      <c r="G97" s="5"/>
      <c r="H97" s="5">
        <v>46202</v>
      </c>
      <c r="I97" s="4" t="s">
        <v>46</v>
      </c>
      <c r="J97" s="6" t="str">
        <f t="shared" si="5"/>
        <v/>
      </c>
      <c r="K97" s="4" t="str">
        <f t="shared" ca="1" si="6"/>
        <v>Yes</v>
      </c>
      <c r="L97" s="7">
        <f t="shared" ca="1" si="8"/>
        <v>-6</v>
      </c>
      <c r="M97" s="4" t="str">
        <f>IF($I97="Complete","Green",IF($H97="","Amber",IF($H97&lt;'[2]Read Me'!$B$4,"Red",IF($H97-'[2]Read Me'!$B$4&lt;=21,"Amber","Green"))))</f>
        <v>Amber</v>
      </c>
      <c r="N97" s="3"/>
      <c r="O97" t="str">
        <f>IF($I97&lt;&gt;"Complete",IF(COUNTIFS($A$4:$A96,$A97,$B$4:$B96,$B97,$I$4:$I96,"&lt;&gt;Complete")=0,$A97&amp;"|"&amp;$B97,""),"")</f>
        <v/>
      </c>
      <c r="P97">
        <f ca="1">IF($K97="Yes",COUNTIFS($K$4:$K97,"Yes"),"")</f>
        <v>7</v>
      </c>
      <c r="Q97">
        <f t="shared" ca="1" si="7"/>
        <v>1</v>
      </c>
      <c r="R97">
        <f ca="1">IF($Q97=1,SUM($Q$4:$Q97),"")</f>
        <v>7</v>
      </c>
    </row>
    <row r="98" spans="1:18" ht="33.75" hidden="1" customHeight="1" x14ac:dyDescent="0.3">
      <c r="A98" s="2" t="s">
        <v>551</v>
      </c>
      <c r="B98" s="2" t="s">
        <v>41</v>
      </c>
      <c r="C98" s="3" t="s">
        <v>557</v>
      </c>
      <c r="D98" s="3" t="s">
        <v>35</v>
      </c>
      <c r="E98" s="2" t="s">
        <v>553</v>
      </c>
      <c r="F98" s="2"/>
      <c r="G98" s="5"/>
      <c r="H98" s="5">
        <v>46209</v>
      </c>
      <c r="I98" s="4" t="s">
        <v>17</v>
      </c>
      <c r="J98" s="6" t="str">
        <f t="shared" si="5"/>
        <v/>
      </c>
      <c r="K98" s="4" t="str">
        <f t="shared" ca="1" si="6"/>
        <v>No</v>
      </c>
      <c r="L98" s="7">
        <f t="shared" ca="1" si="8"/>
        <v>1</v>
      </c>
      <c r="M98" s="4" t="str">
        <f>IF($I98="Complete","Green",IF($H98="","Amber",IF($H98&lt;'[2]Read Me'!$B$4,"Red",IF($H98-'[2]Read Me'!$B$4&lt;=21,"Amber","Green"))))</f>
        <v>Green</v>
      </c>
      <c r="N98" s="3"/>
      <c r="O98" t="str">
        <f>IF($I98&lt;&gt;"Complete",IF(COUNTIFS($A$4:$A97,$A98,$B$4:$B97,$B98,$I$4:$I97,"&lt;&gt;Complete")=0,$A98&amp;"|"&amp;$B98,""),"")</f>
        <v/>
      </c>
      <c r="P98" t="str">
        <f ca="1">IF($K98="Yes",COUNTIFS($K$4:$K98,"Yes"),"")</f>
        <v/>
      </c>
      <c r="Q98">
        <f t="shared" ca="1" si="7"/>
        <v>0</v>
      </c>
      <c r="R98" t="str">
        <f ca="1">IF($Q98=1,SUM($Q$4:$Q98),"")</f>
        <v/>
      </c>
    </row>
    <row r="99" spans="1:18" ht="33.75" hidden="1" customHeight="1" x14ac:dyDescent="0.3">
      <c r="A99" s="2" t="s">
        <v>551</v>
      </c>
      <c r="B99" s="2" t="s">
        <v>41</v>
      </c>
      <c r="C99" s="3" t="s">
        <v>557</v>
      </c>
      <c r="D99" s="3" t="s">
        <v>20</v>
      </c>
      <c r="E99" s="2" t="s">
        <v>184</v>
      </c>
      <c r="F99" s="2"/>
      <c r="G99" s="5">
        <v>46071</v>
      </c>
      <c r="H99" s="5">
        <v>46216</v>
      </c>
      <c r="I99" s="4" t="s">
        <v>17</v>
      </c>
      <c r="J99" s="6">
        <f t="shared" si="5"/>
        <v>145</v>
      </c>
      <c r="K99" s="4" t="str">
        <f t="shared" ca="1" si="6"/>
        <v>No</v>
      </c>
      <c r="L99" s="7">
        <f t="shared" ca="1" si="8"/>
        <v>8</v>
      </c>
      <c r="M99" s="4" t="str">
        <f>IF($I99="Complete","Green",IF($H99="","Amber",IF($H99&lt;'[2]Read Me'!$B$4,"Red",IF($H99-'[2]Read Me'!$B$4&lt;=21,"Amber","Green"))))</f>
        <v>Green</v>
      </c>
      <c r="N99" s="3"/>
      <c r="O99" t="str">
        <f>IF($I99&lt;&gt;"Complete",IF(COUNTIFS($A$4:$A98,$A99,$B$4:$B98,$B99,$I$4:$I98,"&lt;&gt;Complete")=0,$A99&amp;"|"&amp;$B99,""),"")</f>
        <v/>
      </c>
      <c r="P99" t="str">
        <f ca="1">IF($K99="Yes",COUNTIFS($K$4:$K99,"Yes"),"")</f>
        <v/>
      </c>
      <c r="Q99">
        <f t="shared" ca="1" si="7"/>
        <v>0</v>
      </c>
      <c r="R99" t="str">
        <f ca="1">IF($Q99=1,SUM($Q$4:$Q99),"")</f>
        <v/>
      </c>
    </row>
    <row r="100" spans="1:18" ht="33.75" hidden="1" customHeight="1" x14ac:dyDescent="0.3">
      <c r="A100" s="2" t="s">
        <v>551</v>
      </c>
      <c r="B100" s="2" t="s">
        <v>41</v>
      </c>
      <c r="C100" s="3" t="s">
        <v>557</v>
      </c>
      <c r="D100" s="3" t="s">
        <v>16</v>
      </c>
      <c r="E100" s="2" t="s">
        <v>553</v>
      </c>
      <c r="F100" s="2" t="s">
        <v>79</v>
      </c>
      <c r="G100" s="5">
        <v>46089</v>
      </c>
      <c r="H100" s="5">
        <v>46226</v>
      </c>
      <c r="I100" s="4" t="s">
        <v>17</v>
      </c>
      <c r="J100" s="6">
        <f t="shared" si="5"/>
        <v>137</v>
      </c>
      <c r="K100" s="4" t="str">
        <f t="shared" ca="1" si="6"/>
        <v>No</v>
      </c>
      <c r="L100" s="7">
        <f t="shared" ca="1" si="8"/>
        <v>18</v>
      </c>
      <c r="M100" s="4" t="str">
        <f>IF($I100="Complete","Green",IF($H100="","Amber",IF($H100&lt;'[2]Read Me'!$B$4,"Red",IF($H100-'[2]Read Me'!$B$4&lt;=21,"Amber","Green"))))</f>
        <v>Green</v>
      </c>
      <c r="N100" s="3"/>
      <c r="O100" t="str">
        <f>IF($I100&lt;&gt;"Complete",IF(COUNTIFS($A$4:$A99,$A100,$B$4:$B99,$B100,$I$4:$I99,"&lt;&gt;Complete")=0,$A100&amp;"|"&amp;$B100,""),"")</f>
        <v/>
      </c>
      <c r="P100" t="str">
        <f ca="1">IF($K100="Yes",COUNTIFS($K$4:$K100,"Yes"),"")</f>
        <v/>
      </c>
      <c r="Q100">
        <f t="shared" ca="1" si="7"/>
        <v>0</v>
      </c>
      <c r="R100" t="str">
        <f ca="1">IF($Q100=1,SUM($Q$4:$Q100),"")</f>
        <v/>
      </c>
    </row>
    <row r="101" spans="1:18" ht="33.75" hidden="1" customHeight="1" x14ac:dyDescent="0.3">
      <c r="A101" s="2" t="s">
        <v>551</v>
      </c>
      <c r="B101" s="2" t="s">
        <v>41</v>
      </c>
      <c r="C101" s="3" t="s">
        <v>557</v>
      </c>
      <c r="D101" s="3" t="s">
        <v>37</v>
      </c>
      <c r="E101" s="2" t="s">
        <v>553</v>
      </c>
      <c r="F101" s="2"/>
      <c r="G101" s="5">
        <v>46103</v>
      </c>
      <c r="H101" s="5">
        <v>46240</v>
      </c>
      <c r="I101" s="4" t="s">
        <v>17</v>
      </c>
      <c r="J101" s="6">
        <f t="shared" si="5"/>
        <v>137</v>
      </c>
      <c r="K101" s="4" t="str">
        <f t="shared" ca="1" si="6"/>
        <v>No</v>
      </c>
      <c r="L101" s="7">
        <f t="shared" ca="1" si="8"/>
        <v>32</v>
      </c>
      <c r="M101" s="4" t="str">
        <f>IF($I101="Complete","Green",IF($H101="","Amber",IF($H101&lt;'[2]Read Me'!$B$4,"Red",IF($H101-'[2]Read Me'!$B$4&lt;=21,"Amber","Green"))))</f>
        <v>Green</v>
      </c>
      <c r="N101" s="3"/>
      <c r="O101" t="str">
        <f>IF($I101&lt;&gt;"Complete",IF(COUNTIFS($A$4:$A100,$A101,$B$4:$B100,$B101,$I$4:$I100,"&lt;&gt;Complete")=0,$A101&amp;"|"&amp;$B101,""),"")</f>
        <v/>
      </c>
      <c r="P101" t="str">
        <f ca="1">IF($K101="Yes",COUNTIFS($K$4:$K101,"Yes"),"")</f>
        <v/>
      </c>
      <c r="Q101">
        <f t="shared" ca="1" si="7"/>
        <v>0</v>
      </c>
      <c r="R101" t="str">
        <f ca="1">IF($Q101=1,SUM($Q$4:$Q101),"")</f>
        <v/>
      </c>
    </row>
    <row r="102" spans="1:18" ht="33.75" hidden="1" customHeight="1" x14ac:dyDescent="0.3">
      <c r="A102" s="2"/>
      <c r="B102" s="2"/>
      <c r="C102" s="3" t="s">
        <v>557</v>
      </c>
      <c r="D102" s="3" t="s">
        <v>559</v>
      </c>
      <c r="E102" s="2"/>
      <c r="F102" s="2" t="s">
        <v>79</v>
      </c>
      <c r="G102" s="5">
        <v>46131</v>
      </c>
      <c r="H102" s="5">
        <v>46268</v>
      </c>
      <c r="I102" s="4" t="s">
        <v>17</v>
      </c>
      <c r="J102" s="6">
        <f t="shared" si="5"/>
        <v>137</v>
      </c>
      <c r="K102" s="4" t="str">
        <f t="shared" ca="1" si="6"/>
        <v>No</v>
      </c>
      <c r="L102" s="7">
        <f t="shared" ca="1" si="8"/>
        <v>60</v>
      </c>
      <c r="M102" s="4" t="str">
        <f>IF($I102="Complete","Green",IF($H102="","Amber",IF($H102&lt;'[2]Read Me'!$B$4,"Red",IF($H102-'[2]Read Me'!$B$4&lt;=21,"Amber","Green"))))</f>
        <v>Green</v>
      </c>
      <c r="N102" s="3"/>
      <c r="O102" t="str">
        <f>IF($I102&lt;&gt;"Complete",IF(COUNTIFS($A$4:$A101,$A102,$B$4:$B101,$B102,$I$4:$I101,"&lt;&gt;Complete")=0,$A102&amp;"|"&amp;$B102,""),"")</f>
        <v>|</v>
      </c>
      <c r="P102" t="str">
        <f ca="1">IF($K102="Yes",COUNTIFS($K$4:$K102,"Yes"),"")</f>
        <v/>
      </c>
      <c r="Q102">
        <f t="shared" ca="1" si="7"/>
        <v>0</v>
      </c>
      <c r="R102" t="str">
        <f ca="1">IF($Q102=1,SUM($Q$4:$Q102),"")</f>
        <v/>
      </c>
    </row>
    <row r="103" spans="1:18" ht="33.75" hidden="1" customHeight="1" x14ac:dyDescent="0.3">
      <c r="A103" s="2"/>
      <c r="B103" s="2"/>
      <c r="C103" s="3" t="s">
        <v>557</v>
      </c>
      <c r="D103" s="3" t="s">
        <v>144</v>
      </c>
      <c r="E103" s="2"/>
      <c r="F103" s="2"/>
      <c r="G103" s="5">
        <v>46215</v>
      </c>
      <c r="H103" s="5">
        <v>46352</v>
      </c>
      <c r="I103" s="4" t="s">
        <v>17</v>
      </c>
      <c r="J103" s="6">
        <f t="shared" si="5"/>
        <v>137</v>
      </c>
      <c r="K103" s="4" t="str">
        <f t="shared" ca="1" si="6"/>
        <v>No</v>
      </c>
      <c r="L103" s="7">
        <f t="shared" ca="1" si="8"/>
        <v>144</v>
      </c>
      <c r="M103" s="4" t="str">
        <f>IF($I103="Complete","Green",IF($H103="","Amber",IF($H103&lt;'[2]Read Me'!$B$4,"Red",IF($H103-'[2]Read Me'!$B$4&lt;=21,"Amber","Green"))))</f>
        <v>Green</v>
      </c>
      <c r="N103" s="3"/>
      <c r="O103" t="str">
        <f>IF($I103&lt;&gt;"Complete",IF(COUNTIFS($A$4:$A102,$A103,$B$4:$B102,$B103,$I$4:$I102,"&lt;&gt;Complete")=0,$A103&amp;"|"&amp;$B103,""),"")</f>
        <v>|</v>
      </c>
      <c r="P103" t="str">
        <f ca="1">IF($K103="Yes",COUNTIFS($K$4:$K103,"Yes"),"")</f>
        <v/>
      </c>
      <c r="Q103">
        <f t="shared" ca="1" si="7"/>
        <v>0</v>
      </c>
      <c r="R103" t="str">
        <f ca="1">IF($Q103=1,SUM($Q$4:$Q103),"")</f>
        <v/>
      </c>
    </row>
    <row r="104" spans="1:18" ht="33.75" hidden="1" customHeight="1" x14ac:dyDescent="0.3">
      <c r="A104" s="2" t="s">
        <v>551</v>
      </c>
      <c r="B104" s="2" t="s">
        <v>140</v>
      </c>
      <c r="C104" s="3"/>
      <c r="D104" s="3"/>
      <c r="E104" s="2"/>
      <c r="F104" s="2"/>
      <c r="G104" s="5">
        <v>45964</v>
      </c>
      <c r="H104" s="5">
        <v>46118</v>
      </c>
      <c r="I104" s="4"/>
      <c r="J104" s="6">
        <f t="shared" si="5"/>
        <v>154</v>
      </c>
      <c r="K104" s="4" t="str">
        <f t="shared" ca="1" si="6"/>
        <v/>
      </c>
      <c r="L104" s="7">
        <f t="shared" ca="1" si="8"/>
        <v>-90</v>
      </c>
      <c r="M104" s="4" t="str">
        <f>IF($I104="Complete","Green",IF($H104="","Amber",IF($H104&lt;'[2]Read Me'!$B$4,"Red",IF($H104-'[2]Read Me'!$B$4&lt;=21,"Amber","Green"))))</f>
        <v>Red</v>
      </c>
      <c r="N104" s="3"/>
      <c r="O104" t="str">
        <f>IF($I104&lt;&gt;"Complete",IF(COUNTIFS($A$4:$A103,$A104,$B$4:$B103,$B104,$I$4:$I103,"&lt;&gt;Complete")=0,$A104&amp;"|"&amp;$B104,""),"")</f>
        <v>Ph - 1A|Masterplan</v>
      </c>
      <c r="P104" t="str">
        <f ca="1">IF($K104="Yes",COUNTIFS($K$4:$K104,"Yes"),"")</f>
        <v/>
      </c>
      <c r="Q104">
        <f t="shared" ca="1" si="7"/>
        <v>0</v>
      </c>
      <c r="R104" t="str">
        <f ca="1">IF($Q104=1,SUM($Q$4:$Q104),"")</f>
        <v/>
      </c>
    </row>
    <row r="105" spans="1:18" ht="33.75" hidden="1" customHeight="1" x14ac:dyDescent="0.3">
      <c r="A105" s="2" t="s">
        <v>551</v>
      </c>
      <c r="B105" s="2" t="s">
        <v>140</v>
      </c>
      <c r="C105" s="3" t="s">
        <v>560</v>
      </c>
      <c r="D105" s="3" t="s">
        <v>97</v>
      </c>
      <c r="E105" s="2" t="s">
        <v>553</v>
      </c>
      <c r="F105" s="2" t="s">
        <v>79</v>
      </c>
      <c r="G105" s="5">
        <v>45606</v>
      </c>
      <c r="H105" s="5">
        <v>45606</v>
      </c>
      <c r="I105" s="4" t="s">
        <v>31</v>
      </c>
      <c r="J105" s="6">
        <f t="shared" si="5"/>
        <v>0</v>
      </c>
      <c r="K105" s="4" t="str">
        <f t="shared" ca="1" si="6"/>
        <v>-</v>
      </c>
      <c r="L105" s="7">
        <f t="shared" ca="1" si="8"/>
        <v>0</v>
      </c>
      <c r="M105" s="4" t="str">
        <f>IF($I105="Complete","Green",IF($H105="","Amber",IF($H105&lt;'[2]Read Me'!$B$4,"Red",IF($H105-'[2]Read Me'!$B$4&lt;=21,"Amber","Green"))))</f>
        <v>Red</v>
      </c>
      <c r="N105" s="3"/>
      <c r="O105" t="str">
        <f>IF($I105&lt;&gt;"Complete",IF(COUNTIFS($A$4:$A104,$A105,$B$4:$B104,$B105,$I$4:$I104,"&lt;&gt;Complete")=0,$A105&amp;"|"&amp;$B105,""),"")</f>
        <v/>
      </c>
      <c r="P105" t="str">
        <f ca="1">IF($K105="Yes",COUNTIFS($K$4:$K105,"Yes"),"")</f>
        <v/>
      </c>
      <c r="Q105">
        <f t="shared" ca="1" si="7"/>
        <v>0</v>
      </c>
      <c r="R105" t="str">
        <f ca="1">IF($Q105=1,SUM($Q$4:$Q105),"")</f>
        <v/>
      </c>
    </row>
    <row r="106" spans="1:18" ht="22.5" hidden="1" customHeight="1" x14ac:dyDescent="0.3">
      <c r="A106" s="2" t="s">
        <v>551</v>
      </c>
      <c r="B106" s="2" t="s">
        <v>140</v>
      </c>
      <c r="C106" s="3" t="s">
        <v>560</v>
      </c>
      <c r="D106" s="3" t="s">
        <v>70</v>
      </c>
      <c r="E106" s="2" t="s">
        <v>553</v>
      </c>
      <c r="F106" s="2"/>
      <c r="G106" s="5">
        <v>45627</v>
      </c>
      <c r="H106" s="5">
        <v>45627</v>
      </c>
      <c r="I106" s="4" t="s">
        <v>31</v>
      </c>
      <c r="J106" s="6">
        <f t="shared" si="5"/>
        <v>0</v>
      </c>
      <c r="K106" s="4" t="str">
        <f t="shared" ca="1" si="6"/>
        <v>-</v>
      </c>
      <c r="L106" s="7">
        <f t="shared" ca="1" si="8"/>
        <v>0</v>
      </c>
      <c r="M106" s="4" t="str">
        <f>IF($I106="Complete","Green",IF($H106="","Amber",IF($H106&lt;'[2]Read Me'!$B$4,"Red",IF($H106-'[2]Read Me'!$B$4&lt;=21,"Amber","Green"))))</f>
        <v>Red</v>
      </c>
      <c r="N106" s="3"/>
      <c r="O106" t="str">
        <f>IF($I106&lt;&gt;"Complete",IF(COUNTIFS($A$4:$A105,$A106,$B$4:$B105,$B106,$I$4:$I105,"&lt;&gt;Complete")=0,$A106&amp;"|"&amp;$B106,""),"")</f>
        <v/>
      </c>
      <c r="P106" t="str">
        <f ca="1">IF($K106="Yes",COUNTIFS($K$4:$K106,"Yes"),"")</f>
        <v/>
      </c>
      <c r="Q106">
        <f t="shared" ca="1" si="7"/>
        <v>0</v>
      </c>
      <c r="R106" t="str">
        <f ca="1">IF($Q106=1,SUM($Q$4:$Q106),"")</f>
        <v/>
      </c>
    </row>
    <row r="107" spans="1:18" ht="22.5" hidden="1" customHeight="1" x14ac:dyDescent="0.3">
      <c r="A107" s="2" t="s">
        <v>551</v>
      </c>
      <c r="B107" s="2" t="s">
        <v>140</v>
      </c>
      <c r="C107" s="3" t="s">
        <v>560</v>
      </c>
      <c r="D107" s="3" t="s">
        <v>561</v>
      </c>
      <c r="E107" s="2" t="s">
        <v>553</v>
      </c>
      <c r="F107" s="2" t="s">
        <v>79</v>
      </c>
      <c r="G107" s="5">
        <v>45641</v>
      </c>
      <c r="H107" s="5">
        <v>45641</v>
      </c>
      <c r="I107" s="4" t="s">
        <v>31</v>
      </c>
      <c r="J107" s="6">
        <f t="shared" si="5"/>
        <v>0</v>
      </c>
      <c r="K107" s="4" t="str">
        <f t="shared" ca="1" si="6"/>
        <v>-</v>
      </c>
      <c r="L107" s="7">
        <f t="shared" ca="1" si="8"/>
        <v>0</v>
      </c>
      <c r="M107" s="4" t="str">
        <f>IF($I107="Complete","Green",IF($H107="","Amber",IF($H107&lt;'[2]Read Me'!$B$4,"Red",IF($H107-'[2]Read Me'!$B$4&lt;=21,"Amber","Green"))))</f>
        <v>Red</v>
      </c>
      <c r="N107" s="3"/>
      <c r="O107" t="str">
        <f>IF($I107&lt;&gt;"Complete",IF(COUNTIFS($A$4:$A106,$A107,$B$4:$B106,$B107,$I$4:$I106,"&lt;&gt;Complete")=0,$A107&amp;"|"&amp;$B107,""),"")</f>
        <v/>
      </c>
      <c r="P107" t="str">
        <f ca="1">IF($K107="Yes",COUNTIFS($K$4:$K107,"Yes"),"")</f>
        <v/>
      </c>
      <c r="Q107">
        <f t="shared" ca="1" si="7"/>
        <v>0</v>
      </c>
      <c r="R107" t="str">
        <f ca="1">IF($Q107=1,SUM($Q$4:$Q107),"")</f>
        <v/>
      </c>
    </row>
    <row r="108" spans="1:18" ht="22.5" hidden="1" customHeight="1" x14ac:dyDescent="0.3">
      <c r="A108" s="2" t="s">
        <v>551</v>
      </c>
      <c r="B108" s="2" t="s">
        <v>140</v>
      </c>
      <c r="C108" s="3" t="s">
        <v>560</v>
      </c>
      <c r="D108" s="3" t="s">
        <v>47</v>
      </c>
      <c r="E108" s="2" t="s">
        <v>553</v>
      </c>
      <c r="F108" s="2"/>
      <c r="G108" s="5">
        <v>45655</v>
      </c>
      <c r="H108" s="5">
        <v>45655</v>
      </c>
      <c r="I108" s="4" t="s">
        <v>31</v>
      </c>
      <c r="J108" s="6">
        <f t="shared" si="5"/>
        <v>0</v>
      </c>
      <c r="K108" s="4" t="str">
        <f t="shared" ca="1" si="6"/>
        <v>-</v>
      </c>
      <c r="L108" s="7">
        <f t="shared" ca="1" si="8"/>
        <v>0</v>
      </c>
      <c r="M108" s="4" t="str">
        <f>IF($I108="Complete","Green",IF($H108="","Amber",IF($H108&lt;'[2]Read Me'!$B$4,"Red",IF($H108-'[2]Read Me'!$B$4&lt;=21,"Amber","Green"))))</f>
        <v>Red</v>
      </c>
      <c r="N108" s="3"/>
      <c r="O108" t="str">
        <f>IF($I108&lt;&gt;"Complete",IF(COUNTIFS($A$4:$A107,$A108,$B$4:$B107,$B108,$I$4:$I107,"&lt;&gt;Complete")=0,$A108&amp;"|"&amp;$B108,""),"")</f>
        <v/>
      </c>
      <c r="P108" t="str">
        <f ca="1">IF($K108="Yes",COUNTIFS($K$4:$K108,"Yes"),"")</f>
        <v/>
      </c>
      <c r="Q108">
        <f t="shared" ca="1" si="7"/>
        <v>0</v>
      </c>
      <c r="R108" t="str">
        <f ca="1">IF($Q108=1,SUM($Q$4:$Q108),"")</f>
        <v/>
      </c>
    </row>
    <row r="109" spans="1:18" ht="22.5" hidden="1" customHeight="1" x14ac:dyDescent="0.3">
      <c r="A109" s="2" t="s">
        <v>551</v>
      </c>
      <c r="B109" s="2" t="s">
        <v>140</v>
      </c>
      <c r="C109" s="3" t="s">
        <v>560</v>
      </c>
      <c r="D109" s="3" t="s">
        <v>562</v>
      </c>
      <c r="E109" s="2" t="s">
        <v>553</v>
      </c>
      <c r="F109" s="2" t="s">
        <v>79</v>
      </c>
      <c r="G109" s="5">
        <v>45669</v>
      </c>
      <c r="H109" s="5">
        <v>45669</v>
      </c>
      <c r="I109" s="4" t="s">
        <v>31</v>
      </c>
      <c r="J109" s="6">
        <f t="shared" si="5"/>
        <v>0</v>
      </c>
      <c r="K109" s="4" t="str">
        <f t="shared" ca="1" si="6"/>
        <v>-</v>
      </c>
      <c r="L109" s="7">
        <f t="shared" ca="1" si="8"/>
        <v>0</v>
      </c>
      <c r="M109" s="4" t="str">
        <f>IF($I109="Complete","Green",IF($H109="","Amber",IF($H109&lt;'[2]Read Me'!$B$4,"Red",IF($H109-'[2]Read Me'!$B$4&lt;=21,"Amber","Green"))))</f>
        <v>Red</v>
      </c>
      <c r="N109" s="3"/>
      <c r="O109" t="str">
        <f>IF($I109&lt;&gt;"Complete",IF(COUNTIFS($A$4:$A108,$A109,$B$4:$B108,$B109,$I$4:$I108,"&lt;&gt;Complete")=0,$A109&amp;"|"&amp;$B109,""),"")</f>
        <v/>
      </c>
      <c r="P109" t="str">
        <f ca="1">IF($K109="Yes",COUNTIFS($K$4:$K109,"Yes"),"")</f>
        <v/>
      </c>
      <c r="Q109">
        <f t="shared" ca="1" si="7"/>
        <v>0</v>
      </c>
      <c r="R109" t="str">
        <f ca="1">IF($Q109=1,SUM($Q$4:$Q109),"")</f>
        <v/>
      </c>
    </row>
    <row r="110" spans="1:18" ht="22.5" hidden="1" customHeight="1" x14ac:dyDescent="0.3">
      <c r="A110" s="2" t="s">
        <v>551</v>
      </c>
      <c r="B110" s="2" t="s">
        <v>140</v>
      </c>
      <c r="C110" s="3" t="s">
        <v>560</v>
      </c>
      <c r="D110" s="3" t="s">
        <v>32</v>
      </c>
      <c r="E110" s="2" t="s">
        <v>553</v>
      </c>
      <c r="F110" s="2"/>
      <c r="G110" s="5">
        <v>45683</v>
      </c>
      <c r="H110" s="5">
        <v>45683</v>
      </c>
      <c r="I110" s="4" t="s">
        <v>31</v>
      </c>
      <c r="J110" s="6">
        <f t="shared" si="5"/>
        <v>0</v>
      </c>
      <c r="K110" s="4" t="str">
        <f t="shared" ca="1" si="6"/>
        <v>-</v>
      </c>
      <c r="L110" s="7">
        <f t="shared" ca="1" si="8"/>
        <v>0</v>
      </c>
      <c r="M110" s="4" t="str">
        <f>IF($I110="Complete","Green",IF($H110="","Amber",IF($H110&lt;'[2]Read Me'!$B$4,"Red",IF($H110-'[2]Read Me'!$B$4&lt;=21,"Amber","Green"))))</f>
        <v>Red</v>
      </c>
      <c r="N110" s="3"/>
      <c r="O110" t="str">
        <f>IF($I110&lt;&gt;"Complete",IF(COUNTIFS($A$4:$A109,$A110,$B$4:$B109,$B110,$I$4:$I109,"&lt;&gt;Complete")=0,$A110&amp;"|"&amp;$B110,""),"")</f>
        <v/>
      </c>
      <c r="P110" t="str">
        <f ca="1">IF($K110="Yes",COUNTIFS($K$4:$K110,"Yes"),"")</f>
        <v/>
      </c>
      <c r="Q110">
        <f t="shared" ca="1" si="7"/>
        <v>0</v>
      </c>
      <c r="R110" t="str">
        <f ca="1">IF($Q110=1,SUM($Q$4:$Q110),"")</f>
        <v/>
      </c>
    </row>
    <row r="111" spans="1:18" ht="22.5" hidden="1" customHeight="1" x14ac:dyDescent="0.3">
      <c r="A111" s="2" t="s">
        <v>551</v>
      </c>
      <c r="B111" s="2" t="s">
        <v>140</v>
      </c>
      <c r="C111" s="3" t="s">
        <v>560</v>
      </c>
      <c r="D111" s="3" t="s">
        <v>14</v>
      </c>
      <c r="E111" s="2" t="s">
        <v>553</v>
      </c>
      <c r="F111" s="2" t="s">
        <v>79</v>
      </c>
      <c r="G111" s="5">
        <v>45732</v>
      </c>
      <c r="H111" s="5">
        <v>45732</v>
      </c>
      <c r="I111" s="4" t="s">
        <v>31</v>
      </c>
      <c r="J111" s="6">
        <f t="shared" si="5"/>
        <v>0</v>
      </c>
      <c r="K111" s="4" t="str">
        <f t="shared" ca="1" si="6"/>
        <v>-</v>
      </c>
      <c r="L111" s="7">
        <f t="shared" ca="1" si="8"/>
        <v>0</v>
      </c>
      <c r="M111" s="4" t="str">
        <f>IF($I111="Complete","Green",IF($H111="","Amber",IF($H111&lt;'[2]Read Me'!$B$4,"Red",IF($H111-'[2]Read Me'!$B$4&lt;=21,"Amber","Green"))))</f>
        <v>Red</v>
      </c>
      <c r="N111" s="3"/>
      <c r="O111" t="str">
        <f>IF($I111&lt;&gt;"Complete",IF(COUNTIFS($A$4:$A110,$A111,$B$4:$B110,$B111,$I$4:$I110,"&lt;&gt;Complete")=0,$A111&amp;"|"&amp;$B111,""),"")</f>
        <v/>
      </c>
      <c r="P111" t="str">
        <f ca="1">IF($K111="Yes",COUNTIFS($K$4:$K111,"Yes"),"")</f>
        <v/>
      </c>
      <c r="Q111">
        <f t="shared" ca="1" si="7"/>
        <v>0</v>
      </c>
      <c r="R111" t="str">
        <f ca="1">IF($Q111=1,SUM($Q$4:$Q111),"")</f>
        <v/>
      </c>
    </row>
    <row r="112" spans="1:18" ht="22.5" hidden="1" customHeight="1" x14ac:dyDescent="0.3">
      <c r="A112" s="2" t="s">
        <v>551</v>
      </c>
      <c r="B112" s="2" t="s">
        <v>140</v>
      </c>
      <c r="C112" s="3" t="s">
        <v>560</v>
      </c>
      <c r="D112" s="3" t="s">
        <v>34</v>
      </c>
      <c r="E112" s="2" t="s">
        <v>553</v>
      </c>
      <c r="F112" s="2"/>
      <c r="G112" s="5">
        <v>45746</v>
      </c>
      <c r="H112" s="5">
        <v>45746</v>
      </c>
      <c r="I112" s="4" t="s">
        <v>31</v>
      </c>
      <c r="J112" s="6">
        <f t="shared" si="5"/>
        <v>0</v>
      </c>
      <c r="K112" s="4" t="str">
        <f t="shared" ca="1" si="6"/>
        <v>-</v>
      </c>
      <c r="L112" s="7">
        <f t="shared" ca="1" si="8"/>
        <v>0</v>
      </c>
      <c r="M112" s="4" t="str">
        <f>IF($I112="Complete","Green",IF($H112="","Amber",IF($H112&lt;'[2]Read Me'!$B$4,"Red",IF($H112-'[2]Read Me'!$B$4&lt;=21,"Amber","Green"))))</f>
        <v>Red</v>
      </c>
      <c r="N112" s="3"/>
      <c r="O112" t="str">
        <f>IF($I112&lt;&gt;"Complete",IF(COUNTIFS($A$4:$A111,$A112,$B$4:$B111,$B112,$I$4:$I111,"&lt;&gt;Complete")=0,$A112&amp;"|"&amp;$B112,""),"")</f>
        <v/>
      </c>
      <c r="P112" t="str">
        <f ca="1">IF($K112="Yes",COUNTIFS($K$4:$K112,"Yes"),"")</f>
        <v/>
      </c>
      <c r="Q112">
        <f t="shared" ca="1" si="7"/>
        <v>0</v>
      </c>
      <c r="R112" t="str">
        <f ca="1">IF($Q112=1,SUM($Q$4:$Q112),"")</f>
        <v/>
      </c>
    </row>
    <row r="113" spans="1:18" ht="22.5" hidden="1" customHeight="1" x14ac:dyDescent="0.3">
      <c r="A113" s="2" t="s">
        <v>551</v>
      </c>
      <c r="B113" s="2" t="s">
        <v>140</v>
      </c>
      <c r="C113" s="3" t="s">
        <v>560</v>
      </c>
      <c r="D113" s="3" t="s">
        <v>15</v>
      </c>
      <c r="E113" s="2" t="s">
        <v>553</v>
      </c>
      <c r="F113" s="2" t="s">
        <v>79</v>
      </c>
      <c r="G113" s="5">
        <v>45802</v>
      </c>
      <c r="H113" s="5">
        <v>45802</v>
      </c>
      <c r="I113" s="4" t="s">
        <v>31</v>
      </c>
      <c r="J113" s="6">
        <f t="shared" si="5"/>
        <v>0</v>
      </c>
      <c r="K113" s="4" t="str">
        <f t="shared" ca="1" si="6"/>
        <v>-</v>
      </c>
      <c r="L113" s="7">
        <f t="shared" ca="1" si="8"/>
        <v>0</v>
      </c>
      <c r="M113" s="4" t="str">
        <f>IF($I113="Complete","Green",IF($H113="","Amber",IF($H113&lt;'[2]Read Me'!$B$4,"Red",IF($H113-'[2]Read Me'!$B$4&lt;=21,"Amber","Green"))))</f>
        <v>Red</v>
      </c>
      <c r="N113" s="3"/>
      <c r="O113" t="str">
        <f>IF($I113&lt;&gt;"Complete",IF(COUNTIFS($A$4:$A112,$A113,$B$4:$B112,$B113,$I$4:$I112,"&lt;&gt;Complete")=0,$A113&amp;"|"&amp;$B113,""),"")</f>
        <v/>
      </c>
      <c r="P113" t="str">
        <f ca="1">IF($K113="Yes",COUNTIFS($K$4:$K113,"Yes"),"")</f>
        <v/>
      </c>
      <c r="Q113">
        <f t="shared" ca="1" si="7"/>
        <v>0</v>
      </c>
      <c r="R113" t="str">
        <f ca="1">IF($Q113=1,SUM($Q$4:$Q113),"")</f>
        <v/>
      </c>
    </row>
    <row r="114" spans="1:18" ht="22.5" hidden="1" customHeight="1" x14ac:dyDescent="0.3">
      <c r="A114" s="2" t="s">
        <v>551</v>
      </c>
      <c r="B114" s="2" t="s">
        <v>140</v>
      </c>
      <c r="C114" s="3" t="s">
        <v>560</v>
      </c>
      <c r="D114" s="3" t="s">
        <v>35</v>
      </c>
      <c r="E114" s="2" t="s">
        <v>553</v>
      </c>
      <c r="F114" s="2"/>
      <c r="G114" s="5">
        <v>45816</v>
      </c>
      <c r="H114" s="5">
        <v>45816</v>
      </c>
      <c r="I114" s="4" t="s">
        <v>31</v>
      </c>
      <c r="J114" s="6">
        <f t="shared" si="5"/>
        <v>0</v>
      </c>
      <c r="K114" s="4" t="str">
        <f t="shared" ca="1" si="6"/>
        <v>-</v>
      </c>
      <c r="L114" s="7">
        <f t="shared" ca="1" si="8"/>
        <v>0</v>
      </c>
      <c r="M114" s="4" t="str">
        <f>IF($I114="Complete","Green",IF($H114="","Amber",IF($H114&lt;'[2]Read Me'!$B$4,"Red",IF($H114-'[2]Read Me'!$B$4&lt;=21,"Amber","Green"))))</f>
        <v>Red</v>
      </c>
      <c r="N114" s="3"/>
      <c r="O114" t="str">
        <f>IF($I114&lt;&gt;"Complete",IF(COUNTIFS($A$4:$A113,$A114,$B$4:$B113,$B114,$I$4:$I113,"&lt;&gt;Complete")=0,$A114&amp;"|"&amp;$B114,""),"")</f>
        <v/>
      </c>
      <c r="P114" t="str">
        <f ca="1">IF($K114="Yes",COUNTIFS($K$4:$K114,"Yes"),"")</f>
        <v/>
      </c>
      <c r="Q114">
        <f t="shared" ca="1" si="7"/>
        <v>0</v>
      </c>
      <c r="R114" t="str">
        <f ca="1">IF($Q114=1,SUM($Q$4:$Q114),"")</f>
        <v/>
      </c>
    </row>
    <row r="115" spans="1:18" ht="22.5" hidden="1" customHeight="1" x14ac:dyDescent="0.3">
      <c r="A115" s="2" t="s">
        <v>551</v>
      </c>
      <c r="B115" s="2" t="s">
        <v>140</v>
      </c>
      <c r="C115" s="3" t="s">
        <v>560</v>
      </c>
      <c r="D115" s="3" t="s">
        <v>563</v>
      </c>
      <c r="E115" s="2" t="s">
        <v>553</v>
      </c>
      <c r="F115" s="2" t="s">
        <v>79</v>
      </c>
      <c r="G115" s="5">
        <v>45830</v>
      </c>
      <c r="H115" s="5">
        <v>45830</v>
      </c>
      <c r="I115" s="4" t="s">
        <v>31</v>
      </c>
      <c r="J115" s="6">
        <f t="shared" si="5"/>
        <v>0</v>
      </c>
      <c r="K115" s="4" t="str">
        <f t="shared" ca="1" si="6"/>
        <v>-</v>
      </c>
      <c r="L115" s="7">
        <f t="shared" ca="1" si="8"/>
        <v>0</v>
      </c>
      <c r="M115" s="4" t="str">
        <f>IF($I115="Complete","Green",IF($H115="","Amber",IF($H115&lt;'[2]Read Me'!$B$4,"Red",IF($H115-'[2]Read Me'!$B$4&lt;=21,"Amber","Green"))))</f>
        <v>Red</v>
      </c>
      <c r="N115" s="3"/>
      <c r="O115" t="str">
        <f>IF($I115&lt;&gt;"Complete",IF(COUNTIFS($A$4:$A114,$A115,$B$4:$B114,$B115,$I$4:$I114,"&lt;&gt;Complete")=0,$A115&amp;"|"&amp;$B115,""),"")</f>
        <v/>
      </c>
      <c r="P115" t="str">
        <f ca="1">IF($K115="Yes",COUNTIFS($K$4:$K115,"Yes"),"")</f>
        <v/>
      </c>
      <c r="Q115">
        <f t="shared" ca="1" si="7"/>
        <v>0</v>
      </c>
      <c r="R115" t="str">
        <f ca="1">IF($Q115=1,SUM($Q$4:$Q115),"")</f>
        <v/>
      </c>
    </row>
    <row r="116" spans="1:18" ht="22.5" hidden="1" customHeight="1" x14ac:dyDescent="0.3">
      <c r="A116" s="2" t="s">
        <v>551</v>
      </c>
      <c r="B116" s="2" t="s">
        <v>140</v>
      </c>
      <c r="C116" s="3" t="s">
        <v>560</v>
      </c>
      <c r="D116" s="3" t="s">
        <v>16</v>
      </c>
      <c r="E116" s="2" t="s">
        <v>553</v>
      </c>
      <c r="F116" s="2" t="s">
        <v>79</v>
      </c>
      <c r="G116" s="5">
        <v>45936</v>
      </c>
      <c r="H116" s="5">
        <v>46099</v>
      </c>
      <c r="I116" s="4" t="s">
        <v>31</v>
      </c>
      <c r="J116" s="6">
        <f t="shared" si="5"/>
        <v>163</v>
      </c>
      <c r="K116" s="4" t="str">
        <f t="shared" ca="1" si="6"/>
        <v>-</v>
      </c>
      <c r="L116" s="7">
        <f t="shared" ca="1" si="8"/>
        <v>0</v>
      </c>
      <c r="M116" s="4" t="str">
        <f>IF($I116="Complete","Green",IF($H116="","Amber",IF($H116&lt;'[2]Read Me'!$B$4,"Red",IF($H116-'[2]Read Me'!$B$4&lt;=21,"Amber","Green"))))</f>
        <v>Red</v>
      </c>
      <c r="N116" s="3"/>
      <c r="O116" t="str">
        <f>IF($I116&lt;&gt;"Complete",IF(COUNTIFS($A$4:$A115,$A116,$B$4:$B115,$B116,$I$4:$I115,"&lt;&gt;Complete")=0,$A116&amp;"|"&amp;$B116,""),"")</f>
        <v/>
      </c>
      <c r="P116" t="str">
        <f ca="1">IF($K116="Yes",COUNTIFS($K$4:$K116,"Yes"),"")</f>
        <v/>
      </c>
      <c r="Q116">
        <f t="shared" ca="1" si="7"/>
        <v>0</v>
      </c>
      <c r="R116" t="str">
        <f ca="1">IF($Q116=1,SUM($Q$4:$Q116),"")</f>
        <v/>
      </c>
    </row>
    <row r="117" spans="1:18" ht="22.5" hidden="1" customHeight="1" x14ac:dyDescent="0.3">
      <c r="A117" s="2" t="s">
        <v>551</v>
      </c>
      <c r="B117" s="2" t="s">
        <v>140</v>
      </c>
      <c r="C117" s="3" t="s">
        <v>560</v>
      </c>
      <c r="D117" s="3" t="s">
        <v>37</v>
      </c>
      <c r="E117" s="2" t="s">
        <v>553</v>
      </c>
      <c r="F117" s="2"/>
      <c r="G117" s="5">
        <v>45950</v>
      </c>
      <c r="H117" s="5">
        <v>46117</v>
      </c>
      <c r="I117" s="4" t="s">
        <v>31</v>
      </c>
      <c r="J117" s="6">
        <f t="shared" si="5"/>
        <v>167</v>
      </c>
      <c r="K117" s="4" t="str">
        <f t="shared" ca="1" si="6"/>
        <v>-</v>
      </c>
      <c r="L117" s="7">
        <f t="shared" ca="1" si="8"/>
        <v>0</v>
      </c>
      <c r="M117" s="4" t="str">
        <f>IF($I117="Complete","Green",IF($H117="","Amber",IF($H117&lt;'[2]Read Me'!$B$4,"Red",IF($H117-'[2]Read Me'!$B$4&lt;=21,"Amber","Green"))))</f>
        <v>Red</v>
      </c>
      <c r="N117" s="3"/>
      <c r="O117" t="str">
        <f>IF($I117&lt;&gt;"Complete",IF(COUNTIFS($A$4:$A116,$A117,$B$4:$B116,$B117,$I$4:$I116,"&lt;&gt;Complete")=0,$A117&amp;"|"&amp;$B117,""),"")</f>
        <v/>
      </c>
      <c r="P117" t="str">
        <f ca="1">IF($K117="Yes",COUNTIFS($K$4:$K117,"Yes"),"")</f>
        <v/>
      </c>
      <c r="Q117">
        <f t="shared" ca="1" si="7"/>
        <v>0</v>
      </c>
      <c r="R117" t="str">
        <f ca="1">IF($Q117=1,SUM($Q$4:$Q117),"")</f>
        <v/>
      </c>
    </row>
    <row r="118" spans="1:18" ht="22.5" hidden="1" customHeight="1" x14ac:dyDescent="0.3">
      <c r="A118" s="2" t="s">
        <v>551</v>
      </c>
      <c r="B118" s="2" t="s">
        <v>140</v>
      </c>
      <c r="C118" s="3" t="s">
        <v>560</v>
      </c>
      <c r="D118" s="3" t="s">
        <v>387</v>
      </c>
      <c r="E118" s="2" t="s">
        <v>553</v>
      </c>
      <c r="F118" s="2"/>
      <c r="G118" s="5">
        <v>45964</v>
      </c>
      <c r="H118" s="5">
        <v>46118</v>
      </c>
      <c r="I118" s="4" t="s">
        <v>31</v>
      </c>
      <c r="J118" s="6">
        <f t="shared" si="5"/>
        <v>154</v>
      </c>
      <c r="K118" s="4" t="str">
        <f t="shared" ca="1" si="6"/>
        <v>-</v>
      </c>
      <c r="L118" s="7">
        <f t="shared" ca="1" si="8"/>
        <v>0</v>
      </c>
      <c r="M118" s="4" t="str">
        <f>IF($I118="Complete","Green",IF($H118="","Amber",IF($H118&lt;'[2]Read Me'!$B$4,"Red",IF($H118-'[2]Read Me'!$B$4&lt;=21,"Amber","Green"))))</f>
        <v>Red</v>
      </c>
      <c r="N118" s="3"/>
      <c r="O118" t="str">
        <f>IF($I118&lt;&gt;"Complete",IF(COUNTIFS($A$4:$A117,$A118,$B$4:$B117,$B118,$I$4:$I117,"&lt;&gt;Complete")=0,$A118&amp;"|"&amp;$B118,""),"")</f>
        <v/>
      </c>
      <c r="P118" t="str">
        <f ca="1">IF($K118="Yes",COUNTIFS($K$4:$K118,"Yes"),"")</f>
        <v/>
      </c>
      <c r="Q118">
        <f t="shared" ca="1" si="7"/>
        <v>0</v>
      </c>
      <c r="R118" t="str">
        <f ca="1">IF($Q118=1,SUM($Q$4:$Q118),"")</f>
        <v/>
      </c>
    </row>
    <row r="119" spans="1:18" ht="22.5" hidden="1" customHeight="1" x14ac:dyDescent="0.3">
      <c r="A119" s="2" t="s">
        <v>551</v>
      </c>
      <c r="B119" s="2" t="s">
        <v>171</v>
      </c>
      <c r="C119" s="3"/>
      <c r="D119" s="3"/>
      <c r="E119" s="2"/>
      <c r="F119" s="2"/>
      <c r="G119" s="5">
        <v>46069</v>
      </c>
      <c r="H119" s="5">
        <v>46223</v>
      </c>
      <c r="I119" s="4"/>
      <c r="J119" s="6">
        <f t="shared" si="5"/>
        <v>154</v>
      </c>
      <c r="K119" s="4" t="str">
        <f t="shared" ca="1" si="6"/>
        <v/>
      </c>
      <c r="L119" s="7">
        <f t="shared" ca="1" si="8"/>
        <v>15</v>
      </c>
      <c r="M119" s="4" t="str">
        <f>IF($I119="Complete","Green",IF($H119="","Amber",IF($H119&lt;'[2]Read Me'!$B$4,"Red",IF($H119-'[2]Read Me'!$B$4&lt;=21,"Amber","Green"))))</f>
        <v>Green</v>
      </c>
      <c r="N119" s="3"/>
      <c r="O119" t="str">
        <f>IF($I119&lt;&gt;"Complete",IF(COUNTIFS($A$4:$A118,$A119,$B$4:$B118,$B119,$I$4:$I118,"&lt;&gt;Complete")=0,$A119&amp;"|"&amp;$B119,""),"")</f>
        <v>Ph - 1A|Infrastructure</v>
      </c>
      <c r="P119" t="str">
        <f ca="1">IF($K119="Yes",COUNTIFS($K$4:$K119,"Yes"),"")</f>
        <v/>
      </c>
      <c r="Q119">
        <f t="shared" ca="1" si="7"/>
        <v>0</v>
      </c>
      <c r="R119" t="str">
        <f ca="1">IF($Q119=1,SUM($Q$4:$Q119),"")</f>
        <v/>
      </c>
    </row>
    <row r="120" spans="1:18" ht="22.5" hidden="1" customHeight="1" x14ac:dyDescent="0.3">
      <c r="A120" s="2" t="s">
        <v>551</v>
      </c>
      <c r="B120" s="2" t="s">
        <v>171</v>
      </c>
      <c r="C120" s="3" t="s">
        <v>564</v>
      </c>
      <c r="D120" s="3" t="s">
        <v>97</v>
      </c>
      <c r="E120" s="2" t="s">
        <v>553</v>
      </c>
      <c r="F120" s="2" t="s">
        <v>79</v>
      </c>
      <c r="G120" s="5">
        <v>45606</v>
      </c>
      <c r="H120" s="5">
        <v>45606</v>
      </c>
      <c r="I120" s="4" t="s">
        <v>31</v>
      </c>
      <c r="J120" s="6">
        <f t="shared" si="5"/>
        <v>0</v>
      </c>
      <c r="K120" s="4" t="str">
        <f t="shared" ca="1" si="6"/>
        <v>-</v>
      </c>
      <c r="L120" s="7">
        <f t="shared" ca="1" si="8"/>
        <v>0</v>
      </c>
      <c r="M120" s="4" t="str">
        <f>IF($I120="Complete","Green",IF($H120="","Amber",IF($H120&lt;'[2]Read Me'!$B$4,"Red",IF($H120-'[2]Read Me'!$B$4&lt;=21,"Amber","Green"))))</f>
        <v>Red</v>
      </c>
      <c r="N120" s="3"/>
      <c r="O120" t="str">
        <f>IF($I120&lt;&gt;"Complete",IF(COUNTIFS($A$4:$A119,$A120,$B$4:$B119,$B120,$I$4:$I119,"&lt;&gt;Complete")=0,$A120&amp;"|"&amp;$B120,""),"")</f>
        <v/>
      </c>
      <c r="P120" t="str">
        <f ca="1">IF($K120="Yes",COUNTIFS($K$4:$K120,"Yes"),"")</f>
        <v/>
      </c>
      <c r="Q120">
        <f t="shared" ca="1" si="7"/>
        <v>0</v>
      </c>
      <c r="R120" t="str">
        <f ca="1">IF($Q120=1,SUM($Q$4:$Q120),"")</f>
        <v/>
      </c>
    </row>
    <row r="121" spans="1:18" ht="22.5" hidden="1" customHeight="1" x14ac:dyDescent="0.3">
      <c r="A121" s="2" t="s">
        <v>551</v>
      </c>
      <c r="B121" s="2" t="s">
        <v>171</v>
      </c>
      <c r="C121" s="3" t="s">
        <v>564</v>
      </c>
      <c r="D121" s="3" t="s">
        <v>70</v>
      </c>
      <c r="E121" s="2" t="s">
        <v>553</v>
      </c>
      <c r="F121" s="2"/>
      <c r="G121" s="5">
        <v>45627</v>
      </c>
      <c r="H121" s="5">
        <v>45627</v>
      </c>
      <c r="I121" s="4" t="s">
        <v>31</v>
      </c>
      <c r="J121" s="6">
        <f t="shared" si="5"/>
        <v>0</v>
      </c>
      <c r="K121" s="4" t="str">
        <f t="shared" ca="1" si="6"/>
        <v>-</v>
      </c>
      <c r="L121" s="7">
        <f t="shared" ca="1" si="8"/>
        <v>0</v>
      </c>
      <c r="M121" s="4" t="str">
        <f>IF($I121="Complete","Green",IF($H121="","Amber",IF($H121&lt;'[2]Read Me'!$B$4,"Red",IF($H121-'[2]Read Me'!$B$4&lt;=21,"Amber","Green"))))</f>
        <v>Red</v>
      </c>
      <c r="N121" s="3"/>
      <c r="O121" t="str">
        <f>IF($I121&lt;&gt;"Complete",IF(COUNTIFS($A$4:$A120,$A121,$B$4:$B120,$B121,$I$4:$I120,"&lt;&gt;Complete")=0,$A121&amp;"|"&amp;$B121,""),"")</f>
        <v/>
      </c>
      <c r="P121" t="str">
        <f ca="1">IF($K121="Yes",COUNTIFS($K$4:$K121,"Yes"),"")</f>
        <v/>
      </c>
      <c r="Q121">
        <f t="shared" ca="1" si="7"/>
        <v>0</v>
      </c>
      <c r="R121" t="str">
        <f ca="1">IF($Q121=1,SUM($Q$4:$Q121),"")</f>
        <v/>
      </c>
    </row>
    <row r="122" spans="1:18" ht="22.5" hidden="1" customHeight="1" x14ac:dyDescent="0.3">
      <c r="A122" s="2" t="s">
        <v>551</v>
      </c>
      <c r="B122" s="2" t="s">
        <v>171</v>
      </c>
      <c r="C122" s="3" t="s">
        <v>564</v>
      </c>
      <c r="D122" s="3" t="s">
        <v>561</v>
      </c>
      <c r="E122" s="2" t="s">
        <v>553</v>
      </c>
      <c r="F122" s="2" t="s">
        <v>79</v>
      </c>
      <c r="G122" s="5">
        <v>45641</v>
      </c>
      <c r="H122" s="5">
        <v>45641</v>
      </c>
      <c r="I122" s="4" t="s">
        <v>31</v>
      </c>
      <c r="J122" s="6">
        <f t="shared" si="5"/>
        <v>0</v>
      </c>
      <c r="K122" s="4" t="str">
        <f t="shared" ca="1" si="6"/>
        <v>-</v>
      </c>
      <c r="L122" s="7">
        <f t="shared" ca="1" si="8"/>
        <v>0</v>
      </c>
      <c r="M122" s="4" t="str">
        <f>IF($I122="Complete","Green",IF($H122="","Amber",IF($H122&lt;'[2]Read Me'!$B$4,"Red",IF($H122-'[2]Read Me'!$B$4&lt;=21,"Amber","Green"))))</f>
        <v>Red</v>
      </c>
      <c r="N122" s="3"/>
      <c r="O122" t="str">
        <f>IF($I122&lt;&gt;"Complete",IF(COUNTIFS($A$4:$A121,$A122,$B$4:$B121,$B122,$I$4:$I121,"&lt;&gt;Complete")=0,$A122&amp;"|"&amp;$B122,""),"")</f>
        <v/>
      </c>
      <c r="P122" t="str">
        <f ca="1">IF($K122="Yes",COUNTIFS($K$4:$K122,"Yes"),"")</f>
        <v/>
      </c>
      <c r="Q122">
        <f t="shared" ca="1" si="7"/>
        <v>0</v>
      </c>
      <c r="R122" t="str">
        <f ca="1">IF($Q122=1,SUM($Q$4:$Q122),"")</f>
        <v/>
      </c>
    </row>
    <row r="123" spans="1:18" ht="22.5" hidden="1" customHeight="1" x14ac:dyDescent="0.3">
      <c r="A123" s="2" t="s">
        <v>551</v>
      </c>
      <c r="B123" s="2" t="s">
        <v>171</v>
      </c>
      <c r="C123" s="3" t="s">
        <v>564</v>
      </c>
      <c r="D123" s="3" t="s">
        <v>47</v>
      </c>
      <c r="E123" s="2" t="s">
        <v>553</v>
      </c>
      <c r="F123" s="2"/>
      <c r="G123" s="5">
        <v>45655</v>
      </c>
      <c r="H123" s="5">
        <v>45655</v>
      </c>
      <c r="I123" s="4" t="s">
        <v>31</v>
      </c>
      <c r="J123" s="6">
        <f t="shared" si="5"/>
        <v>0</v>
      </c>
      <c r="K123" s="4" t="str">
        <f t="shared" ca="1" si="6"/>
        <v>-</v>
      </c>
      <c r="L123" s="7">
        <f t="shared" ca="1" si="8"/>
        <v>0</v>
      </c>
      <c r="M123" s="4" t="str">
        <f>IF($I123="Complete","Green",IF($H123="","Amber",IF($H123&lt;'[2]Read Me'!$B$4,"Red",IF($H123-'[2]Read Me'!$B$4&lt;=21,"Amber","Green"))))</f>
        <v>Red</v>
      </c>
      <c r="N123" s="3"/>
      <c r="O123" t="str">
        <f>IF($I123&lt;&gt;"Complete",IF(COUNTIFS($A$4:$A122,$A123,$B$4:$B122,$B123,$I$4:$I122,"&lt;&gt;Complete")=0,$A123&amp;"|"&amp;$B123,""),"")</f>
        <v/>
      </c>
      <c r="P123" t="str">
        <f ca="1">IF($K123="Yes",COUNTIFS($K$4:$K123,"Yes"),"")</f>
        <v/>
      </c>
      <c r="Q123">
        <f t="shared" ca="1" si="7"/>
        <v>0</v>
      </c>
      <c r="R123" t="str">
        <f ca="1">IF($Q123=1,SUM($Q$4:$Q123),"")</f>
        <v/>
      </c>
    </row>
    <row r="124" spans="1:18" ht="22.5" hidden="1" customHeight="1" x14ac:dyDescent="0.3">
      <c r="A124" s="2" t="s">
        <v>551</v>
      </c>
      <c r="B124" s="2" t="s">
        <v>171</v>
      </c>
      <c r="C124" s="3" t="s">
        <v>564</v>
      </c>
      <c r="D124" s="3" t="s">
        <v>562</v>
      </c>
      <c r="E124" s="2" t="s">
        <v>553</v>
      </c>
      <c r="F124" s="2" t="s">
        <v>79</v>
      </c>
      <c r="G124" s="5">
        <v>45669</v>
      </c>
      <c r="H124" s="5">
        <v>45669</v>
      </c>
      <c r="I124" s="4" t="s">
        <v>31</v>
      </c>
      <c r="J124" s="6">
        <f t="shared" si="5"/>
        <v>0</v>
      </c>
      <c r="K124" s="4" t="str">
        <f t="shared" ca="1" si="6"/>
        <v>-</v>
      </c>
      <c r="L124" s="7">
        <f t="shared" ca="1" si="8"/>
        <v>0</v>
      </c>
      <c r="M124" s="4" t="str">
        <f>IF($I124="Complete","Green",IF($H124="","Amber",IF($H124&lt;'[2]Read Me'!$B$4,"Red",IF($H124-'[2]Read Me'!$B$4&lt;=21,"Amber","Green"))))</f>
        <v>Red</v>
      </c>
      <c r="N124" s="3"/>
      <c r="O124" t="str">
        <f>IF($I124&lt;&gt;"Complete",IF(COUNTIFS($A$4:$A123,$A124,$B$4:$B123,$B124,$I$4:$I123,"&lt;&gt;Complete")=0,$A124&amp;"|"&amp;$B124,""),"")</f>
        <v/>
      </c>
      <c r="P124" t="str">
        <f ca="1">IF($K124="Yes",COUNTIFS($K$4:$K124,"Yes"),"")</f>
        <v/>
      </c>
      <c r="Q124">
        <f t="shared" ca="1" si="7"/>
        <v>0</v>
      </c>
      <c r="R124" t="str">
        <f ca="1">IF($Q124=1,SUM($Q$4:$Q124),"")</f>
        <v/>
      </c>
    </row>
    <row r="125" spans="1:18" ht="22.5" hidden="1" customHeight="1" x14ac:dyDescent="0.3">
      <c r="A125" s="2" t="s">
        <v>551</v>
      </c>
      <c r="B125" s="2" t="s">
        <v>171</v>
      </c>
      <c r="C125" s="3" t="s">
        <v>564</v>
      </c>
      <c r="D125" s="3" t="s">
        <v>32</v>
      </c>
      <c r="E125" s="2" t="s">
        <v>553</v>
      </c>
      <c r="F125" s="2"/>
      <c r="G125" s="5">
        <v>45683</v>
      </c>
      <c r="H125" s="5">
        <v>45683</v>
      </c>
      <c r="I125" s="4" t="s">
        <v>31</v>
      </c>
      <c r="J125" s="6">
        <f t="shared" si="5"/>
        <v>0</v>
      </c>
      <c r="K125" s="4" t="str">
        <f t="shared" ca="1" si="6"/>
        <v>-</v>
      </c>
      <c r="L125" s="7">
        <f t="shared" ca="1" si="8"/>
        <v>0</v>
      </c>
      <c r="M125" s="4" t="str">
        <f>IF($I125="Complete","Green",IF($H125="","Amber",IF($H125&lt;'[2]Read Me'!$B$4,"Red",IF($H125-'[2]Read Me'!$B$4&lt;=21,"Amber","Green"))))</f>
        <v>Red</v>
      </c>
      <c r="N125" s="3"/>
      <c r="O125" t="str">
        <f>IF($I125&lt;&gt;"Complete",IF(COUNTIFS($A$4:$A124,$A125,$B$4:$B124,$B125,$I$4:$I124,"&lt;&gt;Complete")=0,$A125&amp;"|"&amp;$B125,""),"")</f>
        <v/>
      </c>
      <c r="P125" t="str">
        <f ca="1">IF($K125="Yes",COUNTIFS($K$4:$K125,"Yes"),"")</f>
        <v/>
      </c>
      <c r="Q125">
        <f t="shared" ca="1" si="7"/>
        <v>0</v>
      </c>
      <c r="R125" t="str">
        <f ca="1">IF($Q125=1,SUM($Q$4:$Q125),"")</f>
        <v/>
      </c>
    </row>
    <row r="126" spans="1:18" ht="22.5" hidden="1" customHeight="1" x14ac:dyDescent="0.3">
      <c r="A126" s="2" t="s">
        <v>551</v>
      </c>
      <c r="B126" s="2" t="s">
        <v>171</v>
      </c>
      <c r="C126" s="3" t="s">
        <v>564</v>
      </c>
      <c r="D126" s="3" t="s">
        <v>14</v>
      </c>
      <c r="E126" s="2" t="s">
        <v>553</v>
      </c>
      <c r="F126" s="2" t="s">
        <v>79</v>
      </c>
      <c r="G126" s="5">
        <v>45732</v>
      </c>
      <c r="H126" s="5">
        <v>45732</v>
      </c>
      <c r="I126" s="4" t="s">
        <v>31</v>
      </c>
      <c r="J126" s="6">
        <f t="shared" si="5"/>
        <v>0</v>
      </c>
      <c r="K126" s="4" t="str">
        <f t="shared" ca="1" si="6"/>
        <v>-</v>
      </c>
      <c r="L126" s="7">
        <f t="shared" ca="1" si="8"/>
        <v>0</v>
      </c>
      <c r="M126" s="4" t="str">
        <f>IF($I126="Complete","Green",IF($H126="","Amber",IF($H126&lt;'[2]Read Me'!$B$4,"Red",IF($H126-'[2]Read Me'!$B$4&lt;=21,"Amber","Green"))))</f>
        <v>Red</v>
      </c>
      <c r="N126" s="3"/>
      <c r="O126" t="str">
        <f>IF($I126&lt;&gt;"Complete",IF(COUNTIFS($A$4:$A125,$A126,$B$4:$B125,$B126,$I$4:$I125,"&lt;&gt;Complete")=0,$A126&amp;"|"&amp;$B126,""),"")</f>
        <v/>
      </c>
      <c r="P126" t="str">
        <f ca="1">IF($K126="Yes",COUNTIFS($K$4:$K126,"Yes"),"")</f>
        <v/>
      </c>
      <c r="Q126">
        <f t="shared" ca="1" si="7"/>
        <v>0</v>
      </c>
      <c r="R126" t="str">
        <f ca="1">IF($Q126=1,SUM($Q$4:$Q126),"")</f>
        <v/>
      </c>
    </row>
    <row r="127" spans="1:18" ht="22.5" hidden="1" customHeight="1" x14ac:dyDescent="0.3">
      <c r="A127" s="2" t="s">
        <v>551</v>
      </c>
      <c r="B127" s="2" t="s">
        <v>171</v>
      </c>
      <c r="C127" s="3" t="s">
        <v>564</v>
      </c>
      <c r="D127" s="3" t="s">
        <v>34</v>
      </c>
      <c r="E127" s="2" t="s">
        <v>553</v>
      </c>
      <c r="F127" s="2"/>
      <c r="G127" s="5">
        <v>45816</v>
      </c>
      <c r="H127" s="5">
        <v>45816</v>
      </c>
      <c r="I127" s="4" t="s">
        <v>31</v>
      </c>
      <c r="J127" s="6">
        <f t="shared" si="5"/>
        <v>0</v>
      </c>
      <c r="K127" s="4" t="str">
        <f t="shared" ca="1" si="6"/>
        <v>-</v>
      </c>
      <c r="L127" s="7">
        <f t="shared" ca="1" si="8"/>
        <v>0</v>
      </c>
      <c r="M127" s="4" t="str">
        <f>IF($I127="Complete","Green",IF($H127="","Amber",IF($H127&lt;'[2]Read Me'!$B$4,"Red",IF($H127-'[2]Read Me'!$B$4&lt;=21,"Amber","Green"))))</f>
        <v>Red</v>
      </c>
      <c r="N127" s="3"/>
      <c r="O127" t="str">
        <f>IF($I127&lt;&gt;"Complete",IF(COUNTIFS($A$4:$A126,$A127,$B$4:$B126,$B127,$I$4:$I126,"&lt;&gt;Complete")=0,$A127&amp;"|"&amp;$B127,""),"")</f>
        <v/>
      </c>
      <c r="P127" t="str">
        <f ca="1">IF($K127="Yes",COUNTIFS($K$4:$K127,"Yes"),"")</f>
        <v/>
      </c>
      <c r="Q127">
        <f t="shared" ca="1" si="7"/>
        <v>0</v>
      </c>
      <c r="R127" t="str">
        <f ca="1">IF($Q127=1,SUM($Q$4:$Q127),"")</f>
        <v/>
      </c>
    </row>
    <row r="128" spans="1:18" ht="22.5" hidden="1" customHeight="1" x14ac:dyDescent="0.3">
      <c r="A128" s="2" t="s">
        <v>551</v>
      </c>
      <c r="B128" s="2" t="s">
        <v>171</v>
      </c>
      <c r="C128" s="3" t="s">
        <v>564</v>
      </c>
      <c r="D128" s="3" t="s">
        <v>15</v>
      </c>
      <c r="E128" s="2" t="s">
        <v>553</v>
      </c>
      <c r="F128" s="2" t="s">
        <v>79</v>
      </c>
      <c r="G128" s="5">
        <v>45900</v>
      </c>
      <c r="H128" s="5">
        <v>45900</v>
      </c>
      <c r="I128" s="4" t="s">
        <v>31</v>
      </c>
      <c r="J128" s="6">
        <f t="shared" si="5"/>
        <v>0</v>
      </c>
      <c r="K128" s="4" t="str">
        <f t="shared" ca="1" si="6"/>
        <v>-</v>
      </c>
      <c r="L128" s="7">
        <f t="shared" ca="1" si="8"/>
        <v>0</v>
      </c>
      <c r="M128" s="4" t="str">
        <f>IF($I128="Complete","Green",IF($H128="","Amber",IF($H128&lt;'[2]Read Me'!$B$4,"Red",IF($H128-'[2]Read Me'!$B$4&lt;=21,"Amber","Green"))))</f>
        <v>Red</v>
      </c>
      <c r="N128" s="3"/>
      <c r="O128" t="str">
        <f>IF($I128&lt;&gt;"Complete",IF(COUNTIFS($A$4:$A127,$A128,$B$4:$B127,$B128,$I$4:$I127,"&lt;&gt;Complete")=0,$A128&amp;"|"&amp;$B128,""),"")</f>
        <v/>
      </c>
      <c r="P128" t="str">
        <f ca="1">IF($K128="Yes",COUNTIFS($K$4:$K128,"Yes"),"")</f>
        <v/>
      </c>
      <c r="Q128">
        <f t="shared" ca="1" si="7"/>
        <v>0</v>
      </c>
      <c r="R128" t="str">
        <f ca="1">IF($Q128=1,SUM($Q$4:$Q128),"")</f>
        <v/>
      </c>
    </row>
    <row r="129" spans="1:18" ht="22.5" hidden="1" customHeight="1" x14ac:dyDescent="0.3">
      <c r="A129" s="2" t="s">
        <v>551</v>
      </c>
      <c r="B129" s="2" t="s">
        <v>171</v>
      </c>
      <c r="C129" s="3" t="s">
        <v>564</v>
      </c>
      <c r="D129" s="3" t="s">
        <v>35</v>
      </c>
      <c r="E129" s="2" t="s">
        <v>553</v>
      </c>
      <c r="F129" s="2"/>
      <c r="G129" s="5">
        <v>45914</v>
      </c>
      <c r="H129" s="5">
        <v>45914</v>
      </c>
      <c r="I129" s="4" t="s">
        <v>31</v>
      </c>
      <c r="J129" s="6">
        <f t="shared" si="5"/>
        <v>0</v>
      </c>
      <c r="K129" s="4" t="str">
        <f t="shared" ca="1" si="6"/>
        <v>-</v>
      </c>
      <c r="L129" s="7">
        <f t="shared" ca="1" si="8"/>
        <v>0</v>
      </c>
      <c r="M129" s="4" t="str">
        <f>IF($I129="Complete","Green",IF($H129="","Amber",IF($H129&lt;'[2]Read Me'!$B$4,"Red",IF($H129-'[2]Read Me'!$B$4&lt;=21,"Amber","Green"))))</f>
        <v>Red</v>
      </c>
      <c r="N129" s="3"/>
      <c r="O129" t="str">
        <f>IF($I129&lt;&gt;"Complete",IF(COUNTIFS($A$4:$A128,$A129,$B$4:$B128,$B129,$I$4:$I128,"&lt;&gt;Complete")=0,$A129&amp;"|"&amp;$B129,""),"")</f>
        <v/>
      </c>
      <c r="P129" t="str">
        <f ca="1">IF($K129="Yes",COUNTIFS($K$4:$K129,"Yes"),"")</f>
        <v/>
      </c>
      <c r="Q129">
        <f t="shared" ca="1" si="7"/>
        <v>0</v>
      </c>
      <c r="R129" t="str">
        <f ca="1">IF($Q129=1,SUM($Q$4:$Q129),"")</f>
        <v/>
      </c>
    </row>
    <row r="130" spans="1:18" ht="22.5" hidden="1" customHeight="1" x14ac:dyDescent="0.3">
      <c r="A130" s="2" t="s">
        <v>551</v>
      </c>
      <c r="B130" s="2" t="s">
        <v>171</v>
      </c>
      <c r="C130" s="3" t="s">
        <v>564</v>
      </c>
      <c r="D130" s="3" t="s">
        <v>16</v>
      </c>
      <c r="E130" s="2" t="s">
        <v>553</v>
      </c>
      <c r="F130" s="2" t="s">
        <v>79</v>
      </c>
      <c r="G130" s="5">
        <v>45936</v>
      </c>
      <c r="H130" s="5">
        <v>46121</v>
      </c>
      <c r="I130" s="4" t="s">
        <v>31</v>
      </c>
      <c r="J130" s="6">
        <f t="shared" si="5"/>
        <v>185</v>
      </c>
      <c r="K130" s="4" t="str">
        <f t="shared" ca="1" si="6"/>
        <v>-</v>
      </c>
      <c r="L130" s="7">
        <f t="shared" ca="1" si="8"/>
        <v>0</v>
      </c>
      <c r="M130" s="4" t="str">
        <f>IF($I130="Complete","Green",IF($H130="","Amber",IF($H130&lt;'[2]Read Me'!$B$4,"Red",IF($H130-'[2]Read Me'!$B$4&lt;=21,"Amber","Green"))))</f>
        <v>Red</v>
      </c>
      <c r="N130" s="3"/>
      <c r="O130" t="str">
        <f>IF($I130&lt;&gt;"Complete",IF(COUNTIFS($A$4:$A129,$A130,$B$4:$B129,$B130,$I$4:$I129,"&lt;&gt;Complete")=0,$A130&amp;"|"&amp;$B130,""),"")</f>
        <v/>
      </c>
      <c r="P130" t="str">
        <f ca="1">IF($K130="Yes",COUNTIFS($K$4:$K130,"Yes"),"")</f>
        <v/>
      </c>
      <c r="Q130">
        <f t="shared" ca="1" si="7"/>
        <v>0</v>
      </c>
      <c r="R130" t="str">
        <f ca="1">IF($Q130=1,SUM($Q$4:$Q130),"")</f>
        <v/>
      </c>
    </row>
    <row r="131" spans="1:18" ht="22.5" hidden="1" customHeight="1" x14ac:dyDescent="0.3">
      <c r="A131" s="2" t="s">
        <v>551</v>
      </c>
      <c r="B131" s="2" t="s">
        <v>171</v>
      </c>
      <c r="C131" s="3" t="s">
        <v>564</v>
      </c>
      <c r="D131" s="3" t="s">
        <v>37</v>
      </c>
      <c r="E131" s="2" t="s">
        <v>553</v>
      </c>
      <c r="F131" s="2"/>
      <c r="G131" s="5">
        <v>45950</v>
      </c>
      <c r="H131" s="5">
        <v>46147</v>
      </c>
      <c r="I131" s="4" t="s">
        <v>31</v>
      </c>
      <c r="J131" s="6">
        <f t="shared" si="5"/>
        <v>197</v>
      </c>
      <c r="K131" s="4" t="str">
        <f t="shared" ca="1" si="6"/>
        <v>-</v>
      </c>
      <c r="L131" s="7">
        <f t="shared" ca="1" si="8"/>
        <v>0</v>
      </c>
      <c r="M131" s="4" t="str">
        <f>IF($I131="Complete","Green",IF($H131="","Amber",IF($H131&lt;'[2]Read Me'!$B$4,"Red",IF($H131-'[2]Read Me'!$B$4&lt;=21,"Amber","Green"))))</f>
        <v>Red</v>
      </c>
      <c r="N131" s="3"/>
      <c r="O131" t="str">
        <f>IF($I131&lt;&gt;"Complete",IF(COUNTIFS($A$4:$A130,$A131,$B$4:$B130,$B131,$I$4:$I130,"&lt;&gt;Complete")=0,$A131&amp;"|"&amp;$B131,""),"")</f>
        <v/>
      </c>
      <c r="P131" t="str">
        <f ca="1">IF($K131="Yes",COUNTIFS($K$4:$K131,"Yes"),"")</f>
        <v/>
      </c>
      <c r="Q131">
        <f t="shared" ca="1" si="7"/>
        <v>0</v>
      </c>
      <c r="R131" t="str">
        <f ca="1">IF($Q131=1,SUM($Q$4:$Q131),"")</f>
        <v/>
      </c>
    </row>
    <row r="132" spans="1:18" ht="22.5" hidden="1" customHeight="1" x14ac:dyDescent="0.3">
      <c r="A132" s="2" t="s">
        <v>551</v>
      </c>
      <c r="B132" s="2" t="s">
        <v>171</v>
      </c>
      <c r="C132" s="3" t="s">
        <v>564</v>
      </c>
      <c r="D132" s="3" t="s">
        <v>565</v>
      </c>
      <c r="E132" s="2" t="s">
        <v>566</v>
      </c>
      <c r="F132" s="2"/>
      <c r="G132" s="5">
        <v>46055</v>
      </c>
      <c r="H132" s="5">
        <v>46209</v>
      </c>
      <c r="I132" s="4" t="s">
        <v>46</v>
      </c>
      <c r="J132" s="6">
        <f t="shared" ref="J132:J195" si="9">IF(OR($G132="",$H132=""),"",$H132-$G132)</f>
        <v>154</v>
      </c>
      <c r="K132" s="4" t="str">
        <f t="shared" ref="K132:K195" ca="1" si="10">IF(C132="","",IF(H132="","",IF($I132="completed","-",IF($H132&gt;TODAY(),"No","Yes"))))</f>
        <v>No</v>
      </c>
      <c r="L132" s="7">
        <f t="shared" ca="1" si="8"/>
        <v>1</v>
      </c>
      <c r="M132" s="4" t="str">
        <f>IF($I132="Complete","Green",IF($H132="","Amber",IF($H132&lt;'[2]Read Me'!$B$4,"Red",IF($H132-'[2]Read Me'!$B$4&lt;=21,"Amber","Green"))))</f>
        <v>Green</v>
      </c>
      <c r="N132" s="3"/>
      <c r="O132" t="str">
        <f>IF($I132&lt;&gt;"Complete",IF(COUNTIFS($A$4:$A131,$A132,$B$4:$B131,$B132,$I$4:$I131,"&lt;&gt;Complete")=0,$A132&amp;"|"&amp;$B132,""),"")</f>
        <v/>
      </c>
      <c r="P132" t="str">
        <f ca="1">IF($K132="Yes",COUNTIFS($K$4:$K132,"Yes"),"")</f>
        <v/>
      </c>
      <c r="Q132">
        <f t="shared" ref="Q132:Q195" ca="1" si="11">IF(OR($I132="In Progress",$K132="Yes"),1,0)</f>
        <v>0</v>
      </c>
      <c r="R132" t="str">
        <f ca="1">IF($Q132=1,SUM($Q$4:$Q132),"")</f>
        <v/>
      </c>
    </row>
    <row r="133" spans="1:18" ht="22.5" hidden="1" customHeight="1" x14ac:dyDescent="0.3">
      <c r="A133" s="2" t="s">
        <v>551</v>
      </c>
      <c r="B133" s="2" t="s">
        <v>171</v>
      </c>
      <c r="C133" s="3" t="s">
        <v>564</v>
      </c>
      <c r="D133" s="3" t="s">
        <v>567</v>
      </c>
      <c r="E133" s="2" t="s">
        <v>553</v>
      </c>
      <c r="F133" s="2"/>
      <c r="G133" s="5">
        <v>46069</v>
      </c>
      <c r="H133" s="5">
        <v>46223</v>
      </c>
      <c r="I133" s="4" t="s">
        <v>17</v>
      </c>
      <c r="J133" s="6">
        <f t="shared" si="9"/>
        <v>154</v>
      </c>
      <c r="K133" s="4" t="str">
        <f t="shared" ca="1" si="10"/>
        <v>No</v>
      </c>
      <c r="L133" s="7">
        <f t="shared" ca="1" si="8"/>
        <v>15</v>
      </c>
      <c r="M133" s="4" t="str">
        <f>IF($I133="Complete","Green",IF($H133="","Amber",IF($H133&lt;'[2]Read Me'!$B$4,"Red",IF($H133-'[2]Read Me'!$B$4&lt;=21,"Amber","Green"))))</f>
        <v>Green</v>
      </c>
      <c r="N133" s="3"/>
      <c r="O133" t="str">
        <f>IF($I133&lt;&gt;"Complete",IF(COUNTIFS($A$4:$A132,$A133,$B$4:$B132,$B133,$I$4:$I132,"&lt;&gt;Complete")=0,$A133&amp;"|"&amp;$B133,""),"")</f>
        <v/>
      </c>
      <c r="P133" t="str">
        <f ca="1">IF($K133="Yes",COUNTIFS($K$4:$K133,"Yes"),"")</f>
        <v/>
      </c>
      <c r="Q133">
        <f t="shared" ca="1" si="11"/>
        <v>0</v>
      </c>
      <c r="R133" t="str">
        <f ca="1">IF($Q133=1,SUM($Q$4:$Q133),"")</f>
        <v/>
      </c>
    </row>
    <row r="134" spans="1:18" ht="22.5" hidden="1" customHeight="1" x14ac:dyDescent="0.3">
      <c r="A134" s="2" t="s">
        <v>568</v>
      </c>
      <c r="B134" s="2" t="s">
        <v>49</v>
      </c>
      <c r="C134" s="3"/>
      <c r="D134" s="3"/>
      <c r="E134" s="2"/>
      <c r="F134" s="2"/>
      <c r="G134" s="5">
        <v>46139</v>
      </c>
      <c r="H134" s="5">
        <v>46362</v>
      </c>
      <c r="I134" s="4"/>
      <c r="J134" s="6">
        <f t="shared" si="9"/>
        <v>223</v>
      </c>
      <c r="K134" s="4" t="str">
        <f t="shared" ca="1" si="10"/>
        <v/>
      </c>
      <c r="L134" s="7">
        <f t="shared" ca="1" si="8"/>
        <v>154</v>
      </c>
      <c r="M134" s="4" t="str">
        <f>IF($I134="Complete","Green",IF($H134="","Amber",IF($H134&lt;'[2]Read Me'!$B$4,"Red",IF($H134-'[2]Read Me'!$B$4&lt;=21,"Amber","Green"))))</f>
        <v>Green</v>
      </c>
      <c r="N134" s="3"/>
      <c r="O134" t="str">
        <f>IF($I134&lt;&gt;"Complete",IF(COUNTIFS($A$4:$A133,$A134,$B$4:$B133,$B134,$I$4:$I133,"&lt;&gt;Complete")=0,$A134&amp;"|"&amp;$B134,""),"")</f>
        <v>Ph - 1A Ancillary Buildings|Authorities</v>
      </c>
      <c r="P134" t="str">
        <f ca="1">IF($K134="Yes",COUNTIFS($K$4:$K134,"Yes"),"")</f>
        <v/>
      </c>
      <c r="Q134">
        <f t="shared" ca="1" si="11"/>
        <v>0</v>
      </c>
      <c r="R134" t="str">
        <f ca="1">IF($Q134=1,SUM($Q$4:$Q134),"")</f>
        <v/>
      </c>
    </row>
    <row r="135" spans="1:18" ht="22.5" hidden="1" customHeight="1" x14ac:dyDescent="0.3">
      <c r="A135" s="2" t="s">
        <v>551</v>
      </c>
      <c r="B135" s="2" t="s">
        <v>49</v>
      </c>
      <c r="C135" s="3" t="s">
        <v>569</v>
      </c>
      <c r="D135" s="3" t="s">
        <v>110</v>
      </c>
      <c r="E135" s="2" t="s">
        <v>104</v>
      </c>
      <c r="F135" s="2"/>
      <c r="G135" s="5">
        <v>45999</v>
      </c>
      <c r="H135" s="5">
        <v>46278</v>
      </c>
      <c r="I135" s="4" t="s">
        <v>46</v>
      </c>
      <c r="J135" s="6">
        <f t="shared" si="9"/>
        <v>279</v>
      </c>
      <c r="K135" s="4" t="str">
        <f t="shared" ca="1" si="10"/>
        <v>No</v>
      </c>
      <c r="L135" s="7">
        <f t="shared" ca="1" si="8"/>
        <v>70</v>
      </c>
      <c r="M135" s="4" t="str">
        <f>IF($I135="Complete","Green",IF($H135="","Amber",IF($H135&lt;'[2]Read Me'!$B$4,"Red",IF($H135-'[2]Read Me'!$B$4&lt;=21,"Amber","Green"))))</f>
        <v>Green</v>
      </c>
      <c r="N135" s="3"/>
      <c r="O135" t="str">
        <f>IF($I135&lt;&gt;"Complete",IF(COUNTIFS($A$4:$A134,$A135,$B$4:$B134,$B135,$I$4:$I134,"&lt;&gt;Complete")=0,$A135&amp;"|"&amp;$B135,""),"")</f>
        <v/>
      </c>
      <c r="P135" t="str">
        <f ca="1">IF($K135="Yes",COUNTIFS($K$4:$K135,"Yes"),"")</f>
        <v/>
      </c>
      <c r="Q135">
        <f t="shared" ca="1" si="11"/>
        <v>0</v>
      </c>
      <c r="R135" t="str">
        <f ca="1">IF($Q135=1,SUM($Q$4:$Q135),"")</f>
        <v/>
      </c>
    </row>
    <row r="136" spans="1:18" ht="22.5" hidden="1" customHeight="1" x14ac:dyDescent="0.3">
      <c r="A136" s="2" t="s">
        <v>551</v>
      </c>
      <c r="B136" s="2" t="s">
        <v>49</v>
      </c>
      <c r="C136" s="3" t="s">
        <v>569</v>
      </c>
      <c r="D136" s="3" t="s">
        <v>570</v>
      </c>
      <c r="E136" s="2" t="s">
        <v>104</v>
      </c>
      <c r="F136" s="2"/>
      <c r="G136" s="5">
        <v>46139</v>
      </c>
      <c r="H136" s="5">
        <v>46362</v>
      </c>
      <c r="I136" s="4" t="s">
        <v>17</v>
      </c>
      <c r="J136" s="6">
        <f t="shared" si="9"/>
        <v>223</v>
      </c>
      <c r="K136" s="4" t="str">
        <f t="shared" ca="1" si="10"/>
        <v>No</v>
      </c>
      <c r="L136" s="7">
        <f t="shared" ca="1" si="8"/>
        <v>154</v>
      </c>
      <c r="M136" s="4" t="str">
        <f>IF($I136="Complete","Green",IF($H136="","Amber",IF($H136&lt;'[2]Read Me'!$B$4,"Red",IF($H136-'[2]Read Me'!$B$4&lt;=21,"Amber","Green"))))</f>
        <v>Green</v>
      </c>
      <c r="N136" s="3"/>
      <c r="O136" t="str">
        <f>IF($I136&lt;&gt;"Complete",IF(COUNTIFS($A$4:$A135,$A136,$B$4:$B135,$B136,$I$4:$I135,"&lt;&gt;Complete")=0,$A136&amp;"|"&amp;$B136,""),"")</f>
        <v/>
      </c>
      <c r="P136" t="str">
        <f ca="1">IF($K136="Yes",COUNTIFS($K$4:$K136,"Yes"),"")</f>
        <v/>
      </c>
      <c r="Q136">
        <f t="shared" ca="1" si="11"/>
        <v>0</v>
      </c>
      <c r="R136" t="str">
        <f ca="1">IF($Q136=1,SUM($Q$4:$Q136),"")</f>
        <v/>
      </c>
    </row>
    <row r="137" spans="1:18" ht="22.5" customHeight="1" x14ac:dyDescent="0.3">
      <c r="A137" s="2" t="s">
        <v>551</v>
      </c>
      <c r="B137" s="2" t="s">
        <v>21</v>
      </c>
      <c r="C137" s="3"/>
      <c r="D137" s="3"/>
      <c r="E137" s="2"/>
      <c r="F137" s="2"/>
      <c r="G137" s="5">
        <v>46652</v>
      </c>
      <c r="H137" s="5">
        <v>46301</v>
      </c>
      <c r="I137" s="4"/>
      <c r="J137" s="6">
        <f t="shared" si="9"/>
        <v>-351</v>
      </c>
      <c r="K137" s="4" t="str">
        <f t="shared" ca="1" si="10"/>
        <v/>
      </c>
      <c r="L137" s="7">
        <f t="shared" ref="L137:L200" ca="1" si="12">IF(I137="Completed",0,IF(H137="","",H137-TODAY()))</f>
        <v>93</v>
      </c>
      <c r="M137" s="4" t="str">
        <f>IF($I137="Complete","Green",IF($H137="","Amber",IF($H137&lt;'[2]Read Me'!$B$4,"Red",IF($H137-'[2]Read Me'!$B$4&lt;=21,"Amber","Green"))))</f>
        <v>Green</v>
      </c>
      <c r="N137" s="3"/>
      <c r="O137" t="str">
        <f>IF($I137&lt;&gt;"Complete",IF(COUNTIFS($A$4:$A136,$A137,$B$4:$B136,$B137,$I$4:$I136,"&lt;&gt;Complete")=0,$A137&amp;"|"&amp;$B137,""),"")</f>
        <v>Ph - 1A|Landscape</v>
      </c>
      <c r="P137" t="str">
        <f ca="1">IF($K137="Yes",COUNTIFS($K$4:$K137,"Yes"),"")</f>
        <v/>
      </c>
      <c r="Q137">
        <f t="shared" ca="1" si="11"/>
        <v>0</v>
      </c>
      <c r="R137" t="str">
        <f ca="1">IF($Q137=1,SUM($Q$4:$Q137),"")</f>
        <v/>
      </c>
    </row>
    <row r="138" spans="1:18" ht="22.5" customHeight="1" x14ac:dyDescent="0.3">
      <c r="A138" s="2" t="s">
        <v>551</v>
      </c>
      <c r="B138" s="2" t="s">
        <v>21</v>
      </c>
      <c r="C138" s="3" t="s">
        <v>571</v>
      </c>
      <c r="D138" s="3" t="s">
        <v>126</v>
      </c>
      <c r="E138" s="2" t="s">
        <v>215</v>
      </c>
      <c r="F138" s="2" t="s">
        <v>79</v>
      </c>
      <c r="G138" s="5">
        <v>46176</v>
      </c>
      <c r="H138" s="5">
        <v>46196</v>
      </c>
      <c r="I138" s="4" t="s">
        <v>46</v>
      </c>
      <c r="J138" s="6">
        <f t="shared" si="9"/>
        <v>20</v>
      </c>
      <c r="K138" s="4" t="str">
        <f t="shared" ca="1" si="10"/>
        <v>Yes</v>
      </c>
      <c r="L138" s="7">
        <f t="shared" ca="1" si="12"/>
        <v>-12</v>
      </c>
      <c r="M138" s="4" t="str">
        <f>IF($I138="Complete","Green",IF($H138="","Amber",IF($H138&lt;'[2]Read Me'!$B$4,"Red",IF($H138-'[2]Read Me'!$B$4&lt;=21,"Amber","Green"))))</f>
        <v>Amber</v>
      </c>
      <c r="N138" s="3"/>
      <c r="O138" t="str">
        <f>IF($I138&lt;&gt;"Complete",IF(COUNTIFS($A$4:$A137,$A138,$B$4:$B137,$B138,$I$4:$I137,"&lt;&gt;Complete")=0,$A138&amp;"|"&amp;$B138,""),"")</f>
        <v/>
      </c>
      <c r="P138">
        <f ca="1">IF($K138="Yes",COUNTIFS($K$4:$K138,"Yes"),"")</f>
        <v>8</v>
      </c>
      <c r="Q138">
        <f t="shared" ca="1" si="11"/>
        <v>1</v>
      </c>
      <c r="R138">
        <f ca="1">IF($Q138=1,SUM($Q$4:$Q138),"")</f>
        <v>8</v>
      </c>
    </row>
    <row r="139" spans="1:18" ht="22.5" customHeight="1" x14ac:dyDescent="0.3">
      <c r="A139" s="2" t="s">
        <v>551</v>
      </c>
      <c r="B139" s="2" t="s">
        <v>21</v>
      </c>
      <c r="C139" s="3" t="s">
        <v>571</v>
      </c>
      <c r="D139" s="3" t="s">
        <v>34</v>
      </c>
      <c r="E139" s="2" t="s">
        <v>215</v>
      </c>
      <c r="F139" s="2"/>
      <c r="G139" s="5">
        <v>46190</v>
      </c>
      <c r="H139" s="5">
        <v>46210</v>
      </c>
      <c r="I139" s="4" t="s">
        <v>17</v>
      </c>
      <c r="J139" s="6">
        <f t="shared" si="9"/>
        <v>20</v>
      </c>
      <c r="K139" s="4" t="str">
        <f t="shared" ca="1" si="10"/>
        <v>No</v>
      </c>
      <c r="L139" s="7">
        <f t="shared" ca="1" si="12"/>
        <v>2</v>
      </c>
      <c r="M139" s="4" t="str">
        <f>IF($I139="Complete","Green",IF($H139="","Amber",IF($H139&lt;'[2]Read Me'!$B$4,"Red",IF($H139-'[2]Read Me'!$B$4&lt;=21,"Amber","Green"))))</f>
        <v>Green</v>
      </c>
      <c r="N139" s="3"/>
      <c r="O139" t="str">
        <f>IF($I139&lt;&gt;"Complete",IF(COUNTIFS($A$4:$A138,$A139,$B$4:$B138,$B139,$I$4:$I138,"&lt;&gt;Complete")=0,$A139&amp;"|"&amp;$B139,""),"")</f>
        <v/>
      </c>
      <c r="P139" t="str">
        <f ca="1">IF($K139="Yes",COUNTIFS($K$4:$K139,"Yes"),"")</f>
        <v/>
      </c>
      <c r="Q139">
        <f t="shared" ca="1" si="11"/>
        <v>0</v>
      </c>
      <c r="R139" t="str">
        <f ca="1">IF($Q139=1,SUM($Q$4:$Q139),"")</f>
        <v/>
      </c>
    </row>
    <row r="140" spans="1:18" ht="22.5" customHeight="1" x14ac:dyDescent="0.3">
      <c r="A140" s="2" t="s">
        <v>551</v>
      </c>
      <c r="B140" s="2" t="s">
        <v>21</v>
      </c>
      <c r="C140" s="3" t="s">
        <v>571</v>
      </c>
      <c r="D140" s="3" t="s">
        <v>127</v>
      </c>
      <c r="E140" s="2" t="s">
        <v>215</v>
      </c>
      <c r="F140" s="2" t="s">
        <v>79</v>
      </c>
      <c r="G140" s="5">
        <v>46218</v>
      </c>
      <c r="H140" s="5">
        <v>46238</v>
      </c>
      <c r="I140" s="4" t="s">
        <v>17</v>
      </c>
      <c r="J140" s="6">
        <f t="shared" si="9"/>
        <v>20</v>
      </c>
      <c r="K140" s="4" t="str">
        <f t="shared" ca="1" si="10"/>
        <v>No</v>
      </c>
      <c r="L140" s="7">
        <f t="shared" ca="1" si="12"/>
        <v>30</v>
      </c>
      <c r="M140" s="4" t="str">
        <f>IF($I140="Complete","Green",IF($H140="","Amber",IF($H140&lt;'[2]Read Me'!$B$4,"Red",IF($H140-'[2]Read Me'!$B$4&lt;=21,"Amber","Green"))))</f>
        <v>Green</v>
      </c>
      <c r="N140" s="3"/>
      <c r="O140" t="str">
        <f>IF($I140&lt;&gt;"Complete",IF(COUNTIFS($A$4:$A139,$A140,$B$4:$B139,$B140,$I$4:$I139,"&lt;&gt;Complete")=0,$A140&amp;"|"&amp;$B140,""),"")</f>
        <v/>
      </c>
      <c r="P140" t="str">
        <f ca="1">IF($K140="Yes",COUNTIFS($K$4:$K140,"Yes"),"")</f>
        <v/>
      </c>
      <c r="Q140">
        <f t="shared" ca="1" si="11"/>
        <v>0</v>
      </c>
      <c r="R140" t="str">
        <f ca="1">IF($Q140=1,SUM($Q$4:$Q140),"")</f>
        <v/>
      </c>
    </row>
    <row r="141" spans="1:18" ht="22.5" customHeight="1" x14ac:dyDescent="0.3">
      <c r="A141" s="2" t="s">
        <v>551</v>
      </c>
      <c r="B141" s="2" t="s">
        <v>21</v>
      </c>
      <c r="C141" s="3" t="s">
        <v>571</v>
      </c>
      <c r="D141" s="3" t="s">
        <v>35</v>
      </c>
      <c r="E141" s="2" t="s">
        <v>215</v>
      </c>
      <c r="F141" s="2"/>
      <c r="G141" s="5">
        <v>46232</v>
      </c>
      <c r="H141" s="5">
        <v>46252</v>
      </c>
      <c r="I141" s="4" t="s">
        <v>17</v>
      </c>
      <c r="J141" s="6">
        <f t="shared" si="9"/>
        <v>20</v>
      </c>
      <c r="K141" s="4" t="str">
        <f t="shared" ca="1" si="10"/>
        <v>No</v>
      </c>
      <c r="L141" s="7">
        <f t="shared" ca="1" si="12"/>
        <v>44</v>
      </c>
      <c r="M141" s="4" t="str">
        <f>IF($I141="Complete","Green",IF($H141="","Amber",IF($H141&lt;'[2]Read Me'!$B$4,"Red",IF($H141-'[2]Read Me'!$B$4&lt;=21,"Amber","Green"))))</f>
        <v>Green</v>
      </c>
      <c r="N141" s="3"/>
      <c r="O141" t="str">
        <f>IF($I141&lt;&gt;"Complete",IF(COUNTIFS($A$4:$A140,$A141,$B$4:$B140,$B141,$I$4:$I140,"&lt;&gt;Complete")=0,$A141&amp;"|"&amp;$B141,""),"")</f>
        <v/>
      </c>
      <c r="P141" t="str">
        <f ca="1">IF($K141="Yes",COUNTIFS($K$4:$K141,"Yes"),"")</f>
        <v/>
      </c>
      <c r="Q141">
        <f t="shared" ca="1" si="11"/>
        <v>0</v>
      </c>
      <c r="R141" t="str">
        <f ca="1">IF($Q141=1,SUM($Q$4:$Q141),"")</f>
        <v/>
      </c>
    </row>
    <row r="142" spans="1:18" ht="22.5" customHeight="1" x14ac:dyDescent="0.3">
      <c r="A142" s="2" t="s">
        <v>551</v>
      </c>
      <c r="B142" s="2" t="s">
        <v>21</v>
      </c>
      <c r="C142" s="3" t="s">
        <v>571</v>
      </c>
      <c r="D142" s="3" t="s">
        <v>20</v>
      </c>
      <c r="E142" s="2" t="s">
        <v>184</v>
      </c>
      <c r="F142" s="2"/>
      <c r="G142" s="5">
        <v>46232</v>
      </c>
      <c r="H142" s="5">
        <v>46252</v>
      </c>
      <c r="I142" s="4" t="s">
        <v>17</v>
      </c>
      <c r="J142" s="6">
        <f t="shared" si="9"/>
        <v>20</v>
      </c>
      <c r="K142" s="4" t="str">
        <f t="shared" ca="1" si="10"/>
        <v>No</v>
      </c>
      <c r="L142" s="7">
        <f t="shared" ca="1" si="12"/>
        <v>44</v>
      </c>
      <c r="M142" s="4" t="str">
        <f>IF($I142="Complete","Green",IF($H142="","Amber",IF($H142&lt;'[2]Read Me'!$B$4,"Red",IF($H142-'[2]Read Me'!$B$4&lt;=21,"Amber","Green"))))</f>
        <v>Green</v>
      </c>
      <c r="N142" s="3"/>
      <c r="O142" t="str">
        <f>IF($I142&lt;&gt;"Complete",IF(COUNTIFS($A$4:$A141,$A142,$B$4:$B141,$B142,$I$4:$I141,"&lt;&gt;Complete")=0,$A142&amp;"|"&amp;$B142,""),"")</f>
        <v/>
      </c>
      <c r="P142" t="str">
        <f ca="1">IF($K142="Yes",COUNTIFS($K$4:$K142,"Yes"),"")</f>
        <v/>
      </c>
      <c r="Q142">
        <f t="shared" ca="1" si="11"/>
        <v>0</v>
      </c>
      <c r="R142" t="str">
        <f ca="1">IF($Q142=1,SUM($Q$4:$Q142),"")</f>
        <v/>
      </c>
    </row>
    <row r="143" spans="1:18" ht="22.5" customHeight="1" x14ac:dyDescent="0.3">
      <c r="A143" s="2" t="s">
        <v>551</v>
      </c>
      <c r="B143" s="2" t="s">
        <v>21</v>
      </c>
      <c r="C143" s="3" t="s">
        <v>571</v>
      </c>
      <c r="D143" s="3" t="s">
        <v>572</v>
      </c>
      <c r="E143" s="2" t="s">
        <v>215</v>
      </c>
      <c r="F143" s="2" t="s">
        <v>79</v>
      </c>
      <c r="G143" s="5">
        <v>46253</v>
      </c>
      <c r="H143" s="5">
        <v>46273</v>
      </c>
      <c r="I143" s="4" t="s">
        <v>17</v>
      </c>
      <c r="J143" s="6">
        <f t="shared" si="9"/>
        <v>20</v>
      </c>
      <c r="K143" s="4" t="str">
        <f t="shared" ca="1" si="10"/>
        <v>No</v>
      </c>
      <c r="L143" s="7">
        <f t="shared" ca="1" si="12"/>
        <v>65</v>
      </c>
      <c r="M143" s="4" t="str">
        <f>IF($I143="Complete","Green",IF($H143="","Amber",IF($H143&lt;'[2]Read Me'!$B$4,"Red",IF($H143-'[2]Read Me'!$B$4&lt;=21,"Amber","Green"))))</f>
        <v>Green</v>
      </c>
      <c r="N143" s="3"/>
      <c r="O143" t="str">
        <f>IF($I143&lt;&gt;"Complete",IF(COUNTIFS($A$4:$A142,$A143,$B$4:$B142,$B143,$I$4:$I142,"&lt;&gt;Complete")=0,$A143&amp;"|"&amp;$B143,""),"")</f>
        <v/>
      </c>
      <c r="P143" t="str">
        <f ca="1">IF($K143="Yes",COUNTIFS($K$4:$K143,"Yes"),"")</f>
        <v/>
      </c>
      <c r="Q143">
        <f t="shared" ca="1" si="11"/>
        <v>0</v>
      </c>
      <c r="R143" t="str">
        <f ca="1">IF($Q143=1,SUM($Q$4:$Q143),"")</f>
        <v/>
      </c>
    </row>
    <row r="144" spans="1:18" ht="22.5" customHeight="1" x14ac:dyDescent="0.3">
      <c r="A144" s="2" t="s">
        <v>551</v>
      </c>
      <c r="B144" s="2" t="s">
        <v>21</v>
      </c>
      <c r="C144" s="3" t="s">
        <v>571</v>
      </c>
      <c r="D144" s="3" t="s">
        <v>573</v>
      </c>
      <c r="E144" s="2" t="s">
        <v>215</v>
      </c>
      <c r="F144" s="2"/>
      <c r="G144" s="5">
        <v>46267</v>
      </c>
      <c r="H144" s="5">
        <v>46287</v>
      </c>
      <c r="I144" s="4" t="s">
        <v>17</v>
      </c>
      <c r="J144" s="6">
        <f t="shared" si="9"/>
        <v>20</v>
      </c>
      <c r="K144" s="4" t="str">
        <f t="shared" ca="1" si="10"/>
        <v>No</v>
      </c>
      <c r="L144" s="7">
        <f t="shared" ca="1" si="12"/>
        <v>79</v>
      </c>
      <c r="M144" s="4" t="str">
        <f>IF($I144="Complete","Green",IF($H144="","Amber",IF($H144&lt;'[2]Read Me'!$B$4,"Red",IF($H144-'[2]Read Me'!$B$4&lt;=21,"Amber","Green"))))</f>
        <v>Green</v>
      </c>
      <c r="N144" s="3"/>
      <c r="O144" t="str">
        <f>IF($I144&lt;&gt;"Complete",IF(COUNTIFS($A$4:$A143,$A144,$B$4:$B143,$B144,$I$4:$I143,"&lt;&gt;Complete")=0,$A144&amp;"|"&amp;$B144,""),"")</f>
        <v/>
      </c>
      <c r="P144" t="str">
        <f ca="1">IF($K144="Yes",COUNTIFS($K$4:$K144,"Yes"),"")</f>
        <v/>
      </c>
      <c r="Q144">
        <f t="shared" ca="1" si="11"/>
        <v>0</v>
      </c>
      <c r="R144" t="str">
        <f ca="1">IF($Q144=1,SUM($Q$4:$Q144),"")</f>
        <v/>
      </c>
    </row>
    <row r="145" spans="1:18" ht="22.5" customHeight="1" x14ac:dyDescent="0.3">
      <c r="A145" s="2" t="s">
        <v>551</v>
      </c>
      <c r="B145" s="2" t="s">
        <v>21</v>
      </c>
      <c r="C145" s="3" t="s">
        <v>571</v>
      </c>
      <c r="D145" s="3" t="s">
        <v>574</v>
      </c>
      <c r="E145" s="2" t="s">
        <v>215</v>
      </c>
      <c r="F145" s="2" t="s">
        <v>79</v>
      </c>
      <c r="G145" s="5">
        <v>46274</v>
      </c>
      <c r="H145" s="5">
        <v>46294</v>
      </c>
      <c r="I145" s="4" t="s">
        <v>17</v>
      </c>
      <c r="J145" s="6">
        <f t="shared" si="9"/>
        <v>20</v>
      </c>
      <c r="K145" s="4" t="str">
        <f t="shared" ca="1" si="10"/>
        <v>No</v>
      </c>
      <c r="L145" s="7">
        <f t="shared" ca="1" si="12"/>
        <v>86</v>
      </c>
      <c r="M145" s="4" t="str">
        <f>IF($I145="Complete","Green",IF($H145="","Amber",IF($H145&lt;'[2]Read Me'!$B$4,"Red",IF($H145-'[2]Read Me'!$B$4&lt;=21,"Amber","Green"))))</f>
        <v>Green</v>
      </c>
      <c r="N145" s="3"/>
      <c r="O145" t="str">
        <f>IF($I145&lt;&gt;"Complete",IF(COUNTIFS($A$4:$A144,$A145,$B$4:$B144,$B145,$I$4:$I144,"&lt;&gt;Complete")=0,$A145&amp;"|"&amp;$B145,""),"")</f>
        <v/>
      </c>
      <c r="P145" t="str">
        <f ca="1">IF($K145="Yes",COUNTIFS($K$4:$K145,"Yes"),"")</f>
        <v/>
      </c>
      <c r="Q145">
        <f t="shared" ca="1" si="11"/>
        <v>0</v>
      </c>
      <c r="R145" t="str">
        <f ca="1">IF($Q145=1,SUM($Q$4:$Q145),"")</f>
        <v/>
      </c>
    </row>
    <row r="146" spans="1:18" ht="22.5" customHeight="1" x14ac:dyDescent="0.3">
      <c r="A146" s="2" t="s">
        <v>551</v>
      </c>
      <c r="B146" s="2" t="s">
        <v>21</v>
      </c>
      <c r="C146" s="3" t="s">
        <v>571</v>
      </c>
      <c r="D146" s="3" t="s">
        <v>575</v>
      </c>
      <c r="E146" s="2" t="s">
        <v>215</v>
      </c>
      <c r="F146" s="2"/>
      <c r="G146" s="5">
        <v>46281</v>
      </c>
      <c r="H146" s="5">
        <v>46301</v>
      </c>
      <c r="I146" s="4" t="s">
        <v>17</v>
      </c>
      <c r="J146" s="6">
        <f t="shared" si="9"/>
        <v>20</v>
      </c>
      <c r="K146" s="4" t="str">
        <f t="shared" ca="1" si="10"/>
        <v>No</v>
      </c>
      <c r="L146" s="7">
        <f t="shared" ca="1" si="12"/>
        <v>93</v>
      </c>
      <c r="M146" s="4" t="str">
        <f>IF($I146="Complete","Green",IF($H146="","Amber",IF($H146&lt;'[2]Read Me'!$B$4,"Red",IF($H146-'[2]Read Me'!$B$4&lt;=21,"Amber","Green"))))</f>
        <v>Green</v>
      </c>
      <c r="N146" s="3"/>
      <c r="O146" t="str">
        <f>IF($I146&lt;&gt;"Complete",IF(COUNTIFS($A$4:$A145,$A146,$B$4:$B145,$B146,$I$4:$I145,"&lt;&gt;Complete")=0,$A146&amp;"|"&amp;$B146,""),"")</f>
        <v/>
      </c>
      <c r="P146" t="str">
        <f ca="1">IF($K146="Yes",COUNTIFS($K$4:$K146,"Yes"),"")</f>
        <v/>
      </c>
      <c r="Q146">
        <f t="shared" ca="1" si="11"/>
        <v>0</v>
      </c>
      <c r="R146" t="str">
        <f ca="1">IF($Q146=1,SUM($Q$4:$Q146),"")</f>
        <v/>
      </c>
    </row>
    <row r="147" spans="1:18" ht="22.5" hidden="1" customHeight="1" x14ac:dyDescent="0.3">
      <c r="A147" s="2" t="s">
        <v>576</v>
      </c>
      <c r="B147" s="2" t="s">
        <v>62</v>
      </c>
      <c r="C147" s="3"/>
      <c r="D147" s="3"/>
      <c r="E147" s="2"/>
      <c r="F147" s="2"/>
      <c r="G147" s="5">
        <v>46243</v>
      </c>
      <c r="H147" s="5">
        <v>46408</v>
      </c>
      <c r="I147" s="4"/>
      <c r="J147" s="6">
        <f t="shared" si="9"/>
        <v>165</v>
      </c>
      <c r="K147" s="4" t="str">
        <f t="shared" ca="1" si="10"/>
        <v/>
      </c>
      <c r="L147" s="7">
        <f t="shared" ca="1" si="12"/>
        <v>200</v>
      </c>
      <c r="M147" s="4" t="str">
        <f>IF($I147="Complete","Green",IF($H147="","Amber",IF($H147&lt;'[2]Read Me'!$B$4,"Red",IF($H147-'[2]Read Me'!$B$4&lt;=21,"Amber","Green"))))</f>
        <v>Green</v>
      </c>
      <c r="N147" s="3"/>
      <c r="O147" t="str">
        <f>IF($I147&lt;&gt;"Complete",IF(COUNTIFS($A$4:$A146,$A147,$B$4:$B146,$B147,$I$4:$I146,"&lt;&gt;Complete")=0,$A147&amp;"|"&amp;$B147,""),"")</f>
        <v>Ph - 2A 2B|Buildings</v>
      </c>
      <c r="P147" t="str">
        <f ca="1">IF($K147="Yes",COUNTIFS($K$4:$K147,"Yes"),"")</f>
        <v/>
      </c>
      <c r="Q147">
        <f t="shared" ca="1" si="11"/>
        <v>0</v>
      </c>
      <c r="R147" t="str">
        <f ca="1">IF($Q147=1,SUM($Q$4:$Q147),"")</f>
        <v/>
      </c>
    </row>
    <row r="148" spans="1:18" ht="22.5" hidden="1" customHeight="1" x14ac:dyDescent="0.3">
      <c r="A148" s="2" t="s">
        <v>576</v>
      </c>
      <c r="B148" s="2" t="s">
        <v>62</v>
      </c>
      <c r="C148" s="3" t="s">
        <v>577</v>
      </c>
      <c r="D148" s="3" t="s">
        <v>97</v>
      </c>
      <c r="E148" s="2" t="s">
        <v>553</v>
      </c>
      <c r="F148" s="2" t="s">
        <v>166</v>
      </c>
      <c r="G148" s="5">
        <v>45886</v>
      </c>
      <c r="H148" s="5">
        <v>45886</v>
      </c>
      <c r="I148" s="4" t="s">
        <v>31</v>
      </c>
      <c r="J148" s="6">
        <f t="shared" si="9"/>
        <v>0</v>
      </c>
      <c r="K148" s="4" t="str">
        <f t="shared" ca="1" si="10"/>
        <v>-</v>
      </c>
      <c r="L148" s="7">
        <f t="shared" ca="1" si="12"/>
        <v>0</v>
      </c>
      <c r="M148" s="4" t="str">
        <f>IF($I148="Complete","Green",IF($H148="","Amber",IF($H148&lt;'[2]Read Me'!$B$4,"Red",IF($H148-'[2]Read Me'!$B$4&lt;=21,"Amber","Green"))))</f>
        <v>Red</v>
      </c>
      <c r="N148" s="3"/>
      <c r="O148" t="str">
        <f>IF($I148&lt;&gt;"Complete",IF(COUNTIFS($A$4:$A147,$A148,$B$4:$B147,$B148,$I$4:$I147,"&lt;&gt;Complete")=0,$A148&amp;"|"&amp;$B148,""),"")</f>
        <v/>
      </c>
      <c r="P148" t="str">
        <f ca="1">IF($K148="Yes",COUNTIFS($K$4:$K148,"Yes"),"")</f>
        <v/>
      </c>
      <c r="Q148">
        <f t="shared" ca="1" si="11"/>
        <v>0</v>
      </c>
      <c r="R148" t="str">
        <f ca="1">IF($Q148=1,SUM($Q$4:$Q148),"")</f>
        <v/>
      </c>
    </row>
    <row r="149" spans="1:18" ht="22.5" hidden="1" customHeight="1" x14ac:dyDescent="0.3">
      <c r="A149" s="2" t="s">
        <v>576</v>
      </c>
      <c r="B149" s="2" t="s">
        <v>62</v>
      </c>
      <c r="C149" s="3" t="s">
        <v>577</v>
      </c>
      <c r="D149" s="3" t="s">
        <v>98</v>
      </c>
      <c r="E149" s="2" t="s">
        <v>553</v>
      </c>
      <c r="F149" s="2" t="s">
        <v>166</v>
      </c>
      <c r="G149" s="5">
        <v>45900</v>
      </c>
      <c r="H149" s="5">
        <v>45900</v>
      </c>
      <c r="I149" s="4" t="s">
        <v>31</v>
      </c>
      <c r="J149" s="6">
        <f t="shared" si="9"/>
        <v>0</v>
      </c>
      <c r="K149" s="4" t="str">
        <f t="shared" ca="1" si="10"/>
        <v>-</v>
      </c>
      <c r="L149" s="7">
        <f t="shared" ca="1" si="12"/>
        <v>0</v>
      </c>
      <c r="M149" s="4" t="str">
        <f>IF($I149="Complete","Green",IF($H149="","Amber",IF($H149&lt;'[2]Read Me'!$B$4,"Red",IF($H149-'[2]Read Me'!$B$4&lt;=21,"Amber","Green"))))</f>
        <v>Red</v>
      </c>
      <c r="N149" s="3"/>
      <c r="O149" t="str">
        <f>IF($I149&lt;&gt;"Complete",IF(COUNTIFS($A$4:$A148,$A149,$B$4:$B148,$B149,$I$4:$I148,"&lt;&gt;Complete")=0,$A149&amp;"|"&amp;$B149,""),"")</f>
        <v/>
      </c>
      <c r="P149" t="str">
        <f ca="1">IF($K149="Yes",COUNTIFS($K$4:$K149,"Yes"),"")</f>
        <v/>
      </c>
      <c r="Q149">
        <f t="shared" ca="1" si="11"/>
        <v>0</v>
      </c>
      <c r="R149" t="str">
        <f ca="1">IF($Q149=1,SUM($Q$4:$Q149),"")</f>
        <v/>
      </c>
    </row>
    <row r="150" spans="1:18" ht="22.5" hidden="1" customHeight="1" x14ac:dyDescent="0.3">
      <c r="A150" s="2" t="s">
        <v>576</v>
      </c>
      <c r="B150" s="2" t="s">
        <v>62</v>
      </c>
      <c r="C150" s="3" t="s">
        <v>577</v>
      </c>
      <c r="D150" s="3" t="s">
        <v>578</v>
      </c>
      <c r="E150" s="2" t="s">
        <v>553</v>
      </c>
      <c r="F150" s="2"/>
      <c r="G150" s="5">
        <v>45942</v>
      </c>
      <c r="H150" s="5">
        <v>45958</v>
      </c>
      <c r="I150" s="4" t="s">
        <v>31</v>
      </c>
      <c r="J150" s="6">
        <f t="shared" si="9"/>
        <v>16</v>
      </c>
      <c r="K150" s="4" t="str">
        <f t="shared" ca="1" si="10"/>
        <v>-</v>
      </c>
      <c r="L150" s="7">
        <f t="shared" ca="1" si="12"/>
        <v>0</v>
      </c>
      <c r="M150" s="4" t="str">
        <f>IF($I150="Complete","Green",IF($H150="","Amber",IF($H150&lt;'[2]Read Me'!$B$4,"Red",IF($H150-'[2]Read Me'!$B$4&lt;=21,"Amber","Green"))))</f>
        <v>Red</v>
      </c>
      <c r="N150" s="3"/>
      <c r="O150" t="str">
        <f>IF($I150&lt;&gt;"Complete",IF(COUNTIFS($A$4:$A149,$A150,$B$4:$B149,$B150,$I$4:$I149,"&lt;&gt;Complete")=0,$A150&amp;"|"&amp;$B150,""),"")</f>
        <v/>
      </c>
      <c r="P150" t="str">
        <f ca="1">IF($K150="Yes",COUNTIFS($K$4:$K150,"Yes"),"")</f>
        <v/>
      </c>
      <c r="Q150">
        <f t="shared" ca="1" si="11"/>
        <v>0</v>
      </c>
      <c r="R150" t="str">
        <f ca="1">IF($Q150=1,SUM($Q$4:$Q150),"")</f>
        <v/>
      </c>
    </row>
    <row r="151" spans="1:18" ht="22.5" hidden="1" customHeight="1" x14ac:dyDescent="0.3">
      <c r="A151" s="2" t="s">
        <v>576</v>
      </c>
      <c r="B151" s="2" t="s">
        <v>62</v>
      </c>
      <c r="C151" s="3" t="s">
        <v>577</v>
      </c>
      <c r="D151" s="3" t="s">
        <v>18</v>
      </c>
      <c r="E151" s="2" t="s">
        <v>553</v>
      </c>
      <c r="F151" s="2" t="s">
        <v>166</v>
      </c>
      <c r="G151" s="5">
        <v>45963</v>
      </c>
      <c r="H151" s="5">
        <v>46000</v>
      </c>
      <c r="I151" s="4" t="s">
        <v>31</v>
      </c>
      <c r="J151" s="6">
        <f t="shared" si="9"/>
        <v>37</v>
      </c>
      <c r="K151" s="4" t="str">
        <f t="shared" ca="1" si="10"/>
        <v>-</v>
      </c>
      <c r="L151" s="7">
        <f t="shared" ca="1" si="12"/>
        <v>0</v>
      </c>
      <c r="M151" s="4" t="str">
        <f>IF($I151="Complete","Green",IF($H151="","Amber",IF($H151&lt;'[2]Read Me'!$B$4,"Red",IF($H151-'[2]Read Me'!$B$4&lt;=21,"Amber","Green"))))</f>
        <v>Red</v>
      </c>
      <c r="N151" s="3"/>
      <c r="O151" t="str">
        <f>IF($I151&lt;&gt;"Complete",IF(COUNTIFS($A$4:$A150,$A151,$B$4:$B150,$B151,$I$4:$I150,"&lt;&gt;Complete")=0,$A151&amp;"|"&amp;$B151,""),"")</f>
        <v/>
      </c>
      <c r="P151" t="str">
        <f ca="1">IF($K151="Yes",COUNTIFS($K$4:$K151,"Yes"),"")</f>
        <v/>
      </c>
      <c r="Q151">
        <f t="shared" ca="1" si="11"/>
        <v>0</v>
      </c>
      <c r="R151" t="str">
        <f ca="1">IF($Q151=1,SUM($Q$4:$Q151),"")</f>
        <v/>
      </c>
    </row>
    <row r="152" spans="1:18" ht="22.5" hidden="1" customHeight="1" x14ac:dyDescent="0.3">
      <c r="A152" s="2" t="s">
        <v>576</v>
      </c>
      <c r="B152" s="2" t="s">
        <v>62</v>
      </c>
      <c r="C152" s="3" t="s">
        <v>577</v>
      </c>
      <c r="D152" s="3" t="s">
        <v>32</v>
      </c>
      <c r="E152" s="2" t="s">
        <v>553</v>
      </c>
      <c r="F152" s="2"/>
      <c r="G152" s="5">
        <v>45977</v>
      </c>
      <c r="H152" s="5">
        <v>46008</v>
      </c>
      <c r="I152" s="4" t="s">
        <v>31</v>
      </c>
      <c r="J152" s="6">
        <f t="shared" si="9"/>
        <v>31</v>
      </c>
      <c r="K152" s="4" t="str">
        <f t="shared" ca="1" si="10"/>
        <v>-</v>
      </c>
      <c r="L152" s="7">
        <f t="shared" ca="1" si="12"/>
        <v>0</v>
      </c>
      <c r="M152" s="4" t="str">
        <f>IF($I152="Complete","Green",IF($H152="","Amber",IF($H152&lt;'[2]Read Me'!$B$4,"Red",IF($H152-'[2]Read Me'!$B$4&lt;=21,"Amber","Green"))))</f>
        <v>Red</v>
      </c>
      <c r="N152" s="3"/>
      <c r="O152" t="str">
        <f>IF($I152&lt;&gt;"Complete",IF(COUNTIFS($A$4:$A151,$A152,$B$4:$B151,$B152,$I$4:$I151,"&lt;&gt;Complete")=0,$A152&amp;"|"&amp;$B152,""),"")</f>
        <v/>
      </c>
      <c r="P152" t="str">
        <f ca="1">IF($K152="Yes",COUNTIFS($K$4:$K152,"Yes"),"")</f>
        <v/>
      </c>
      <c r="Q152">
        <f t="shared" ca="1" si="11"/>
        <v>0</v>
      </c>
      <c r="R152" t="str">
        <f ca="1">IF($Q152=1,SUM($Q$4:$Q152),"")</f>
        <v/>
      </c>
    </row>
    <row r="153" spans="1:18" ht="22.5" hidden="1" customHeight="1" x14ac:dyDescent="0.3">
      <c r="A153" s="2" t="s">
        <v>576</v>
      </c>
      <c r="B153" s="2" t="s">
        <v>62</v>
      </c>
      <c r="C153" s="3" t="s">
        <v>577</v>
      </c>
      <c r="D153" s="3" t="s">
        <v>19</v>
      </c>
      <c r="E153" s="2" t="s">
        <v>184</v>
      </c>
      <c r="F153" s="2" t="s">
        <v>81</v>
      </c>
      <c r="G153" s="5">
        <v>45977</v>
      </c>
      <c r="H153" s="5">
        <v>46084</v>
      </c>
      <c r="I153" s="4" t="s">
        <v>31</v>
      </c>
      <c r="J153" s="6">
        <f t="shared" si="9"/>
        <v>107</v>
      </c>
      <c r="K153" s="4" t="str">
        <f t="shared" ca="1" si="10"/>
        <v>-</v>
      </c>
      <c r="L153" s="7">
        <f t="shared" ca="1" si="12"/>
        <v>0</v>
      </c>
      <c r="M153" s="4" t="str">
        <f>IF($I153="Complete","Green",IF($H153="","Amber",IF($H153&lt;'[2]Read Me'!$B$4,"Red",IF($H153-'[2]Read Me'!$B$4&lt;=21,"Amber","Green"))))</f>
        <v>Red</v>
      </c>
      <c r="N153" s="3"/>
      <c r="O153" t="str">
        <f>IF($I153&lt;&gt;"Complete",IF(COUNTIFS($A$4:$A152,$A153,$B$4:$B152,$B153,$I$4:$I152,"&lt;&gt;Complete")=0,$A153&amp;"|"&amp;$B153,""),"")</f>
        <v/>
      </c>
      <c r="P153" t="str">
        <f ca="1">IF($K153="Yes",COUNTIFS($K$4:$K153,"Yes"),"")</f>
        <v/>
      </c>
      <c r="Q153">
        <f t="shared" ca="1" si="11"/>
        <v>0</v>
      </c>
      <c r="R153" t="str">
        <f ca="1">IF($Q153=1,SUM($Q$4:$Q153),"")</f>
        <v/>
      </c>
    </row>
    <row r="154" spans="1:18" ht="22.5" hidden="1" customHeight="1" x14ac:dyDescent="0.3">
      <c r="A154" s="2" t="s">
        <v>576</v>
      </c>
      <c r="B154" s="2" t="s">
        <v>62</v>
      </c>
      <c r="C154" s="3" t="s">
        <v>577</v>
      </c>
      <c r="D154" s="3" t="s">
        <v>14</v>
      </c>
      <c r="E154" s="2" t="s">
        <v>553</v>
      </c>
      <c r="F154" s="2" t="s">
        <v>166</v>
      </c>
      <c r="G154" s="5">
        <v>46009</v>
      </c>
      <c r="H154" s="5">
        <v>46041</v>
      </c>
      <c r="I154" s="4" t="s">
        <v>31</v>
      </c>
      <c r="J154" s="6">
        <f t="shared" si="9"/>
        <v>32</v>
      </c>
      <c r="K154" s="4" t="str">
        <f t="shared" ca="1" si="10"/>
        <v>-</v>
      </c>
      <c r="L154" s="7">
        <f t="shared" ca="1" si="12"/>
        <v>0</v>
      </c>
      <c r="M154" s="4" t="str">
        <f>IF($I154="Complete","Green",IF($H154="","Amber",IF($H154&lt;'[2]Read Me'!$B$4,"Red",IF($H154-'[2]Read Me'!$B$4&lt;=21,"Amber","Green"))))</f>
        <v>Red</v>
      </c>
      <c r="N154" s="3"/>
      <c r="O154" t="str">
        <f>IF($I154&lt;&gt;"Complete",IF(COUNTIFS($A$4:$A153,$A154,$B$4:$B153,$B154,$I$4:$I153,"&lt;&gt;Complete")=0,$A154&amp;"|"&amp;$B154,""),"")</f>
        <v/>
      </c>
      <c r="P154" t="str">
        <f ca="1">IF($K154="Yes",COUNTIFS($K$4:$K154,"Yes"),"")</f>
        <v/>
      </c>
      <c r="Q154">
        <f t="shared" ca="1" si="11"/>
        <v>0</v>
      </c>
      <c r="R154" t="str">
        <f ca="1">IF($Q154=1,SUM($Q$4:$Q154),"")</f>
        <v/>
      </c>
    </row>
    <row r="155" spans="1:18" ht="22.5" hidden="1" customHeight="1" x14ac:dyDescent="0.3">
      <c r="A155" s="2" t="s">
        <v>576</v>
      </c>
      <c r="B155" s="2" t="s">
        <v>62</v>
      </c>
      <c r="C155" s="3" t="s">
        <v>577</v>
      </c>
      <c r="D155" s="3" t="s">
        <v>34</v>
      </c>
      <c r="E155" s="2" t="s">
        <v>553</v>
      </c>
      <c r="F155" s="2"/>
      <c r="G155" s="5">
        <v>46023</v>
      </c>
      <c r="H155" s="5">
        <v>46055</v>
      </c>
      <c r="I155" s="4" t="s">
        <v>31</v>
      </c>
      <c r="J155" s="6">
        <f t="shared" si="9"/>
        <v>32</v>
      </c>
      <c r="K155" s="4" t="str">
        <f t="shared" ca="1" si="10"/>
        <v>-</v>
      </c>
      <c r="L155" s="7">
        <f t="shared" ca="1" si="12"/>
        <v>0</v>
      </c>
      <c r="M155" s="4" t="str">
        <f>IF($I155="Complete","Green",IF($H155="","Amber",IF($H155&lt;'[2]Read Me'!$B$4,"Red",IF($H155-'[2]Read Me'!$B$4&lt;=21,"Amber","Green"))))</f>
        <v>Red</v>
      </c>
      <c r="N155" s="3"/>
      <c r="O155" t="str">
        <f>IF($I155&lt;&gt;"Complete",IF(COUNTIFS($A$4:$A154,$A155,$B$4:$B154,$B155,$I$4:$I154,"&lt;&gt;Complete")=0,$A155&amp;"|"&amp;$B155,""),"")</f>
        <v/>
      </c>
      <c r="P155" t="str">
        <f ca="1">IF($K155="Yes",COUNTIFS($K$4:$K155,"Yes"),"")</f>
        <v/>
      </c>
      <c r="Q155">
        <f t="shared" ca="1" si="11"/>
        <v>0</v>
      </c>
      <c r="R155" t="str">
        <f ca="1">IF($Q155=1,SUM($Q$4:$Q155),"")</f>
        <v/>
      </c>
    </row>
    <row r="156" spans="1:18" ht="22.5" hidden="1" customHeight="1" x14ac:dyDescent="0.3">
      <c r="A156" s="2" t="s">
        <v>576</v>
      </c>
      <c r="B156" s="2" t="s">
        <v>62</v>
      </c>
      <c r="C156" s="3" t="s">
        <v>577</v>
      </c>
      <c r="D156" s="3" t="s">
        <v>15</v>
      </c>
      <c r="E156" s="2" t="s">
        <v>553</v>
      </c>
      <c r="F156" s="2" t="s">
        <v>166</v>
      </c>
      <c r="G156" s="5">
        <v>46044</v>
      </c>
      <c r="H156" s="5">
        <v>46085</v>
      </c>
      <c r="I156" s="4" t="s">
        <v>31</v>
      </c>
      <c r="J156" s="6">
        <f t="shared" si="9"/>
        <v>41</v>
      </c>
      <c r="K156" s="4" t="str">
        <f t="shared" ca="1" si="10"/>
        <v>-</v>
      </c>
      <c r="L156" s="7">
        <f t="shared" ca="1" si="12"/>
        <v>0</v>
      </c>
      <c r="M156" s="4" t="str">
        <f>IF($I156="Complete","Green",IF($H156="","Amber",IF($H156&lt;'[2]Read Me'!$B$4,"Red",IF($H156-'[2]Read Me'!$B$4&lt;=21,"Amber","Green"))))</f>
        <v>Red</v>
      </c>
      <c r="N156" s="3"/>
      <c r="O156" t="str">
        <f>IF($I156&lt;&gt;"Complete",IF(COUNTIFS($A$4:$A155,$A156,$B$4:$B155,$B156,$I$4:$I155,"&lt;&gt;Complete")=0,$A156&amp;"|"&amp;$B156,""),"")</f>
        <v/>
      </c>
      <c r="P156" t="str">
        <f ca="1">IF($K156="Yes",COUNTIFS($K$4:$K156,"Yes"),"")</f>
        <v/>
      </c>
      <c r="Q156">
        <f t="shared" ca="1" si="11"/>
        <v>0</v>
      </c>
      <c r="R156" t="str">
        <f ca="1">IF($Q156=1,SUM($Q$4:$Q156),"")</f>
        <v/>
      </c>
    </row>
    <row r="157" spans="1:18" ht="33.75" hidden="1" customHeight="1" x14ac:dyDescent="0.3">
      <c r="A157" s="2" t="s">
        <v>576</v>
      </c>
      <c r="B157" s="2" t="s">
        <v>62</v>
      </c>
      <c r="C157" s="3" t="s">
        <v>577</v>
      </c>
      <c r="D157" s="3" t="s">
        <v>83</v>
      </c>
      <c r="E157" s="2" t="s">
        <v>553</v>
      </c>
      <c r="F157" s="2" t="s">
        <v>166</v>
      </c>
      <c r="G157" s="5">
        <v>46051</v>
      </c>
      <c r="H157" s="5">
        <v>46041</v>
      </c>
      <c r="I157" s="4" t="s">
        <v>31</v>
      </c>
      <c r="J157" s="6">
        <f t="shared" si="9"/>
        <v>-10</v>
      </c>
      <c r="K157" s="4" t="str">
        <f t="shared" ca="1" si="10"/>
        <v>-</v>
      </c>
      <c r="L157" s="7">
        <f t="shared" ca="1" si="12"/>
        <v>0</v>
      </c>
      <c r="M157" s="4" t="str">
        <f>IF($I157="Complete","Green",IF($H157="","Amber",IF($H157&lt;'[2]Read Me'!$B$4,"Red",IF($H157-'[2]Read Me'!$B$4&lt;=21,"Amber","Green"))))</f>
        <v>Red</v>
      </c>
      <c r="N157" s="3"/>
      <c r="O157" t="str">
        <f>IF($I157&lt;&gt;"Complete",IF(COUNTIFS($A$4:$A156,$A157,$B$4:$B156,$B157,$I$4:$I156,"&lt;&gt;Complete")=0,$A157&amp;"|"&amp;$B157,""),"")</f>
        <v/>
      </c>
      <c r="P157" t="str">
        <f ca="1">IF($K157="Yes",COUNTIFS($K$4:$K157,"Yes"),"")</f>
        <v/>
      </c>
      <c r="Q157">
        <f t="shared" ca="1" si="11"/>
        <v>0</v>
      </c>
      <c r="R157" t="str">
        <f ca="1">IF($Q157=1,SUM($Q$4:$Q157),"")</f>
        <v/>
      </c>
    </row>
    <row r="158" spans="1:18" ht="33.75" hidden="1" customHeight="1" x14ac:dyDescent="0.3">
      <c r="A158" s="2" t="s">
        <v>576</v>
      </c>
      <c r="B158" s="2" t="s">
        <v>62</v>
      </c>
      <c r="C158" s="3" t="s">
        <v>577</v>
      </c>
      <c r="D158" s="3" t="s">
        <v>35</v>
      </c>
      <c r="E158" s="2" t="s">
        <v>553</v>
      </c>
      <c r="F158" s="2"/>
      <c r="G158" s="5">
        <v>46065</v>
      </c>
      <c r="H158" s="5">
        <v>46119</v>
      </c>
      <c r="I158" s="4" t="s">
        <v>31</v>
      </c>
      <c r="J158" s="6">
        <f t="shared" si="9"/>
        <v>54</v>
      </c>
      <c r="K158" s="4" t="str">
        <f t="shared" ca="1" si="10"/>
        <v>-</v>
      </c>
      <c r="L158" s="7">
        <f t="shared" ca="1" si="12"/>
        <v>0</v>
      </c>
      <c r="M158" s="4" t="str">
        <f>IF($I158="Complete","Green",IF($H158="","Amber",IF($H158&lt;'[2]Read Me'!$B$4,"Red",IF($H158-'[2]Read Me'!$B$4&lt;=21,"Amber","Green"))))</f>
        <v>Red</v>
      </c>
      <c r="N158" s="3"/>
      <c r="O158" t="str">
        <f>IF($I158&lt;&gt;"Complete",IF(COUNTIFS($A$4:$A157,$A158,$B$4:$B157,$B158,$I$4:$I157,"&lt;&gt;Complete")=0,$A158&amp;"|"&amp;$B158,""),"")</f>
        <v/>
      </c>
      <c r="P158" t="str">
        <f ca="1">IF($K158="Yes",COUNTIFS($K$4:$K158,"Yes"),"")</f>
        <v/>
      </c>
      <c r="Q158">
        <f t="shared" ca="1" si="11"/>
        <v>0</v>
      </c>
      <c r="R158" t="str">
        <f ca="1">IF($Q158=1,SUM($Q$4:$Q158),"")</f>
        <v/>
      </c>
    </row>
    <row r="159" spans="1:18" ht="33.75" hidden="1" customHeight="1" x14ac:dyDescent="0.3">
      <c r="A159" s="2" t="s">
        <v>576</v>
      </c>
      <c r="B159" s="2" t="s">
        <v>62</v>
      </c>
      <c r="C159" s="3" t="s">
        <v>577</v>
      </c>
      <c r="D159" s="3" t="s">
        <v>579</v>
      </c>
      <c r="E159" s="2" t="s">
        <v>553</v>
      </c>
      <c r="F159" s="2" t="s">
        <v>166</v>
      </c>
      <c r="G159" s="5">
        <v>46065</v>
      </c>
      <c r="H159" s="5">
        <v>46111</v>
      </c>
      <c r="I159" s="4" t="s">
        <v>31</v>
      </c>
      <c r="J159" s="6">
        <f t="shared" si="9"/>
        <v>46</v>
      </c>
      <c r="K159" s="4" t="str">
        <f t="shared" ca="1" si="10"/>
        <v>-</v>
      </c>
      <c r="L159" s="7">
        <f t="shared" ca="1" si="12"/>
        <v>0</v>
      </c>
      <c r="M159" s="4" t="str">
        <f>IF($I159="Complete","Green",IF($H159="","Amber",IF($H159&lt;'[2]Read Me'!$B$4,"Red",IF($H159-'[2]Read Me'!$B$4&lt;=21,"Amber","Green"))))</f>
        <v>Red</v>
      </c>
      <c r="N159" s="3"/>
      <c r="O159" t="str">
        <f>IF($I159&lt;&gt;"Complete",IF(COUNTIFS($A$4:$A158,$A159,$B$4:$B158,$B159,$I$4:$I158,"&lt;&gt;Complete")=0,$A159&amp;"|"&amp;$B159,""),"")</f>
        <v/>
      </c>
      <c r="P159" t="str">
        <f ca="1">IF($K159="Yes",COUNTIFS($K$4:$K159,"Yes"),"")</f>
        <v/>
      </c>
      <c r="Q159">
        <f t="shared" ca="1" si="11"/>
        <v>0</v>
      </c>
      <c r="R159" t="str">
        <f ca="1">IF($Q159=1,SUM($Q$4:$Q159),"")</f>
        <v/>
      </c>
    </row>
    <row r="160" spans="1:18" ht="33.75" hidden="1" customHeight="1" x14ac:dyDescent="0.3">
      <c r="A160" s="2" t="s">
        <v>576</v>
      </c>
      <c r="B160" s="2" t="s">
        <v>62</v>
      </c>
      <c r="C160" s="3" t="s">
        <v>577</v>
      </c>
      <c r="D160" s="3" t="s">
        <v>412</v>
      </c>
      <c r="E160" s="2" t="s">
        <v>184</v>
      </c>
      <c r="F160" s="2" t="s">
        <v>81</v>
      </c>
      <c r="G160" s="5">
        <v>46058</v>
      </c>
      <c r="H160" s="5">
        <v>46204</v>
      </c>
      <c r="I160" s="4" t="s">
        <v>46</v>
      </c>
      <c r="J160" s="6">
        <f t="shared" si="9"/>
        <v>146</v>
      </c>
      <c r="K160" s="4" t="str">
        <f t="shared" ca="1" si="10"/>
        <v>Yes</v>
      </c>
      <c r="L160" s="7">
        <f t="shared" ca="1" si="12"/>
        <v>-4</v>
      </c>
      <c r="M160" s="4" t="str">
        <f>IF($I160="Complete","Green",IF($H160="","Amber",IF($H160&lt;'[2]Read Me'!$B$4,"Red",IF($H160-'[2]Read Me'!$B$4&lt;=21,"Amber","Green"))))</f>
        <v>Amber</v>
      </c>
      <c r="N160" s="3"/>
      <c r="O160" t="str">
        <f>IF($I160&lt;&gt;"Complete",IF(COUNTIFS($A$4:$A159,$A160,$B$4:$B159,$B160,$I$4:$I159,"&lt;&gt;Complete")=0,$A160&amp;"|"&amp;$B160,""),"")</f>
        <v/>
      </c>
      <c r="P160">
        <f ca="1">IF($K160="Yes",COUNTIFS($K$4:$K160,"Yes"),"")</f>
        <v>9</v>
      </c>
      <c r="Q160">
        <f t="shared" ca="1" si="11"/>
        <v>1</v>
      </c>
      <c r="R160">
        <f ca="1">IF($Q160=1,SUM($Q$4:$Q160),"")</f>
        <v>9</v>
      </c>
    </row>
    <row r="161" spans="1:18" ht="33.75" hidden="1" customHeight="1" x14ac:dyDescent="0.3">
      <c r="A161" s="2" t="s">
        <v>576</v>
      </c>
      <c r="B161" s="2" t="s">
        <v>62</v>
      </c>
      <c r="C161" s="3" t="s">
        <v>577</v>
      </c>
      <c r="D161" s="3" t="s">
        <v>204</v>
      </c>
      <c r="E161" s="2" t="s">
        <v>553</v>
      </c>
      <c r="F161" s="2" t="s">
        <v>166</v>
      </c>
      <c r="G161" s="5"/>
      <c r="H161" s="5">
        <v>46127</v>
      </c>
      <c r="I161" s="4" t="s">
        <v>31</v>
      </c>
      <c r="J161" s="6" t="str">
        <f t="shared" si="9"/>
        <v/>
      </c>
      <c r="K161" s="4" t="str">
        <f t="shared" ca="1" si="10"/>
        <v>-</v>
      </c>
      <c r="L161" s="7">
        <f t="shared" ca="1" si="12"/>
        <v>0</v>
      </c>
      <c r="M161" s="4" t="str">
        <f>IF($I161="Complete","Green",IF($H161="","Amber",IF($H161&lt;'[2]Read Me'!$B$4,"Red",IF($H161-'[2]Read Me'!$B$4&lt;=21,"Amber","Green"))))</f>
        <v>Red</v>
      </c>
      <c r="N161" s="3"/>
      <c r="O161" t="str">
        <f>IF($I161&lt;&gt;"Complete",IF(COUNTIFS($A$4:$A160,$A161,$B$4:$B160,$B161,$I$4:$I160,"&lt;&gt;Complete")=0,$A161&amp;"|"&amp;$B161,""),"")</f>
        <v/>
      </c>
      <c r="P161" t="str">
        <f ca="1">IF($K161="Yes",COUNTIFS($K$4:$K161,"Yes"),"")</f>
        <v/>
      </c>
      <c r="Q161">
        <f t="shared" ca="1" si="11"/>
        <v>0</v>
      </c>
      <c r="R161" t="str">
        <f ca="1">IF($Q161=1,SUM($Q$4:$Q161),"")</f>
        <v/>
      </c>
    </row>
    <row r="162" spans="1:18" ht="33.75" hidden="1" customHeight="1" x14ac:dyDescent="0.3">
      <c r="A162" s="2" t="s">
        <v>576</v>
      </c>
      <c r="B162" s="2" t="s">
        <v>62</v>
      </c>
      <c r="C162" s="3" t="s">
        <v>577</v>
      </c>
      <c r="D162" s="3" t="s">
        <v>580</v>
      </c>
      <c r="E162" s="2" t="s">
        <v>553</v>
      </c>
      <c r="F162" s="2" t="s">
        <v>166</v>
      </c>
      <c r="G162" s="5">
        <v>46086</v>
      </c>
      <c r="H162" s="5">
        <v>46201</v>
      </c>
      <c r="I162" s="4" t="s">
        <v>46</v>
      </c>
      <c r="J162" s="6">
        <f t="shared" si="9"/>
        <v>115</v>
      </c>
      <c r="K162" s="4" t="str">
        <f t="shared" ca="1" si="10"/>
        <v>Yes</v>
      </c>
      <c r="L162" s="7">
        <f t="shared" ca="1" si="12"/>
        <v>-7</v>
      </c>
      <c r="M162" s="4" t="str">
        <f>IF($I162="Complete","Green",IF($H162="","Amber",IF($H162&lt;'[2]Read Me'!$B$4,"Red",IF($H162-'[2]Read Me'!$B$4&lt;=21,"Amber","Green"))))</f>
        <v>Amber</v>
      </c>
      <c r="N162" s="3"/>
      <c r="O162" t="str">
        <f>IF($I162&lt;&gt;"Complete",IF(COUNTIFS($A$4:$A161,$A162,$B$4:$B161,$B162,$I$4:$I161,"&lt;&gt;Complete")=0,$A162&amp;"|"&amp;$B162,""),"")</f>
        <v/>
      </c>
      <c r="P162">
        <f ca="1">IF($K162="Yes",COUNTIFS($K$4:$K162,"Yes"),"")</f>
        <v>10</v>
      </c>
      <c r="Q162">
        <f t="shared" ca="1" si="11"/>
        <v>1</v>
      </c>
      <c r="R162">
        <f ca="1">IF($Q162=1,SUM($Q$4:$Q162),"")</f>
        <v>10</v>
      </c>
    </row>
    <row r="163" spans="1:18" ht="33.75" hidden="1" customHeight="1" x14ac:dyDescent="0.3">
      <c r="A163" s="2" t="s">
        <v>576</v>
      </c>
      <c r="B163" s="2" t="s">
        <v>62</v>
      </c>
      <c r="C163" s="3" t="s">
        <v>577</v>
      </c>
      <c r="D163" s="3" t="s">
        <v>581</v>
      </c>
      <c r="E163" s="2" t="s">
        <v>553</v>
      </c>
      <c r="F163" s="2"/>
      <c r="G163" s="5">
        <v>46100</v>
      </c>
      <c r="H163" s="5">
        <v>46215</v>
      </c>
      <c r="I163" s="4" t="s">
        <v>17</v>
      </c>
      <c r="J163" s="6">
        <f t="shared" si="9"/>
        <v>115</v>
      </c>
      <c r="K163" s="4" t="str">
        <f t="shared" ca="1" si="10"/>
        <v>No</v>
      </c>
      <c r="L163" s="7">
        <f t="shared" ca="1" si="12"/>
        <v>7</v>
      </c>
      <c r="M163" s="4" t="str">
        <f>IF($I163="Complete","Green",IF($H163="","Amber",IF($H163&lt;'[2]Read Me'!$B$4,"Red",IF($H163-'[2]Read Me'!$B$4&lt;=21,"Amber","Green"))))</f>
        <v>Green</v>
      </c>
      <c r="N163" s="3"/>
      <c r="O163" t="str">
        <f>IF($I163&lt;&gt;"Complete",IF(COUNTIFS($A$4:$A162,$A163,$B$4:$B162,$B163,$I$4:$I162,"&lt;&gt;Complete")=0,$A163&amp;"|"&amp;$B163,""),"")</f>
        <v/>
      </c>
      <c r="P163" t="str">
        <f ca="1">IF($K163="Yes",COUNTIFS($K$4:$K163,"Yes"),"")</f>
        <v/>
      </c>
      <c r="Q163">
        <f t="shared" ca="1" si="11"/>
        <v>0</v>
      </c>
      <c r="R163" t="str">
        <f ca="1">IF($Q163=1,SUM($Q$4:$Q163),"")</f>
        <v/>
      </c>
    </row>
    <row r="164" spans="1:18" ht="33.75" hidden="1" customHeight="1" x14ac:dyDescent="0.3">
      <c r="A164" s="2" t="s">
        <v>576</v>
      </c>
      <c r="B164" s="2" t="s">
        <v>62</v>
      </c>
      <c r="C164" s="3" t="s">
        <v>577</v>
      </c>
      <c r="D164" s="3" t="s">
        <v>582</v>
      </c>
      <c r="E164" s="2" t="s">
        <v>553</v>
      </c>
      <c r="F164" s="2" t="s">
        <v>166</v>
      </c>
      <c r="G164" s="5">
        <v>46117</v>
      </c>
      <c r="H164" s="5">
        <v>46240</v>
      </c>
      <c r="I164" s="4" t="s">
        <v>17</v>
      </c>
      <c r="J164" s="6">
        <f t="shared" si="9"/>
        <v>123</v>
      </c>
      <c r="K164" s="4" t="str">
        <f t="shared" ca="1" si="10"/>
        <v>No</v>
      </c>
      <c r="L164" s="7">
        <f t="shared" ca="1" si="12"/>
        <v>32</v>
      </c>
      <c r="M164" s="4" t="str">
        <f>IF($I164="Complete","Green",IF($H164="","Amber",IF($H164&lt;'[2]Read Me'!$B$4,"Red",IF($H164-'[2]Read Me'!$B$4&lt;=21,"Amber","Green"))))</f>
        <v>Green</v>
      </c>
      <c r="N164" s="3"/>
      <c r="O164" t="str">
        <f>IF($I164&lt;&gt;"Complete",IF(COUNTIFS($A$4:$A163,$A164,$B$4:$B163,$B164,$I$4:$I163,"&lt;&gt;Complete")=0,$A164&amp;"|"&amp;$B164,""),"")</f>
        <v/>
      </c>
      <c r="P164" t="str">
        <f ca="1">IF($K164="Yes",COUNTIFS($K$4:$K164,"Yes"),"")</f>
        <v/>
      </c>
      <c r="Q164">
        <f t="shared" ca="1" si="11"/>
        <v>0</v>
      </c>
      <c r="R164" t="str">
        <f ca="1">IF($Q164=1,SUM($Q$4:$Q164),"")</f>
        <v/>
      </c>
    </row>
    <row r="165" spans="1:18" ht="33.75" hidden="1" customHeight="1" x14ac:dyDescent="0.3">
      <c r="A165" s="2" t="s">
        <v>576</v>
      </c>
      <c r="B165" s="2" t="s">
        <v>62</v>
      </c>
      <c r="C165" s="3" t="s">
        <v>577</v>
      </c>
      <c r="D165" s="3" t="s">
        <v>583</v>
      </c>
      <c r="E165" s="2" t="s">
        <v>553</v>
      </c>
      <c r="F165" s="2"/>
      <c r="G165" s="5">
        <v>46124</v>
      </c>
      <c r="H165" s="5">
        <v>46247</v>
      </c>
      <c r="I165" s="4" t="s">
        <v>17</v>
      </c>
      <c r="J165" s="6">
        <f t="shared" si="9"/>
        <v>123</v>
      </c>
      <c r="K165" s="4" t="str">
        <f t="shared" ca="1" si="10"/>
        <v>No</v>
      </c>
      <c r="L165" s="7">
        <f t="shared" ca="1" si="12"/>
        <v>39</v>
      </c>
      <c r="M165" s="4" t="str">
        <f>IF($I165="Complete","Green",IF($H165="","Amber",IF($H165&lt;'[2]Read Me'!$B$4,"Red",IF($H165-'[2]Read Me'!$B$4&lt;=21,"Amber","Green"))))</f>
        <v>Green</v>
      </c>
      <c r="N165" s="3"/>
      <c r="O165" t="str">
        <f>IF($I165&lt;&gt;"Complete",IF(COUNTIFS($A$4:$A164,$A165,$B$4:$B164,$B165,$I$4:$I164,"&lt;&gt;Complete")=0,$A165&amp;"|"&amp;$B165,""),"")</f>
        <v/>
      </c>
      <c r="P165" t="str">
        <f ca="1">IF($K165="Yes",COUNTIFS($K$4:$K165,"Yes"),"")</f>
        <v/>
      </c>
      <c r="Q165">
        <f t="shared" ca="1" si="11"/>
        <v>0</v>
      </c>
      <c r="R165" t="str">
        <f ca="1">IF($Q165=1,SUM($Q$4:$Q165),"")</f>
        <v/>
      </c>
    </row>
    <row r="166" spans="1:18" ht="33.75" hidden="1" customHeight="1" x14ac:dyDescent="0.3">
      <c r="A166" s="2" t="s">
        <v>576</v>
      </c>
      <c r="B166" s="2" t="s">
        <v>62</v>
      </c>
      <c r="C166" s="3" t="s">
        <v>577</v>
      </c>
      <c r="D166" s="3" t="s">
        <v>584</v>
      </c>
      <c r="E166" s="2"/>
      <c r="F166" s="2"/>
      <c r="G166" s="5">
        <v>46138</v>
      </c>
      <c r="H166" s="5">
        <v>46261</v>
      </c>
      <c r="I166" s="4" t="s">
        <v>17</v>
      </c>
      <c r="J166" s="6">
        <f t="shared" si="9"/>
        <v>123</v>
      </c>
      <c r="K166" s="4" t="str">
        <f t="shared" ca="1" si="10"/>
        <v>No</v>
      </c>
      <c r="L166" s="7">
        <f t="shared" ca="1" si="12"/>
        <v>53</v>
      </c>
      <c r="M166" s="4" t="str">
        <f>IF($I166="Complete","Green",IF($H166="","Amber",IF($H166&lt;'[2]Read Me'!$B$4,"Red",IF($H166-'[2]Read Me'!$B$4&lt;=21,"Amber","Green"))))</f>
        <v>Green</v>
      </c>
      <c r="N166" s="3"/>
      <c r="O166" t="str">
        <f>IF($I166&lt;&gt;"Complete",IF(COUNTIFS($A$4:$A165,$A166,$B$4:$B165,$B166,$I$4:$I165,"&lt;&gt;Complete")=0,$A166&amp;"|"&amp;$B166,""),"")</f>
        <v/>
      </c>
      <c r="P166" t="str">
        <f ca="1">IF($K166="Yes",COUNTIFS($K$4:$K166,"Yes"),"")</f>
        <v/>
      </c>
      <c r="Q166">
        <f t="shared" ca="1" si="11"/>
        <v>0</v>
      </c>
      <c r="R166" t="str">
        <f ca="1">IF($Q166=1,SUM($Q$4:$Q166),"")</f>
        <v/>
      </c>
    </row>
    <row r="167" spans="1:18" ht="33.75" hidden="1" customHeight="1" x14ac:dyDescent="0.3">
      <c r="A167" s="2" t="s">
        <v>576</v>
      </c>
      <c r="B167" s="2" t="s">
        <v>62</v>
      </c>
      <c r="C167" s="3" t="s">
        <v>577</v>
      </c>
      <c r="D167" s="3" t="s">
        <v>585</v>
      </c>
      <c r="E167" s="2"/>
      <c r="F167" s="2"/>
      <c r="G167" s="5">
        <v>46145</v>
      </c>
      <c r="H167" s="5">
        <v>46268</v>
      </c>
      <c r="I167" s="4" t="s">
        <v>17</v>
      </c>
      <c r="J167" s="6">
        <f t="shared" si="9"/>
        <v>123</v>
      </c>
      <c r="K167" s="4" t="str">
        <f t="shared" ca="1" si="10"/>
        <v>No</v>
      </c>
      <c r="L167" s="7">
        <f t="shared" ca="1" si="12"/>
        <v>60</v>
      </c>
      <c r="M167" s="4" t="str">
        <f>IF($I167="Complete","Green",IF($H167="","Amber",IF($H167&lt;'[2]Read Me'!$B$4,"Red",IF($H167-'[2]Read Me'!$B$4&lt;=21,"Amber","Green"))))</f>
        <v>Green</v>
      </c>
      <c r="N167" s="3"/>
      <c r="O167" t="str">
        <f>IF($I167&lt;&gt;"Complete",IF(COUNTIFS($A$4:$A166,$A167,$B$4:$B166,$B167,$I$4:$I166,"&lt;&gt;Complete")=0,$A167&amp;"|"&amp;$B167,""),"")</f>
        <v/>
      </c>
      <c r="P167" t="str">
        <f ca="1">IF($K167="Yes",COUNTIFS($K$4:$K167,"Yes"),"")</f>
        <v/>
      </c>
      <c r="Q167">
        <f t="shared" ca="1" si="11"/>
        <v>0</v>
      </c>
      <c r="R167" t="str">
        <f ca="1">IF($Q167=1,SUM($Q$4:$Q167),"")</f>
        <v/>
      </c>
    </row>
    <row r="168" spans="1:18" ht="33.75" hidden="1" customHeight="1" x14ac:dyDescent="0.3">
      <c r="A168" s="2" t="s">
        <v>576</v>
      </c>
      <c r="B168" s="2" t="s">
        <v>49</v>
      </c>
      <c r="C168" s="3"/>
      <c r="D168" s="3"/>
      <c r="E168" s="2"/>
      <c r="F168" s="2"/>
      <c r="G168" s="5">
        <v>46191</v>
      </c>
      <c r="H168" s="5">
        <v>46292</v>
      </c>
      <c r="I168" s="4"/>
      <c r="J168" s="6">
        <f t="shared" si="9"/>
        <v>101</v>
      </c>
      <c r="K168" s="4" t="str">
        <f t="shared" ca="1" si="10"/>
        <v/>
      </c>
      <c r="L168" s="7">
        <f t="shared" ca="1" si="12"/>
        <v>84</v>
      </c>
      <c r="M168" s="4" t="str">
        <f>IF($I168="Complete","Green",IF($H168="","Amber",IF($H168&lt;'[2]Read Me'!$B$4,"Red",IF($H168-'[2]Read Me'!$B$4&lt;=21,"Amber","Green"))))</f>
        <v>Green</v>
      </c>
      <c r="N168" s="3"/>
      <c r="O168" t="str">
        <f>IF($I168&lt;&gt;"Complete",IF(COUNTIFS($A$4:$A167,$A168,$B$4:$B167,$B168,$I$4:$I167,"&lt;&gt;Complete")=0,$A168&amp;"|"&amp;$B168,""),"")</f>
        <v>Ph - 2A 2B|Authorities</v>
      </c>
      <c r="P168" t="str">
        <f ca="1">IF($K168="Yes",COUNTIFS($K$4:$K168,"Yes"),"")</f>
        <v/>
      </c>
      <c r="Q168">
        <f t="shared" ca="1" si="11"/>
        <v>0</v>
      </c>
      <c r="R168" t="str">
        <f ca="1">IF($Q168=1,SUM($Q$4:$Q168),"")</f>
        <v/>
      </c>
    </row>
    <row r="169" spans="1:18" ht="33.75" hidden="1" customHeight="1" x14ac:dyDescent="0.3">
      <c r="A169" s="2" t="s">
        <v>576</v>
      </c>
      <c r="B169" s="2" t="s">
        <v>49</v>
      </c>
      <c r="C169" s="3" t="s">
        <v>366</v>
      </c>
      <c r="D169" s="3" t="s">
        <v>110</v>
      </c>
      <c r="E169" s="2" t="s">
        <v>104</v>
      </c>
      <c r="F169" s="2"/>
      <c r="G169" s="5">
        <v>45999</v>
      </c>
      <c r="H169" s="5">
        <v>46106</v>
      </c>
      <c r="I169" s="4" t="s">
        <v>31</v>
      </c>
      <c r="J169" s="6">
        <f t="shared" si="9"/>
        <v>107</v>
      </c>
      <c r="K169" s="4" t="str">
        <f t="shared" ca="1" si="10"/>
        <v>-</v>
      </c>
      <c r="L169" s="7">
        <f t="shared" ca="1" si="12"/>
        <v>0</v>
      </c>
      <c r="M169" s="4" t="str">
        <f>IF($I169="Complete","Green",IF($H169="","Amber",IF($H169&lt;'[2]Read Me'!$B$4,"Red",IF($H169-'[2]Read Me'!$B$4&lt;=21,"Amber","Green"))))</f>
        <v>Red</v>
      </c>
      <c r="N169" s="3"/>
      <c r="O169" t="str">
        <f>IF($I169&lt;&gt;"Complete",IF(COUNTIFS($A$4:$A168,$A169,$B$4:$B168,$B169,$I$4:$I168,"&lt;&gt;Complete")=0,$A169&amp;"|"&amp;$B169,""),"")</f>
        <v/>
      </c>
      <c r="P169" t="str">
        <f ca="1">IF($K169="Yes",COUNTIFS($K$4:$K169,"Yes"),"")</f>
        <v/>
      </c>
      <c r="Q169">
        <f t="shared" ca="1" si="11"/>
        <v>0</v>
      </c>
      <c r="R169" t="str">
        <f ca="1">IF($Q169=1,SUM($Q$4:$Q169),"")</f>
        <v/>
      </c>
    </row>
    <row r="170" spans="1:18" ht="33.75" hidden="1" customHeight="1" x14ac:dyDescent="0.3">
      <c r="A170" s="2" t="s">
        <v>576</v>
      </c>
      <c r="B170" s="2" t="s">
        <v>49</v>
      </c>
      <c r="C170" s="3" t="s">
        <v>366</v>
      </c>
      <c r="D170" s="3" t="s">
        <v>91</v>
      </c>
      <c r="E170" s="2" t="s">
        <v>104</v>
      </c>
      <c r="F170" s="2"/>
      <c r="G170" s="5">
        <v>46065</v>
      </c>
      <c r="H170" s="5">
        <v>46208</v>
      </c>
      <c r="I170" s="4" t="s">
        <v>46</v>
      </c>
      <c r="J170" s="6">
        <f t="shared" si="9"/>
        <v>143</v>
      </c>
      <c r="K170" s="4" t="str">
        <f t="shared" ca="1" si="10"/>
        <v>Yes</v>
      </c>
      <c r="L170" s="7">
        <f t="shared" ca="1" si="12"/>
        <v>0</v>
      </c>
      <c r="M170" s="4" t="str">
        <f>IF($I170="Complete","Green",IF($H170="","Amber",IF($H170&lt;'[2]Read Me'!$B$4,"Red",IF($H170-'[2]Read Me'!$B$4&lt;=21,"Amber","Green"))))</f>
        <v>Amber</v>
      </c>
      <c r="N170" s="3"/>
      <c r="O170" t="str">
        <f>IF($I170&lt;&gt;"Complete",IF(COUNTIFS($A$4:$A169,$A170,$B$4:$B169,$B170,$I$4:$I169,"&lt;&gt;Complete")=0,$A170&amp;"|"&amp;$B170,""),"")</f>
        <v/>
      </c>
      <c r="P170">
        <f ca="1">IF($K170="Yes",COUNTIFS($K$4:$K170,"Yes"),"")</f>
        <v>11</v>
      </c>
      <c r="Q170">
        <f t="shared" ca="1" si="11"/>
        <v>1</v>
      </c>
      <c r="R170">
        <f ca="1">IF($Q170=1,SUM($Q$4:$Q170),"")</f>
        <v>11</v>
      </c>
    </row>
    <row r="171" spans="1:18" ht="33.75" hidden="1" customHeight="1" x14ac:dyDescent="0.3">
      <c r="A171" s="2" t="s">
        <v>576</v>
      </c>
      <c r="B171" s="2" t="s">
        <v>49</v>
      </c>
      <c r="C171" s="3" t="s">
        <v>366</v>
      </c>
      <c r="D171" s="3" t="s">
        <v>93</v>
      </c>
      <c r="E171" s="2" t="s">
        <v>104</v>
      </c>
      <c r="F171" s="2"/>
      <c r="G171" s="5">
        <v>46107</v>
      </c>
      <c r="H171" s="5">
        <v>46236</v>
      </c>
      <c r="I171" s="4" t="s">
        <v>17</v>
      </c>
      <c r="J171" s="6">
        <f t="shared" si="9"/>
        <v>129</v>
      </c>
      <c r="K171" s="4" t="str">
        <f t="shared" ca="1" si="10"/>
        <v>No</v>
      </c>
      <c r="L171" s="7">
        <f t="shared" ca="1" si="12"/>
        <v>28</v>
      </c>
      <c r="M171" s="4" t="str">
        <f>IF($I171="Complete","Green",IF($H171="","Amber",IF($H171&lt;'[2]Read Me'!$B$4,"Red",IF($H171-'[2]Read Me'!$B$4&lt;=21,"Amber","Green"))))</f>
        <v>Green</v>
      </c>
      <c r="N171" s="3"/>
      <c r="O171" t="str">
        <f>IF($I171&lt;&gt;"Complete",IF(COUNTIFS($A$4:$A170,$A171,$B$4:$B170,$B171,$I$4:$I170,"&lt;&gt;Complete")=0,$A171&amp;"|"&amp;$B171,""),"")</f>
        <v/>
      </c>
      <c r="P171" t="str">
        <f ca="1">IF($K171="Yes",COUNTIFS($K$4:$K171,"Yes"),"")</f>
        <v/>
      </c>
      <c r="Q171">
        <f t="shared" ca="1" si="11"/>
        <v>0</v>
      </c>
      <c r="R171" t="str">
        <f ca="1">IF($Q171=1,SUM($Q$4:$Q171),"")</f>
        <v/>
      </c>
    </row>
    <row r="172" spans="1:18" ht="33.75" hidden="1" customHeight="1" x14ac:dyDescent="0.3">
      <c r="A172" s="2" t="s">
        <v>576</v>
      </c>
      <c r="B172" s="2" t="s">
        <v>49</v>
      </c>
      <c r="C172" s="3" t="s">
        <v>366</v>
      </c>
      <c r="D172" s="3" t="s">
        <v>94</v>
      </c>
      <c r="E172" s="2" t="s">
        <v>104</v>
      </c>
      <c r="F172" s="2"/>
      <c r="G172" s="5">
        <v>46191</v>
      </c>
      <c r="H172" s="5">
        <v>46292</v>
      </c>
      <c r="I172" s="4" t="s">
        <v>17</v>
      </c>
      <c r="J172" s="6">
        <f t="shared" si="9"/>
        <v>101</v>
      </c>
      <c r="K172" s="4" t="str">
        <f t="shared" ca="1" si="10"/>
        <v>No</v>
      </c>
      <c r="L172" s="7">
        <f t="shared" ca="1" si="12"/>
        <v>84</v>
      </c>
      <c r="M172" s="4" t="str">
        <f>IF($I172="Complete","Green",IF($H172="","Amber",IF($H172&lt;'[2]Read Me'!$B$4,"Red",IF($H172-'[2]Read Me'!$B$4&lt;=21,"Amber","Green"))))</f>
        <v>Green</v>
      </c>
      <c r="N172" s="3"/>
      <c r="O172" t="str">
        <f>IF($I172&lt;&gt;"Complete",IF(COUNTIFS($A$4:$A171,$A172,$B$4:$B171,$B172,$I$4:$I171,"&lt;&gt;Complete")=0,$A172&amp;"|"&amp;$B172,""),"")</f>
        <v/>
      </c>
      <c r="P172" t="str">
        <f ca="1">IF($K172="Yes",COUNTIFS($K$4:$K172,"Yes"),"")</f>
        <v/>
      </c>
      <c r="Q172">
        <f t="shared" ca="1" si="11"/>
        <v>0</v>
      </c>
      <c r="R172" t="str">
        <f ca="1">IF($Q172=1,SUM($Q$4:$Q172),"")</f>
        <v/>
      </c>
    </row>
    <row r="173" spans="1:18" ht="33.75" hidden="1" customHeight="1" x14ac:dyDescent="0.3">
      <c r="A173" s="2" t="s">
        <v>576</v>
      </c>
      <c r="B173" s="2" t="s">
        <v>140</v>
      </c>
      <c r="C173" s="3"/>
      <c r="D173" s="3"/>
      <c r="E173" s="2"/>
      <c r="F173" s="2"/>
      <c r="G173" s="5">
        <v>46033</v>
      </c>
      <c r="H173" s="5">
        <v>46247</v>
      </c>
      <c r="I173" s="4"/>
      <c r="J173" s="6">
        <f t="shared" si="9"/>
        <v>214</v>
      </c>
      <c r="K173" s="4" t="str">
        <f t="shared" ca="1" si="10"/>
        <v/>
      </c>
      <c r="L173" s="7">
        <f t="shared" ca="1" si="12"/>
        <v>39</v>
      </c>
      <c r="M173" s="4" t="str">
        <f>IF($I173="Complete","Green",IF($H173="","Amber",IF($H173&lt;'[2]Read Me'!$B$4,"Red",IF($H173-'[2]Read Me'!$B$4&lt;=21,"Amber","Green"))))</f>
        <v>Green</v>
      </c>
      <c r="N173" s="3"/>
      <c r="O173" t="str">
        <f>IF($I173&lt;&gt;"Complete",IF(COUNTIFS($A$4:$A172,$A173,$B$4:$B172,$B173,$I$4:$I172,"&lt;&gt;Complete")=0,$A173&amp;"|"&amp;$B173,""),"")</f>
        <v>Ph - 2A 2B|Masterplan</v>
      </c>
      <c r="P173" t="str">
        <f ca="1">IF($K173="Yes",COUNTIFS($K$4:$K173,"Yes"),"")</f>
        <v/>
      </c>
      <c r="Q173">
        <f t="shared" ca="1" si="11"/>
        <v>0</v>
      </c>
      <c r="R173" t="str">
        <f ca="1">IF($Q173=1,SUM($Q$4:$Q173),"")</f>
        <v/>
      </c>
    </row>
    <row r="174" spans="1:18" ht="33.75" hidden="1" customHeight="1" x14ac:dyDescent="0.3">
      <c r="A174" s="2" t="s">
        <v>576</v>
      </c>
      <c r="B174" s="2" t="s">
        <v>140</v>
      </c>
      <c r="C174" s="3" t="s">
        <v>586</v>
      </c>
      <c r="D174" s="3" t="s">
        <v>587</v>
      </c>
      <c r="E174" s="2" t="s">
        <v>553</v>
      </c>
      <c r="F174" s="2" t="s">
        <v>79</v>
      </c>
      <c r="G174" s="5">
        <v>45606</v>
      </c>
      <c r="H174" s="5">
        <v>45606</v>
      </c>
      <c r="I174" s="4" t="s">
        <v>31</v>
      </c>
      <c r="J174" s="6">
        <f t="shared" si="9"/>
        <v>0</v>
      </c>
      <c r="K174" s="4" t="str">
        <f t="shared" ca="1" si="10"/>
        <v>-</v>
      </c>
      <c r="L174" s="7">
        <f t="shared" ca="1" si="12"/>
        <v>0</v>
      </c>
      <c r="M174" s="4" t="str">
        <f>IF($I174="Complete","Green",IF($H174="","Amber",IF($H174&lt;'[2]Read Me'!$B$4,"Red",IF($H174-'[2]Read Me'!$B$4&lt;=21,"Amber","Green"))))</f>
        <v>Red</v>
      </c>
      <c r="N174" s="3"/>
      <c r="O174" t="str">
        <f>IF($I174&lt;&gt;"Complete",IF(COUNTIFS($A$4:$A173,$A174,$B$4:$B173,$B174,$I$4:$I173,"&lt;&gt;Complete")=0,$A174&amp;"|"&amp;$B174,""),"")</f>
        <v/>
      </c>
      <c r="P174" t="str">
        <f ca="1">IF($K174="Yes",COUNTIFS($K$4:$K174,"Yes"),"")</f>
        <v/>
      </c>
      <c r="Q174">
        <f t="shared" ca="1" si="11"/>
        <v>0</v>
      </c>
      <c r="R174" t="str">
        <f ca="1">IF($Q174=1,SUM($Q$4:$Q174),"")</f>
        <v/>
      </c>
    </row>
    <row r="175" spans="1:18" ht="33.75" hidden="1" customHeight="1" x14ac:dyDescent="0.3">
      <c r="A175" s="2" t="s">
        <v>576</v>
      </c>
      <c r="B175" s="2" t="s">
        <v>140</v>
      </c>
      <c r="C175" s="3" t="s">
        <v>586</v>
      </c>
      <c r="D175" s="3" t="s">
        <v>70</v>
      </c>
      <c r="E175" s="2" t="s">
        <v>553</v>
      </c>
      <c r="F175" s="2"/>
      <c r="G175" s="5">
        <v>45620</v>
      </c>
      <c r="H175" s="5">
        <v>45620</v>
      </c>
      <c r="I175" s="4" t="s">
        <v>31</v>
      </c>
      <c r="J175" s="6">
        <f t="shared" si="9"/>
        <v>0</v>
      </c>
      <c r="K175" s="4" t="str">
        <f t="shared" ca="1" si="10"/>
        <v>-</v>
      </c>
      <c r="L175" s="7">
        <f t="shared" ca="1" si="12"/>
        <v>0</v>
      </c>
      <c r="M175" s="4" t="str">
        <f>IF($I175="Complete","Green",IF($H175="","Amber",IF($H175&lt;'[2]Read Me'!$B$4,"Red",IF($H175-'[2]Read Me'!$B$4&lt;=21,"Amber","Green"))))</f>
        <v>Red</v>
      </c>
      <c r="N175" s="3"/>
      <c r="O175" t="str">
        <f>IF($I175&lt;&gt;"Complete",IF(COUNTIFS($A$4:$A174,$A175,$B$4:$B174,$B175,$I$4:$I174,"&lt;&gt;Complete")=0,$A175&amp;"|"&amp;$B175,""),"")</f>
        <v/>
      </c>
      <c r="P175" t="str">
        <f ca="1">IF($K175="Yes",COUNTIFS($K$4:$K175,"Yes"),"")</f>
        <v/>
      </c>
      <c r="Q175">
        <f t="shared" ca="1" si="11"/>
        <v>0</v>
      </c>
      <c r="R175" t="str">
        <f ca="1">IF($Q175=1,SUM($Q$4:$Q175),"")</f>
        <v/>
      </c>
    </row>
    <row r="176" spans="1:18" ht="22.5" hidden="1" customHeight="1" x14ac:dyDescent="0.3">
      <c r="A176" s="2" t="s">
        <v>576</v>
      </c>
      <c r="B176" s="2" t="s">
        <v>140</v>
      </c>
      <c r="C176" s="3" t="s">
        <v>586</v>
      </c>
      <c r="D176" s="3" t="s">
        <v>561</v>
      </c>
      <c r="E176" s="2" t="s">
        <v>553</v>
      </c>
      <c r="F176" s="2" t="s">
        <v>79</v>
      </c>
      <c r="G176" s="5">
        <v>45634</v>
      </c>
      <c r="H176" s="5">
        <v>45634</v>
      </c>
      <c r="I176" s="4" t="s">
        <v>31</v>
      </c>
      <c r="J176" s="6">
        <f t="shared" si="9"/>
        <v>0</v>
      </c>
      <c r="K176" s="4" t="str">
        <f t="shared" ca="1" si="10"/>
        <v>-</v>
      </c>
      <c r="L176" s="7">
        <f t="shared" ca="1" si="12"/>
        <v>0</v>
      </c>
      <c r="M176" s="4" t="str">
        <f>IF($I176="Complete","Green",IF($H176="","Amber",IF($H176&lt;'[2]Read Me'!$B$4,"Red",IF($H176-'[2]Read Me'!$B$4&lt;=21,"Amber","Green"))))</f>
        <v>Red</v>
      </c>
      <c r="N176" s="3"/>
      <c r="O176" t="str">
        <f>IF($I176&lt;&gt;"Complete",IF(COUNTIFS($A$4:$A175,$A176,$B$4:$B175,$B176,$I$4:$I175,"&lt;&gt;Complete")=0,$A176&amp;"|"&amp;$B176,""),"")</f>
        <v/>
      </c>
      <c r="P176" t="str">
        <f ca="1">IF($K176="Yes",COUNTIFS($K$4:$K176,"Yes"),"")</f>
        <v/>
      </c>
      <c r="Q176">
        <f t="shared" ca="1" si="11"/>
        <v>0</v>
      </c>
      <c r="R176" t="str">
        <f ca="1">IF($Q176=1,SUM($Q$4:$Q176),"")</f>
        <v/>
      </c>
    </row>
    <row r="177" spans="1:18" ht="22.5" hidden="1" customHeight="1" x14ac:dyDescent="0.3">
      <c r="A177" s="2" t="s">
        <v>576</v>
      </c>
      <c r="B177" s="2" t="s">
        <v>140</v>
      </c>
      <c r="C177" s="3" t="s">
        <v>586</v>
      </c>
      <c r="D177" s="3" t="s">
        <v>47</v>
      </c>
      <c r="E177" s="2" t="s">
        <v>553</v>
      </c>
      <c r="F177" s="2"/>
      <c r="G177" s="5">
        <v>45648</v>
      </c>
      <c r="H177" s="5">
        <v>45648</v>
      </c>
      <c r="I177" s="4" t="s">
        <v>31</v>
      </c>
      <c r="J177" s="6">
        <f t="shared" si="9"/>
        <v>0</v>
      </c>
      <c r="K177" s="4" t="str">
        <f t="shared" ca="1" si="10"/>
        <v>-</v>
      </c>
      <c r="L177" s="7">
        <f t="shared" ca="1" si="12"/>
        <v>0</v>
      </c>
      <c r="M177" s="4" t="str">
        <f>IF($I177="Complete","Green",IF($H177="","Amber",IF($H177&lt;'[2]Read Me'!$B$4,"Red",IF($H177-'[2]Read Me'!$B$4&lt;=21,"Amber","Green"))))</f>
        <v>Red</v>
      </c>
      <c r="N177" s="3"/>
      <c r="O177" t="str">
        <f>IF($I177&lt;&gt;"Complete",IF(COUNTIFS($A$4:$A176,$A177,$B$4:$B176,$B177,$I$4:$I176,"&lt;&gt;Complete")=0,$A177&amp;"|"&amp;$B177,""),"")</f>
        <v/>
      </c>
      <c r="P177" t="str">
        <f ca="1">IF($K177="Yes",COUNTIFS($K$4:$K177,"Yes"),"")</f>
        <v/>
      </c>
      <c r="Q177">
        <f t="shared" ca="1" si="11"/>
        <v>0</v>
      </c>
      <c r="R177" t="str">
        <f ca="1">IF($Q177=1,SUM($Q$4:$Q177),"")</f>
        <v/>
      </c>
    </row>
    <row r="178" spans="1:18" ht="22.5" hidden="1" customHeight="1" x14ac:dyDescent="0.3">
      <c r="A178" s="2" t="s">
        <v>576</v>
      </c>
      <c r="B178" s="2" t="s">
        <v>140</v>
      </c>
      <c r="C178" s="3" t="s">
        <v>586</v>
      </c>
      <c r="D178" s="3" t="s">
        <v>562</v>
      </c>
      <c r="E178" s="2" t="s">
        <v>553</v>
      </c>
      <c r="F178" s="2" t="s">
        <v>79</v>
      </c>
      <c r="G178" s="5">
        <v>45662</v>
      </c>
      <c r="H178" s="5">
        <v>45662</v>
      </c>
      <c r="I178" s="4" t="s">
        <v>31</v>
      </c>
      <c r="J178" s="6">
        <f t="shared" si="9"/>
        <v>0</v>
      </c>
      <c r="K178" s="4" t="str">
        <f t="shared" ca="1" si="10"/>
        <v>-</v>
      </c>
      <c r="L178" s="7">
        <f t="shared" ca="1" si="12"/>
        <v>0</v>
      </c>
      <c r="M178" s="4" t="str">
        <f>IF($I178="Complete","Green",IF($H178="","Amber",IF($H178&lt;'[2]Read Me'!$B$4,"Red",IF($H178-'[2]Read Me'!$B$4&lt;=21,"Amber","Green"))))</f>
        <v>Red</v>
      </c>
      <c r="N178" s="3"/>
      <c r="O178" t="str">
        <f>IF($I178&lt;&gt;"Complete",IF(COUNTIFS($A$4:$A177,$A178,$B$4:$B177,$B178,$I$4:$I177,"&lt;&gt;Complete")=0,$A178&amp;"|"&amp;$B178,""),"")</f>
        <v/>
      </c>
      <c r="P178" t="str">
        <f ca="1">IF($K178="Yes",COUNTIFS($K$4:$K178,"Yes"),"")</f>
        <v/>
      </c>
      <c r="Q178">
        <f t="shared" ca="1" si="11"/>
        <v>0</v>
      </c>
      <c r="R178" t="str">
        <f ca="1">IF($Q178=1,SUM($Q$4:$Q178),"")</f>
        <v/>
      </c>
    </row>
    <row r="179" spans="1:18" ht="22.5" hidden="1" customHeight="1" x14ac:dyDescent="0.3">
      <c r="A179" s="2" t="s">
        <v>576</v>
      </c>
      <c r="B179" s="2" t="s">
        <v>140</v>
      </c>
      <c r="C179" s="3" t="s">
        <v>586</v>
      </c>
      <c r="D179" s="3" t="s">
        <v>32</v>
      </c>
      <c r="E179" s="2" t="s">
        <v>553</v>
      </c>
      <c r="F179" s="2"/>
      <c r="G179" s="5">
        <v>45676</v>
      </c>
      <c r="H179" s="5">
        <v>45676</v>
      </c>
      <c r="I179" s="4" t="s">
        <v>31</v>
      </c>
      <c r="J179" s="6">
        <f t="shared" si="9"/>
        <v>0</v>
      </c>
      <c r="K179" s="4" t="str">
        <f t="shared" ca="1" si="10"/>
        <v>-</v>
      </c>
      <c r="L179" s="7">
        <f t="shared" ca="1" si="12"/>
        <v>0</v>
      </c>
      <c r="M179" s="4" t="str">
        <f>IF($I179="Complete","Green",IF($H179="","Amber",IF($H179&lt;'[2]Read Me'!$B$4,"Red",IF($H179-'[2]Read Me'!$B$4&lt;=21,"Amber","Green"))))</f>
        <v>Red</v>
      </c>
      <c r="N179" s="3"/>
      <c r="O179" t="str">
        <f>IF($I179&lt;&gt;"Complete",IF(COUNTIFS($A$4:$A178,$A179,$B$4:$B178,$B179,$I$4:$I178,"&lt;&gt;Complete")=0,$A179&amp;"|"&amp;$B179,""),"")</f>
        <v/>
      </c>
      <c r="P179" t="str">
        <f ca="1">IF($K179="Yes",COUNTIFS($K$4:$K179,"Yes"),"")</f>
        <v/>
      </c>
      <c r="Q179">
        <f t="shared" ca="1" si="11"/>
        <v>0</v>
      </c>
      <c r="R179" t="str">
        <f ca="1">IF($Q179=1,SUM($Q$4:$Q179),"")</f>
        <v/>
      </c>
    </row>
    <row r="180" spans="1:18" ht="22.5" hidden="1" customHeight="1" x14ac:dyDescent="0.3">
      <c r="A180" s="2" t="s">
        <v>576</v>
      </c>
      <c r="B180" s="2" t="s">
        <v>140</v>
      </c>
      <c r="C180" s="3" t="s">
        <v>586</v>
      </c>
      <c r="D180" s="3" t="s">
        <v>14</v>
      </c>
      <c r="E180" s="2" t="s">
        <v>553</v>
      </c>
      <c r="F180" s="2" t="s">
        <v>79</v>
      </c>
      <c r="G180" s="5">
        <v>45907</v>
      </c>
      <c r="H180" s="5">
        <v>45907</v>
      </c>
      <c r="I180" s="4" t="s">
        <v>31</v>
      </c>
      <c r="J180" s="6">
        <f t="shared" si="9"/>
        <v>0</v>
      </c>
      <c r="K180" s="4" t="str">
        <f t="shared" ca="1" si="10"/>
        <v>-</v>
      </c>
      <c r="L180" s="7">
        <f t="shared" ca="1" si="12"/>
        <v>0</v>
      </c>
      <c r="M180" s="4" t="str">
        <f>IF($I180="Complete","Green",IF($H180="","Amber",IF($H180&lt;'[2]Read Me'!$B$4,"Red",IF($H180-'[2]Read Me'!$B$4&lt;=21,"Amber","Green"))))</f>
        <v>Red</v>
      </c>
      <c r="N180" s="3"/>
      <c r="O180" t="str">
        <f>IF($I180&lt;&gt;"Complete",IF(COUNTIFS($A$4:$A179,$A180,$B$4:$B179,$B180,$I$4:$I179,"&lt;&gt;Complete")=0,$A180&amp;"|"&amp;$B180,""),"")</f>
        <v/>
      </c>
      <c r="P180" t="str">
        <f ca="1">IF($K180="Yes",COUNTIFS($K$4:$K180,"Yes"),"")</f>
        <v/>
      </c>
      <c r="Q180">
        <f t="shared" ca="1" si="11"/>
        <v>0</v>
      </c>
      <c r="R180" t="str">
        <f ca="1">IF($Q180=1,SUM($Q$4:$Q180),"")</f>
        <v/>
      </c>
    </row>
    <row r="181" spans="1:18" ht="22.5" hidden="1" customHeight="1" x14ac:dyDescent="0.3">
      <c r="A181" s="2" t="s">
        <v>576</v>
      </c>
      <c r="B181" s="2" t="s">
        <v>140</v>
      </c>
      <c r="C181" s="3" t="s">
        <v>586</v>
      </c>
      <c r="D181" s="3" t="s">
        <v>34</v>
      </c>
      <c r="E181" s="2" t="s">
        <v>553</v>
      </c>
      <c r="F181" s="2"/>
      <c r="G181" s="5">
        <v>45921</v>
      </c>
      <c r="H181" s="5">
        <v>45921</v>
      </c>
      <c r="I181" s="4" t="s">
        <v>31</v>
      </c>
      <c r="J181" s="6">
        <f t="shared" si="9"/>
        <v>0</v>
      </c>
      <c r="K181" s="4" t="str">
        <f t="shared" ca="1" si="10"/>
        <v>-</v>
      </c>
      <c r="L181" s="7">
        <f t="shared" ca="1" si="12"/>
        <v>0</v>
      </c>
      <c r="M181" s="4" t="str">
        <f>IF($I181="Complete","Green",IF($H181="","Amber",IF($H181&lt;'[2]Read Me'!$B$4,"Red",IF($H181-'[2]Read Me'!$B$4&lt;=21,"Amber","Green"))))</f>
        <v>Red</v>
      </c>
      <c r="N181" s="3"/>
      <c r="O181" t="str">
        <f>IF($I181&lt;&gt;"Complete",IF(COUNTIFS($A$4:$A180,$A181,$B$4:$B180,$B181,$I$4:$I180,"&lt;&gt;Complete")=0,$A181&amp;"|"&amp;$B181,""),"")</f>
        <v/>
      </c>
      <c r="P181" t="str">
        <f ca="1">IF($K181="Yes",COUNTIFS($K$4:$K181,"Yes"),"")</f>
        <v/>
      </c>
      <c r="Q181">
        <f t="shared" ca="1" si="11"/>
        <v>0</v>
      </c>
      <c r="R181" t="str">
        <f ca="1">IF($Q181=1,SUM($Q$4:$Q181),"")</f>
        <v/>
      </c>
    </row>
    <row r="182" spans="1:18" ht="22.5" hidden="1" customHeight="1" x14ac:dyDescent="0.3">
      <c r="A182" s="2" t="s">
        <v>576</v>
      </c>
      <c r="B182" s="2" t="s">
        <v>140</v>
      </c>
      <c r="C182" s="3" t="s">
        <v>586</v>
      </c>
      <c r="D182" s="3" t="s">
        <v>15</v>
      </c>
      <c r="E182" s="2" t="s">
        <v>553</v>
      </c>
      <c r="F182" s="2" t="s">
        <v>79</v>
      </c>
      <c r="G182" s="5">
        <v>45970</v>
      </c>
      <c r="H182" s="5">
        <v>45999</v>
      </c>
      <c r="I182" s="4" t="s">
        <v>31</v>
      </c>
      <c r="J182" s="6">
        <f t="shared" si="9"/>
        <v>29</v>
      </c>
      <c r="K182" s="4" t="str">
        <f t="shared" ca="1" si="10"/>
        <v>-</v>
      </c>
      <c r="L182" s="7">
        <f t="shared" ca="1" si="12"/>
        <v>0</v>
      </c>
      <c r="M182" s="4" t="str">
        <f>IF($I182="Complete","Green",IF($H182="","Amber",IF($H182&lt;'[2]Read Me'!$B$4,"Red",IF($H182-'[2]Read Me'!$B$4&lt;=21,"Amber","Green"))))</f>
        <v>Red</v>
      </c>
      <c r="N182" s="3"/>
      <c r="O182" t="str">
        <f>IF($I182&lt;&gt;"Complete",IF(COUNTIFS($A$4:$A181,$A182,$B$4:$B181,$B182,$I$4:$I181,"&lt;&gt;Complete")=0,$A182&amp;"|"&amp;$B182,""),"")</f>
        <v/>
      </c>
      <c r="P182" t="str">
        <f ca="1">IF($K182="Yes",COUNTIFS($K$4:$K182,"Yes"),"")</f>
        <v/>
      </c>
      <c r="Q182">
        <f t="shared" ca="1" si="11"/>
        <v>0</v>
      </c>
      <c r="R182" t="str">
        <f ca="1">IF($Q182=1,SUM($Q$4:$Q182),"")</f>
        <v/>
      </c>
    </row>
    <row r="183" spans="1:18" ht="22.5" hidden="1" customHeight="1" x14ac:dyDescent="0.3">
      <c r="A183" s="2" t="s">
        <v>576</v>
      </c>
      <c r="B183" s="2" t="s">
        <v>140</v>
      </c>
      <c r="C183" s="3" t="s">
        <v>586</v>
      </c>
      <c r="D183" s="3" t="s">
        <v>35</v>
      </c>
      <c r="E183" s="2" t="s">
        <v>553</v>
      </c>
      <c r="F183" s="2"/>
      <c r="G183" s="5">
        <v>45984</v>
      </c>
      <c r="H183" s="5">
        <v>46041</v>
      </c>
      <c r="I183" s="4" t="s">
        <v>31</v>
      </c>
      <c r="J183" s="6">
        <f t="shared" si="9"/>
        <v>57</v>
      </c>
      <c r="K183" s="4" t="str">
        <f t="shared" ca="1" si="10"/>
        <v>-</v>
      </c>
      <c r="L183" s="7">
        <f t="shared" ca="1" si="12"/>
        <v>0</v>
      </c>
      <c r="M183" s="4" t="str">
        <f>IF($I183="Complete","Green",IF($H183="","Amber",IF($H183&lt;'[2]Read Me'!$B$4,"Red",IF($H183-'[2]Read Me'!$B$4&lt;=21,"Amber","Green"))))</f>
        <v>Red</v>
      </c>
      <c r="N183" s="3"/>
      <c r="O183" t="str">
        <f>IF($I183&lt;&gt;"Complete",IF(COUNTIFS($A$4:$A182,$A183,$B$4:$B182,$B183,$I$4:$I182,"&lt;&gt;Complete")=0,$A183&amp;"|"&amp;$B183,""),"")</f>
        <v/>
      </c>
      <c r="P183" t="str">
        <f ca="1">IF($K183="Yes",COUNTIFS($K$4:$K183,"Yes"),"")</f>
        <v/>
      </c>
      <c r="Q183">
        <f t="shared" ca="1" si="11"/>
        <v>0</v>
      </c>
      <c r="R183" t="str">
        <f ca="1">IF($Q183=1,SUM($Q$4:$Q183),"")</f>
        <v/>
      </c>
    </row>
    <row r="184" spans="1:18" ht="22.5" hidden="1" customHeight="1" x14ac:dyDescent="0.3">
      <c r="A184" s="2" t="s">
        <v>576</v>
      </c>
      <c r="B184" s="2" t="s">
        <v>140</v>
      </c>
      <c r="C184" s="3" t="s">
        <v>586</v>
      </c>
      <c r="D184" s="3" t="s">
        <v>16</v>
      </c>
      <c r="E184" s="2" t="s">
        <v>553</v>
      </c>
      <c r="F184" s="2" t="s">
        <v>79</v>
      </c>
      <c r="G184" s="5">
        <v>46005</v>
      </c>
      <c r="H184" s="5">
        <v>46114</v>
      </c>
      <c r="I184" s="4" t="s">
        <v>31</v>
      </c>
      <c r="J184" s="6">
        <f t="shared" si="9"/>
        <v>109</v>
      </c>
      <c r="K184" s="4" t="str">
        <f t="shared" ca="1" si="10"/>
        <v>-</v>
      </c>
      <c r="L184" s="7">
        <f t="shared" ca="1" si="12"/>
        <v>0</v>
      </c>
      <c r="M184" s="4" t="str">
        <f>IF($I184="Complete","Green",IF($H184="","Amber",IF($H184&lt;'[2]Read Me'!$B$4,"Red",IF($H184-'[2]Read Me'!$B$4&lt;=21,"Amber","Green"))))</f>
        <v>Red</v>
      </c>
      <c r="N184" s="3"/>
      <c r="O184" t="str">
        <f>IF($I184&lt;&gt;"Complete",IF(COUNTIFS($A$4:$A183,$A184,$B$4:$B183,$B184,$I$4:$I183,"&lt;&gt;Complete")=0,$A184&amp;"|"&amp;$B184,""),"")</f>
        <v/>
      </c>
      <c r="P184" t="str">
        <f ca="1">IF($K184="Yes",COUNTIFS($K$4:$K184,"Yes"),"")</f>
        <v/>
      </c>
      <c r="Q184">
        <f t="shared" ca="1" si="11"/>
        <v>0</v>
      </c>
      <c r="R184" t="str">
        <f ca="1">IF($Q184=1,SUM($Q$4:$Q184),"")</f>
        <v/>
      </c>
    </row>
    <row r="185" spans="1:18" ht="22.5" hidden="1" customHeight="1" x14ac:dyDescent="0.3">
      <c r="A185" s="2" t="s">
        <v>576</v>
      </c>
      <c r="B185" s="2" t="s">
        <v>140</v>
      </c>
      <c r="C185" s="3" t="s">
        <v>586</v>
      </c>
      <c r="D185" s="3" t="s">
        <v>37</v>
      </c>
      <c r="E185" s="2" t="s">
        <v>553</v>
      </c>
      <c r="F185" s="2"/>
      <c r="G185" s="5">
        <v>46019</v>
      </c>
      <c r="H185" s="5">
        <v>46119</v>
      </c>
      <c r="I185" s="4" t="s">
        <v>31</v>
      </c>
      <c r="J185" s="6">
        <f t="shared" si="9"/>
        <v>100</v>
      </c>
      <c r="K185" s="4" t="str">
        <f t="shared" ca="1" si="10"/>
        <v>-</v>
      </c>
      <c r="L185" s="7">
        <f t="shared" ca="1" si="12"/>
        <v>0</v>
      </c>
      <c r="M185" s="4" t="str">
        <f>IF($I185="Complete","Green",IF($H185="","Amber",IF($H185&lt;'[2]Read Me'!$B$4,"Red",IF($H185-'[2]Read Me'!$B$4&lt;=21,"Amber","Green"))))</f>
        <v>Red</v>
      </c>
      <c r="N185" s="3"/>
      <c r="O185" t="str">
        <f>IF($I185&lt;&gt;"Complete",IF(COUNTIFS($A$4:$A184,$A185,$B$4:$B184,$B185,$I$4:$I184,"&lt;&gt;Complete")=0,$A185&amp;"|"&amp;$B185,""),"")</f>
        <v/>
      </c>
      <c r="P185" t="str">
        <f ca="1">IF($K185="Yes",COUNTIFS($K$4:$K185,"Yes"),"")</f>
        <v/>
      </c>
      <c r="Q185">
        <f t="shared" ca="1" si="11"/>
        <v>0</v>
      </c>
      <c r="R185" t="str">
        <f ca="1">IF($Q185=1,SUM($Q$4:$Q185),"")</f>
        <v/>
      </c>
    </row>
    <row r="186" spans="1:18" ht="22.5" hidden="1" customHeight="1" x14ac:dyDescent="0.3">
      <c r="A186" s="2" t="s">
        <v>576</v>
      </c>
      <c r="B186" s="2" t="s">
        <v>140</v>
      </c>
      <c r="C186" s="3" t="s">
        <v>586</v>
      </c>
      <c r="D186" s="3" t="s">
        <v>387</v>
      </c>
      <c r="E186" s="2" t="s">
        <v>553</v>
      </c>
      <c r="F186" s="2"/>
      <c r="G186" s="5">
        <v>46033</v>
      </c>
      <c r="H186" s="5">
        <v>46247</v>
      </c>
      <c r="I186" s="4" t="s">
        <v>17</v>
      </c>
      <c r="J186" s="6">
        <f t="shared" si="9"/>
        <v>214</v>
      </c>
      <c r="K186" s="4" t="str">
        <f t="shared" ca="1" si="10"/>
        <v>No</v>
      </c>
      <c r="L186" s="7">
        <f t="shared" ca="1" si="12"/>
        <v>39</v>
      </c>
      <c r="M186" s="4" t="str">
        <f>IF($I186="Complete","Green",IF($H186="","Amber",IF($H186&lt;'[2]Read Me'!$B$4,"Red",IF($H186-'[2]Read Me'!$B$4&lt;=21,"Amber","Green"))))</f>
        <v>Green</v>
      </c>
      <c r="N186" s="3"/>
      <c r="O186" t="str">
        <f>IF($I186&lt;&gt;"Complete",IF(COUNTIFS($A$4:$A185,$A186,$B$4:$B185,$B186,$I$4:$I185,"&lt;&gt;Complete")=0,$A186&amp;"|"&amp;$B186,""),"")</f>
        <v/>
      </c>
      <c r="P186" t="str">
        <f ca="1">IF($K186="Yes",COUNTIFS($K$4:$K186,"Yes"),"")</f>
        <v/>
      </c>
      <c r="Q186">
        <f t="shared" ca="1" si="11"/>
        <v>0</v>
      </c>
      <c r="R186" t="str">
        <f ca="1">IF($Q186=1,SUM($Q$4:$Q186),"")</f>
        <v/>
      </c>
    </row>
    <row r="187" spans="1:18" ht="22.5" hidden="1" customHeight="1" x14ac:dyDescent="0.3">
      <c r="A187" s="2" t="s">
        <v>576</v>
      </c>
      <c r="B187" s="2" t="s">
        <v>171</v>
      </c>
      <c r="C187" s="3"/>
      <c r="D187" s="3"/>
      <c r="E187" s="2"/>
      <c r="F187" s="2"/>
      <c r="G187" s="5">
        <v>46090</v>
      </c>
      <c r="H187" s="5">
        <v>46147</v>
      </c>
      <c r="I187" s="4"/>
      <c r="J187" s="6">
        <f t="shared" si="9"/>
        <v>57</v>
      </c>
      <c r="K187" s="4" t="str">
        <f t="shared" ca="1" si="10"/>
        <v/>
      </c>
      <c r="L187" s="7">
        <f t="shared" ca="1" si="12"/>
        <v>-61</v>
      </c>
      <c r="M187" s="4" t="str">
        <f>IF($I187="Complete","Green",IF($H187="","Amber",IF($H187&lt;'[2]Read Me'!$B$4,"Red",IF($H187-'[2]Read Me'!$B$4&lt;=21,"Amber","Green"))))</f>
        <v>Red</v>
      </c>
      <c r="N187" s="3"/>
      <c r="O187" t="str">
        <f>IF($I187&lt;&gt;"Complete",IF(COUNTIFS($A$4:$A186,$A187,$B$4:$B186,$B187,$I$4:$I186,"&lt;&gt;Complete")=0,$A187&amp;"|"&amp;$B187,""),"")</f>
        <v>Ph - 2A 2B|Infrastructure</v>
      </c>
      <c r="P187" t="str">
        <f ca="1">IF($K187="Yes",COUNTIFS($K$4:$K187,"Yes"),"")</f>
        <v/>
      </c>
      <c r="Q187">
        <f t="shared" ca="1" si="11"/>
        <v>0</v>
      </c>
      <c r="R187" t="str">
        <f ca="1">IF($Q187=1,SUM($Q$4:$Q187),"")</f>
        <v/>
      </c>
    </row>
    <row r="188" spans="1:18" ht="22.5" hidden="1" customHeight="1" x14ac:dyDescent="0.3">
      <c r="A188" s="2" t="s">
        <v>576</v>
      </c>
      <c r="B188" s="2" t="s">
        <v>171</v>
      </c>
      <c r="C188" s="3" t="s">
        <v>588</v>
      </c>
      <c r="D188" s="3" t="s">
        <v>97</v>
      </c>
      <c r="E188" s="2" t="s">
        <v>553</v>
      </c>
      <c r="F188" s="2" t="s">
        <v>79</v>
      </c>
      <c r="G188" s="5">
        <v>45606</v>
      </c>
      <c r="H188" s="5">
        <v>45606</v>
      </c>
      <c r="I188" s="4" t="s">
        <v>31</v>
      </c>
      <c r="J188" s="6">
        <f t="shared" si="9"/>
        <v>0</v>
      </c>
      <c r="K188" s="4" t="str">
        <f t="shared" ca="1" si="10"/>
        <v>-</v>
      </c>
      <c r="L188" s="7">
        <f t="shared" ca="1" si="12"/>
        <v>0</v>
      </c>
      <c r="M188" s="4" t="str">
        <f>IF($I188="Complete","Green",IF($H188="","Amber",IF($H188&lt;'[2]Read Me'!$B$4,"Red",IF($H188-'[2]Read Me'!$B$4&lt;=21,"Amber","Green"))))</f>
        <v>Red</v>
      </c>
      <c r="N188" s="3"/>
      <c r="O188" t="str">
        <f>IF($I188&lt;&gt;"Complete",IF(COUNTIFS($A$4:$A187,$A188,$B$4:$B187,$B188,$I$4:$I187,"&lt;&gt;Complete")=0,$A188&amp;"|"&amp;$B188,""),"")</f>
        <v/>
      </c>
      <c r="P188" t="str">
        <f ca="1">IF($K188="Yes",COUNTIFS($K$4:$K188,"Yes"),"")</f>
        <v/>
      </c>
      <c r="Q188">
        <f t="shared" ca="1" si="11"/>
        <v>0</v>
      </c>
      <c r="R188" t="str">
        <f ca="1">IF($Q188=1,SUM($Q$4:$Q188),"")</f>
        <v/>
      </c>
    </row>
    <row r="189" spans="1:18" ht="22.5" hidden="1" customHeight="1" x14ac:dyDescent="0.3">
      <c r="A189" s="2" t="s">
        <v>576</v>
      </c>
      <c r="B189" s="2" t="s">
        <v>171</v>
      </c>
      <c r="C189" s="3" t="s">
        <v>588</v>
      </c>
      <c r="D189" s="3" t="s">
        <v>70</v>
      </c>
      <c r="E189" s="2" t="s">
        <v>553</v>
      </c>
      <c r="F189" s="2"/>
      <c r="G189" s="5">
        <v>45627</v>
      </c>
      <c r="H189" s="5">
        <v>45627</v>
      </c>
      <c r="I189" s="4" t="s">
        <v>31</v>
      </c>
      <c r="J189" s="6">
        <f t="shared" si="9"/>
        <v>0</v>
      </c>
      <c r="K189" s="4" t="str">
        <f t="shared" ca="1" si="10"/>
        <v>-</v>
      </c>
      <c r="L189" s="7">
        <f t="shared" ca="1" si="12"/>
        <v>0</v>
      </c>
      <c r="M189" s="4" t="str">
        <f>IF($I189="Complete","Green",IF($H189="","Amber",IF($H189&lt;'[2]Read Me'!$B$4,"Red",IF($H189-'[2]Read Me'!$B$4&lt;=21,"Amber","Green"))))</f>
        <v>Red</v>
      </c>
      <c r="N189" s="3"/>
      <c r="O189" t="str">
        <f>IF($I189&lt;&gt;"Complete",IF(COUNTIFS($A$4:$A188,$A189,$B$4:$B188,$B189,$I$4:$I188,"&lt;&gt;Complete")=0,$A189&amp;"|"&amp;$B189,""),"")</f>
        <v/>
      </c>
      <c r="P189" t="str">
        <f ca="1">IF($K189="Yes",COUNTIFS($K$4:$K189,"Yes"),"")</f>
        <v/>
      </c>
      <c r="Q189">
        <f t="shared" ca="1" si="11"/>
        <v>0</v>
      </c>
      <c r="R189" t="str">
        <f ca="1">IF($Q189=1,SUM($Q$4:$Q189),"")</f>
        <v/>
      </c>
    </row>
    <row r="190" spans="1:18" ht="22.5" hidden="1" customHeight="1" x14ac:dyDescent="0.3">
      <c r="A190" s="2" t="s">
        <v>576</v>
      </c>
      <c r="B190" s="2" t="s">
        <v>171</v>
      </c>
      <c r="C190" s="3" t="s">
        <v>588</v>
      </c>
      <c r="D190" s="3" t="s">
        <v>98</v>
      </c>
      <c r="E190" s="2" t="s">
        <v>553</v>
      </c>
      <c r="F190" s="2" t="s">
        <v>79</v>
      </c>
      <c r="G190" s="5">
        <v>45641</v>
      </c>
      <c r="H190" s="5">
        <v>45641</v>
      </c>
      <c r="I190" s="4" t="s">
        <v>31</v>
      </c>
      <c r="J190" s="6">
        <f t="shared" si="9"/>
        <v>0</v>
      </c>
      <c r="K190" s="4" t="str">
        <f t="shared" ca="1" si="10"/>
        <v>-</v>
      </c>
      <c r="L190" s="7">
        <f t="shared" ca="1" si="12"/>
        <v>0</v>
      </c>
      <c r="M190" s="4" t="str">
        <f>IF($I190="Complete","Green",IF($H190="","Amber",IF($H190&lt;'[2]Read Me'!$B$4,"Red",IF($H190-'[2]Read Me'!$B$4&lt;=21,"Amber","Green"))))</f>
        <v>Red</v>
      </c>
      <c r="N190" s="3"/>
      <c r="O190" t="str">
        <f>IF($I190&lt;&gt;"Complete",IF(COUNTIFS($A$4:$A189,$A190,$B$4:$B189,$B190,$I$4:$I189,"&lt;&gt;Complete")=0,$A190&amp;"|"&amp;$B190,""),"")</f>
        <v/>
      </c>
      <c r="P190" t="str">
        <f ca="1">IF($K190="Yes",COUNTIFS($K$4:$K190,"Yes"),"")</f>
        <v/>
      </c>
      <c r="Q190">
        <f t="shared" ca="1" si="11"/>
        <v>0</v>
      </c>
      <c r="R190" t="str">
        <f ca="1">IF($Q190=1,SUM($Q$4:$Q190),"")</f>
        <v/>
      </c>
    </row>
    <row r="191" spans="1:18" ht="22.5" hidden="1" customHeight="1" x14ac:dyDescent="0.3">
      <c r="A191" s="2" t="s">
        <v>576</v>
      </c>
      <c r="B191" s="2" t="s">
        <v>171</v>
      </c>
      <c r="C191" s="3" t="s">
        <v>588</v>
      </c>
      <c r="D191" s="3" t="s">
        <v>47</v>
      </c>
      <c r="E191" s="2" t="s">
        <v>553</v>
      </c>
      <c r="F191" s="2"/>
      <c r="G191" s="5">
        <v>45655</v>
      </c>
      <c r="H191" s="5">
        <v>45655</v>
      </c>
      <c r="I191" s="4" t="s">
        <v>31</v>
      </c>
      <c r="J191" s="6">
        <f t="shared" si="9"/>
        <v>0</v>
      </c>
      <c r="K191" s="4" t="str">
        <f t="shared" ca="1" si="10"/>
        <v>-</v>
      </c>
      <c r="L191" s="7">
        <f t="shared" ca="1" si="12"/>
        <v>0</v>
      </c>
      <c r="M191" s="4" t="str">
        <f>IF($I191="Complete","Green",IF($H191="","Amber",IF($H191&lt;'[2]Read Me'!$B$4,"Red",IF($H191-'[2]Read Me'!$B$4&lt;=21,"Amber","Green"))))</f>
        <v>Red</v>
      </c>
      <c r="N191" s="3"/>
      <c r="O191" t="str">
        <f>IF($I191&lt;&gt;"Complete",IF(COUNTIFS($A$4:$A190,$A191,$B$4:$B190,$B191,$I$4:$I190,"&lt;&gt;Complete")=0,$A191&amp;"|"&amp;$B191,""),"")</f>
        <v/>
      </c>
      <c r="P191" t="str">
        <f ca="1">IF($K191="Yes",COUNTIFS($K$4:$K191,"Yes"),"")</f>
        <v/>
      </c>
      <c r="Q191">
        <f t="shared" ca="1" si="11"/>
        <v>0</v>
      </c>
      <c r="R191" t="str">
        <f ca="1">IF($Q191=1,SUM($Q$4:$Q191),"")</f>
        <v/>
      </c>
    </row>
    <row r="192" spans="1:18" ht="33.75" hidden="1" customHeight="1" x14ac:dyDescent="0.3">
      <c r="A192" s="2" t="s">
        <v>576</v>
      </c>
      <c r="B192" s="2" t="s">
        <v>171</v>
      </c>
      <c r="C192" s="3" t="s">
        <v>588</v>
      </c>
      <c r="D192" s="3" t="s">
        <v>562</v>
      </c>
      <c r="E192" s="2" t="s">
        <v>553</v>
      </c>
      <c r="F192" s="2" t="s">
        <v>79</v>
      </c>
      <c r="G192" s="5">
        <v>45669</v>
      </c>
      <c r="H192" s="5">
        <v>45669</v>
      </c>
      <c r="I192" s="4" t="s">
        <v>31</v>
      </c>
      <c r="J192" s="6">
        <f t="shared" si="9"/>
        <v>0</v>
      </c>
      <c r="K192" s="4" t="str">
        <f t="shared" ca="1" si="10"/>
        <v>-</v>
      </c>
      <c r="L192" s="7">
        <f t="shared" ca="1" si="12"/>
        <v>0</v>
      </c>
      <c r="M192" s="4" t="str">
        <f>IF($I192="Complete","Green",IF($H192="","Amber",IF($H192&lt;'[2]Read Me'!$B$4,"Red",IF($H192-'[2]Read Me'!$B$4&lt;=21,"Amber","Green"))))</f>
        <v>Red</v>
      </c>
      <c r="N192" s="3"/>
      <c r="O192" t="str">
        <f>IF($I192&lt;&gt;"Complete",IF(COUNTIFS($A$4:$A191,$A192,$B$4:$B191,$B192,$I$4:$I191,"&lt;&gt;Complete")=0,$A192&amp;"|"&amp;$B192,""),"")</f>
        <v/>
      </c>
      <c r="P192" t="str">
        <f ca="1">IF($K192="Yes",COUNTIFS($K$4:$K192,"Yes"),"")</f>
        <v/>
      </c>
      <c r="Q192">
        <f t="shared" ca="1" si="11"/>
        <v>0</v>
      </c>
      <c r="R192" t="str">
        <f ca="1">IF($Q192=1,SUM($Q$4:$Q192),"")</f>
        <v/>
      </c>
    </row>
    <row r="193" spans="1:18" ht="33.75" hidden="1" customHeight="1" x14ac:dyDescent="0.3">
      <c r="A193" s="2" t="s">
        <v>576</v>
      </c>
      <c r="B193" s="2" t="s">
        <v>171</v>
      </c>
      <c r="C193" s="3" t="s">
        <v>588</v>
      </c>
      <c r="D193" s="3" t="s">
        <v>32</v>
      </c>
      <c r="E193" s="2" t="s">
        <v>553</v>
      </c>
      <c r="F193" s="2"/>
      <c r="G193" s="5">
        <v>45683</v>
      </c>
      <c r="H193" s="5">
        <v>45683</v>
      </c>
      <c r="I193" s="4" t="s">
        <v>31</v>
      </c>
      <c r="J193" s="6">
        <f t="shared" si="9"/>
        <v>0</v>
      </c>
      <c r="K193" s="4" t="str">
        <f t="shared" ca="1" si="10"/>
        <v>-</v>
      </c>
      <c r="L193" s="7">
        <f t="shared" ca="1" si="12"/>
        <v>0</v>
      </c>
      <c r="M193" s="4" t="str">
        <f>IF($I193="Complete","Green",IF($H193="","Amber",IF($H193&lt;'[2]Read Me'!$B$4,"Red",IF($H193-'[2]Read Me'!$B$4&lt;=21,"Amber","Green"))))</f>
        <v>Red</v>
      </c>
      <c r="N193" s="3"/>
      <c r="O193" t="str">
        <f>IF($I193&lt;&gt;"Complete",IF(COUNTIFS($A$4:$A192,$A193,$B$4:$B192,$B193,$I$4:$I192,"&lt;&gt;Complete")=0,$A193&amp;"|"&amp;$B193,""),"")</f>
        <v/>
      </c>
      <c r="P193" t="str">
        <f ca="1">IF($K193="Yes",COUNTIFS($K$4:$K193,"Yes"),"")</f>
        <v/>
      </c>
      <c r="Q193">
        <f t="shared" ca="1" si="11"/>
        <v>0</v>
      </c>
      <c r="R193" t="str">
        <f ca="1">IF($Q193=1,SUM($Q$4:$Q193),"")</f>
        <v/>
      </c>
    </row>
    <row r="194" spans="1:18" ht="33.75" hidden="1" customHeight="1" x14ac:dyDescent="0.3">
      <c r="A194" s="2" t="s">
        <v>576</v>
      </c>
      <c r="B194" s="2" t="s">
        <v>171</v>
      </c>
      <c r="C194" s="3" t="s">
        <v>588</v>
      </c>
      <c r="D194" s="3" t="s">
        <v>14</v>
      </c>
      <c r="E194" s="2" t="s">
        <v>553</v>
      </c>
      <c r="F194" s="2" t="s">
        <v>79</v>
      </c>
      <c r="G194" s="5">
        <v>45907</v>
      </c>
      <c r="H194" s="5">
        <v>45907</v>
      </c>
      <c r="I194" s="4" t="s">
        <v>31</v>
      </c>
      <c r="J194" s="6">
        <f t="shared" si="9"/>
        <v>0</v>
      </c>
      <c r="K194" s="4" t="str">
        <f t="shared" ca="1" si="10"/>
        <v>-</v>
      </c>
      <c r="L194" s="7">
        <f t="shared" ca="1" si="12"/>
        <v>0</v>
      </c>
      <c r="M194" s="4" t="str">
        <f>IF($I194="Complete","Green",IF($H194="","Amber",IF($H194&lt;'[2]Read Me'!$B$4,"Red",IF($H194-'[2]Read Me'!$B$4&lt;=21,"Amber","Green"))))</f>
        <v>Red</v>
      </c>
      <c r="N194" s="3"/>
      <c r="O194" t="str">
        <f>IF($I194&lt;&gt;"Complete",IF(COUNTIFS($A$4:$A193,$A194,$B$4:$B193,$B194,$I$4:$I193,"&lt;&gt;Complete")=0,$A194&amp;"|"&amp;$B194,""),"")</f>
        <v/>
      </c>
      <c r="P194" t="str">
        <f ca="1">IF($K194="Yes",COUNTIFS($K$4:$K194,"Yes"),"")</f>
        <v/>
      </c>
      <c r="Q194">
        <f t="shared" ca="1" si="11"/>
        <v>0</v>
      </c>
      <c r="R194" t="str">
        <f ca="1">IF($Q194=1,SUM($Q$4:$Q194),"")</f>
        <v/>
      </c>
    </row>
    <row r="195" spans="1:18" ht="33.75" hidden="1" customHeight="1" x14ac:dyDescent="0.3">
      <c r="A195" s="2" t="s">
        <v>576</v>
      </c>
      <c r="B195" s="2" t="s">
        <v>171</v>
      </c>
      <c r="C195" s="3" t="s">
        <v>588</v>
      </c>
      <c r="D195" s="3" t="s">
        <v>34</v>
      </c>
      <c r="E195" s="2" t="s">
        <v>553</v>
      </c>
      <c r="F195" s="2"/>
      <c r="G195" s="5">
        <v>45921</v>
      </c>
      <c r="H195" s="5">
        <v>45921</v>
      </c>
      <c r="I195" s="4" t="s">
        <v>31</v>
      </c>
      <c r="J195" s="6">
        <f t="shared" si="9"/>
        <v>0</v>
      </c>
      <c r="K195" s="4" t="str">
        <f t="shared" ca="1" si="10"/>
        <v>-</v>
      </c>
      <c r="L195" s="7">
        <f t="shared" ca="1" si="12"/>
        <v>0</v>
      </c>
      <c r="M195" s="4" t="str">
        <f>IF($I195="Complete","Green",IF($H195="","Amber",IF($H195&lt;'[2]Read Me'!$B$4,"Red",IF($H195-'[2]Read Me'!$B$4&lt;=21,"Amber","Green"))))</f>
        <v>Red</v>
      </c>
      <c r="N195" s="3"/>
      <c r="O195" t="str">
        <f>IF($I195&lt;&gt;"Complete",IF(COUNTIFS($A$4:$A194,$A195,$B$4:$B194,$B195,$I$4:$I194,"&lt;&gt;Complete")=0,$A195&amp;"|"&amp;$B195,""),"")</f>
        <v/>
      </c>
      <c r="P195" t="str">
        <f ca="1">IF($K195="Yes",COUNTIFS($K$4:$K195,"Yes"),"")</f>
        <v/>
      </c>
      <c r="Q195">
        <f t="shared" ca="1" si="11"/>
        <v>0</v>
      </c>
      <c r="R195" t="str">
        <f ca="1">IF($Q195=1,SUM($Q$4:$Q195),"")</f>
        <v/>
      </c>
    </row>
    <row r="196" spans="1:18" ht="33.75" hidden="1" customHeight="1" x14ac:dyDescent="0.3">
      <c r="A196" s="2" t="s">
        <v>576</v>
      </c>
      <c r="B196" s="2" t="s">
        <v>171</v>
      </c>
      <c r="C196" s="3" t="s">
        <v>588</v>
      </c>
      <c r="D196" s="3" t="s">
        <v>15</v>
      </c>
      <c r="E196" s="2" t="s">
        <v>553</v>
      </c>
      <c r="F196" s="2" t="s">
        <v>79</v>
      </c>
      <c r="G196" s="5">
        <v>45970</v>
      </c>
      <c r="H196" s="5">
        <v>45999</v>
      </c>
      <c r="I196" s="4" t="s">
        <v>31</v>
      </c>
      <c r="J196" s="6">
        <f t="shared" ref="J196:J259" si="13">IF(OR($G196="",$H196=""),"",$H196-$G196)</f>
        <v>29</v>
      </c>
      <c r="K196" s="4" t="str">
        <f t="shared" ref="K196:K243" ca="1" si="14">IF(C196="","",IF(H196="","",IF($I196="completed","-",IF($H196&gt;TODAY(),"No","Yes"))))</f>
        <v>-</v>
      </c>
      <c r="L196" s="7">
        <f t="shared" ca="1" si="12"/>
        <v>0</v>
      </c>
      <c r="M196" s="4" t="str">
        <f>IF($I196="Complete","Green",IF($H196="","Amber",IF($H196&lt;'[2]Read Me'!$B$4,"Red",IF($H196-'[2]Read Me'!$B$4&lt;=21,"Amber","Green"))))</f>
        <v>Red</v>
      </c>
      <c r="N196" s="3"/>
      <c r="O196" t="str">
        <f>IF($I196&lt;&gt;"Complete",IF(COUNTIFS($A$4:$A195,$A196,$B$4:$B195,$B196,$I$4:$I195,"&lt;&gt;Complete")=0,$A196&amp;"|"&amp;$B196,""),"")</f>
        <v/>
      </c>
      <c r="P196" t="str">
        <f ca="1">IF($K196="Yes",COUNTIFS($K$4:$K196,"Yes"),"")</f>
        <v/>
      </c>
      <c r="Q196">
        <f t="shared" ref="Q196:Q259" ca="1" si="15">IF(OR($I196="In Progress",$K196="Yes"),1,0)</f>
        <v>0</v>
      </c>
      <c r="R196" t="str">
        <f ca="1">IF($Q196=1,SUM($Q$4:$Q196),"")</f>
        <v/>
      </c>
    </row>
    <row r="197" spans="1:18" ht="22.5" hidden="1" customHeight="1" x14ac:dyDescent="0.3">
      <c r="A197" s="2" t="s">
        <v>576</v>
      </c>
      <c r="B197" s="2" t="s">
        <v>171</v>
      </c>
      <c r="C197" s="3" t="s">
        <v>588</v>
      </c>
      <c r="D197" s="3" t="s">
        <v>35</v>
      </c>
      <c r="E197" s="2" t="s">
        <v>553</v>
      </c>
      <c r="F197" s="2"/>
      <c r="G197" s="5">
        <v>45984</v>
      </c>
      <c r="H197" s="5">
        <v>46078</v>
      </c>
      <c r="I197" s="4" t="s">
        <v>31</v>
      </c>
      <c r="J197" s="6">
        <f t="shared" si="13"/>
        <v>94</v>
      </c>
      <c r="K197" s="4" t="str">
        <f t="shared" ca="1" si="14"/>
        <v>-</v>
      </c>
      <c r="L197" s="7">
        <f t="shared" ca="1" si="12"/>
        <v>0</v>
      </c>
      <c r="M197" s="4" t="str">
        <f>IF($I197="Complete","Green",IF($H197="","Amber",IF($H197&lt;'[2]Read Me'!$B$4,"Red",IF($H197-'[2]Read Me'!$B$4&lt;=21,"Amber","Green"))))</f>
        <v>Red</v>
      </c>
      <c r="N197" s="3"/>
      <c r="O197" t="str">
        <f>IF($I197&lt;&gt;"Complete",IF(COUNTIFS($A$4:$A196,$A197,$B$4:$B196,$B197,$I$4:$I196,"&lt;&gt;Complete")=0,$A197&amp;"|"&amp;$B197,""),"")</f>
        <v/>
      </c>
      <c r="P197" t="str">
        <f ca="1">IF($K197="Yes",COUNTIFS($K$4:$K197,"Yes"),"")</f>
        <v/>
      </c>
      <c r="Q197">
        <f t="shared" ca="1" si="15"/>
        <v>0</v>
      </c>
      <c r="R197" t="str">
        <f ca="1">IF($Q197=1,SUM($Q$4:$Q197),"")</f>
        <v/>
      </c>
    </row>
    <row r="198" spans="1:18" ht="22.5" hidden="1" customHeight="1" x14ac:dyDescent="0.3">
      <c r="A198" s="2" t="s">
        <v>576</v>
      </c>
      <c r="B198" s="2" t="s">
        <v>171</v>
      </c>
      <c r="C198" s="3" t="s">
        <v>588</v>
      </c>
      <c r="D198" s="3" t="s">
        <v>16</v>
      </c>
      <c r="E198" s="2" t="s">
        <v>553</v>
      </c>
      <c r="F198" s="2" t="s">
        <v>79</v>
      </c>
      <c r="G198" s="5">
        <v>46076</v>
      </c>
      <c r="H198" s="5">
        <v>46114</v>
      </c>
      <c r="I198" s="4" t="s">
        <v>31</v>
      </c>
      <c r="J198" s="6">
        <f t="shared" si="13"/>
        <v>38</v>
      </c>
      <c r="K198" s="4" t="str">
        <f t="shared" ca="1" si="14"/>
        <v>-</v>
      </c>
      <c r="L198" s="7">
        <f t="shared" ca="1" si="12"/>
        <v>0</v>
      </c>
      <c r="M198" s="4" t="str">
        <f>IF($I198="Complete","Green",IF($H198="","Amber",IF($H198&lt;'[2]Read Me'!$B$4,"Red",IF($H198-'[2]Read Me'!$B$4&lt;=21,"Amber","Green"))))</f>
        <v>Red</v>
      </c>
      <c r="N198" s="3"/>
      <c r="O198" t="str">
        <f>IF($I198&lt;&gt;"Complete",IF(COUNTIFS($A$4:$A197,$A198,$B$4:$B197,$B198,$I$4:$I197,"&lt;&gt;Complete")=0,$A198&amp;"|"&amp;$B198,""),"")</f>
        <v/>
      </c>
      <c r="P198" t="str">
        <f ca="1">IF($K198="Yes",COUNTIFS($K$4:$K198,"Yes"),"")</f>
        <v/>
      </c>
      <c r="Q198">
        <f t="shared" ca="1" si="15"/>
        <v>0</v>
      </c>
      <c r="R198" t="str">
        <f ca="1">IF($Q198=1,SUM($Q$4:$Q198),"")</f>
        <v/>
      </c>
    </row>
    <row r="199" spans="1:18" ht="22.5" hidden="1" customHeight="1" x14ac:dyDescent="0.3">
      <c r="A199" s="2" t="s">
        <v>576</v>
      </c>
      <c r="B199" s="2" t="s">
        <v>171</v>
      </c>
      <c r="C199" s="3" t="s">
        <v>588</v>
      </c>
      <c r="D199" s="3" t="s">
        <v>37</v>
      </c>
      <c r="E199" s="2" t="s">
        <v>553</v>
      </c>
      <c r="F199" s="2"/>
      <c r="G199" s="5">
        <v>46090</v>
      </c>
      <c r="H199" s="5">
        <v>46147</v>
      </c>
      <c r="I199" s="4" t="s">
        <v>31</v>
      </c>
      <c r="J199" s="6">
        <f t="shared" si="13"/>
        <v>57</v>
      </c>
      <c r="K199" s="4" t="str">
        <f t="shared" ca="1" si="14"/>
        <v>-</v>
      </c>
      <c r="L199" s="7">
        <f t="shared" ca="1" si="12"/>
        <v>0</v>
      </c>
      <c r="M199" s="4" t="str">
        <f>IF($I199="Complete","Green",IF($H199="","Amber",IF($H199&lt;'[2]Read Me'!$B$4,"Red",IF($H199-'[2]Read Me'!$B$4&lt;=21,"Amber","Green"))))</f>
        <v>Red</v>
      </c>
      <c r="N199" s="3"/>
      <c r="O199" t="str">
        <f>IF($I199&lt;&gt;"Complete",IF(COUNTIFS($A$4:$A198,$A199,$B$4:$B198,$B199,$I$4:$I198,"&lt;&gt;Complete")=0,$A199&amp;"|"&amp;$B199,""),"")</f>
        <v/>
      </c>
      <c r="P199" t="str">
        <f ca="1">IF($K199="Yes",COUNTIFS($K$4:$K199,"Yes"),"")</f>
        <v/>
      </c>
      <c r="Q199">
        <f t="shared" ca="1" si="15"/>
        <v>0</v>
      </c>
      <c r="R199" t="str">
        <f ca="1">IF($Q199=1,SUM($Q$4:$Q199),"")</f>
        <v/>
      </c>
    </row>
    <row r="200" spans="1:18" ht="22.5" hidden="1" customHeight="1" x14ac:dyDescent="0.3">
      <c r="A200" s="2" t="s">
        <v>576</v>
      </c>
      <c r="B200" s="2" t="s">
        <v>171</v>
      </c>
      <c r="C200" s="3" t="s">
        <v>588</v>
      </c>
      <c r="D200" s="3" t="s">
        <v>589</v>
      </c>
      <c r="E200" s="2" t="s">
        <v>566</v>
      </c>
      <c r="F200" s="2"/>
      <c r="G200" s="5">
        <v>46055</v>
      </c>
      <c r="H200" s="5">
        <v>46209</v>
      </c>
      <c r="I200" s="4" t="s">
        <v>46</v>
      </c>
      <c r="J200" s="6">
        <f t="shared" si="13"/>
        <v>154</v>
      </c>
      <c r="K200" s="4" t="str">
        <f t="shared" ca="1" si="14"/>
        <v>No</v>
      </c>
      <c r="L200" s="7">
        <f t="shared" ca="1" si="12"/>
        <v>1</v>
      </c>
      <c r="M200" s="4" t="str">
        <f>IF($I200="Complete","Green",IF($H200="","Amber",IF($H200&lt;'[2]Read Me'!$B$4,"Red",IF($H200-'[2]Read Me'!$B$4&lt;=21,"Amber","Green"))))</f>
        <v>Green</v>
      </c>
      <c r="N200" s="3"/>
      <c r="O200" t="str">
        <f>IF($I200&lt;&gt;"Complete",IF(COUNTIFS($A$4:$A199,$A200,$B$4:$B199,$B200,$I$4:$I199,"&lt;&gt;Complete")=0,$A200&amp;"|"&amp;$B200,""),"")</f>
        <v/>
      </c>
      <c r="P200" t="str">
        <f ca="1">IF($K200="Yes",COUNTIFS($K$4:$K200,"Yes"),"")</f>
        <v/>
      </c>
      <c r="Q200">
        <f t="shared" ca="1" si="15"/>
        <v>0</v>
      </c>
      <c r="R200" t="str">
        <f ca="1">IF($Q200=1,SUM($Q$4:$Q200),"")</f>
        <v/>
      </c>
    </row>
    <row r="201" spans="1:18" ht="22.5" customHeight="1" x14ac:dyDescent="0.3">
      <c r="A201" s="2" t="s">
        <v>576</v>
      </c>
      <c r="B201" s="2" t="s">
        <v>21</v>
      </c>
      <c r="C201" s="3"/>
      <c r="D201" s="3"/>
      <c r="E201" s="2"/>
      <c r="F201" s="2"/>
      <c r="G201" s="5">
        <v>46652</v>
      </c>
      <c r="H201" s="5">
        <v>46420</v>
      </c>
      <c r="I201" s="4"/>
      <c r="J201" s="6">
        <f t="shared" si="13"/>
        <v>-232</v>
      </c>
      <c r="K201" s="4" t="str">
        <f t="shared" ca="1" si="14"/>
        <v/>
      </c>
      <c r="L201" s="7">
        <f t="shared" ref="L201:L264" ca="1" si="16">IF(I201="Completed",0,IF(H201="","",H201-TODAY()))</f>
        <v>212</v>
      </c>
      <c r="M201" s="4" t="str">
        <f>IF($I201="Complete","Green",IF($H201="","Amber",IF($H201&lt;'[2]Read Me'!$B$4,"Red",IF($H201-'[2]Read Me'!$B$4&lt;=21,"Amber","Green"))))</f>
        <v>Green</v>
      </c>
      <c r="N201" s="3"/>
      <c r="O201" t="str">
        <f>IF($I201&lt;&gt;"Complete",IF(COUNTIFS($A$4:$A200,$A201,$B$4:$B200,$B201,$I$4:$I200,"&lt;&gt;Complete")=0,$A201&amp;"|"&amp;$B201,""),"")</f>
        <v>Ph - 2A 2B|Landscape</v>
      </c>
      <c r="P201" t="str">
        <f ca="1">IF($K201="Yes",COUNTIFS($K$4:$K201,"Yes"),"")</f>
        <v/>
      </c>
      <c r="Q201">
        <f t="shared" ca="1" si="15"/>
        <v>0</v>
      </c>
      <c r="R201" t="str">
        <f ca="1">IF($Q201=1,SUM($Q$4:$Q201),"")</f>
        <v/>
      </c>
    </row>
    <row r="202" spans="1:18" ht="22.5" customHeight="1" x14ac:dyDescent="0.3">
      <c r="A202" s="2" t="s">
        <v>576</v>
      </c>
      <c r="B202" s="2" t="s">
        <v>21</v>
      </c>
      <c r="C202" s="3" t="s">
        <v>590</v>
      </c>
      <c r="D202" s="3" t="s">
        <v>126</v>
      </c>
      <c r="E202" s="2" t="s">
        <v>215</v>
      </c>
      <c r="F202" s="2" t="s">
        <v>79</v>
      </c>
      <c r="G202" s="5">
        <v>46309</v>
      </c>
      <c r="H202" s="5">
        <v>46329</v>
      </c>
      <c r="I202" s="4" t="s">
        <v>17</v>
      </c>
      <c r="J202" s="6">
        <f t="shared" si="13"/>
        <v>20</v>
      </c>
      <c r="K202" s="4" t="str">
        <f t="shared" ca="1" si="14"/>
        <v>No</v>
      </c>
      <c r="L202" s="7">
        <f t="shared" ca="1" si="16"/>
        <v>121</v>
      </c>
      <c r="M202" s="4" t="str">
        <f>IF($I202="Complete","Green",IF($H202="","Amber",IF($H202&lt;'[2]Read Me'!$B$4,"Red",IF($H202-'[2]Read Me'!$B$4&lt;=21,"Amber","Green"))))</f>
        <v>Green</v>
      </c>
      <c r="N202" s="3"/>
      <c r="O202" t="str">
        <f>IF($I202&lt;&gt;"Complete",IF(COUNTIFS($A$4:$A201,$A202,$B$4:$B201,$B202,$I$4:$I201,"&lt;&gt;Complete")=0,$A202&amp;"|"&amp;$B202,""),"")</f>
        <v/>
      </c>
      <c r="P202" t="str">
        <f ca="1">IF($K202="Yes",COUNTIFS($K$4:$K202,"Yes"),"")</f>
        <v/>
      </c>
      <c r="Q202">
        <f t="shared" ca="1" si="15"/>
        <v>0</v>
      </c>
      <c r="R202" t="str">
        <f ca="1">IF($Q202=1,SUM($Q$4:$Q202),"")</f>
        <v/>
      </c>
    </row>
    <row r="203" spans="1:18" ht="22.5" customHeight="1" x14ac:dyDescent="0.3">
      <c r="A203" s="2" t="s">
        <v>576</v>
      </c>
      <c r="B203" s="2" t="s">
        <v>21</v>
      </c>
      <c r="C203" s="3" t="s">
        <v>590</v>
      </c>
      <c r="D203" s="3" t="s">
        <v>34</v>
      </c>
      <c r="E203" s="2" t="s">
        <v>215</v>
      </c>
      <c r="F203" s="2"/>
      <c r="G203" s="5">
        <v>46323</v>
      </c>
      <c r="H203" s="5">
        <v>46343</v>
      </c>
      <c r="I203" s="4" t="s">
        <v>17</v>
      </c>
      <c r="J203" s="6">
        <f t="shared" si="13"/>
        <v>20</v>
      </c>
      <c r="K203" s="4" t="str">
        <f t="shared" ca="1" si="14"/>
        <v>No</v>
      </c>
      <c r="L203" s="7">
        <f t="shared" ca="1" si="16"/>
        <v>135</v>
      </c>
      <c r="M203" s="4" t="str">
        <f>IF($I203="Complete","Green",IF($H203="","Amber",IF($H203&lt;'[2]Read Me'!$B$4,"Red",IF($H203-'[2]Read Me'!$B$4&lt;=21,"Amber","Green"))))</f>
        <v>Green</v>
      </c>
      <c r="N203" s="3"/>
      <c r="O203" t="str">
        <f>IF($I203&lt;&gt;"Complete",IF(COUNTIFS($A$4:$A202,$A203,$B$4:$B202,$B203,$I$4:$I202,"&lt;&gt;Complete")=0,$A203&amp;"|"&amp;$B203,""),"")</f>
        <v/>
      </c>
      <c r="P203" t="str">
        <f ca="1">IF($K203="Yes",COUNTIFS($K$4:$K203,"Yes"),"")</f>
        <v/>
      </c>
      <c r="Q203">
        <f t="shared" ca="1" si="15"/>
        <v>0</v>
      </c>
      <c r="R203" t="str">
        <f ca="1">IF($Q203=1,SUM($Q$4:$Q203),"")</f>
        <v/>
      </c>
    </row>
    <row r="204" spans="1:18" ht="33.75" customHeight="1" x14ac:dyDescent="0.3">
      <c r="A204" s="2" t="s">
        <v>576</v>
      </c>
      <c r="B204" s="2" t="s">
        <v>21</v>
      </c>
      <c r="C204" s="3" t="s">
        <v>590</v>
      </c>
      <c r="D204" s="3" t="s">
        <v>127</v>
      </c>
      <c r="E204" s="2" t="s">
        <v>215</v>
      </c>
      <c r="F204" s="2" t="s">
        <v>79</v>
      </c>
      <c r="G204" s="5">
        <v>46351</v>
      </c>
      <c r="H204" s="5">
        <v>46371</v>
      </c>
      <c r="I204" s="4" t="s">
        <v>17</v>
      </c>
      <c r="J204" s="6">
        <f t="shared" si="13"/>
        <v>20</v>
      </c>
      <c r="K204" s="4" t="str">
        <f t="shared" ca="1" si="14"/>
        <v>No</v>
      </c>
      <c r="L204" s="7">
        <f t="shared" ca="1" si="16"/>
        <v>163</v>
      </c>
      <c r="M204" s="4" t="str">
        <f>IF($I204="Complete","Green",IF($H204="","Amber",IF($H204&lt;'[2]Read Me'!$B$4,"Red",IF($H204-'[2]Read Me'!$B$4&lt;=21,"Amber","Green"))))</f>
        <v>Green</v>
      </c>
      <c r="N204" s="3"/>
      <c r="O204" t="str">
        <f>IF($I204&lt;&gt;"Complete",IF(COUNTIFS($A$4:$A203,$A204,$B$4:$B203,$B204,$I$4:$I203,"&lt;&gt;Complete")=0,$A204&amp;"|"&amp;$B204,""),"")</f>
        <v/>
      </c>
      <c r="P204" t="str">
        <f ca="1">IF($K204="Yes",COUNTIFS($K$4:$K204,"Yes"),"")</f>
        <v/>
      </c>
      <c r="Q204">
        <f t="shared" ca="1" si="15"/>
        <v>0</v>
      </c>
      <c r="R204" t="str">
        <f ca="1">IF($Q204=1,SUM($Q$4:$Q204),"")</f>
        <v/>
      </c>
    </row>
    <row r="205" spans="1:18" ht="33.75" customHeight="1" x14ac:dyDescent="0.3">
      <c r="A205" s="2" t="s">
        <v>576</v>
      </c>
      <c r="B205" s="2" t="s">
        <v>21</v>
      </c>
      <c r="C205" s="3" t="s">
        <v>590</v>
      </c>
      <c r="D205" s="3" t="s">
        <v>35</v>
      </c>
      <c r="E205" s="2" t="s">
        <v>215</v>
      </c>
      <c r="F205" s="2"/>
      <c r="G205" s="5">
        <v>46365</v>
      </c>
      <c r="H205" s="5">
        <v>46385</v>
      </c>
      <c r="I205" s="4" t="s">
        <v>17</v>
      </c>
      <c r="J205" s="6">
        <f t="shared" si="13"/>
        <v>20</v>
      </c>
      <c r="K205" s="4" t="str">
        <f t="shared" ca="1" si="14"/>
        <v>No</v>
      </c>
      <c r="L205" s="7">
        <f t="shared" ca="1" si="16"/>
        <v>177</v>
      </c>
      <c r="M205" s="4" t="str">
        <f>IF($I205="Complete","Green",IF($H205="","Amber",IF($H205&lt;'[2]Read Me'!$B$4,"Red",IF($H205-'[2]Read Me'!$B$4&lt;=21,"Amber","Green"))))</f>
        <v>Green</v>
      </c>
      <c r="N205" s="3"/>
      <c r="O205" t="str">
        <f>IF($I205&lt;&gt;"Complete",IF(COUNTIFS($A$4:$A204,$A205,$B$4:$B204,$B205,$I$4:$I204,"&lt;&gt;Complete")=0,$A205&amp;"|"&amp;$B205,""),"")</f>
        <v/>
      </c>
      <c r="P205" t="str">
        <f ca="1">IF($K205="Yes",COUNTIFS($K$4:$K205,"Yes"),"")</f>
        <v/>
      </c>
      <c r="Q205">
        <f t="shared" ca="1" si="15"/>
        <v>0</v>
      </c>
      <c r="R205" t="str">
        <f ca="1">IF($Q205=1,SUM($Q$4:$Q205),"")</f>
        <v/>
      </c>
    </row>
    <row r="206" spans="1:18" ht="33.75" customHeight="1" x14ac:dyDescent="0.3">
      <c r="A206" s="2" t="s">
        <v>576</v>
      </c>
      <c r="B206" s="2" t="s">
        <v>21</v>
      </c>
      <c r="C206" s="3" t="s">
        <v>590</v>
      </c>
      <c r="D206" s="3" t="s">
        <v>20</v>
      </c>
      <c r="E206" s="2" t="s">
        <v>184</v>
      </c>
      <c r="F206" s="2"/>
      <c r="G206" s="5">
        <v>46365</v>
      </c>
      <c r="H206" s="5">
        <v>46385</v>
      </c>
      <c r="I206" s="4" t="s">
        <v>17</v>
      </c>
      <c r="J206" s="6">
        <f t="shared" si="13"/>
        <v>20</v>
      </c>
      <c r="K206" s="4" t="str">
        <f t="shared" ca="1" si="14"/>
        <v>No</v>
      </c>
      <c r="L206" s="7">
        <f t="shared" ca="1" si="16"/>
        <v>177</v>
      </c>
      <c r="M206" s="4" t="str">
        <f>IF($I206="Complete","Green",IF($H206="","Amber",IF($H206&lt;'[2]Read Me'!$B$4,"Red",IF($H206-'[2]Read Me'!$B$4&lt;=21,"Amber","Green"))))</f>
        <v>Green</v>
      </c>
      <c r="N206" s="3"/>
      <c r="O206" t="str">
        <f>IF($I206&lt;&gt;"Complete",IF(COUNTIFS($A$4:$A205,$A206,$B$4:$B205,$B206,$I$4:$I205,"&lt;&gt;Complete")=0,$A206&amp;"|"&amp;$B206,""),"")</f>
        <v/>
      </c>
      <c r="P206" t="str">
        <f ca="1">IF($K206="Yes",COUNTIFS($K$4:$K206,"Yes"),"")</f>
        <v/>
      </c>
      <c r="Q206">
        <f t="shared" ca="1" si="15"/>
        <v>0</v>
      </c>
      <c r="R206" t="str">
        <f ca="1">IF($Q206=1,SUM($Q$4:$Q206),"")</f>
        <v/>
      </c>
    </row>
    <row r="207" spans="1:18" ht="33.75" customHeight="1" x14ac:dyDescent="0.3">
      <c r="A207" s="2" t="s">
        <v>576</v>
      </c>
      <c r="B207" s="2" t="s">
        <v>21</v>
      </c>
      <c r="C207" s="3" t="s">
        <v>590</v>
      </c>
      <c r="D207" s="3" t="s">
        <v>591</v>
      </c>
      <c r="E207" s="2" t="s">
        <v>215</v>
      </c>
      <c r="F207" s="2" t="s">
        <v>79</v>
      </c>
      <c r="G207" s="5">
        <v>46386</v>
      </c>
      <c r="H207" s="5">
        <v>46406</v>
      </c>
      <c r="I207" s="4" t="s">
        <v>17</v>
      </c>
      <c r="J207" s="6">
        <f t="shared" si="13"/>
        <v>20</v>
      </c>
      <c r="K207" s="4" t="str">
        <f t="shared" ca="1" si="14"/>
        <v>No</v>
      </c>
      <c r="L207" s="7">
        <f t="shared" ca="1" si="16"/>
        <v>198</v>
      </c>
      <c r="M207" s="4" t="str">
        <f>IF($I207="Complete","Green",IF($H207="","Amber",IF($H207&lt;'[2]Read Me'!$B$4,"Red",IF($H207-'[2]Read Me'!$B$4&lt;=21,"Amber","Green"))))</f>
        <v>Green</v>
      </c>
      <c r="N207" s="3"/>
      <c r="O207" t="str">
        <f>IF($I207&lt;&gt;"Complete",IF(COUNTIFS($A$4:$A206,$A207,$B$4:$B206,$B207,$I$4:$I206,"&lt;&gt;Complete")=0,$A207&amp;"|"&amp;$B207,""),"")</f>
        <v/>
      </c>
      <c r="P207" t="str">
        <f ca="1">IF($K207="Yes",COUNTIFS($K$4:$K207,"Yes"),"")</f>
        <v/>
      </c>
      <c r="Q207">
        <f t="shared" ca="1" si="15"/>
        <v>0</v>
      </c>
      <c r="R207" t="str">
        <f ca="1">IF($Q207=1,SUM($Q$4:$Q207),"")</f>
        <v/>
      </c>
    </row>
    <row r="208" spans="1:18" ht="33.75" customHeight="1" x14ac:dyDescent="0.3">
      <c r="A208" s="2" t="s">
        <v>576</v>
      </c>
      <c r="B208" s="2" t="s">
        <v>21</v>
      </c>
      <c r="C208" s="3" t="s">
        <v>590</v>
      </c>
      <c r="D208" s="3" t="s">
        <v>592</v>
      </c>
      <c r="E208" s="2" t="s">
        <v>215</v>
      </c>
      <c r="F208" s="2"/>
      <c r="G208" s="5">
        <v>46400</v>
      </c>
      <c r="H208" s="5">
        <v>46420</v>
      </c>
      <c r="I208" s="4" t="s">
        <v>17</v>
      </c>
      <c r="J208" s="6">
        <f t="shared" si="13"/>
        <v>20</v>
      </c>
      <c r="K208" s="4" t="str">
        <f t="shared" ca="1" si="14"/>
        <v>No</v>
      </c>
      <c r="L208" s="7">
        <f t="shared" ca="1" si="16"/>
        <v>212</v>
      </c>
      <c r="M208" s="4" t="str">
        <f>IF($I208="Complete","Green",IF($H208="","Amber",IF($H208&lt;'[2]Read Me'!$B$4,"Red",IF($H208-'[2]Read Me'!$B$4&lt;=21,"Amber","Green"))))</f>
        <v>Green</v>
      </c>
      <c r="N208" s="3"/>
      <c r="O208" t="str">
        <f>IF($I208&lt;&gt;"Complete",IF(COUNTIFS($A$4:$A207,$A208,$B$4:$B207,$B208,$I$4:$I207,"&lt;&gt;Complete")=0,$A208&amp;"|"&amp;$B208,""),"")</f>
        <v/>
      </c>
      <c r="P208" t="str">
        <f ca="1">IF($K208="Yes",COUNTIFS($K$4:$K208,"Yes"),"")</f>
        <v/>
      </c>
      <c r="Q208">
        <f t="shared" ca="1" si="15"/>
        <v>0</v>
      </c>
      <c r="R208" t="str">
        <f ca="1">IF($Q208=1,SUM($Q$4:$Q208),"")</f>
        <v/>
      </c>
    </row>
    <row r="209" spans="1:18" ht="33.75" customHeight="1" x14ac:dyDescent="0.3">
      <c r="A209" s="2" t="s">
        <v>576</v>
      </c>
      <c r="B209" s="2" t="s">
        <v>21</v>
      </c>
      <c r="C209" s="3" t="s">
        <v>590</v>
      </c>
      <c r="D209" s="3" t="s">
        <v>593</v>
      </c>
      <c r="E209" s="2" t="s">
        <v>215</v>
      </c>
      <c r="F209" s="2" t="s">
        <v>79</v>
      </c>
      <c r="G209" s="5">
        <v>46407</v>
      </c>
      <c r="H209" s="5">
        <v>46427</v>
      </c>
      <c r="I209" s="4" t="s">
        <v>17</v>
      </c>
      <c r="J209" s="6">
        <f t="shared" si="13"/>
        <v>20</v>
      </c>
      <c r="K209" s="4" t="str">
        <f t="shared" ca="1" si="14"/>
        <v>No</v>
      </c>
      <c r="L209" s="7">
        <f t="shared" ca="1" si="16"/>
        <v>219</v>
      </c>
      <c r="M209" s="4" t="str">
        <f>IF($I209="Complete","Green",IF($H209="","Amber",IF($H209&lt;'[2]Read Me'!$B$4,"Red",IF($H209-'[2]Read Me'!$B$4&lt;=21,"Amber","Green"))))</f>
        <v>Green</v>
      </c>
      <c r="N209" s="3"/>
      <c r="O209" t="str">
        <f>IF($I209&lt;&gt;"Complete",IF(COUNTIFS($A$4:$A208,$A209,$B$4:$B208,$B209,$I$4:$I208,"&lt;&gt;Complete")=0,$A209&amp;"|"&amp;$B209,""),"")</f>
        <v/>
      </c>
      <c r="P209" t="str">
        <f ca="1">IF($K209="Yes",COUNTIFS($K$4:$K209,"Yes"),"")</f>
        <v/>
      </c>
      <c r="Q209">
        <f t="shared" ca="1" si="15"/>
        <v>0</v>
      </c>
      <c r="R209" t="str">
        <f ca="1">IF($Q209=1,SUM($Q$4:$Q209),"")</f>
        <v/>
      </c>
    </row>
    <row r="210" spans="1:18" ht="33.75" customHeight="1" x14ac:dyDescent="0.3">
      <c r="A210" s="2" t="s">
        <v>576</v>
      </c>
      <c r="B210" s="2" t="s">
        <v>21</v>
      </c>
      <c r="C210" s="3" t="s">
        <v>590</v>
      </c>
      <c r="D210" s="3" t="s">
        <v>594</v>
      </c>
      <c r="E210" s="2" t="s">
        <v>215</v>
      </c>
      <c r="F210" s="2"/>
      <c r="G210" s="5">
        <v>46414</v>
      </c>
      <c r="H210" s="5">
        <v>46434</v>
      </c>
      <c r="I210" s="4" t="s">
        <v>17</v>
      </c>
      <c r="J210" s="6">
        <f t="shared" si="13"/>
        <v>20</v>
      </c>
      <c r="K210" s="4" t="str">
        <f t="shared" ca="1" si="14"/>
        <v>No</v>
      </c>
      <c r="L210" s="7">
        <f t="shared" ca="1" si="16"/>
        <v>226</v>
      </c>
      <c r="M210" s="4" t="str">
        <f>IF($I210="Complete","Green",IF($H210="","Amber",IF($H210&lt;'[2]Read Me'!$B$4,"Red",IF($H210-'[2]Read Me'!$B$4&lt;=21,"Amber","Green"))))</f>
        <v>Green</v>
      </c>
      <c r="N210" s="3"/>
      <c r="O210" t="str">
        <f>IF($I210&lt;&gt;"Complete",IF(COUNTIFS($A$4:$A209,$A210,$B$4:$B209,$B210,$I$4:$I209,"&lt;&gt;Complete")=0,$A210&amp;"|"&amp;$B210,""),"")</f>
        <v/>
      </c>
      <c r="P210" t="str">
        <f ca="1">IF($K210="Yes",COUNTIFS($K$4:$K210,"Yes"),"")</f>
        <v/>
      </c>
      <c r="Q210">
        <f t="shared" ca="1" si="15"/>
        <v>0</v>
      </c>
      <c r="R210" t="str">
        <f ca="1">IF($Q210=1,SUM($Q$4:$Q210),"")</f>
        <v/>
      </c>
    </row>
    <row r="211" spans="1:18" ht="22.5" hidden="1" customHeight="1" x14ac:dyDescent="0.3">
      <c r="A211" s="2" t="s">
        <v>595</v>
      </c>
      <c r="B211" s="2" t="s">
        <v>62</v>
      </c>
      <c r="C211" s="3"/>
      <c r="D211" s="3"/>
      <c r="E211" s="2"/>
      <c r="F211" s="2"/>
      <c r="G211" s="5">
        <v>46425</v>
      </c>
      <c r="H211" s="5">
        <v>46446</v>
      </c>
      <c r="I211" s="4"/>
      <c r="J211" s="6">
        <f t="shared" si="13"/>
        <v>21</v>
      </c>
      <c r="K211" s="4" t="str">
        <f t="shared" ca="1" si="14"/>
        <v/>
      </c>
      <c r="L211" s="7">
        <f t="shared" ca="1" si="16"/>
        <v>238</v>
      </c>
      <c r="M211" s="4" t="str">
        <f>IF($I211="Complete","Green",IF($H211="","Amber",IF($H211&lt;'[2]Read Me'!$B$4,"Red",IF($H211-'[2]Read Me'!$B$4&lt;=21,"Amber","Green"))))</f>
        <v>Green</v>
      </c>
      <c r="N211" s="3"/>
      <c r="O211" t="str">
        <f>IF($I211&lt;&gt;"Complete",IF(COUNTIFS($A$4:$A210,$A211,$B$4:$B210,$B211,$I$4:$I210,"&lt;&gt;Complete")=0,$A211&amp;"|"&amp;$B211,""),"")</f>
        <v>Ph - 1B|Buildings</v>
      </c>
      <c r="P211" t="str">
        <f ca="1">IF($K211="Yes",COUNTIFS($K$4:$K211,"Yes"),"")</f>
        <v/>
      </c>
      <c r="Q211">
        <f t="shared" ca="1" si="15"/>
        <v>0</v>
      </c>
      <c r="R211" t="str">
        <f ca="1">IF($Q211=1,SUM($Q$4:$Q211),"")</f>
        <v/>
      </c>
    </row>
    <row r="212" spans="1:18" ht="22.5" hidden="1" customHeight="1" x14ac:dyDescent="0.3">
      <c r="A212" s="2" t="s">
        <v>595</v>
      </c>
      <c r="B212" s="2" t="s">
        <v>62</v>
      </c>
      <c r="C212" s="3" t="s">
        <v>596</v>
      </c>
      <c r="D212" s="3" t="s">
        <v>97</v>
      </c>
      <c r="E212" s="2" t="s">
        <v>553</v>
      </c>
      <c r="F212" s="2" t="s">
        <v>451</v>
      </c>
      <c r="G212" s="5">
        <v>45904</v>
      </c>
      <c r="H212" s="5">
        <v>45904</v>
      </c>
      <c r="I212" s="4" t="s">
        <v>31</v>
      </c>
      <c r="J212" s="6">
        <f t="shared" si="13"/>
        <v>0</v>
      </c>
      <c r="K212" s="4" t="str">
        <f t="shared" ca="1" si="14"/>
        <v>-</v>
      </c>
      <c r="L212" s="7">
        <f t="shared" ca="1" si="16"/>
        <v>0</v>
      </c>
      <c r="M212" s="4" t="str">
        <f>IF($I212="Complete","Green",IF($H212="","Amber",IF($H212&lt;'[2]Read Me'!$B$4,"Red",IF($H212-'[2]Read Me'!$B$4&lt;=21,"Amber","Green"))))</f>
        <v>Red</v>
      </c>
      <c r="N212" s="3"/>
      <c r="O212" t="str">
        <f>IF($I212&lt;&gt;"Complete",IF(COUNTIFS($A$4:$A211,$A212,$B$4:$B211,$B212,$I$4:$I211,"&lt;&gt;Complete")=0,$A212&amp;"|"&amp;$B212,""),"")</f>
        <v/>
      </c>
      <c r="P212" t="str">
        <f ca="1">IF($K212="Yes",COUNTIFS($K$4:$K212,"Yes"),"")</f>
        <v/>
      </c>
      <c r="Q212">
        <f t="shared" ca="1" si="15"/>
        <v>0</v>
      </c>
      <c r="R212" t="str">
        <f ca="1">IF($Q212=1,SUM($Q$4:$Q212),"")</f>
        <v/>
      </c>
    </row>
    <row r="213" spans="1:18" ht="22.5" hidden="1" customHeight="1" x14ac:dyDescent="0.3">
      <c r="A213" s="2" t="s">
        <v>595</v>
      </c>
      <c r="B213" s="2" t="s">
        <v>62</v>
      </c>
      <c r="C213" s="3" t="s">
        <v>596</v>
      </c>
      <c r="D213" s="3" t="s">
        <v>98</v>
      </c>
      <c r="E213" s="2" t="s">
        <v>553</v>
      </c>
      <c r="F213" s="2" t="s">
        <v>451</v>
      </c>
      <c r="G213" s="5">
        <v>45932</v>
      </c>
      <c r="H213" s="5">
        <v>45932</v>
      </c>
      <c r="I213" s="4" t="s">
        <v>31</v>
      </c>
      <c r="J213" s="6">
        <f t="shared" si="13"/>
        <v>0</v>
      </c>
      <c r="K213" s="4" t="str">
        <f t="shared" ca="1" si="14"/>
        <v>-</v>
      </c>
      <c r="L213" s="7">
        <f t="shared" ca="1" si="16"/>
        <v>0</v>
      </c>
      <c r="M213" s="4" t="str">
        <f>IF($I213="Complete","Green",IF($H213="","Amber",IF($H213&lt;'[2]Read Me'!$B$4,"Red",IF($H213-'[2]Read Me'!$B$4&lt;=21,"Amber","Green"))))</f>
        <v>Red</v>
      </c>
      <c r="N213" s="3"/>
      <c r="O213" t="str">
        <f>IF($I213&lt;&gt;"Complete",IF(COUNTIFS($A$4:$A212,$A213,$B$4:$B212,$B213,$I$4:$I212,"&lt;&gt;Complete")=0,$A213&amp;"|"&amp;$B213,""),"")</f>
        <v/>
      </c>
      <c r="P213" t="str">
        <f ca="1">IF($K213="Yes",COUNTIFS($K$4:$K213,"Yes"),"")</f>
        <v/>
      </c>
      <c r="Q213">
        <f t="shared" ca="1" si="15"/>
        <v>0</v>
      </c>
      <c r="R213" t="str">
        <f ca="1">IF($Q213=1,SUM($Q$4:$Q213),"")</f>
        <v/>
      </c>
    </row>
    <row r="214" spans="1:18" ht="22.5" hidden="1" customHeight="1" x14ac:dyDescent="0.3">
      <c r="A214" s="2" t="s">
        <v>595</v>
      </c>
      <c r="B214" s="2" t="s">
        <v>62</v>
      </c>
      <c r="C214" s="3" t="s">
        <v>596</v>
      </c>
      <c r="D214" s="3" t="s">
        <v>47</v>
      </c>
      <c r="E214" s="2" t="s">
        <v>553</v>
      </c>
      <c r="F214" s="2"/>
      <c r="G214" s="5">
        <v>45946</v>
      </c>
      <c r="H214" s="5">
        <v>45946</v>
      </c>
      <c r="I214" s="4" t="s">
        <v>31</v>
      </c>
      <c r="J214" s="6">
        <f t="shared" si="13"/>
        <v>0</v>
      </c>
      <c r="K214" s="4" t="str">
        <f t="shared" ca="1" si="14"/>
        <v>-</v>
      </c>
      <c r="L214" s="7">
        <f t="shared" ca="1" si="16"/>
        <v>0</v>
      </c>
      <c r="M214" s="4" t="str">
        <f>IF($I214="Complete","Green",IF($H214="","Amber",IF($H214&lt;'[2]Read Me'!$B$4,"Red",IF($H214-'[2]Read Me'!$B$4&lt;=21,"Amber","Green"))))</f>
        <v>Red</v>
      </c>
      <c r="N214" s="3"/>
      <c r="O214" t="str">
        <f>IF($I214&lt;&gt;"Complete",IF(COUNTIFS($A$4:$A213,$A214,$B$4:$B213,$B214,$I$4:$I213,"&lt;&gt;Complete")=0,$A214&amp;"|"&amp;$B214,""),"")</f>
        <v/>
      </c>
      <c r="P214" t="str">
        <f ca="1">IF($K214="Yes",COUNTIFS($K$4:$K214,"Yes"),"")</f>
        <v/>
      </c>
      <c r="Q214">
        <f t="shared" ca="1" si="15"/>
        <v>0</v>
      </c>
      <c r="R214" t="str">
        <f ca="1">IF($Q214=1,SUM($Q$4:$Q214),"")</f>
        <v/>
      </c>
    </row>
    <row r="215" spans="1:18" ht="22.5" hidden="1" customHeight="1" x14ac:dyDescent="0.3">
      <c r="A215" s="2" t="s">
        <v>597</v>
      </c>
      <c r="B215" s="2" t="s">
        <v>62</v>
      </c>
      <c r="C215" s="3" t="s">
        <v>596</v>
      </c>
      <c r="D215" s="3" t="s">
        <v>598</v>
      </c>
      <c r="E215" s="2"/>
      <c r="F215" s="2"/>
      <c r="G215" s="5">
        <v>45974</v>
      </c>
      <c r="H215" s="5">
        <v>46119</v>
      </c>
      <c r="I215" s="4" t="s">
        <v>31</v>
      </c>
      <c r="J215" s="6">
        <f t="shared" si="13"/>
        <v>145</v>
      </c>
      <c r="K215" s="4" t="str">
        <f t="shared" ca="1" si="14"/>
        <v>-</v>
      </c>
      <c r="L215" s="7">
        <f t="shared" ca="1" si="16"/>
        <v>0</v>
      </c>
      <c r="M215" s="4" t="str">
        <f>IF($I215="Complete","Green",IF($H215="","Amber",IF($H215&lt;'[2]Read Me'!$B$4,"Red",IF($H215-'[2]Read Me'!$B$4&lt;=21,"Amber","Green"))))</f>
        <v>Red</v>
      </c>
      <c r="N215" s="3"/>
      <c r="O215" t="str">
        <f>IF($I215&lt;&gt;"Complete",IF(COUNTIFS($A$4:$A214,$A215,$B$4:$B214,$B215,$I$4:$I214,"&lt;&gt;Complete")=0,$A215&amp;"|"&amp;$B215,""),"")</f>
        <v>Ph - 1B 2C|Buildings</v>
      </c>
      <c r="P215" t="str">
        <f ca="1">IF($K215="Yes",COUNTIFS($K$4:$K215,"Yes"),"")</f>
        <v/>
      </c>
      <c r="Q215">
        <f t="shared" ca="1" si="15"/>
        <v>0</v>
      </c>
      <c r="R215" t="str">
        <f ca="1">IF($Q215=1,SUM($Q$4:$Q215),"")</f>
        <v/>
      </c>
    </row>
    <row r="216" spans="1:18" ht="22.5" hidden="1" customHeight="1" x14ac:dyDescent="0.3">
      <c r="A216" s="2" t="s">
        <v>597</v>
      </c>
      <c r="B216" s="2" t="s">
        <v>62</v>
      </c>
      <c r="C216" s="3" t="s">
        <v>596</v>
      </c>
      <c r="D216" s="3" t="s">
        <v>599</v>
      </c>
      <c r="E216" s="2" t="s">
        <v>553</v>
      </c>
      <c r="F216" s="2" t="s">
        <v>166</v>
      </c>
      <c r="G216" s="5">
        <v>45988</v>
      </c>
      <c r="H216" s="5">
        <v>46139</v>
      </c>
      <c r="I216" s="4" t="s">
        <v>31</v>
      </c>
      <c r="J216" s="6">
        <f t="shared" si="13"/>
        <v>151</v>
      </c>
      <c r="K216" s="4" t="str">
        <f t="shared" ca="1" si="14"/>
        <v>-</v>
      </c>
      <c r="L216" s="7">
        <f t="shared" ca="1" si="16"/>
        <v>0</v>
      </c>
      <c r="M216" s="4" t="str">
        <f>IF($I216="Complete","Green",IF($H216="","Amber",IF($H216&lt;'[2]Read Me'!$B$4,"Red",IF($H216-'[2]Read Me'!$B$4&lt;=21,"Amber","Green"))))</f>
        <v>Red</v>
      </c>
      <c r="N216" s="3"/>
      <c r="O216" t="str">
        <f>IF($I216&lt;&gt;"Complete",IF(COUNTIFS($A$4:$A215,$A216,$B$4:$B215,$B216,$I$4:$I215,"&lt;&gt;Complete")=0,$A216&amp;"|"&amp;$B216,""),"")</f>
        <v/>
      </c>
      <c r="P216" t="str">
        <f ca="1">IF($K216="Yes",COUNTIFS($K$4:$K216,"Yes"),"")</f>
        <v/>
      </c>
      <c r="Q216">
        <f t="shared" ca="1" si="15"/>
        <v>0</v>
      </c>
      <c r="R216" t="str">
        <f ca="1">IF($Q216=1,SUM($Q$4:$Q216),"")</f>
        <v/>
      </c>
    </row>
    <row r="217" spans="1:18" ht="22.5" hidden="1" customHeight="1" x14ac:dyDescent="0.3">
      <c r="A217" s="2" t="s">
        <v>597</v>
      </c>
      <c r="B217" s="2" t="s">
        <v>62</v>
      </c>
      <c r="C217" s="3" t="s">
        <v>596</v>
      </c>
      <c r="D217" s="3" t="s">
        <v>80</v>
      </c>
      <c r="E217" s="2" t="s">
        <v>553</v>
      </c>
      <c r="F217" s="2"/>
      <c r="G217" s="5">
        <v>45995</v>
      </c>
      <c r="H217" s="5">
        <v>46147</v>
      </c>
      <c r="I217" s="4" t="s">
        <v>31</v>
      </c>
      <c r="J217" s="6">
        <f t="shared" si="13"/>
        <v>152</v>
      </c>
      <c r="K217" s="4" t="str">
        <f t="shared" ca="1" si="14"/>
        <v>-</v>
      </c>
      <c r="L217" s="7">
        <f t="shared" ca="1" si="16"/>
        <v>0</v>
      </c>
      <c r="M217" s="4" t="str">
        <f>IF($I217="Complete","Green",IF($H217="","Amber",IF($H217&lt;'[2]Read Me'!$B$4,"Red",IF($H217-'[2]Read Me'!$B$4&lt;=21,"Amber","Green"))))</f>
        <v>Red</v>
      </c>
      <c r="N217" s="3"/>
      <c r="O217" t="str">
        <f>IF($I217&lt;&gt;"Complete",IF(COUNTIFS($A$4:$A216,$A217,$B$4:$B216,$B217,$I$4:$I216,"&lt;&gt;Complete")=0,$A217&amp;"|"&amp;$B217,""),"")</f>
        <v/>
      </c>
      <c r="P217" t="str">
        <f ca="1">IF($K217="Yes",COUNTIFS($K$4:$K217,"Yes"),"")</f>
        <v/>
      </c>
      <c r="Q217">
        <f t="shared" ca="1" si="15"/>
        <v>0</v>
      </c>
      <c r="R217" t="str">
        <f ca="1">IF($Q217=1,SUM($Q$4:$Q217),"")</f>
        <v/>
      </c>
    </row>
    <row r="218" spans="1:18" ht="22.5" hidden="1" customHeight="1" x14ac:dyDescent="0.3">
      <c r="A218" s="2" t="s">
        <v>597</v>
      </c>
      <c r="B218" s="2" t="s">
        <v>62</v>
      </c>
      <c r="C218" s="3" t="s">
        <v>596</v>
      </c>
      <c r="D218" s="3" t="s">
        <v>18</v>
      </c>
      <c r="E218" s="2" t="s">
        <v>553</v>
      </c>
      <c r="F218" s="2" t="s">
        <v>166</v>
      </c>
      <c r="G218" s="5">
        <v>46023</v>
      </c>
      <c r="H218" s="5">
        <v>46194</v>
      </c>
      <c r="I218" s="4" t="s">
        <v>31</v>
      </c>
      <c r="J218" s="6">
        <f t="shared" si="13"/>
        <v>171</v>
      </c>
      <c r="K218" s="4" t="str">
        <f t="shared" ca="1" si="14"/>
        <v>-</v>
      </c>
      <c r="L218" s="7">
        <f t="shared" ca="1" si="16"/>
        <v>0</v>
      </c>
      <c r="M218" s="4" t="str">
        <f>IF($I218="Complete","Green",IF($H218="","Amber",IF($H218&lt;'[2]Read Me'!$B$4,"Red",IF($H218-'[2]Read Me'!$B$4&lt;=21,"Amber","Green"))))</f>
        <v>Amber</v>
      </c>
      <c r="N218" s="3"/>
      <c r="O218" t="str">
        <f>IF($I218&lt;&gt;"Complete",IF(COUNTIFS($A$4:$A217,$A218,$B$4:$B217,$B218,$I$4:$I217,"&lt;&gt;Complete")=0,$A218&amp;"|"&amp;$B218,""),"")</f>
        <v/>
      </c>
      <c r="P218" t="str">
        <f ca="1">IF($K218="Yes",COUNTIFS($K$4:$K218,"Yes"),"")</f>
        <v/>
      </c>
      <c r="Q218">
        <f t="shared" ca="1" si="15"/>
        <v>0</v>
      </c>
      <c r="R218" t="str">
        <f ca="1">IF($Q218=1,SUM($Q$4:$Q218),"")</f>
        <v/>
      </c>
    </row>
    <row r="219" spans="1:18" ht="22.5" hidden="1" customHeight="1" x14ac:dyDescent="0.3">
      <c r="A219" s="2" t="s">
        <v>597</v>
      </c>
      <c r="B219" s="2" t="s">
        <v>62</v>
      </c>
      <c r="C219" s="3" t="s">
        <v>596</v>
      </c>
      <c r="D219" s="3" t="s">
        <v>32</v>
      </c>
      <c r="E219" s="2" t="s">
        <v>553</v>
      </c>
      <c r="F219" s="2"/>
      <c r="G219" s="5">
        <v>46037</v>
      </c>
      <c r="H219" s="5">
        <v>46208</v>
      </c>
      <c r="I219" s="4" t="s">
        <v>46</v>
      </c>
      <c r="J219" s="6">
        <f t="shared" si="13"/>
        <v>171</v>
      </c>
      <c r="K219" s="4" t="str">
        <f t="shared" ca="1" si="14"/>
        <v>Yes</v>
      </c>
      <c r="L219" s="7">
        <f t="shared" ca="1" si="16"/>
        <v>0</v>
      </c>
      <c r="M219" s="4" t="str">
        <f>IF($I219="Complete","Green",IF($H219="","Amber",IF($H219&lt;'[2]Read Me'!$B$4,"Red",IF($H219-'[2]Read Me'!$B$4&lt;=21,"Amber","Green"))))</f>
        <v>Amber</v>
      </c>
      <c r="N219" s="3"/>
      <c r="O219" t="str">
        <f>IF($I219&lt;&gt;"Complete",IF(COUNTIFS($A$4:$A218,$A219,$B$4:$B218,$B219,$I$4:$I218,"&lt;&gt;Complete")=0,$A219&amp;"|"&amp;$B219,""),"")</f>
        <v/>
      </c>
      <c r="P219">
        <f ca="1">IF($K219="Yes",COUNTIFS($K$4:$K219,"Yes"),"")</f>
        <v>12</v>
      </c>
      <c r="Q219">
        <f t="shared" ca="1" si="15"/>
        <v>1</v>
      </c>
      <c r="R219">
        <f ca="1">IF($Q219=1,SUM($Q$4:$Q219),"")</f>
        <v>12</v>
      </c>
    </row>
    <row r="220" spans="1:18" ht="22.5" hidden="1" customHeight="1" x14ac:dyDescent="0.3">
      <c r="A220" s="2" t="s">
        <v>597</v>
      </c>
      <c r="B220" s="2" t="s">
        <v>62</v>
      </c>
      <c r="C220" s="3" t="s">
        <v>596</v>
      </c>
      <c r="D220" s="3" t="s">
        <v>19</v>
      </c>
      <c r="E220" s="2" t="s">
        <v>184</v>
      </c>
      <c r="F220" s="2" t="s">
        <v>81</v>
      </c>
      <c r="G220" s="5">
        <v>46037</v>
      </c>
      <c r="H220" s="5">
        <v>46208</v>
      </c>
      <c r="I220" s="4" t="s">
        <v>17</v>
      </c>
      <c r="J220" s="6">
        <f t="shared" si="13"/>
        <v>171</v>
      </c>
      <c r="K220" s="4" t="str">
        <f t="shared" ca="1" si="14"/>
        <v>Yes</v>
      </c>
      <c r="L220" s="7">
        <f t="shared" ca="1" si="16"/>
        <v>0</v>
      </c>
      <c r="M220" s="4" t="str">
        <f>IF($I220="Complete","Green",IF($H220="","Amber",IF($H220&lt;'[2]Read Me'!$B$4,"Red",IF($H220-'[2]Read Me'!$B$4&lt;=21,"Amber","Green"))))</f>
        <v>Amber</v>
      </c>
      <c r="N220" s="3"/>
      <c r="O220" t="str">
        <f>IF($I220&lt;&gt;"Complete",IF(COUNTIFS($A$4:$A219,$A220,$B$4:$B219,$B220,$I$4:$I219,"&lt;&gt;Complete")=0,$A220&amp;"|"&amp;$B220,""),"")</f>
        <v/>
      </c>
      <c r="P220">
        <f ca="1">IF($K220="Yes",COUNTIFS($K$4:$K220,"Yes"),"")</f>
        <v>13</v>
      </c>
      <c r="Q220">
        <f t="shared" ca="1" si="15"/>
        <v>1</v>
      </c>
      <c r="R220">
        <f ca="1">IF($Q220=1,SUM($Q$4:$Q220),"")</f>
        <v>13</v>
      </c>
    </row>
    <row r="221" spans="1:18" ht="22.5" hidden="1" customHeight="1" x14ac:dyDescent="0.3">
      <c r="A221" s="2" t="s">
        <v>597</v>
      </c>
      <c r="B221" s="2" t="s">
        <v>62</v>
      </c>
      <c r="C221" s="3" t="s">
        <v>596</v>
      </c>
      <c r="D221" s="3" t="s">
        <v>14</v>
      </c>
      <c r="E221" s="2" t="s">
        <v>553</v>
      </c>
      <c r="F221" s="2" t="s">
        <v>166</v>
      </c>
      <c r="G221" s="5">
        <v>46065</v>
      </c>
      <c r="H221" s="5">
        <v>46236</v>
      </c>
      <c r="I221" s="4" t="s">
        <v>17</v>
      </c>
      <c r="J221" s="6">
        <f t="shared" si="13"/>
        <v>171</v>
      </c>
      <c r="K221" s="4" t="str">
        <f t="shared" ca="1" si="14"/>
        <v>No</v>
      </c>
      <c r="L221" s="7">
        <f t="shared" ca="1" si="16"/>
        <v>28</v>
      </c>
      <c r="M221" s="4" t="str">
        <f>IF($I221="Complete","Green",IF($H221="","Amber",IF($H221&lt;'[2]Read Me'!$B$4,"Red",IF($H221-'[2]Read Me'!$B$4&lt;=21,"Amber","Green"))))</f>
        <v>Green</v>
      </c>
      <c r="N221" s="3"/>
      <c r="O221" t="str">
        <f>IF($I221&lt;&gt;"Complete",IF(COUNTIFS($A$4:$A220,$A221,$B$4:$B220,$B221,$I$4:$I220,"&lt;&gt;Complete")=0,$A221&amp;"|"&amp;$B221,""),"")</f>
        <v/>
      </c>
      <c r="P221" t="str">
        <f ca="1">IF($K221="Yes",COUNTIFS($K$4:$K221,"Yes"),"")</f>
        <v/>
      </c>
      <c r="Q221">
        <f t="shared" ca="1" si="15"/>
        <v>0</v>
      </c>
      <c r="R221" t="str">
        <f ca="1">IF($Q221=1,SUM($Q$4:$Q221),"")</f>
        <v/>
      </c>
    </row>
    <row r="222" spans="1:18" ht="22.5" hidden="1" customHeight="1" x14ac:dyDescent="0.3">
      <c r="A222" s="2" t="s">
        <v>597</v>
      </c>
      <c r="B222" s="2" t="s">
        <v>62</v>
      </c>
      <c r="C222" s="3" t="s">
        <v>596</v>
      </c>
      <c r="D222" s="3" t="s">
        <v>34</v>
      </c>
      <c r="E222" s="2" t="s">
        <v>553</v>
      </c>
      <c r="F222" s="2"/>
      <c r="G222" s="5">
        <v>46079</v>
      </c>
      <c r="H222" s="5">
        <v>46250</v>
      </c>
      <c r="I222" s="4" t="s">
        <v>17</v>
      </c>
      <c r="J222" s="6">
        <f t="shared" si="13"/>
        <v>171</v>
      </c>
      <c r="K222" s="4" t="str">
        <f t="shared" ca="1" si="14"/>
        <v>No</v>
      </c>
      <c r="L222" s="7">
        <f t="shared" ca="1" si="16"/>
        <v>42</v>
      </c>
      <c r="M222" s="4" t="str">
        <f>IF($I222="Complete","Green",IF($H222="","Amber",IF($H222&lt;'[2]Read Me'!$B$4,"Red",IF($H222-'[2]Read Me'!$B$4&lt;=21,"Amber","Green"))))</f>
        <v>Green</v>
      </c>
      <c r="N222" s="3"/>
      <c r="O222" t="str">
        <f>IF($I222&lt;&gt;"Complete",IF(COUNTIFS($A$4:$A221,$A222,$B$4:$B221,$B222,$I$4:$I221,"&lt;&gt;Complete")=0,$A222&amp;"|"&amp;$B222,""),"")</f>
        <v/>
      </c>
      <c r="P222" t="str">
        <f ca="1">IF($K222="Yes",COUNTIFS($K$4:$K222,"Yes"),"")</f>
        <v/>
      </c>
      <c r="Q222">
        <f t="shared" ca="1" si="15"/>
        <v>0</v>
      </c>
      <c r="R222" t="str">
        <f ca="1">IF($Q222=1,SUM($Q$4:$Q222),"")</f>
        <v/>
      </c>
    </row>
    <row r="223" spans="1:18" ht="22.5" hidden="1" customHeight="1" x14ac:dyDescent="0.3">
      <c r="A223" s="2" t="s">
        <v>597</v>
      </c>
      <c r="B223" s="2" t="s">
        <v>62</v>
      </c>
      <c r="C223" s="3" t="s">
        <v>596</v>
      </c>
      <c r="D223" s="3" t="s">
        <v>15</v>
      </c>
      <c r="E223" s="2" t="s">
        <v>553</v>
      </c>
      <c r="F223" s="2" t="s">
        <v>166</v>
      </c>
      <c r="G223" s="5">
        <v>46100</v>
      </c>
      <c r="H223" s="5">
        <v>46271</v>
      </c>
      <c r="I223" s="4" t="s">
        <v>17</v>
      </c>
      <c r="J223" s="6">
        <f t="shared" si="13"/>
        <v>171</v>
      </c>
      <c r="K223" s="4" t="str">
        <f t="shared" ca="1" si="14"/>
        <v>No</v>
      </c>
      <c r="L223" s="7">
        <f t="shared" ca="1" si="16"/>
        <v>63</v>
      </c>
      <c r="M223" s="4" t="str">
        <f>IF($I223="Complete","Green",IF($H223="","Amber",IF($H223&lt;'[2]Read Me'!$B$4,"Red",IF($H223-'[2]Read Me'!$B$4&lt;=21,"Amber","Green"))))</f>
        <v>Green</v>
      </c>
      <c r="N223" s="3"/>
      <c r="O223" t="str">
        <f>IF($I223&lt;&gt;"Complete",IF(COUNTIFS($A$4:$A222,$A223,$B$4:$B222,$B223,$I$4:$I222,"&lt;&gt;Complete")=0,$A223&amp;"|"&amp;$B223,""),"")</f>
        <v/>
      </c>
      <c r="P223" t="str">
        <f ca="1">IF($K223="Yes",COUNTIFS($K$4:$K223,"Yes"),"")</f>
        <v/>
      </c>
      <c r="Q223">
        <f t="shared" ca="1" si="15"/>
        <v>0</v>
      </c>
      <c r="R223" t="str">
        <f ca="1">IF($Q223=1,SUM($Q$4:$Q223),"")</f>
        <v/>
      </c>
    </row>
    <row r="224" spans="1:18" ht="22.5" hidden="1" customHeight="1" x14ac:dyDescent="0.3">
      <c r="A224" s="2" t="s">
        <v>597</v>
      </c>
      <c r="B224" s="2" t="s">
        <v>62</v>
      </c>
      <c r="C224" s="3" t="s">
        <v>596</v>
      </c>
      <c r="D224" s="3" t="s">
        <v>579</v>
      </c>
      <c r="E224" s="2"/>
      <c r="F224" s="2"/>
      <c r="G224" s="5"/>
      <c r="H224" s="5">
        <v>46285</v>
      </c>
      <c r="I224" s="4" t="s">
        <v>17</v>
      </c>
      <c r="J224" s="6" t="str">
        <f t="shared" si="13"/>
        <v/>
      </c>
      <c r="K224" s="4" t="str">
        <f t="shared" ca="1" si="14"/>
        <v>No</v>
      </c>
      <c r="L224" s="7">
        <f t="shared" ca="1" si="16"/>
        <v>77</v>
      </c>
      <c r="M224" s="4" t="str">
        <f>IF($I224="Complete","Green",IF($H224="","Amber",IF($H224&lt;'[2]Read Me'!$B$4,"Red",IF($H224-'[2]Read Me'!$B$4&lt;=21,"Amber","Green"))))</f>
        <v>Green</v>
      </c>
      <c r="N224" s="3"/>
      <c r="O224" t="str">
        <f>IF($I224&lt;&gt;"Complete",IF(COUNTIFS($A$4:$A223,$A224,$B$4:$B223,$B224,$I$4:$I223,"&lt;&gt;Complete")=0,$A224&amp;"|"&amp;$B224,""),"")</f>
        <v/>
      </c>
      <c r="P224" t="str">
        <f ca="1">IF($K224="Yes",COUNTIFS($K$4:$K224,"Yes"),"")</f>
        <v/>
      </c>
      <c r="Q224">
        <f t="shared" ca="1" si="15"/>
        <v>0</v>
      </c>
      <c r="R224" t="str">
        <f ca="1">IF($Q224=1,SUM($Q$4:$Q224),"")</f>
        <v/>
      </c>
    </row>
    <row r="225" spans="1:18" ht="22.5" hidden="1" customHeight="1" x14ac:dyDescent="0.3">
      <c r="A225" s="2" t="s">
        <v>597</v>
      </c>
      <c r="B225" s="2" t="s">
        <v>62</v>
      </c>
      <c r="C225" s="3" t="s">
        <v>596</v>
      </c>
      <c r="D225" s="3" t="s">
        <v>35</v>
      </c>
      <c r="E225" s="2" t="s">
        <v>553</v>
      </c>
      <c r="F225" s="2"/>
      <c r="G225" s="5">
        <v>46114</v>
      </c>
      <c r="H225" s="5">
        <v>46285</v>
      </c>
      <c r="I225" s="4" t="s">
        <v>17</v>
      </c>
      <c r="J225" s="6">
        <f t="shared" si="13"/>
        <v>171</v>
      </c>
      <c r="K225" s="4" t="str">
        <f t="shared" ca="1" si="14"/>
        <v>No</v>
      </c>
      <c r="L225" s="7">
        <f t="shared" ca="1" si="16"/>
        <v>77</v>
      </c>
      <c r="M225" s="4" t="str">
        <f>IF($I225="Complete","Green",IF($H225="","Amber",IF($H225&lt;'[2]Read Me'!$B$4,"Red",IF($H225-'[2]Read Me'!$B$4&lt;=21,"Amber","Green"))))</f>
        <v>Green</v>
      </c>
      <c r="N225" s="3"/>
      <c r="O225" t="str">
        <f>IF($I225&lt;&gt;"Complete",IF(COUNTIFS($A$4:$A224,$A225,$B$4:$B224,$B225,$I$4:$I224,"&lt;&gt;Complete")=0,$A225&amp;"|"&amp;$B225,""),"")</f>
        <v/>
      </c>
      <c r="P225" t="str">
        <f ca="1">IF($K225="Yes",COUNTIFS($K$4:$K225,"Yes"),"")</f>
        <v/>
      </c>
      <c r="Q225">
        <f t="shared" ca="1" si="15"/>
        <v>0</v>
      </c>
      <c r="R225" t="str">
        <f ca="1">IF($Q225=1,SUM($Q$4:$Q225),"")</f>
        <v/>
      </c>
    </row>
    <row r="226" spans="1:18" ht="22.5" hidden="1" customHeight="1" x14ac:dyDescent="0.3">
      <c r="A226" s="2" t="s">
        <v>597</v>
      </c>
      <c r="B226" s="2" t="s">
        <v>62</v>
      </c>
      <c r="C226" s="3" t="s">
        <v>596</v>
      </c>
      <c r="D226" s="3" t="s">
        <v>20</v>
      </c>
      <c r="E226" s="2" t="s">
        <v>184</v>
      </c>
      <c r="F226" s="2" t="s">
        <v>81</v>
      </c>
      <c r="G226" s="5">
        <v>46114</v>
      </c>
      <c r="H226" s="5">
        <v>46285</v>
      </c>
      <c r="I226" s="4" t="s">
        <v>17</v>
      </c>
      <c r="J226" s="6">
        <f t="shared" si="13"/>
        <v>171</v>
      </c>
      <c r="K226" s="4" t="str">
        <f t="shared" ca="1" si="14"/>
        <v>No</v>
      </c>
      <c r="L226" s="7">
        <f t="shared" ca="1" si="16"/>
        <v>77</v>
      </c>
      <c r="M226" s="4" t="str">
        <f>IF($I226="Complete","Green",IF($H226="","Amber",IF($H226&lt;'[2]Read Me'!$B$4,"Red",IF($H226-'[2]Read Me'!$B$4&lt;=21,"Amber","Green"))))</f>
        <v>Green</v>
      </c>
      <c r="N226" s="3"/>
      <c r="O226" t="str">
        <f>IF($I226&lt;&gt;"Complete",IF(COUNTIFS($A$4:$A225,$A226,$B$4:$B225,$B226,$I$4:$I225,"&lt;&gt;Complete")=0,$A226&amp;"|"&amp;$B226,""),"")</f>
        <v/>
      </c>
      <c r="P226" t="str">
        <f ca="1">IF($K226="Yes",COUNTIFS($K$4:$K226,"Yes"),"")</f>
        <v/>
      </c>
      <c r="Q226">
        <f t="shared" ca="1" si="15"/>
        <v>0</v>
      </c>
      <c r="R226" t="str">
        <f ca="1">IF($Q226=1,SUM($Q$4:$Q226),"")</f>
        <v/>
      </c>
    </row>
    <row r="227" spans="1:18" ht="22.5" hidden="1" customHeight="1" x14ac:dyDescent="0.3">
      <c r="A227" s="2" t="s">
        <v>597</v>
      </c>
      <c r="B227" s="2" t="s">
        <v>62</v>
      </c>
      <c r="C227" s="3" t="s">
        <v>596</v>
      </c>
      <c r="D227" s="3" t="s">
        <v>600</v>
      </c>
      <c r="E227" s="2" t="s">
        <v>553</v>
      </c>
      <c r="F227" s="2" t="s">
        <v>166</v>
      </c>
      <c r="G227" s="5">
        <v>46128</v>
      </c>
      <c r="H227" s="5">
        <v>46299</v>
      </c>
      <c r="I227" s="4" t="s">
        <v>17</v>
      </c>
      <c r="J227" s="6">
        <f t="shared" si="13"/>
        <v>171</v>
      </c>
      <c r="K227" s="4" t="str">
        <f t="shared" ca="1" si="14"/>
        <v>No</v>
      </c>
      <c r="L227" s="7">
        <f t="shared" ca="1" si="16"/>
        <v>91</v>
      </c>
      <c r="M227" s="4" t="str">
        <f>IF($I227="Complete","Green",IF($H227="","Amber",IF($H227&lt;'[2]Read Me'!$B$4,"Red",IF($H227-'[2]Read Me'!$B$4&lt;=21,"Amber","Green"))))</f>
        <v>Green</v>
      </c>
      <c r="N227" s="3"/>
      <c r="O227" t="str">
        <f>IF($I227&lt;&gt;"Complete",IF(COUNTIFS($A$4:$A226,$A227,$B$4:$B226,$B227,$I$4:$I226,"&lt;&gt;Complete")=0,$A227&amp;"|"&amp;$B227,""),"")</f>
        <v/>
      </c>
      <c r="P227" t="str">
        <f ca="1">IF($K227="Yes",COUNTIFS($K$4:$K227,"Yes"),"")</f>
        <v/>
      </c>
      <c r="Q227">
        <f t="shared" ca="1" si="15"/>
        <v>0</v>
      </c>
      <c r="R227" t="str">
        <f ca="1">IF($Q227=1,SUM($Q$4:$Q227),"")</f>
        <v/>
      </c>
    </row>
    <row r="228" spans="1:18" ht="22.5" hidden="1" customHeight="1" x14ac:dyDescent="0.3">
      <c r="A228" s="2" t="s">
        <v>597</v>
      </c>
      <c r="B228" s="2" t="s">
        <v>62</v>
      </c>
      <c r="C228" s="3" t="s">
        <v>596</v>
      </c>
      <c r="D228" s="3" t="s">
        <v>16</v>
      </c>
      <c r="E228" s="2" t="s">
        <v>553</v>
      </c>
      <c r="F228" s="2" t="s">
        <v>166</v>
      </c>
      <c r="G228" s="5">
        <v>46128</v>
      </c>
      <c r="H228" s="5">
        <v>46299</v>
      </c>
      <c r="I228" s="4" t="s">
        <v>17</v>
      </c>
      <c r="J228" s="6">
        <f t="shared" si="13"/>
        <v>171</v>
      </c>
      <c r="K228" s="4" t="str">
        <f t="shared" ca="1" si="14"/>
        <v>No</v>
      </c>
      <c r="L228" s="7">
        <f t="shared" ca="1" si="16"/>
        <v>91</v>
      </c>
      <c r="M228" s="4" t="str">
        <f>IF($I228="Complete","Green",IF($H228="","Amber",IF($H228&lt;'[2]Read Me'!$B$4,"Red",IF($H228-'[2]Read Me'!$B$4&lt;=21,"Amber","Green"))))</f>
        <v>Green</v>
      </c>
      <c r="N228" s="3"/>
      <c r="O228" t="str">
        <f>IF($I228&lt;&gt;"Complete",IF(COUNTIFS($A$4:$A227,$A228,$B$4:$B227,$B228,$I$4:$I227,"&lt;&gt;Complete")=0,$A228&amp;"|"&amp;$B228,""),"")</f>
        <v/>
      </c>
      <c r="P228" t="str">
        <f ca="1">IF($K228="Yes",COUNTIFS($K$4:$K228,"Yes"),"")</f>
        <v/>
      </c>
      <c r="Q228">
        <f t="shared" ca="1" si="15"/>
        <v>0</v>
      </c>
      <c r="R228" t="str">
        <f ca="1">IF($Q228=1,SUM($Q$4:$Q228),"")</f>
        <v/>
      </c>
    </row>
    <row r="229" spans="1:18" ht="22.5" hidden="1" customHeight="1" x14ac:dyDescent="0.3">
      <c r="A229" s="2" t="s">
        <v>597</v>
      </c>
      <c r="B229" s="2" t="s">
        <v>62</v>
      </c>
      <c r="C229" s="3" t="s">
        <v>596</v>
      </c>
      <c r="D229" s="3" t="s">
        <v>601</v>
      </c>
      <c r="E229" s="2"/>
      <c r="F229" s="2"/>
      <c r="G229" s="5"/>
      <c r="H229" s="5">
        <v>46313</v>
      </c>
      <c r="I229" s="4" t="s">
        <v>17</v>
      </c>
      <c r="J229" s="6" t="str">
        <f t="shared" si="13"/>
        <v/>
      </c>
      <c r="K229" s="4" t="str">
        <f t="shared" ca="1" si="14"/>
        <v>No</v>
      </c>
      <c r="L229" s="7">
        <f t="shared" ca="1" si="16"/>
        <v>105</v>
      </c>
      <c r="M229" s="4" t="str">
        <f>IF($I229="Complete","Green",IF($H229="","Amber",IF($H229&lt;'[2]Read Me'!$B$4,"Red",IF($H229-'[2]Read Me'!$B$4&lt;=21,"Amber","Green"))))</f>
        <v>Green</v>
      </c>
      <c r="N229" s="3"/>
      <c r="O229" t="str">
        <f>IF($I229&lt;&gt;"Complete",IF(COUNTIFS($A$4:$A228,$A229,$B$4:$B228,$B229,$I$4:$I228,"&lt;&gt;Complete")=0,$A229&amp;"|"&amp;$B229,""),"")</f>
        <v/>
      </c>
      <c r="P229" t="str">
        <f ca="1">IF($K229="Yes",COUNTIFS($K$4:$K229,"Yes"),"")</f>
        <v/>
      </c>
      <c r="Q229">
        <f t="shared" ca="1" si="15"/>
        <v>0</v>
      </c>
      <c r="R229" t="str">
        <f ca="1">IF($Q229=1,SUM($Q$4:$Q229),"")</f>
        <v/>
      </c>
    </row>
    <row r="230" spans="1:18" ht="22.5" hidden="1" customHeight="1" x14ac:dyDescent="0.3">
      <c r="A230" s="2" t="s">
        <v>597</v>
      </c>
      <c r="B230" s="2" t="s">
        <v>62</v>
      </c>
      <c r="C230" s="3" t="s">
        <v>596</v>
      </c>
      <c r="D230" s="3" t="s">
        <v>37</v>
      </c>
      <c r="E230" s="2" t="s">
        <v>553</v>
      </c>
      <c r="F230" s="2"/>
      <c r="G230" s="5">
        <v>46142</v>
      </c>
      <c r="H230" s="5">
        <v>46313</v>
      </c>
      <c r="I230" s="4" t="s">
        <v>17</v>
      </c>
      <c r="J230" s="6">
        <f t="shared" si="13"/>
        <v>171</v>
      </c>
      <c r="K230" s="4" t="str">
        <f t="shared" ca="1" si="14"/>
        <v>No</v>
      </c>
      <c r="L230" s="7">
        <f t="shared" ca="1" si="16"/>
        <v>105</v>
      </c>
      <c r="M230" s="4" t="str">
        <f>IF($I230="Complete","Green",IF($H230="","Amber",IF($H230&lt;'[2]Read Me'!$B$4,"Red",IF($H230-'[2]Read Me'!$B$4&lt;=21,"Amber","Green"))))</f>
        <v>Green</v>
      </c>
      <c r="N230" s="3"/>
      <c r="O230" t="str">
        <f>IF($I230&lt;&gt;"Complete",IF(COUNTIFS($A$4:$A229,$A230,$B$4:$B229,$B230,$I$4:$I229,"&lt;&gt;Complete")=0,$A230&amp;"|"&amp;$B230,""),"")</f>
        <v/>
      </c>
      <c r="P230" t="str">
        <f ca="1">IF($K230="Yes",COUNTIFS($K$4:$K230,"Yes"),"")</f>
        <v/>
      </c>
      <c r="Q230">
        <f t="shared" ca="1" si="15"/>
        <v>0</v>
      </c>
      <c r="R230" t="str">
        <f ca="1">IF($Q230=1,SUM($Q$4:$Q230),"")</f>
        <v/>
      </c>
    </row>
    <row r="231" spans="1:18" ht="22.5" hidden="1" customHeight="1" x14ac:dyDescent="0.3">
      <c r="A231" s="2" t="s">
        <v>597</v>
      </c>
      <c r="B231" s="2" t="s">
        <v>62</v>
      </c>
      <c r="C231" s="3" t="s">
        <v>596</v>
      </c>
      <c r="D231" s="3" t="s">
        <v>211</v>
      </c>
      <c r="E231" s="2"/>
      <c r="F231" s="2"/>
      <c r="G231" s="5">
        <v>46254</v>
      </c>
      <c r="H231" s="5">
        <v>46425</v>
      </c>
      <c r="I231" s="4" t="s">
        <v>17</v>
      </c>
      <c r="J231" s="6">
        <f t="shared" si="13"/>
        <v>171</v>
      </c>
      <c r="K231" s="4" t="str">
        <f t="shared" ca="1" si="14"/>
        <v>No</v>
      </c>
      <c r="L231" s="7">
        <f t="shared" ca="1" si="16"/>
        <v>217</v>
      </c>
      <c r="M231" s="4" t="str">
        <f>IF($I231="Complete","Green",IF($H231="","Amber",IF($H231&lt;'[2]Read Me'!$B$4,"Red",IF($H231-'[2]Read Me'!$B$4&lt;=21,"Amber","Green"))))</f>
        <v>Green</v>
      </c>
      <c r="N231" s="3"/>
      <c r="O231" t="str">
        <f>IF($I231&lt;&gt;"Complete",IF(COUNTIFS($A$4:$A230,$A231,$B$4:$B230,$B231,$I$4:$I230,"&lt;&gt;Complete")=0,$A231&amp;"|"&amp;$B231,""),"")</f>
        <v/>
      </c>
      <c r="P231" t="str">
        <f ca="1">IF($K231="Yes",COUNTIFS($K$4:$K231,"Yes"),"")</f>
        <v/>
      </c>
      <c r="Q231">
        <f t="shared" ca="1" si="15"/>
        <v>0</v>
      </c>
      <c r="R231" t="str">
        <f ca="1">IF($Q231=1,SUM($Q$4:$Q231),"")</f>
        <v/>
      </c>
    </row>
    <row r="232" spans="1:18" ht="22.5" hidden="1" customHeight="1" x14ac:dyDescent="0.3">
      <c r="A232" s="2" t="s">
        <v>597</v>
      </c>
      <c r="B232" s="2" t="s">
        <v>62</v>
      </c>
      <c r="C232" s="3" t="s">
        <v>596</v>
      </c>
      <c r="D232" s="3" t="s">
        <v>602</v>
      </c>
      <c r="E232" s="2"/>
      <c r="F232" s="2"/>
      <c r="G232" s="5">
        <v>46268</v>
      </c>
      <c r="H232" s="5">
        <v>46439</v>
      </c>
      <c r="I232" s="4" t="s">
        <v>17</v>
      </c>
      <c r="J232" s="6">
        <f t="shared" si="13"/>
        <v>171</v>
      </c>
      <c r="K232" s="4" t="str">
        <f t="shared" ca="1" si="14"/>
        <v>No</v>
      </c>
      <c r="L232" s="7">
        <f t="shared" ca="1" si="16"/>
        <v>231</v>
      </c>
      <c r="M232" s="4" t="str">
        <f>IF($I232="Complete","Green",IF($H232="","Amber",IF($H232&lt;'[2]Read Me'!$B$4,"Red",IF($H232-'[2]Read Me'!$B$4&lt;=21,"Amber","Green"))))</f>
        <v>Green</v>
      </c>
      <c r="N232" s="3"/>
      <c r="O232" t="str">
        <f>IF($I232&lt;&gt;"Complete",IF(COUNTIFS($A$4:$A231,$A232,$B$4:$B231,$B232,$I$4:$I231,"&lt;&gt;Complete")=0,$A232&amp;"|"&amp;$B232,""),"")</f>
        <v/>
      </c>
      <c r="P232" t="str">
        <f ca="1">IF($K232="Yes",COUNTIFS($K$4:$K232,"Yes"),"")</f>
        <v/>
      </c>
      <c r="Q232">
        <f t="shared" ca="1" si="15"/>
        <v>0</v>
      </c>
      <c r="R232" t="str">
        <f ca="1">IF($Q232=1,SUM($Q$4:$Q232),"")</f>
        <v/>
      </c>
    </row>
    <row r="233" spans="1:18" ht="22.5" hidden="1" customHeight="1" x14ac:dyDescent="0.3">
      <c r="A233" s="2" t="s">
        <v>603</v>
      </c>
      <c r="B233" s="2" t="s">
        <v>49</v>
      </c>
      <c r="C233" s="3"/>
      <c r="D233" s="3"/>
      <c r="E233" s="2"/>
      <c r="F233" s="2"/>
      <c r="G233" s="5">
        <v>46425</v>
      </c>
      <c r="H233" s="5">
        <v>46446</v>
      </c>
      <c r="I233" s="4"/>
      <c r="J233" s="6">
        <f t="shared" si="13"/>
        <v>21</v>
      </c>
      <c r="K233" s="4" t="str">
        <f t="shared" ca="1" si="14"/>
        <v/>
      </c>
      <c r="L233" s="7">
        <f t="shared" ca="1" si="16"/>
        <v>238</v>
      </c>
      <c r="M233" s="4" t="str">
        <f>IF($I233="Complete","Green",IF($H233="","Amber",IF($H233&lt;'[2]Read Me'!$B$4,"Red",IF($H233-'[2]Read Me'!$B$4&lt;=21,"Amber","Green"))))</f>
        <v>Green</v>
      </c>
      <c r="N233" s="3"/>
      <c r="O233" t="str">
        <f>IF($I233&lt;&gt;"Complete",IF(COUNTIFS($A$4:$A232,$A233,$B$4:$B232,$B233,$I$4:$I232,"&lt;&gt;Complete")=0,$A233&amp;"|"&amp;$B233,""),"")</f>
        <v>Ph - 1B 2C &amp; Towers|Authorities</v>
      </c>
      <c r="P233" t="str">
        <f ca="1">IF($K233="Yes",COUNTIFS($K$4:$K233,"Yes"),"")</f>
        <v/>
      </c>
      <c r="Q233">
        <f t="shared" ca="1" si="15"/>
        <v>0</v>
      </c>
      <c r="R233" t="str">
        <f ca="1">IF($Q233=1,SUM($Q$4:$Q233),"")</f>
        <v/>
      </c>
    </row>
    <row r="234" spans="1:18" ht="22.5" hidden="1" customHeight="1" x14ac:dyDescent="0.3">
      <c r="A234" s="2" t="s">
        <v>603</v>
      </c>
      <c r="B234" s="2" t="s">
        <v>49</v>
      </c>
      <c r="C234" s="3" t="s">
        <v>366</v>
      </c>
      <c r="D234" s="3" t="s">
        <v>456</v>
      </c>
      <c r="E234" s="2" t="s">
        <v>104</v>
      </c>
      <c r="F234" s="2"/>
      <c r="G234" s="5">
        <v>46145</v>
      </c>
      <c r="H234" s="5">
        <v>46166</v>
      </c>
      <c r="I234" s="4" t="s">
        <v>31</v>
      </c>
      <c r="J234" s="6">
        <f t="shared" si="13"/>
        <v>21</v>
      </c>
      <c r="K234" s="4" t="str">
        <f t="shared" ca="1" si="14"/>
        <v>-</v>
      </c>
      <c r="L234" s="7">
        <f t="shared" ca="1" si="16"/>
        <v>0</v>
      </c>
      <c r="M234" s="4" t="str">
        <f>IF($I234="Complete","Green",IF($H234="","Amber",IF($H234&lt;'[2]Read Me'!$B$4,"Red",IF($H234-'[2]Read Me'!$B$4&lt;=21,"Amber","Green"))))</f>
        <v>Red</v>
      </c>
      <c r="N234" s="3"/>
      <c r="O234" t="str">
        <f>IF($I234&lt;&gt;"Complete",IF(COUNTIFS($A$4:$A233,$A234,$B$4:$B233,$B234,$I$4:$I233,"&lt;&gt;Complete")=0,$A234&amp;"|"&amp;$B234,""),"")</f>
        <v/>
      </c>
      <c r="P234" t="str">
        <f ca="1">IF($K234="Yes",COUNTIFS($K$4:$K234,"Yes"),"")</f>
        <v/>
      </c>
      <c r="Q234">
        <f t="shared" ca="1" si="15"/>
        <v>0</v>
      </c>
      <c r="R234" t="str">
        <f ca="1">IF($Q234=1,SUM($Q$4:$Q234),"")</f>
        <v/>
      </c>
    </row>
    <row r="235" spans="1:18" ht="22.5" hidden="1" customHeight="1" x14ac:dyDescent="0.3">
      <c r="A235" s="2" t="s">
        <v>603</v>
      </c>
      <c r="B235" s="2" t="s">
        <v>49</v>
      </c>
      <c r="C235" s="3" t="s">
        <v>366</v>
      </c>
      <c r="D235" s="3" t="s">
        <v>604</v>
      </c>
      <c r="E235" s="2" t="s">
        <v>104</v>
      </c>
      <c r="F235" s="2"/>
      <c r="G235" s="5">
        <v>46257</v>
      </c>
      <c r="H235" s="5">
        <v>46278</v>
      </c>
      <c r="I235" s="4" t="s">
        <v>46</v>
      </c>
      <c r="J235" s="6">
        <f t="shared" si="13"/>
        <v>21</v>
      </c>
      <c r="K235" s="4" t="str">
        <f t="shared" ca="1" si="14"/>
        <v>No</v>
      </c>
      <c r="L235" s="7">
        <f t="shared" ca="1" si="16"/>
        <v>70</v>
      </c>
      <c r="M235" s="4" t="str">
        <f>IF($I235="Complete","Green",IF($H235="","Amber",IF($H235&lt;'[2]Read Me'!$B$4,"Red",IF($H235-'[2]Read Me'!$B$4&lt;=21,"Amber","Green"))))</f>
        <v>Green</v>
      </c>
      <c r="N235" s="3"/>
      <c r="O235" t="str">
        <f>IF($I235&lt;&gt;"Complete",IF(COUNTIFS($A$4:$A234,$A235,$B$4:$B234,$B235,$I$4:$I234,"&lt;&gt;Complete")=0,$A235&amp;"|"&amp;$B235,""),"")</f>
        <v/>
      </c>
      <c r="P235" t="str">
        <f ca="1">IF($K235="Yes",COUNTIFS($K$4:$K235,"Yes"),"")</f>
        <v/>
      </c>
      <c r="Q235">
        <f t="shared" ca="1" si="15"/>
        <v>0</v>
      </c>
      <c r="R235" t="str">
        <f ca="1">IF($Q235=1,SUM($Q$4:$Q235),"")</f>
        <v/>
      </c>
    </row>
    <row r="236" spans="1:18" ht="22.5" hidden="1" customHeight="1" x14ac:dyDescent="0.3">
      <c r="A236" s="2" t="s">
        <v>603</v>
      </c>
      <c r="B236" s="2" t="s">
        <v>49</v>
      </c>
      <c r="C236" s="3" t="s">
        <v>366</v>
      </c>
      <c r="D236" s="3" t="s">
        <v>288</v>
      </c>
      <c r="E236" s="2" t="s">
        <v>104</v>
      </c>
      <c r="F236" s="2"/>
      <c r="G236" s="5">
        <v>46299</v>
      </c>
      <c r="H236" s="5">
        <v>46320</v>
      </c>
      <c r="I236" s="4" t="s">
        <v>17</v>
      </c>
      <c r="J236" s="6">
        <f t="shared" si="13"/>
        <v>21</v>
      </c>
      <c r="K236" s="4" t="str">
        <f t="shared" ca="1" si="14"/>
        <v>No</v>
      </c>
      <c r="L236" s="7">
        <f t="shared" ca="1" si="16"/>
        <v>112</v>
      </c>
      <c r="M236" s="4" t="str">
        <f>IF($I236="Complete","Green",IF($H236="","Amber",IF($H236&lt;'[2]Read Me'!$B$4,"Red",IF($H236-'[2]Read Me'!$B$4&lt;=21,"Amber","Green"))))</f>
        <v>Green</v>
      </c>
      <c r="N236" s="3"/>
      <c r="O236" t="str">
        <f>IF($I236&lt;&gt;"Complete",IF(COUNTIFS($A$4:$A235,$A236,$B$4:$B235,$B236,$I$4:$I235,"&lt;&gt;Complete")=0,$A236&amp;"|"&amp;$B236,""),"")</f>
        <v/>
      </c>
      <c r="P236" t="str">
        <f ca="1">IF($K236="Yes",COUNTIFS($K$4:$K236,"Yes"),"")</f>
        <v/>
      </c>
      <c r="Q236">
        <f t="shared" ca="1" si="15"/>
        <v>0</v>
      </c>
      <c r="R236" t="str">
        <f ca="1">IF($Q236=1,SUM($Q$4:$Q236),"")</f>
        <v/>
      </c>
    </row>
    <row r="237" spans="1:18" ht="22.5" hidden="1" customHeight="1" x14ac:dyDescent="0.3">
      <c r="A237" s="2" t="s">
        <v>603</v>
      </c>
      <c r="B237" s="2" t="s">
        <v>49</v>
      </c>
      <c r="C237" s="3" t="s">
        <v>366</v>
      </c>
      <c r="D237" s="3" t="s">
        <v>93</v>
      </c>
      <c r="E237" s="2" t="s">
        <v>104</v>
      </c>
      <c r="F237" s="2"/>
      <c r="G237" s="5">
        <v>46341</v>
      </c>
      <c r="H237" s="5">
        <v>46362</v>
      </c>
      <c r="I237" s="4" t="s">
        <v>17</v>
      </c>
      <c r="J237" s="6">
        <f t="shared" si="13"/>
        <v>21</v>
      </c>
      <c r="K237" s="4" t="str">
        <f t="shared" ca="1" si="14"/>
        <v>No</v>
      </c>
      <c r="L237" s="7">
        <f t="shared" ca="1" si="16"/>
        <v>154</v>
      </c>
      <c r="M237" s="4" t="str">
        <f>IF($I237="Complete","Green",IF($H237="","Amber",IF($H237&lt;'[2]Read Me'!$B$4,"Red",IF($H237-'[2]Read Me'!$B$4&lt;=21,"Amber","Green"))))</f>
        <v>Green</v>
      </c>
      <c r="N237" s="3"/>
      <c r="O237" t="str">
        <f>IF($I237&lt;&gt;"Complete",IF(COUNTIFS($A$4:$A236,$A237,$B$4:$B236,$B237,$I$4:$I236,"&lt;&gt;Complete")=0,$A237&amp;"|"&amp;$B237,""),"")</f>
        <v/>
      </c>
      <c r="P237" t="str">
        <f ca="1">IF($K237="Yes",COUNTIFS($K$4:$K237,"Yes"),"")</f>
        <v/>
      </c>
      <c r="Q237">
        <f t="shared" ca="1" si="15"/>
        <v>0</v>
      </c>
      <c r="R237" t="str">
        <f ca="1">IF($Q237=1,SUM($Q$4:$Q237),"")</f>
        <v/>
      </c>
    </row>
    <row r="238" spans="1:18" ht="22.5" hidden="1" customHeight="1" x14ac:dyDescent="0.3">
      <c r="A238" s="2" t="s">
        <v>603</v>
      </c>
      <c r="B238" s="2" t="s">
        <v>49</v>
      </c>
      <c r="C238" s="3" t="s">
        <v>366</v>
      </c>
      <c r="D238" s="3" t="s">
        <v>94</v>
      </c>
      <c r="E238" s="2" t="s">
        <v>104</v>
      </c>
      <c r="F238" s="2"/>
      <c r="G238" s="5">
        <v>46425</v>
      </c>
      <c r="H238" s="5">
        <v>46446</v>
      </c>
      <c r="I238" s="4" t="s">
        <v>17</v>
      </c>
      <c r="J238" s="6">
        <f t="shared" si="13"/>
        <v>21</v>
      </c>
      <c r="K238" s="4" t="str">
        <f t="shared" ca="1" si="14"/>
        <v>No</v>
      </c>
      <c r="L238" s="7">
        <f t="shared" ca="1" si="16"/>
        <v>238</v>
      </c>
      <c r="M238" s="4" t="str">
        <f>IF($I238="Complete","Green",IF($H238="","Amber",IF($H238&lt;'[2]Read Me'!$B$4,"Red",IF($H238-'[2]Read Me'!$B$4&lt;=21,"Amber","Green"))))</f>
        <v>Green</v>
      </c>
      <c r="N238" s="3"/>
      <c r="O238" t="str">
        <f>IF($I238&lt;&gt;"Complete",IF(COUNTIFS($A$4:$A237,$A238,$B$4:$B237,$B238,$I$4:$I237,"&lt;&gt;Complete")=0,$A238&amp;"|"&amp;$B238,""),"")</f>
        <v/>
      </c>
      <c r="P238" t="str">
        <f ca="1">IF($K238="Yes",COUNTIFS($K$4:$K238,"Yes"),"")</f>
        <v/>
      </c>
      <c r="Q238">
        <f t="shared" ca="1" si="15"/>
        <v>0</v>
      </c>
      <c r="R238" t="str">
        <f ca="1">IF($Q238=1,SUM($Q$4:$Q238),"")</f>
        <v/>
      </c>
    </row>
    <row r="239" spans="1:18" ht="22.5" hidden="1" customHeight="1" x14ac:dyDescent="0.3">
      <c r="A239" s="2" t="s">
        <v>597</v>
      </c>
      <c r="B239" s="2" t="s">
        <v>140</v>
      </c>
      <c r="C239" s="3"/>
      <c r="D239" s="3"/>
      <c r="E239" s="2"/>
      <c r="F239" s="2"/>
      <c r="G239" s="5">
        <v>46271</v>
      </c>
      <c r="H239" s="5">
        <v>46273</v>
      </c>
      <c r="I239" s="4"/>
      <c r="J239" s="6">
        <f t="shared" si="13"/>
        <v>2</v>
      </c>
      <c r="K239" s="4" t="str">
        <f t="shared" ca="1" si="14"/>
        <v/>
      </c>
      <c r="L239" s="7">
        <f t="shared" ca="1" si="16"/>
        <v>65</v>
      </c>
      <c r="M239" s="4" t="str">
        <f>IF($I239="Complete","Green",IF($H239="","Amber",IF($H239&lt;'[2]Read Me'!$B$4,"Red",IF($H239-'[2]Read Me'!$B$4&lt;=21,"Amber","Green"))))</f>
        <v>Green</v>
      </c>
      <c r="N239" s="3"/>
      <c r="O239" t="str">
        <f>IF($I239&lt;&gt;"Complete",IF(COUNTIFS($A$4:$A238,$A239,$B$4:$B238,$B239,$I$4:$I238,"&lt;&gt;Complete")=0,$A239&amp;"|"&amp;$B239,""),"")</f>
        <v>Ph - 1B 2C|Masterplan</v>
      </c>
      <c r="P239" t="str">
        <f ca="1">IF($K239="Yes",COUNTIFS($K$4:$K239,"Yes"),"")</f>
        <v/>
      </c>
      <c r="Q239">
        <f t="shared" ca="1" si="15"/>
        <v>0</v>
      </c>
      <c r="R239" t="str">
        <f ca="1">IF($Q239=1,SUM($Q$4:$Q239),"")</f>
        <v/>
      </c>
    </row>
    <row r="240" spans="1:18" ht="22.5" hidden="1" customHeight="1" x14ac:dyDescent="0.3">
      <c r="A240" s="2" t="s">
        <v>597</v>
      </c>
      <c r="B240" s="2" t="s">
        <v>140</v>
      </c>
      <c r="C240" s="3" t="s">
        <v>605</v>
      </c>
      <c r="D240" s="3" t="s">
        <v>14</v>
      </c>
      <c r="E240" s="2" t="s">
        <v>553</v>
      </c>
      <c r="F240" s="2" t="s">
        <v>79</v>
      </c>
      <c r="G240" s="5">
        <v>46173</v>
      </c>
      <c r="H240" s="5">
        <v>46167</v>
      </c>
      <c r="I240" s="4" t="s">
        <v>31</v>
      </c>
      <c r="J240" s="6">
        <f t="shared" si="13"/>
        <v>-6</v>
      </c>
      <c r="K240" s="4" t="str">
        <f t="shared" ca="1" si="14"/>
        <v>-</v>
      </c>
      <c r="L240" s="7">
        <f t="shared" ca="1" si="16"/>
        <v>0</v>
      </c>
      <c r="M240" s="4" t="str">
        <f>IF($I240="Complete","Green",IF($H240="","Amber",IF($H240&lt;'[2]Read Me'!$B$4,"Red",IF($H240-'[2]Read Me'!$B$4&lt;=21,"Amber","Green"))))</f>
        <v>Red</v>
      </c>
      <c r="N240" s="3"/>
      <c r="O240" t="str">
        <f>IF($I240&lt;&gt;"Complete",IF(COUNTIFS($A$4:$A239,$A240,$B$4:$B239,$B240,$I$4:$I239,"&lt;&gt;Complete")=0,$A240&amp;"|"&amp;$B240,""),"")</f>
        <v/>
      </c>
      <c r="P240" t="str">
        <f ca="1">IF($K240="Yes",COUNTIFS($K$4:$K240,"Yes"),"")</f>
        <v/>
      </c>
      <c r="Q240">
        <f t="shared" ca="1" si="15"/>
        <v>0</v>
      </c>
      <c r="R240" t="str">
        <f ca="1">IF($Q240=1,SUM($Q$4:$Q240),"")</f>
        <v/>
      </c>
    </row>
    <row r="241" spans="1:18" ht="22.5" hidden="1" customHeight="1" x14ac:dyDescent="0.3">
      <c r="A241" s="2" t="s">
        <v>597</v>
      </c>
      <c r="B241" s="2" t="s">
        <v>140</v>
      </c>
      <c r="C241" s="3" t="s">
        <v>605</v>
      </c>
      <c r="D241" s="3" t="s">
        <v>34</v>
      </c>
      <c r="E241" s="2" t="s">
        <v>553</v>
      </c>
      <c r="F241" s="2"/>
      <c r="G241" s="5">
        <v>46187</v>
      </c>
      <c r="H241" s="5">
        <v>46189</v>
      </c>
      <c r="I241" s="4" t="s">
        <v>31</v>
      </c>
      <c r="J241" s="6">
        <f t="shared" si="13"/>
        <v>2</v>
      </c>
      <c r="K241" s="4" t="str">
        <f t="shared" ca="1" si="14"/>
        <v>-</v>
      </c>
      <c r="L241" s="7">
        <f t="shared" ca="1" si="16"/>
        <v>0</v>
      </c>
      <c r="M241" s="4" t="str">
        <f>IF($I241="Complete","Green",IF($H241="","Amber",IF($H241&lt;'[2]Read Me'!$B$4,"Red",IF($H241-'[2]Read Me'!$B$4&lt;=21,"Amber","Green"))))</f>
        <v>Amber</v>
      </c>
      <c r="N241" s="3"/>
      <c r="O241" t="str">
        <f>IF($I241&lt;&gt;"Complete",IF(COUNTIFS($A$4:$A240,$A241,$B$4:$B240,$B241,$I$4:$I240,"&lt;&gt;Complete")=0,$A241&amp;"|"&amp;$B241,""),"")</f>
        <v/>
      </c>
      <c r="P241" t="str">
        <f ca="1">IF($K241="Yes",COUNTIFS($K$4:$K241,"Yes"),"")</f>
        <v/>
      </c>
      <c r="Q241">
        <f t="shared" ca="1" si="15"/>
        <v>0</v>
      </c>
      <c r="R241" t="str">
        <f ca="1">IF($Q241=1,SUM($Q$4:$Q241),"")</f>
        <v/>
      </c>
    </row>
    <row r="242" spans="1:18" ht="22.5" hidden="1" customHeight="1" x14ac:dyDescent="0.3">
      <c r="A242" s="2" t="s">
        <v>597</v>
      </c>
      <c r="B242" s="2" t="s">
        <v>140</v>
      </c>
      <c r="C242" s="3" t="s">
        <v>605</v>
      </c>
      <c r="D242" s="3" t="s">
        <v>15</v>
      </c>
      <c r="E242" s="2" t="s">
        <v>553</v>
      </c>
      <c r="F242" s="2" t="s">
        <v>79</v>
      </c>
      <c r="G242" s="5">
        <v>46215</v>
      </c>
      <c r="H242" s="5">
        <v>46217</v>
      </c>
      <c r="I242" s="4" t="s">
        <v>46</v>
      </c>
      <c r="J242" s="6">
        <f t="shared" si="13"/>
        <v>2</v>
      </c>
      <c r="K242" s="4" t="str">
        <f t="shared" ca="1" si="14"/>
        <v>No</v>
      </c>
      <c r="L242" s="7">
        <f t="shared" ca="1" si="16"/>
        <v>9</v>
      </c>
      <c r="M242" s="4" t="str">
        <f>IF($I242="Complete","Green",IF($H242="","Amber",IF($H242&lt;'[2]Read Me'!$B$4,"Red",IF($H242-'[2]Read Me'!$B$4&lt;=21,"Amber","Green"))))</f>
        <v>Green</v>
      </c>
      <c r="N242" s="3"/>
      <c r="O242" t="str">
        <f>IF($I242&lt;&gt;"Complete",IF(COUNTIFS($A$4:$A241,$A242,$B$4:$B241,$B242,$I$4:$I241,"&lt;&gt;Complete")=0,$A242&amp;"|"&amp;$B242,""),"")</f>
        <v/>
      </c>
      <c r="P242" t="str">
        <f ca="1">IF($K242="Yes",COUNTIFS($K$4:$K242,"Yes"),"")</f>
        <v/>
      </c>
      <c r="Q242">
        <f t="shared" ca="1" si="15"/>
        <v>0</v>
      </c>
      <c r="R242" t="str">
        <f ca="1">IF($Q242=1,SUM($Q$4:$Q242),"")</f>
        <v/>
      </c>
    </row>
    <row r="243" spans="1:18" ht="22.5" hidden="1" customHeight="1" x14ac:dyDescent="0.3">
      <c r="A243" s="2" t="s">
        <v>597</v>
      </c>
      <c r="B243" s="2" t="s">
        <v>140</v>
      </c>
      <c r="C243" s="3" t="s">
        <v>605</v>
      </c>
      <c r="D243" s="3" t="s">
        <v>35</v>
      </c>
      <c r="E243" s="2" t="s">
        <v>553</v>
      </c>
      <c r="F243" s="2"/>
      <c r="G243" s="5">
        <v>46229</v>
      </c>
      <c r="H243" s="5">
        <v>46231</v>
      </c>
      <c r="I243" s="4" t="s">
        <v>17</v>
      </c>
      <c r="J243" s="6">
        <f t="shared" si="13"/>
        <v>2</v>
      </c>
      <c r="K243" s="4" t="str">
        <f t="shared" ca="1" si="14"/>
        <v>No</v>
      </c>
      <c r="L243" s="7">
        <f t="shared" ca="1" si="16"/>
        <v>23</v>
      </c>
      <c r="M243" s="4" t="str">
        <f>IF($I243="Complete","Green",IF($H243="","Amber",IF($H243&lt;'[2]Read Me'!$B$4,"Red",IF($H243-'[2]Read Me'!$B$4&lt;=21,"Amber","Green"))))</f>
        <v>Green</v>
      </c>
      <c r="N243" s="3"/>
      <c r="O243" t="str">
        <f>IF($I243&lt;&gt;"Complete",IF(COUNTIFS($A$4:$A242,$A243,$B$4:$B242,$B243,$I$4:$I242,"&lt;&gt;Complete")=0,$A243&amp;"|"&amp;$B243,""),"")</f>
        <v/>
      </c>
      <c r="P243" t="str">
        <f ca="1">IF($K243="Yes",COUNTIFS($K$4:$K243,"Yes"),"")</f>
        <v/>
      </c>
      <c r="Q243">
        <f t="shared" ca="1" si="15"/>
        <v>0</v>
      </c>
      <c r="R243" t="str">
        <f ca="1">IF($Q243=1,SUM($Q$4:$Q243),"")</f>
        <v/>
      </c>
    </row>
    <row r="244" spans="1:18" ht="22.5" hidden="1" customHeight="1" x14ac:dyDescent="0.3">
      <c r="A244" s="2" t="s">
        <v>597</v>
      </c>
      <c r="B244" s="2" t="s">
        <v>140</v>
      </c>
      <c r="C244" s="3" t="s">
        <v>605</v>
      </c>
      <c r="D244" s="3" t="s">
        <v>606</v>
      </c>
      <c r="E244" s="2" t="s">
        <v>553</v>
      </c>
      <c r="F244" s="2" t="s">
        <v>79</v>
      </c>
      <c r="G244" s="5">
        <v>46089</v>
      </c>
      <c r="H244" s="5">
        <v>46091</v>
      </c>
      <c r="I244" s="4" t="s">
        <v>31</v>
      </c>
      <c r="J244" s="6">
        <f t="shared" si="13"/>
        <v>2</v>
      </c>
      <c r="K244" s="4" t="str">
        <f t="shared" ref="K244:K264" ca="1" si="17">IF($H244="","",IF($H244&gt;TODAY(),"No","Yes"))</f>
        <v>Yes</v>
      </c>
      <c r="L244" s="7">
        <f t="shared" ca="1" si="16"/>
        <v>0</v>
      </c>
      <c r="M244" s="4" t="str">
        <f>IF($I244="Complete","Green",IF($H244="","Amber",IF($H244&lt;'[2]Read Me'!$B$4,"Red",IF($H244-'[2]Read Me'!$B$4&lt;=21,"Amber","Green"))))</f>
        <v>Red</v>
      </c>
      <c r="N244" s="3"/>
      <c r="O244" t="str">
        <f>IF($I244&lt;&gt;"Complete",IF(COUNTIFS($A$4:$A243,$A244,$B$4:$B243,$B244,$I$4:$I243,"&lt;&gt;Complete")=0,$A244&amp;"|"&amp;$B244,""),"")</f>
        <v/>
      </c>
      <c r="P244">
        <f ca="1">IF($K244="Yes",COUNTIFS($K$4:$K244,"Yes"),"")</f>
        <v>14</v>
      </c>
      <c r="Q244">
        <f t="shared" ca="1" si="15"/>
        <v>1</v>
      </c>
      <c r="R244">
        <f ca="1">IF($Q244=1,SUM($Q$4:$Q244),"")</f>
        <v>14</v>
      </c>
    </row>
    <row r="245" spans="1:18" ht="22.5" hidden="1" customHeight="1" x14ac:dyDescent="0.3">
      <c r="A245" s="2" t="s">
        <v>597</v>
      </c>
      <c r="B245" s="2" t="s">
        <v>140</v>
      </c>
      <c r="C245" s="3" t="s">
        <v>605</v>
      </c>
      <c r="D245" s="3" t="s">
        <v>607</v>
      </c>
      <c r="E245" s="2" t="s">
        <v>553</v>
      </c>
      <c r="F245" s="2" t="s">
        <v>79</v>
      </c>
      <c r="G245" s="5">
        <v>46128</v>
      </c>
      <c r="H245" s="5">
        <v>46128</v>
      </c>
      <c r="I245" s="4" t="s">
        <v>31</v>
      </c>
      <c r="J245" s="6">
        <f t="shared" si="13"/>
        <v>0</v>
      </c>
      <c r="K245" s="4" t="str">
        <f t="shared" ca="1" si="17"/>
        <v>Yes</v>
      </c>
      <c r="L245" s="7">
        <f t="shared" ca="1" si="16"/>
        <v>0</v>
      </c>
      <c r="M245" s="4" t="str">
        <f>IF($I245="Complete","Green",IF($H245="","Amber",IF($H245&lt;'[2]Read Me'!$B$4,"Red",IF($H245-'[2]Read Me'!$B$4&lt;=21,"Amber","Green"))))</f>
        <v>Red</v>
      </c>
      <c r="N245" s="3"/>
      <c r="O245" t="str">
        <f>IF($I245&lt;&gt;"Complete",IF(COUNTIFS($A$4:$A244,$A245,$B$4:$B244,$B245,$I$4:$I244,"&lt;&gt;Complete")=0,$A245&amp;"|"&amp;$B245,""),"")</f>
        <v/>
      </c>
      <c r="P245">
        <f ca="1">IF($K245="Yes",COUNTIFS($K$4:$K245,"Yes"),"")</f>
        <v>15</v>
      </c>
      <c r="Q245">
        <f t="shared" ca="1" si="15"/>
        <v>1</v>
      </c>
      <c r="R245">
        <f ca="1">IF($Q245=1,SUM($Q$4:$Q245),"")</f>
        <v>15</v>
      </c>
    </row>
    <row r="246" spans="1:18" ht="22.5" hidden="1" customHeight="1" x14ac:dyDescent="0.3">
      <c r="A246" s="2" t="s">
        <v>597</v>
      </c>
      <c r="B246" s="2" t="s">
        <v>140</v>
      </c>
      <c r="C246" s="3" t="s">
        <v>605</v>
      </c>
      <c r="D246" s="3" t="s">
        <v>16</v>
      </c>
      <c r="E246" s="2" t="s">
        <v>553</v>
      </c>
      <c r="F246" s="2" t="s">
        <v>79</v>
      </c>
      <c r="G246" s="5">
        <v>46243</v>
      </c>
      <c r="H246" s="5">
        <v>46245</v>
      </c>
      <c r="I246" s="4" t="s">
        <v>17</v>
      </c>
      <c r="J246" s="6">
        <f t="shared" si="13"/>
        <v>2</v>
      </c>
      <c r="K246" s="4" t="str">
        <f t="shared" ca="1" si="17"/>
        <v>No</v>
      </c>
      <c r="L246" s="7">
        <f t="shared" ca="1" si="16"/>
        <v>37</v>
      </c>
      <c r="M246" s="4" t="str">
        <f>IF($I246="Complete","Green",IF($H246="","Amber",IF($H246&lt;'[2]Read Me'!$B$4,"Red",IF($H246-'[2]Read Me'!$B$4&lt;=21,"Amber","Green"))))</f>
        <v>Green</v>
      </c>
      <c r="N246" s="3"/>
      <c r="O246" t="str">
        <f>IF($I246&lt;&gt;"Complete",IF(COUNTIFS($A$4:$A245,$A246,$B$4:$B245,$B246,$I$4:$I245,"&lt;&gt;Complete")=0,$A246&amp;"|"&amp;$B246,""),"")</f>
        <v/>
      </c>
      <c r="P246" t="str">
        <f ca="1">IF($K246="Yes",COUNTIFS($K$4:$K246,"Yes"),"")</f>
        <v/>
      </c>
      <c r="Q246">
        <f t="shared" ca="1" si="15"/>
        <v>0</v>
      </c>
      <c r="R246" t="str">
        <f ca="1">IF($Q246=1,SUM($Q$4:$Q246),"")</f>
        <v/>
      </c>
    </row>
    <row r="247" spans="1:18" ht="22.5" hidden="1" customHeight="1" x14ac:dyDescent="0.3">
      <c r="A247" s="2" t="s">
        <v>597</v>
      </c>
      <c r="B247" s="2" t="s">
        <v>140</v>
      </c>
      <c r="C247" s="3" t="s">
        <v>605</v>
      </c>
      <c r="D247" s="3" t="s">
        <v>37</v>
      </c>
      <c r="E247" s="2" t="s">
        <v>553</v>
      </c>
      <c r="F247" s="2"/>
      <c r="G247" s="5">
        <v>46257</v>
      </c>
      <c r="H247" s="5">
        <v>46259</v>
      </c>
      <c r="I247" s="4" t="s">
        <v>17</v>
      </c>
      <c r="J247" s="6">
        <f t="shared" si="13"/>
        <v>2</v>
      </c>
      <c r="K247" s="4" t="str">
        <f t="shared" ca="1" si="17"/>
        <v>No</v>
      </c>
      <c r="L247" s="7">
        <f t="shared" ca="1" si="16"/>
        <v>51</v>
      </c>
      <c r="M247" s="4" t="str">
        <f>IF($I247="Complete","Green",IF($H247="","Amber",IF($H247&lt;'[2]Read Me'!$B$4,"Red",IF($H247-'[2]Read Me'!$B$4&lt;=21,"Amber","Green"))))</f>
        <v>Green</v>
      </c>
      <c r="N247" s="3"/>
      <c r="O247" t="str">
        <f>IF($I247&lt;&gt;"Complete",IF(COUNTIFS($A$4:$A246,$A247,$B$4:$B246,$B247,$I$4:$I246,"&lt;&gt;Complete")=0,$A247&amp;"|"&amp;$B247,""),"")</f>
        <v/>
      </c>
      <c r="P247" t="str">
        <f ca="1">IF($K247="Yes",COUNTIFS($K$4:$K247,"Yes"),"")</f>
        <v/>
      </c>
      <c r="Q247">
        <f t="shared" ca="1" si="15"/>
        <v>0</v>
      </c>
      <c r="R247" t="str">
        <f ca="1">IF($Q247=1,SUM($Q$4:$Q247),"")</f>
        <v/>
      </c>
    </row>
    <row r="248" spans="1:18" ht="22.5" hidden="1" customHeight="1" x14ac:dyDescent="0.3">
      <c r="A248" s="2"/>
      <c r="B248" s="2"/>
      <c r="C248" s="3" t="s">
        <v>605</v>
      </c>
      <c r="D248" s="3" t="s">
        <v>388</v>
      </c>
      <c r="E248" s="2"/>
      <c r="F248" s="2"/>
      <c r="G248" s="5">
        <v>46271</v>
      </c>
      <c r="H248" s="5">
        <v>46273</v>
      </c>
      <c r="I248" s="4" t="s">
        <v>17</v>
      </c>
      <c r="J248" s="6">
        <f t="shared" si="13"/>
        <v>2</v>
      </c>
      <c r="K248" s="4" t="str">
        <f t="shared" ca="1" si="17"/>
        <v>No</v>
      </c>
      <c r="L248" s="7">
        <f t="shared" ca="1" si="16"/>
        <v>65</v>
      </c>
      <c r="M248" s="4" t="str">
        <f>IF($I248="Complete","Green",IF($H248="","Amber",IF($H248&lt;'[2]Read Me'!$B$4,"Red",IF($H248-'[2]Read Me'!$B$4&lt;=21,"Amber","Green"))))</f>
        <v>Green</v>
      </c>
      <c r="N248" s="3"/>
      <c r="O248" t="str">
        <f>IF($I248&lt;&gt;"Complete",IF(COUNTIFS($A$4:$A247,$A248,$B$4:$B247,$B248,$I$4:$I247,"&lt;&gt;Complete")=0,$A248&amp;"|"&amp;$B248,""),"")</f>
        <v>|</v>
      </c>
      <c r="P248" t="str">
        <f ca="1">IF($K248="Yes",COUNTIFS($K$4:$K248,"Yes"),"")</f>
        <v/>
      </c>
      <c r="Q248">
        <f t="shared" ca="1" si="15"/>
        <v>0</v>
      </c>
      <c r="R248" t="str">
        <f ca="1">IF($Q248=1,SUM($Q$4:$Q248),"")</f>
        <v/>
      </c>
    </row>
    <row r="249" spans="1:18" ht="22.5" hidden="1" customHeight="1" x14ac:dyDescent="0.3">
      <c r="A249" s="2" t="s">
        <v>597</v>
      </c>
      <c r="B249" s="2" t="s">
        <v>171</v>
      </c>
      <c r="C249" s="3"/>
      <c r="D249" s="3"/>
      <c r="E249" s="2"/>
      <c r="F249" s="2"/>
      <c r="G249" s="5">
        <v>46299</v>
      </c>
      <c r="H249" s="5">
        <v>46301</v>
      </c>
      <c r="I249" s="4"/>
      <c r="J249" s="6">
        <f t="shared" si="13"/>
        <v>2</v>
      </c>
      <c r="K249" s="4" t="str">
        <f t="shared" ca="1" si="17"/>
        <v>No</v>
      </c>
      <c r="L249" s="7">
        <f t="shared" ca="1" si="16"/>
        <v>93</v>
      </c>
      <c r="M249" s="4" t="str">
        <f>IF($I249="Complete","Green",IF($H249="","Amber",IF($H249&lt;'[2]Read Me'!$B$4,"Red",IF($H249-'[2]Read Me'!$B$4&lt;=21,"Amber","Green"))))</f>
        <v>Green</v>
      </c>
      <c r="N249" s="3"/>
      <c r="O249" t="str">
        <f>IF($I249&lt;&gt;"Complete",IF(COUNTIFS($A$4:$A248,$A249,$B$4:$B248,$B249,$I$4:$I248,"&lt;&gt;Complete")=0,$A249&amp;"|"&amp;$B249,""),"")</f>
        <v>Ph - 1B 2C|Infrastructure</v>
      </c>
      <c r="P249" t="str">
        <f ca="1">IF($K249="Yes",COUNTIFS($K$4:$K249,"Yes"),"")</f>
        <v/>
      </c>
      <c r="Q249">
        <f t="shared" ca="1" si="15"/>
        <v>0</v>
      </c>
      <c r="R249" t="str">
        <f ca="1">IF($Q249=1,SUM($Q$4:$Q249),"")</f>
        <v/>
      </c>
    </row>
    <row r="250" spans="1:18" ht="22.5" hidden="1" customHeight="1" x14ac:dyDescent="0.3">
      <c r="A250" s="2" t="s">
        <v>597</v>
      </c>
      <c r="B250" s="2" t="s">
        <v>171</v>
      </c>
      <c r="C250" s="3" t="s">
        <v>608</v>
      </c>
      <c r="D250" s="3" t="s">
        <v>14</v>
      </c>
      <c r="E250" s="2" t="s">
        <v>553</v>
      </c>
      <c r="F250" s="2" t="s">
        <v>79</v>
      </c>
      <c r="G250" s="5">
        <v>46173</v>
      </c>
      <c r="H250" s="5">
        <v>46167</v>
      </c>
      <c r="I250" s="4" t="s">
        <v>31</v>
      </c>
      <c r="J250" s="6">
        <f t="shared" si="13"/>
        <v>-6</v>
      </c>
      <c r="K250" s="4" t="str">
        <f t="shared" ca="1" si="17"/>
        <v>Yes</v>
      </c>
      <c r="L250" s="7">
        <f t="shared" ca="1" si="16"/>
        <v>0</v>
      </c>
      <c r="M250" s="4" t="str">
        <f>IF($I250="Complete","Green",IF($H250="","Amber",IF($H250&lt;'[2]Read Me'!$B$4,"Red",IF($H250-'[2]Read Me'!$B$4&lt;=21,"Amber","Green"))))</f>
        <v>Red</v>
      </c>
      <c r="N250" s="8"/>
      <c r="O250" t="str">
        <f>IF($I250&lt;&gt;"Complete",IF(COUNTIFS($A$4:$A249,$A250,$B$4:$B249,$B250,$I$4:$I249,"&lt;&gt;Complete")=0,$A250&amp;"|"&amp;$B250,""),"")</f>
        <v/>
      </c>
      <c r="P250">
        <f ca="1">IF($K250="Yes",COUNTIFS($K$4:$K250,"Yes"),"")</f>
        <v>16</v>
      </c>
      <c r="Q250">
        <f t="shared" ca="1" si="15"/>
        <v>1</v>
      </c>
      <c r="R250">
        <f ca="1">IF($Q250=1,SUM($Q$4:$Q250),"")</f>
        <v>16</v>
      </c>
    </row>
    <row r="251" spans="1:18" ht="22.5" hidden="1" customHeight="1" x14ac:dyDescent="0.3">
      <c r="A251" s="2" t="s">
        <v>597</v>
      </c>
      <c r="B251" s="2" t="s">
        <v>171</v>
      </c>
      <c r="C251" s="3" t="s">
        <v>608</v>
      </c>
      <c r="D251" s="3" t="s">
        <v>34</v>
      </c>
      <c r="E251" s="2" t="s">
        <v>553</v>
      </c>
      <c r="F251" s="2"/>
      <c r="G251" s="5">
        <v>46187</v>
      </c>
      <c r="H251" s="5">
        <v>46189</v>
      </c>
      <c r="I251" s="4" t="s">
        <v>31</v>
      </c>
      <c r="J251" s="6">
        <f t="shared" si="13"/>
        <v>2</v>
      </c>
      <c r="K251" s="4" t="str">
        <f t="shared" ca="1" si="17"/>
        <v>Yes</v>
      </c>
      <c r="L251" s="7">
        <f t="shared" ca="1" si="16"/>
        <v>0</v>
      </c>
      <c r="M251" s="4" t="str">
        <f>IF($I251="Complete","Green",IF($H251="","Amber",IF($H251&lt;'[2]Read Me'!$B$4,"Red",IF($H251-'[2]Read Me'!$B$4&lt;=21,"Amber","Green"))))</f>
        <v>Amber</v>
      </c>
      <c r="N251" s="3"/>
      <c r="O251" t="str">
        <f>IF($I251&lt;&gt;"Complete",IF(COUNTIFS($A$4:$A250,$A251,$B$4:$B250,$B251,$I$4:$I250,"&lt;&gt;Complete")=0,$A251&amp;"|"&amp;$B251,""),"")</f>
        <v/>
      </c>
      <c r="P251">
        <f ca="1">IF($K251="Yes",COUNTIFS($K$4:$K251,"Yes"),"")</f>
        <v>17</v>
      </c>
      <c r="Q251">
        <f t="shared" ca="1" si="15"/>
        <v>1</v>
      </c>
      <c r="R251">
        <f ca="1">IF($Q251=1,SUM($Q$4:$Q251),"")</f>
        <v>17</v>
      </c>
    </row>
    <row r="252" spans="1:18" ht="22.5" hidden="1" customHeight="1" x14ac:dyDescent="0.3">
      <c r="A252" s="2" t="s">
        <v>597</v>
      </c>
      <c r="B252" s="2" t="s">
        <v>171</v>
      </c>
      <c r="C252" s="3" t="s">
        <v>608</v>
      </c>
      <c r="D252" s="3" t="s">
        <v>15</v>
      </c>
      <c r="E252" s="2" t="s">
        <v>553</v>
      </c>
      <c r="F252" s="2" t="s">
        <v>79</v>
      </c>
      <c r="G252" s="5">
        <v>46243</v>
      </c>
      <c r="H252" s="5">
        <v>46245</v>
      </c>
      <c r="I252" s="4" t="s">
        <v>46</v>
      </c>
      <c r="J252" s="6">
        <f t="shared" si="13"/>
        <v>2</v>
      </c>
      <c r="K252" s="4" t="str">
        <f t="shared" ca="1" si="17"/>
        <v>No</v>
      </c>
      <c r="L252" s="7">
        <f t="shared" ca="1" si="16"/>
        <v>37</v>
      </c>
      <c r="M252" s="4" t="str">
        <f>IF($I252="Complete","Green",IF($H252="","Amber",IF($H252&lt;'[2]Read Me'!$B$4,"Red",IF($H252-'[2]Read Me'!$B$4&lt;=21,"Amber","Green"))))</f>
        <v>Green</v>
      </c>
      <c r="N252" s="3"/>
      <c r="O252" t="str">
        <f>IF($I252&lt;&gt;"Complete",IF(COUNTIFS($A$4:$A251,$A252,$B$4:$B251,$B252,$I$4:$I251,"&lt;&gt;Complete")=0,$A252&amp;"|"&amp;$B252,""),"")</f>
        <v/>
      </c>
      <c r="P252" t="str">
        <f ca="1">IF($K252="Yes",COUNTIFS($K$4:$K252,"Yes"),"")</f>
        <v/>
      </c>
      <c r="Q252">
        <f t="shared" ca="1" si="15"/>
        <v>0</v>
      </c>
      <c r="R252" t="str">
        <f ca="1">IF($Q252=1,SUM($Q$4:$Q252),"")</f>
        <v/>
      </c>
    </row>
    <row r="253" spans="1:18" ht="22.5" hidden="1" customHeight="1" x14ac:dyDescent="0.3">
      <c r="A253" s="2" t="s">
        <v>597</v>
      </c>
      <c r="B253" s="2" t="s">
        <v>171</v>
      </c>
      <c r="C253" s="3" t="s">
        <v>608</v>
      </c>
      <c r="D253" s="3" t="s">
        <v>35</v>
      </c>
      <c r="E253" s="2" t="s">
        <v>553</v>
      </c>
      <c r="F253" s="2"/>
      <c r="G253" s="5">
        <v>46257</v>
      </c>
      <c r="H253" s="5">
        <v>46259</v>
      </c>
      <c r="I253" s="4" t="s">
        <v>17</v>
      </c>
      <c r="J253" s="6">
        <f t="shared" si="13"/>
        <v>2</v>
      </c>
      <c r="K253" s="4" t="str">
        <f t="shared" ca="1" si="17"/>
        <v>No</v>
      </c>
      <c r="L253" s="7">
        <f t="shared" ca="1" si="16"/>
        <v>51</v>
      </c>
      <c r="M253" s="4" t="str">
        <f>IF($I253="Complete","Green",IF($H253="","Amber",IF($H253&lt;'[2]Read Me'!$B$4,"Red",IF($H253-'[2]Read Me'!$B$4&lt;=21,"Amber","Green"))))</f>
        <v>Green</v>
      </c>
      <c r="N253" s="3"/>
      <c r="O253" t="str">
        <f>IF($I253&lt;&gt;"Complete",IF(COUNTIFS($A$4:$A252,$A253,$B$4:$B252,$B253,$I$4:$I252,"&lt;&gt;Complete")=0,$A253&amp;"|"&amp;$B253,""),"")</f>
        <v/>
      </c>
      <c r="P253" t="str">
        <f ca="1">IF($K253="Yes",COUNTIFS($K$4:$K253,"Yes"),"")</f>
        <v/>
      </c>
      <c r="Q253">
        <f t="shared" ca="1" si="15"/>
        <v>0</v>
      </c>
      <c r="R253" t="str">
        <f ca="1">IF($Q253=1,SUM($Q$4:$Q253),"")</f>
        <v/>
      </c>
    </row>
    <row r="254" spans="1:18" ht="22.5" hidden="1" customHeight="1" x14ac:dyDescent="0.3">
      <c r="A254" s="2" t="s">
        <v>597</v>
      </c>
      <c r="B254" s="2" t="s">
        <v>171</v>
      </c>
      <c r="C254" s="3" t="s">
        <v>608</v>
      </c>
      <c r="D254" s="3" t="s">
        <v>609</v>
      </c>
      <c r="E254" s="2" t="s">
        <v>566</v>
      </c>
      <c r="F254" s="2"/>
      <c r="G254" s="5">
        <v>46271</v>
      </c>
      <c r="H254" s="5">
        <v>46273</v>
      </c>
      <c r="I254" s="4" t="s">
        <v>17</v>
      </c>
      <c r="J254" s="6">
        <f t="shared" si="13"/>
        <v>2</v>
      </c>
      <c r="K254" s="4" t="str">
        <f t="shared" ca="1" si="17"/>
        <v>No</v>
      </c>
      <c r="L254" s="7">
        <f t="shared" ca="1" si="16"/>
        <v>65</v>
      </c>
      <c r="M254" s="4" t="str">
        <f>IF($I254="Complete","Green",IF($H254="","Amber",IF($H254&lt;'[2]Read Me'!$B$4,"Red",IF($H254-'[2]Read Me'!$B$4&lt;=21,"Amber","Green"))))</f>
        <v>Green</v>
      </c>
      <c r="N254" s="3"/>
      <c r="O254" t="str">
        <f>IF($I254&lt;&gt;"Complete",IF(COUNTIFS($A$4:$A253,$A254,$B$4:$B253,$B254,$I$4:$I253,"&lt;&gt;Complete")=0,$A254&amp;"|"&amp;$B254,""),"")</f>
        <v/>
      </c>
      <c r="P254" t="str">
        <f ca="1">IF($K254="Yes",COUNTIFS($K$4:$K254,"Yes"),"")</f>
        <v/>
      </c>
      <c r="Q254">
        <f t="shared" ca="1" si="15"/>
        <v>0</v>
      </c>
      <c r="R254" t="str">
        <f ca="1">IF($Q254=1,SUM($Q$4:$Q254),"")</f>
        <v/>
      </c>
    </row>
    <row r="255" spans="1:18" ht="22.5" hidden="1" customHeight="1" x14ac:dyDescent="0.3">
      <c r="A255" s="2" t="s">
        <v>597</v>
      </c>
      <c r="B255" s="2" t="s">
        <v>171</v>
      </c>
      <c r="C255" s="3" t="s">
        <v>608</v>
      </c>
      <c r="D255" s="3" t="s">
        <v>16</v>
      </c>
      <c r="E255" s="2" t="s">
        <v>553</v>
      </c>
      <c r="F255" s="2" t="s">
        <v>79</v>
      </c>
      <c r="G255" s="5">
        <v>46285</v>
      </c>
      <c r="H255" s="5">
        <v>46287</v>
      </c>
      <c r="I255" s="4" t="s">
        <v>17</v>
      </c>
      <c r="J255" s="6">
        <f t="shared" si="13"/>
        <v>2</v>
      </c>
      <c r="K255" s="4" t="str">
        <f t="shared" ca="1" si="17"/>
        <v>No</v>
      </c>
      <c r="L255" s="7">
        <f t="shared" ca="1" si="16"/>
        <v>79</v>
      </c>
      <c r="M255" s="4" t="str">
        <f>IF($I255="Complete","Green",IF($H255="","Amber",IF($H255&lt;'[2]Read Me'!$B$4,"Red",IF($H255-'[2]Read Me'!$B$4&lt;=21,"Amber","Green"))))</f>
        <v>Green</v>
      </c>
      <c r="N255" s="3"/>
      <c r="O255" t="str">
        <f>IF($I255&lt;&gt;"Complete",IF(COUNTIFS($A$4:$A254,$A255,$B$4:$B254,$B255,$I$4:$I254,"&lt;&gt;Complete")=0,$A255&amp;"|"&amp;$B255,""),"")</f>
        <v/>
      </c>
      <c r="P255" t="str">
        <f ca="1">IF($K255="Yes",COUNTIFS($K$4:$K255,"Yes"),"")</f>
        <v/>
      </c>
      <c r="Q255">
        <f t="shared" ca="1" si="15"/>
        <v>0</v>
      </c>
      <c r="R255" t="str">
        <f ca="1">IF($Q255=1,SUM($Q$4:$Q255),"")</f>
        <v/>
      </c>
    </row>
    <row r="256" spans="1:18" ht="22.5" hidden="1" customHeight="1" x14ac:dyDescent="0.3">
      <c r="A256" s="2" t="s">
        <v>597</v>
      </c>
      <c r="B256" s="2" t="s">
        <v>171</v>
      </c>
      <c r="C256" s="3" t="s">
        <v>608</v>
      </c>
      <c r="D256" s="3" t="s">
        <v>37</v>
      </c>
      <c r="E256" s="2" t="s">
        <v>553</v>
      </c>
      <c r="F256" s="2"/>
      <c r="G256" s="5">
        <v>46299</v>
      </c>
      <c r="H256" s="5">
        <v>46301</v>
      </c>
      <c r="I256" s="4" t="s">
        <v>17</v>
      </c>
      <c r="J256" s="6">
        <f t="shared" si="13"/>
        <v>2</v>
      </c>
      <c r="K256" s="4" t="str">
        <f t="shared" ca="1" si="17"/>
        <v>No</v>
      </c>
      <c r="L256" s="7">
        <f t="shared" ca="1" si="16"/>
        <v>93</v>
      </c>
      <c r="M256" s="4" t="str">
        <f>IF($I256="Complete","Green",IF($H256="","Amber",IF($H256&lt;'[2]Read Me'!$B$4,"Red",IF($H256-'[2]Read Me'!$B$4&lt;=21,"Amber","Green"))))</f>
        <v>Green</v>
      </c>
      <c r="N256" s="3"/>
      <c r="O256" t="str">
        <f>IF($I256&lt;&gt;"Complete",IF(COUNTIFS($A$4:$A255,$A256,$B$4:$B255,$B256,$I$4:$I255,"&lt;&gt;Complete")=0,$A256&amp;"|"&amp;$B256,""),"")</f>
        <v/>
      </c>
      <c r="P256" t="str">
        <f ca="1">IF($K256="Yes",COUNTIFS($K$4:$K256,"Yes"),"")</f>
        <v/>
      </c>
      <c r="Q256">
        <f t="shared" ca="1" si="15"/>
        <v>0</v>
      </c>
      <c r="R256" t="str">
        <f ca="1">IF($Q256=1,SUM($Q$4:$Q256),"")</f>
        <v/>
      </c>
    </row>
    <row r="257" spans="1:18" ht="22.5" customHeight="1" x14ac:dyDescent="0.3">
      <c r="A257" s="2" t="s">
        <v>595</v>
      </c>
      <c r="B257" s="2" t="s">
        <v>21</v>
      </c>
      <c r="C257" s="3"/>
      <c r="D257" s="3"/>
      <c r="E257" s="2"/>
      <c r="F257" s="2"/>
      <c r="G257" s="5">
        <v>46652</v>
      </c>
      <c r="H257" s="5">
        <v>46420</v>
      </c>
      <c r="I257" s="4"/>
      <c r="J257" s="6">
        <f t="shared" si="13"/>
        <v>-232</v>
      </c>
      <c r="K257" s="4" t="str">
        <f t="shared" ca="1" si="17"/>
        <v>No</v>
      </c>
      <c r="L257" s="7">
        <f t="shared" ca="1" si="16"/>
        <v>212</v>
      </c>
      <c r="M257" s="4" t="str">
        <f>IF($I257="Complete","Green",IF($H257="","Amber",IF($H257&lt;'[2]Read Me'!$B$4,"Red",IF($H257-'[2]Read Me'!$B$4&lt;=21,"Amber","Green"))))</f>
        <v>Green</v>
      </c>
      <c r="N257" s="3"/>
      <c r="O257" t="str">
        <f>IF($I257&lt;&gt;"Complete",IF(COUNTIFS($A$4:$A256,$A257,$B$4:$B256,$B257,$I$4:$I256,"&lt;&gt;Complete")=0,$A257&amp;"|"&amp;$B257,""),"")</f>
        <v>Ph - 1B|Landscape</v>
      </c>
      <c r="P257" t="str">
        <f ca="1">IF($K257="Yes",COUNTIFS($K$4:$K257,"Yes"),"")</f>
        <v/>
      </c>
      <c r="Q257">
        <f t="shared" ca="1" si="15"/>
        <v>0</v>
      </c>
      <c r="R257" t="str">
        <f ca="1">IF($Q257=1,SUM($Q$4:$Q257),"")</f>
        <v/>
      </c>
    </row>
    <row r="258" spans="1:18" ht="45" customHeight="1" x14ac:dyDescent="0.3">
      <c r="A258" s="2" t="s">
        <v>595</v>
      </c>
      <c r="B258" s="2" t="s">
        <v>21</v>
      </c>
      <c r="C258" s="3" t="s">
        <v>610</v>
      </c>
      <c r="D258" s="3" t="s">
        <v>126</v>
      </c>
      <c r="E258" s="2" t="s">
        <v>215</v>
      </c>
      <c r="F258" s="2" t="s">
        <v>79</v>
      </c>
      <c r="G258" s="5">
        <v>46309</v>
      </c>
      <c r="H258" s="5">
        <v>46329</v>
      </c>
      <c r="I258" s="4" t="s">
        <v>17</v>
      </c>
      <c r="J258" s="6">
        <f t="shared" si="13"/>
        <v>20</v>
      </c>
      <c r="K258" s="4" t="str">
        <f t="shared" ca="1" si="17"/>
        <v>No</v>
      </c>
      <c r="L258" s="7">
        <f t="shared" ca="1" si="16"/>
        <v>121</v>
      </c>
      <c r="M258" s="4" t="str">
        <f>IF($I258="Complete","Green",IF($H258="","Amber",IF($H258&lt;'[2]Read Me'!$B$4,"Red",IF($H258-'[2]Read Me'!$B$4&lt;=21,"Amber","Green"))))</f>
        <v>Green</v>
      </c>
      <c r="N258" s="3"/>
      <c r="O258" t="str">
        <f>IF($I258&lt;&gt;"Complete",IF(COUNTIFS($A$4:$A257,$A258,$B$4:$B257,$B258,$I$4:$I257,"&lt;&gt;Complete")=0,$A258&amp;"|"&amp;$B258,""),"")</f>
        <v/>
      </c>
      <c r="P258" t="str">
        <f ca="1">IF($K258="Yes",COUNTIFS($K$4:$K258,"Yes"),"")</f>
        <v/>
      </c>
      <c r="Q258">
        <f t="shared" ca="1" si="15"/>
        <v>0</v>
      </c>
      <c r="R258" t="str">
        <f ca="1">IF($Q258=1,SUM($Q$4:$Q258),"")</f>
        <v/>
      </c>
    </row>
    <row r="259" spans="1:18" ht="45" customHeight="1" x14ac:dyDescent="0.3">
      <c r="A259" s="2" t="s">
        <v>595</v>
      </c>
      <c r="B259" s="2" t="s">
        <v>21</v>
      </c>
      <c r="C259" s="3" t="s">
        <v>610</v>
      </c>
      <c r="D259" s="3" t="s">
        <v>34</v>
      </c>
      <c r="E259" s="2" t="s">
        <v>215</v>
      </c>
      <c r="F259" s="2"/>
      <c r="G259" s="5">
        <v>46323</v>
      </c>
      <c r="H259" s="5">
        <v>46343</v>
      </c>
      <c r="I259" s="4" t="s">
        <v>17</v>
      </c>
      <c r="J259" s="6">
        <f t="shared" si="13"/>
        <v>20</v>
      </c>
      <c r="K259" s="4" t="str">
        <f t="shared" ca="1" si="17"/>
        <v>No</v>
      </c>
      <c r="L259" s="7">
        <f t="shared" ca="1" si="16"/>
        <v>135</v>
      </c>
      <c r="M259" s="4" t="str">
        <f>IF($I259="Complete","Green",IF($H259="","Amber",IF($H259&lt;'[2]Read Me'!$B$4,"Red",IF($H259-'[2]Read Me'!$B$4&lt;=21,"Amber","Green"))))</f>
        <v>Green</v>
      </c>
      <c r="N259" s="3"/>
      <c r="O259" t="str">
        <f>IF($I259&lt;&gt;"Complete",IF(COUNTIFS($A$4:$A258,$A259,$B$4:$B258,$B259,$I$4:$I258,"&lt;&gt;Complete")=0,$A259&amp;"|"&amp;$B259,""),"")</f>
        <v/>
      </c>
      <c r="P259" t="str">
        <f ca="1">IF($K259="Yes",COUNTIFS($K$4:$K259,"Yes"),"")</f>
        <v/>
      </c>
      <c r="Q259">
        <f t="shared" ca="1" si="15"/>
        <v>0</v>
      </c>
      <c r="R259" t="str">
        <f ca="1">IF($Q259=1,SUM($Q$4:$Q259),"")</f>
        <v/>
      </c>
    </row>
    <row r="260" spans="1:18" ht="45" customHeight="1" x14ac:dyDescent="0.3">
      <c r="A260" s="2" t="s">
        <v>595</v>
      </c>
      <c r="B260" s="2" t="s">
        <v>21</v>
      </c>
      <c r="C260" s="3" t="s">
        <v>610</v>
      </c>
      <c r="D260" s="3" t="s">
        <v>127</v>
      </c>
      <c r="E260" s="2" t="s">
        <v>215</v>
      </c>
      <c r="F260" s="2" t="s">
        <v>79</v>
      </c>
      <c r="G260" s="5">
        <v>46351</v>
      </c>
      <c r="H260" s="5">
        <v>46371</v>
      </c>
      <c r="I260" s="4" t="s">
        <v>17</v>
      </c>
      <c r="J260" s="6">
        <f t="shared" ref="J260:J312" si="18">IF(OR($G260="",$H260=""),"",$H260-$G260)</f>
        <v>20</v>
      </c>
      <c r="K260" s="4" t="str">
        <f t="shared" ca="1" si="17"/>
        <v>No</v>
      </c>
      <c r="L260" s="7">
        <f t="shared" ca="1" si="16"/>
        <v>163</v>
      </c>
      <c r="M260" s="4" t="str">
        <f>IF($I260="Complete","Green",IF($H260="","Amber",IF($H260&lt;'[2]Read Me'!$B$4,"Red",IF($H260-'[2]Read Me'!$B$4&lt;=21,"Amber","Green"))))</f>
        <v>Green</v>
      </c>
      <c r="N260" s="3"/>
      <c r="O260" t="str">
        <f>IF($I260&lt;&gt;"Complete",IF(COUNTIFS($A$4:$A259,$A260,$B$4:$B259,$B260,$I$4:$I259,"&lt;&gt;Complete")=0,$A260&amp;"|"&amp;$B260,""),"")</f>
        <v/>
      </c>
      <c r="P260" t="str">
        <f ca="1">IF($K260="Yes",COUNTIFS($K$4:$K260,"Yes"),"")</f>
        <v/>
      </c>
      <c r="Q260">
        <f t="shared" ref="Q260:Q312" ca="1" si="19">IF(OR($I260="In Progress",$K260="Yes"),1,0)</f>
        <v>0</v>
      </c>
      <c r="R260" t="str">
        <f ca="1">IF($Q260=1,SUM($Q$4:$Q260),"")</f>
        <v/>
      </c>
    </row>
    <row r="261" spans="1:18" ht="45" customHeight="1" x14ac:dyDescent="0.3">
      <c r="A261" s="2" t="s">
        <v>595</v>
      </c>
      <c r="B261" s="2" t="s">
        <v>21</v>
      </c>
      <c r="C261" s="3" t="s">
        <v>610</v>
      </c>
      <c r="D261" s="3" t="s">
        <v>35</v>
      </c>
      <c r="E261" s="2" t="s">
        <v>215</v>
      </c>
      <c r="F261" s="2"/>
      <c r="G261" s="5">
        <v>46365</v>
      </c>
      <c r="H261" s="5">
        <v>46385</v>
      </c>
      <c r="I261" s="4" t="s">
        <v>17</v>
      </c>
      <c r="J261" s="6">
        <f t="shared" si="18"/>
        <v>20</v>
      </c>
      <c r="K261" s="4" t="str">
        <f t="shared" ca="1" si="17"/>
        <v>No</v>
      </c>
      <c r="L261" s="7">
        <f t="shared" ca="1" si="16"/>
        <v>177</v>
      </c>
      <c r="M261" s="4" t="str">
        <f>IF($I261="Complete","Green",IF($H261="","Amber",IF($H261&lt;'[2]Read Me'!$B$4,"Red",IF($H261-'[2]Read Me'!$B$4&lt;=21,"Amber","Green"))))</f>
        <v>Green</v>
      </c>
      <c r="N261" s="3"/>
      <c r="O261" t="str">
        <f>IF($I261&lt;&gt;"Complete",IF(COUNTIFS($A$4:$A260,$A261,$B$4:$B260,$B261,$I$4:$I260,"&lt;&gt;Complete")=0,$A261&amp;"|"&amp;$B261,""),"")</f>
        <v/>
      </c>
      <c r="P261" t="str">
        <f ca="1">IF($K261="Yes",COUNTIFS($K$4:$K261,"Yes"),"")</f>
        <v/>
      </c>
      <c r="Q261">
        <f t="shared" ca="1" si="19"/>
        <v>0</v>
      </c>
      <c r="R261" t="str">
        <f ca="1">IF($Q261=1,SUM($Q$4:$Q261),"")</f>
        <v/>
      </c>
    </row>
    <row r="262" spans="1:18" ht="45" customHeight="1" x14ac:dyDescent="0.3">
      <c r="A262" s="2" t="s">
        <v>595</v>
      </c>
      <c r="B262" s="2" t="s">
        <v>21</v>
      </c>
      <c r="C262" s="3" t="s">
        <v>610</v>
      </c>
      <c r="D262" s="3" t="s">
        <v>20</v>
      </c>
      <c r="E262" s="2" t="s">
        <v>184</v>
      </c>
      <c r="F262" s="2"/>
      <c r="G262" s="5">
        <v>46365</v>
      </c>
      <c r="H262" s="5">
        <v>46385</v>
      </c>
      <c r="I262" s="4" t="s">
        <v>17</v>
      </c>
      <c r="J262" s="6">
        <f t="shared" si="18"/>
        <v>20</v>
      </c>
      <c r="K262" s="4" t="str">
        <f t="shared" ca="1" si="17"/>
        <v>No</v>
      </c>
      <c r="L262" s="7">
        <f t="shared" ca="1" si="16"/>
        <v>177</v>
      </c>
      <c r="M262" s="4" t="str">
        <f>IF($I262="Complete","Green",IF($H262="","Amber",IF($H262&lt;'[2]Read Me'!$B$4,"Red",IF($H262-'[2]Read Me'!$B$4&lt;=21,"Amber","Green"))))</f>
        <v>Green</v>
      </c>
      <c r="N262" s="3"/>
      <c r="O262" t="str">
        <f>IF($I262&lt;&gt;"Complete",IF(COUNTIFS($A$4:$A261,$A262,$B$4:$B261,$B262,$I$4:$I261,"&lt;&gt;Complete")=0,$A262&amp;"|"&amp;$B262,""),"")</f>
        <v/>
      </c>
      <c r="P262" t="str">
        <f ca="1">IF($K262="Yes",COUNTIFS($K$4:$K262,"Yes"),"")</f>
        <v/>
      </c>
      <c r="Q262">
        <f t="shared" ca="1" si="19"/>
        <v>0</v>
      </c>
      <c r="R262" t="str">
        <f ca="1">IF($Q262=1,SUM($Q$4:$Q262),"")</f>
        <v/>
      </c>
    </row>
    <row r="263" spans="1:18" ht="45" customHeight="1" x14ac:dyDescent="0.3">
      <c r="A263" s="2" t="s">
        <v>595</v>
      </c>
      <c r="B263" s="2" t="s">
        <v>21</v>
      </c>
      <c r="C263" s="3" t="s">
        <v>610</v>
      </c>
      <c r="D263" s="3" t="s">
        <v>16</v>
      </c>
      <c r="E263" s="2" t="s">
        <v>215</v>
      </c>
      <c r="F263" s="2" t="s">
        <v>79</v>
      </c>
      <c r="G263" s="5">
        <v>46386</v>
      </c>
      <c r="H263" s="5">
        <v>46406</v>
      </c>
      <c r="I263" s="4" t="s">
        <v>17</v>
      </c>
      <c r="J263" s="6">
        <f t="shared" si="18"/>
        <v>20</v>
      </c>
      <c r="K263" s="4" t="str">
        <f t="shared" ca="1" si="17"/>
        <v>No</v>
      </c>
      <c r="L263" s="7">
        <f t="shared" ca="1" si="16"/>
        <v>198</v>
      </c>
      <c r="M263" s="4" t="str">
        <f>IF($I263="Complete","Green",IF($H263="","Amber",IF($H263&lt;'[2]Read Me'!$B$4,"Red",IF($H263-'[2]Read Me'!$B$4&lt;=21,"Amber","Green"))))</f>
        <v>Green</v>
      </c>
      <c r="N263" s="3"/>
      <c r="O263" t="str">
        <f>IF($I263&lt;&gt;"Complete",IF(COUNTIFS($A$4:$A262,$A263,$B$4:$B262,$B263,$I$4:$I262,"&lt;&gt;Complete")=0,$A263&amp;"|"&amp;$B263,""),"")</f>
        <v/>
      </c>
      <c r="P263" t="str">
        <f ca="1">IF($K263="Yes",COUNTIFS($K$4:$K263,"Yes"),"")</f>
        <v/>
      </c>
      <c r="Q263">
        <f t="shared" ca="1" si="19"/>
        <v>0</v>
      </c>
      <c r="R263" t="str">
        <f ca="1">IF($Q263=1,SUM($Q$4:$Q263),"")</f>
        <v/>
      </c>
    </row>
    <row r="264" spans="1:18" ht="45" customHeight="1" x14ac:dyDescent="0.3">
      <c r="A264" s="2" t="s">
        <v>595</v>
      </c>
      <c r="B264" s="2" t="s">
        <v>21</v>
      </c>
      <c r="C264" s="3" t="s">
        <v>610</v>
      </c>
      <c r="D264" s="3" t="s">
        <v>37</v>
      </c>
      <c r="E264" s="2" t="s">
        <v>215</v>
      </c>
      <c r="F264" s="2"/>
      <c r="G264" s="5">
        <v>46400</v>
      </c>
      <c r="H264" s="5">
        <v>46420</v>
      </c>
      <c r="I264" s="4" t="s">
        <v>17</v>
      </c>
      <c r="J264" s="6">
        <f t="shared" si="18"/>
        <v>20</v>
      </c>
      <c r="K264" s="4" t="str">
        <f t="shared" ca="1" si="17"/>
        <v>No</v>
      </c>
      <c r="L264" s="7">
        <f t="shared" ca="1" si="16"/>
        <v>212</v>
      </c>
      <c r="M264" s="4" t="str">
        <f>IF($I264="Complete","Green",IF($H264="","Amber",IF($H264&lt;'[2]Read Me'!$B$4,"Red",IF($H264-'[2]Read Me'!$B$4&lt;=21,"Amber","Green"))))</f>
        <v>Green</v>
      </c>
      <c r="N264" s="3"/>
      <c r="O264" t="str">
        <f>IF($I264&lt;&gt;"Complete",IF(COUNTIFS($A$4:$A263,$A264,$B$4:$B263,$B264,$I$4:$I263,"&lt;&gt;Complete")=0,$A264&amp;"|"&amp;$B264,""),"")</f>
        <v/>
      </c>
      <c r="P264" t="str">
        <f ca="1">IF($K264="Yes",COUNTIFS($K$4:$K264,"Yes"),"")</f>
        <v/>
      </c>
      <c r="Q264">
        <f t="shared" ca="1" si="19"/>
        <v>0</v>
      </c>
      <c r="R264" t="str">
        <f ca="1">IF($Q264=1,SUM($Q$4:$Q264),"")</f>
        <v/>
      </c>
    </row>
    <row r="265" spans="1:18" ht="45" customHeight="1" x14ac:dyDescent="0.3">
      <c r="A265" s="2" t="s">
        <v>611</v>
      </c>
      <c r="B265" s="2" t="s">
        <v>21</v>
      </c>
      <c r="C265" s="3"/>
      <c r="D265" s="3"/>
      <c r="E265" s="2"/>
      <c r="F265" s="2"/>
      <c r="G265" s="5">
        <v>46519</v>
      </c>
      <c r="H265" s="5">
        <v>46539</v>
      </c>
      <c r="I265" s="4"/>
      <c r="J265" s="6">
        <f t="shared" si="18"/>
        <v>20</v>
      </c>
      <c r="K265" s="4" t="str">
        <f t="shared" ref="K265:K312" ca="1" si="20">IF($H265="","",IF($H265&lt;TODAY(),"No","Yes"))</f>
        <v>Yes</v>
      </c>
      <c r="L265" s="7">
        <f t="shared" ref="L265:L328" ca="1" si="21">IF(I265="Completed",0,IF(H265="","",H265-TODAY()))</f>
        <v>331</v>
      </c>
      <c r="M265" s="4" t="str">
        <f>IF($I265="Complete","Green",IF($H265="","Amber",IF($H265&lt;'[2]Read Me'!$B$4,"Red",IF($H265-'[2]Read Me'!$B$4&lt;=21,"Amber","Green"))))</f>
        <v>Green</v>
      </c>
      <c r="N265" s="3"/>
      <c r="O265" t="str">
        <f>IF($I265&lt;&gt;"Complete",IF(COUNTIFS($A$4:$A264,$A265,$B$4:$B264,$B265,$I$4:$I264,"&lt;&gt;Complete")=0,$A265&amp;"|"&amp;$B265,""),"")</f>
        <v>Ph - 2C|Landscape</v>
      </c>
      <c r="P265">
        <f ca="1">IF($K265="Yes",COUNTIFS($K$4:$K265,"Yes"),"")</f>
        <v>18</v>
      </c>
      <c r="Q265">
        <f t="shared" ca="1" si="19"/>
        <v>1</v>
      </c>
      <c r="R265">
        <f ca="1">IF($Q265=1,SUM($Q$4:$Q265),"")</f>
        <v>18</v>
      </c>
    </row>
    <row r="266" spans="1:18" ht="45" customHeight="1" x14ac:dyDescent="0.3">
      <c r="A266" s="2" t="s">
        <v>611</v>
      </c>
      <c r="B266" s="2" t="s">
        <v>21</v>
      </c>
      <c r="C266" s="3" t="s">
        <v>612</v>
      </c>
      <c r="D266" s="3" t="s">
        <v>126</v>
      </c>
      <c r="E266" s="2" t="s">
        <v>215</v>
      </c>
      <c r="F266" s="2" t="s">
        <v>79</v>
      </c>
      <c r="G266" s="5">
        <v>46428</v>
      </c>
      <c r="H266" s="5">
        <v>46448</v>
      </c>
      <c r="I266" s="4" t="s">
        <v>17</v>
      </c>
      <c r="J266" s="6">
        <f t="shared" si="18"/>
        <v>20</v>
      </c>
      <c r="K266" s="4" t="str">
        <f t="shared" ca="1" si="20"/>
        <v>Yes</v>
      </c>
      <c r="L266" s="7">
        <f t="shared" ca="1" si="21"/>
        <v>240</v>
      </c>
      <c r="M266" s="4" t="str">
        <f>IF($I266="Complete","Green",IF($H266="","Amber",IF($H266&lt;'[2]Read Me'!$B$4,"Red",IF($H266-'[2]Read Me'!$B$4&lt;=21,"Amber","Green"))))</f>
        <v>Green</v>
      </c>
      <c r="N266" s="3"/>
      <c r="O266" t="str">
        <f>IF($I266&lt;&gt;"Complete",IF(COUNTIFS($A$4:$A265,$A266,$B$4:$B265,$B266,$I$4:$I265,"&lt;&gt;Complete")=0,$A266&amp;"|"&amp;$B266,""),"")</f>
        <v/>
      </c>
      <c r="P266">
        <f ca="1">IF($K266="Yes",COUNTIFS($K$4:$K266,"Yes"),"")</f>
        <v>19</v>
      </c>
      <c r="Q266">
        <f t="shared" ca="1" si="19"/>
        <v>1</v>
      </c>
      <c r="R266">
        <f ca="1">IF($Q266=1,SUM($Q$4:$Q266),"")</f>
        <v>19</v>
      </c>
    </row>
    <row r="267" spans="1:18" ht="45" customHeight="1" x14ac:dyDescent="0.3">
      <c r="A267" s="2" t="s">
        <v>611</v>
      </c>
      <c r="B267" s="2" t="s">
        <v>21</v>
      </c>
      <c r="C267" s="3" t="s">
        <v>612</v>
      </c>
      <c r="D267" s="3" t="s">
        <v>34</v>
      </c>
      <c r="E267" s="2" t="s">
        <v>215</v>
      </c>
      <c r="F267" s="2"/>
      <c r="G267" s="5">
        <v>46442</v>
      </c>
      <c r="H267" s="5">
        <v>46462</v>
      </c>
      <c r="I267" s="4" t="s">
        <v>17</v>
      </c>
      <c r="J267" s="6">
        <f t="shared" si="18"/>
        <v>20</v>
      </c>
      <c r="K267" s="4" t="str">
        <f t="shared" ca="1" si="20"/>
        <v>Yes</v>
      </c>
      <c r="L267" s="7">
        <f t="shared" ca="1" si="21"/>
        <v>254</v>
      </c>
      <c r="M267" s="4" t="str">
        <f>IF($I267="Complete","Green",IF($H267="","Amber",IF($H267&lt;'[2]Read Me'!$B$4,"Red",IF($H267-'[2]Read Me'!$B$4&lt;=21,"Amber","Green"))))</f>
        <v>Green</v>
      </c>
      <c r="N267" s="3"/>
      <c r="O267" t="str">
        <f>IF($I267&lt;&gt;"Complete",IF(COUNTIFS($A$4:$A266,$A267,$B$4:$B266,$B267,$I$4:$I266,"&lt;&gt;Complete")=0,$A267&amp;"|"&amp;$B267,""),"")</f>
        <v/>
      </c>
      <c r="P267">
        <f ca="1">IF($K267="Yes",COUNTIFS($K$4:$K267,"Yes"),"")</f>
        <v>20</v>
      </c>
      <c r="Q267">
        <f t="shared" ca="1" si="19"/>
        <v>1</v>
      </c>
      <c r="R267">
        <f ca="1">IF($Q267=1,SUM($Q$4:$Q267),"")</f>
        <v>20</v>
      </c>
    </row>
    <row r="268" spans="1:18" ht="14.25" customHeight="1" x14ac:dyDescent="0.3">
      <c r="A268" s="2" t="s">
        <v>611</v>
      </c>
      <c r="B268" s="2" t="s">
        <v>21</v>
      </c>
      <c r="C268" s="3" t="s">
        <v>612</v>
      </c>
      <c r="D268" s="3" t="s">
        <v>127</v>
      </c>
      <c r="E268" s="2" t="s">
        <v>215</v>
      </c>
      <c r="F268" s="2" t="s">
        <v>79</v>
      </c>
      <c r="G268" s="5">
        <v>46470</v>
      </c>
      <c r="H268" s="5">
        <v>46490</v>
      </c>
      <c r="I268" s="4" t="s">
        <v>17</v>
      </c>
      <c r="J268" s="6">
        <f t="shared" si="18"/>
        <v>20</v>
      </c>
      <c r="K268" s="4" t="str">
        <f t="shared" ca="1" si="20"/>
        <v>Yes</v>
      </c>
      <c r="L268" s="7">
        <f t="shared" ca="1" si="21"/>
        <v>282</v>
      </c>
      <c r="M268" s="4" t="str">
        <f>IF($I268="Complete","Green",IF($H268="","Amber",IF($H268&lt;'[2]Read Me'!$B$4,"Red",IF($H268-'[2]Read Me'!$B$4&lt;=21,"Amber","Green"))))</f>
        <v>Green</v>
      </c>
      <c r="N268" s="3"/>
      <c r="O268" t="str">
        <f>IF($I268&lt;&gt;"Complete",IF(COUNTIFS($A$4:$A267,$A268,$B$4:$B267,$B268,$I$4:$I267,"&lt;&gt;Complete")=0,$A268&amp;"|"&amp;$B268,""),"")</f>
        <v/>
      </c>
      <c r="P268">
        <f ca="1">IF($K268="Yes",COUNTIFS($K$4:$K268,"Yes"),"")</f>
        <v>21</v>
      </c>
      <c r="Q268">
        <f t="shared" ca="1" si="19"/>
        <v>1</v>
      </c>
      <c r="R268">
        <f ca="1">IF($Q268=1,SUM($Q$4:$Q268),"")</f>
        <v>21</v>
      </c>
    </row>
    <row r="269" spans="1:18" ht="14.25" customHeight="1" x14ac:dyDescent="0.3">
      <c r="A269" s="2" t="s">
        <v>611</v>
      </c>
      <c r="B269" s="2" t="s">
        <v>21</v>
      </c>
      <c r="C269" s="3" t="s">
        <v>612</v>
      </c>
      <c r="D269" s="3" t="s">
        <v>35</v>
      </c>
      <c r="E269" s="2" t="s">
        <v>215</v>
      </c>
      <c r="F269" s="2"/>
      <c r="G269" s="5">
        <v>46484</v>
      </c>
      <c r="H269" s="5">
        <v>46504</v>
      </c>
      <c r="I269" s="4" t="s">
        <v>17</v>
      </c>
      <c r="J269" s="6">
        <f t="shared" si="18"/>
        <v>20</v>
      </c>
      <c r="K269" s="4" t="str">
        <f t="shared" ca="1" si="20"/>
        <v>Yes</v>
      </c>
      <c r="L269" s="7">
        <f t="shared" ca="1" si="21"/>
        <v>296</v>
      </c>
      <c r="M269" s="4" t="str">
        <f>IF($I269="Complete","Green",IF($H269="","Amber",IF($H269&lt;'[2]Read Me'!$B$4,"Red",IF($H269-'[2]Read Me'!$B$4&lt;=21,"Amber","Green"))))</f>
        <v>Green</v>
      </c>
      <c r="N269" s="3"/>
      <c r="O269" t="str">
        <f>IF($I269&lt;&gt;"Complete",IF(COUNTIFS($A$4:$A268,$A269,$B$4:$B268,$B269,$I$4:$I268,"&lt;&gt;Complete")=0,$A269&amp;"|"&amp;$B269,""),"")</f>
        <v/>
      </c>
      <c r="P269">
        <f ca="1">IF($K269="Yes",COUNTIFS($K$4:$K269,"Yes"),"")</f>
        <v>22</v>
      </c>
      <c r="Q269">
        <f t="shared" ca="1" si="19"/>
        <v>1</v>
      </c>
      <c r="R269">
        <f ca="1">IF($Q269=1,SUM($Q$4:$Q269),"")</f>
        <v>22</v>
      </c>
    </row>
    <row r="270" spans="1:18" ht="14.25" customHeight="1" x14ac:dyDescent="0.3">
      <c r="A270" s="2" t="s">
        <v>611</v>
      </c>
      <c r="B270" s="2" t="s">
        <v>21</v>
      </c>
      <c r="C270" s="3" t="s">
        <v>612</v>
      </c>
      <c r="D270" s="3" t="s">
        <v>20</v>
      </c>
      <c r="E270" s="2" t="s">
        <v>184</v>
      </c>
      <c r="F270" s="2"/>
      <c r="G270" s="5">
        <v>46484</v>
      </c>
      <c r="H270" s="5">
        <v>46504</v>
      </c>
      <c r="I270" s="4" t="s">
        <v>17</v>
      </c>
      <c r="J270" s="6">
        <f t="shared" si="18"/>
        <v>20</v>
      </c>
      <c r="K270" s="4" t="str">
        <f t="shared" ca="1" si="20"/>
        <v>Yes</v>
      </c>
      <c r="L270" s="7">
        <f t="shared" ca="1" si="21"/>
        <v>296</v>
      </c>
      <c r="M270" s="4" t="str">
        <f>IF($I270="Complete","Green",IF($H270="","Amber",IF($H270&lt;'[2]Read Me'!$B$4,"Red",IF($H270-'[2]Read Me'!$B$4&lt;=21,"Amber","Green"))))</f>
        <v>Green</v>
      </c>
      <c r="N270" s="3"/>
      <c r="O270" t="str">
        <f>IF($I270&lt;&gt;"Complete",IF(COUNTIFS($A$4:$A269,$A270,$B$4:$B269,$B270,$I$4:$I269,"&lt;&gt;Complete")=0,$A270&amp;"|"&amp;$B270,""),"")</f>
        <v/>
      </c>
      <c r="P270">
        <f ca="1">IF($K270="Yes",COUNTIFS($K$4:$K270,"Yes"),"")</f>
        <v>23</v>
      </c>
      <c r="Q270">
        <f t="shared" ca="1" si="19"/>
        <v>1</v>
      </c>
      <c r="R270">
        <f ca="1">IF($Q270=1,SUM($Q$4:$Q270),"")</f>
        <v>23</v>
      </c>
    </row>
    <row r="271" spans="1:18" ht="14.25" customHeight="1" x14ac:dyDescent="0.3">
      <c r="A271" s="2" t="s">
        <v>611</v>
      </c>
      <c r="B271" s="2" t="s">
        <v>21</v>
      </c>
      <c r="C271" s="3" t="s">
        <v>612</v>
      </c>
      <c r="D271" s="3" t="s">
        <v>16</v>
      </c>
      <c r="E271" s="2" t="s">
        <v>215</v>
      </c>
      <c r="F271" s="2" t="s">
        <v>79</v>
      </c>
      <c r="G271" s="5">
        <v>46505</v>
      </c>
      <c r="H271" s="5">
        <v>46525</v>
      </c>
      <c r="I271" s="4" t="s">
        <v>17</v>
      </c>
      <c r="J271" s="6">
        <f t="shared" si="18"/>
        <v>20</v>
      </c>
      <c r="K271" s="4" t="str">
        <f t="shared" ca="1" si="20"/>
        <v>Yes</v>
      </c>
      <c r="L271" s="7">
        <f t="shared" ca="1" si="21"/>
        <v>317</v>
      </c>
      <c r="M271" s="4" t="str">
        <f>IF($I271="Complete","Green",IF($H271="","Amber",IF($H271&lt;'[2]Read Me'!$B$4,"Red",IF($H271-'[2]Read Me'!$B$4&lt;=21,"Amber","Green"))))</f>
        <v>Green</v>
      </c>
      <c r="N271" s="3"/>
      <c r="O271" t="str">
        <f>IF($I271&lt;&gt;"Complete",IF(COUNTIFS($A$4:$A270,$A271,$B$4:$B270,$B271,$I$4:$I270,"&lt;&gt;Complete")=0,$A271&amp;"|"&amp;$B271,""),"")</f>
        <v/>
      </c>
      <c r="P271">
        <f ca="1">IF($K271="Yes",COUNTIFS($K$4:$K271,"Yes"),"")</f>
        <v>24</v>
      </c>
      <c r="Q271">
        <f t="shared" ca="1" si="19"/>
        <v>1</v>
      </c>
      <c r="R271">
        <f ca="1">IF($Q271=1,SUM($Q$4:$Q271),"")</f>
        <v>24</v>
      </c>
    </row>
    <row r="272" spans="1:18" ht="14.25" customHeight="1" x14ac:dyDescent="0.3">
      <c r="A272" s="2" t="s">
        <v>611</v>
      </c>
      <c r="B272" s="2" t="s">
        <v>21</v>
      </c>
      <c r="C272" s="3" t="s">
        <v>612</v>
      </c>
      <c r="D272" s="3" t="s">
        <v>37</v>
      </c>
      <c r="E272" s="2" t="s">
        <v>215</v>
      </c>
      <c r="F272" s="2"/>
      <c r="G272" s="5">
        <v>46519</v>
      </c>
      <c r="H272" s="5">
        <v>46539</v>
      </c>
      <c r="I272" s="4" t="s">
        <v>17</v>
      </c>
      <c r="J272" s="6">
        <f t="shared" si="18"/>
        <v>20</v>
      </c>
      <c r="K272" s="4" t="str">
        <f t="shared" ca="1" si="20"/>
        <v>Yes</v>
      </c>
      <c r="L272" s="7">
        <f t="shared" ca="1" si="21"/>
        <v>331</v>
      </c>
      <c r="M272" s="4" t="str">
        <f>IF($I272="Complete","Green",IF($H272="","Amber",IF($H272&lt;'[2]Read Me'!$B$4,"Red",IF($H272-'[2]Read Me'!$B$4&lt;=21,"Amber","Green"))))</f>
        <v>Green</v>
      </c>
      <c r="N272" s="3"/>
      <c r="O272" t="str">
        <f>IF($I272&lt;&gt;"Complete",IF(COUNTIFS($A$4:$A271,$A272,$B$4:$B271,$B272,$I$4:$I271,"&lt;&gt;Complete")=0,$A272&amp;"|"&amp;$B272,""),"")</f>
        <v/>
      </c>
      <c r="P272">
        <f ca="1">IF($K272="Yes",COUNTIFS($K$4:$K272,"Yes"),"")</f>
        <v>25</v>
      </c>
      <c r="Q272">
        <f t="shared" ca="1" si="19"/>
        <v>1</v>
      </c>
      <c r="R272">
        <f ca="1">IF($Q272=1,SUM($Q$4:$Q272),"")</f>
        <v>25</v>
      </c>
    </row>
    <row r="273" spans="1:18" ht="14.25" customHeight="1" x14ac:dyDescent="0.3">
      <c r="A273" s="2" t="s">
        <v>613</v>
      </c>
      <c r="B273" s="2" t="s">
        <v>21</v>
      </c>
      <c r="C273" s="3"/>
      <c r="D273" s="3"/>
      <c r="E273" s="2"/>
      <c r="F273" s="2"/>
      <c r="G273" s="5">
        <v>46355</v>
      </c>
      <c r="H273" s="5">
        <v>46356</v>
      </c>
      <c r="I273" s="4"/>
      <c r="J273" s="6">
        <f t="shared" si="18"/>
        <v>1</v>
      </c>
      <c r="K273" s="4" t="str">
        <f t="shared" ca="1" si="20"/>
        <v>Yes</v>
      </c>
      <c r="L273" s="7">
        <f t="shared" ca="1" si="21"/>
        <v>148</v>
      </c>
      <c r="M273" s="4" t="str">
        <f>IF($I273="Complete","Green",IF($H273="","Amber",IF($H273&lt;'[2]Read Me'!$B$4,"Red",IF($H273-'[2]Read Me'!$B$4&lt;=21,"Amber","Green"))))</f>
        <v>Green</v>
      </c>
      <c r="N273" s="3"/>
      <c r="O273" t="str">
        <f>IF($I273&lt;&gt;"Complete",IF(COUNTIFS($A$4:$A272,$A273,$B$4:$B272,$B273,$I$4:$I272,"&lt;&gt;Complete")=0,$A273&amp;"|"&amp;$B273,""),"")</f>
        <v>External Fences and Gates|Landscape</v>
      </c>
      <c r="P273">
        <f ca="1">IF($K273="Yes",COUNTIFS($K$4:$K273,"Yes"),"")</f>
        <v>26</v>
      </c>
      <c r="Q273">
        <f t="shared" ca="1" si="19"/>
        <v>1</v>
      </c>
      <c r="R273">
        <f ca="1">IF($Q273=1,SUM($Q$4:$Q273),"")</f>
        <v>26</v>
      </c>
    </row>
    <row r="274" spans="1:18" ht="14.25" customHeight="1" x14ac:dyDescent="0.3">
      <c r="A274" s="2" t="s">
        <v>613</v>
      </c>
      <c r="B274" s="2" t="s">
        <v>21</v>
      </c>
      <c r="C274" s="3" t="s">
        <v>613</v>
      </c>
      <c r="D274" s="3" t="s">
        <v>614</v>
      </c>
      <c r="E274" s="2" t="s">
        <v>215</v>
      </c>
      <c r="F274" s="2" t="s">
        <v>277</v>
      </c>
      <c r="G274" s="5">
        <v>45929</v>
      </c>
      <c r="H274" s="5">
        <v>45963</v>
      </c>
      <c r="I274" s="4" t="s">
        <v>31</v>
      </c>
      <c r="J274" s="6">
        <f t="shared" si="18"/>
        <v>34</v>
      </c>
      <c r="K274" s="4" t="str">
        <f t="shared" ca="1" si="20"/>
        <v>No</v>
      </c>
      <c r="L274" s="7">
        <f t="shared" ca="1" si="21"/>
        <v>0</v>
      </c>
      <c r="M274" s="4" t="str">
        <f>IF($I274="Complete","Green",IF($H274="","Amber",IF($H274&lt;'[2]Read Me'!$B$4,"Red",IF($H274-'[2]Read Me'!$B$4&lt;=21,"Amber","Green"))))</f>
        <v>Red</v>
      </c>
      <c r="N274" s="3"/>
      <c r="O274" t="str">
        <f>IF($I274&lt;&gt;"Complete",IF(COUNTIFS($A$4:$A273,$A274,$B$4:$B273,$B274,$I$4:$I273,"&lt;&gt;Complete")=0,$A274&amp;"|"&amp;$B274,""),"")</f>
        <v/>
      </c>
      <c r="P274" t="str">
        <f ca="1">IF($K274="Yes",COUNTIFS($K$4:$K274,"Yes"),"")</f>
        <v/>
      </c>
      <c r="Q274">
        <f t="shared" ca="1" si="19"/>
        <v>0</v>
      </c>
      <c r="R274" t="str">
        <f ca="1">IF($Q274=1,SUM($Q$4:$Q274),"")</f>
        <v/>
      </c>
    </row>
    <row r="275" spans="1:18" ht="14.25" customHeight="1" x14ac:dyDescent="0.3">
      <c r="A275" s="2" t="s">
        <v>613</v>
      </c>
      <c r="B275" s="2" t="s">
        <v>21</v>
      </c>
      <c r="C275" s="3" t="s">
        <v>613</v>
      </c>
      <c r="D275" s="3" t="s">
        <v>47</v>
      </c>
      <c r="E275" s="2" t="s">
        <v>215</v>
      </c>
      <c r="F275" s="2"/>
      <c r="G275" s="5">
        <v>45943</v>
      </c>
      <c r="H275" s="5">
        <v>46034</v>
      </c>
      <c r="I275" s="4" t="s">
        <v>31</v>
      </c>
      <c r="J275" s="6">
        <f t="shared" si="18"/>
        <v>91</v>
      </c>
      <c r="K275" s="4" t="str">
        <f t="shared" ca="1" si="20"/>
        <v>No</v>
      </c>
      <c r="L275" s="7">
        <f t="shared" ca="1" si="21"/>
        <v>0</v>
      </c>
      <c r="M275" s="4" t="str">
        <f>IF($I275="Complete","Green",IF($H275="","Amber",IF($H275&lt;'[2]Read Me'!$B$4,"Red",IF($H275-'[2]Read Me'!$B$4&lt;=21,"Amber","Green"))))</f>
        <v>Red</v>
      </c>
      <c r="N275" s="3"/>
      <c r="O275" t="str">
        <f>IF($I275&lt;&gt;"Complete",IF(COUNTIFS($A$4:$A274,$A275,$B$4:$B274,$B275,$I$4:$I274,"&lt;&gt;Complete")=0,$A275&amp;"|"&amp;$B275,""),"")</f>
        <v/>
      </c>
      <c r="P275" t="str">
        <f ca="1">IF($K275="Yes",COUNTIFS($K$4:$K275,"Yes"),"")</f>
        <v/>
      </c>
      <c r="Q275">
        <f t="shared" ca="1" si="19"/>
        <v>0</v>
      </c>
      <c r="R275" t="str">
        <f ca="1">IF($Q275=1,SUM($Q$4:$Q275),"")</f>
        <v/>
      </c>
    </row>
    <row r="276" spans="1:18" ht="14.25" customHeight="1" x14ac:dyDescent="0.3">
      <c r="A276" s="2" t="s">
        <v>613</v>
      </c>
      <c r="B276" s="2" t="s">
        <v>21</v>
      </c>
      <c r="C276" s="3" t="s">
        <v>613</v>
      </c>
      <c r="D276" s="3" t="s">
        <v>615</v>
      </c>
      <c r="E276" s="2" t="s">
        <v>566</v>
      </c>
      <c r="F276" s="2"/>
      <c r="G276" s="5"/>
      <c r="H276" s="5">
        <v>46105</v>
      </c>
      <c r="I276" s="4" t="s">
        <v>31</v>
      </c>
      <c r="J276" s="6" t="str">
        <f t="shared" si="18"/>
        <v/>
      </c>
      <c r="K276" s="4" t="str">
        <f t="shared" ca="1" si="20"/>
        <v>No</v>
      </c>
      <c r="L276" s="7">
        <f t="shared" ca="1" si="21"/>
        <v>0</v>
      </c>
      <c r="M276" s="4" t="str">
        <f>IF($I276="Complete","Green",IF($H276="","Amber",IF($H276&lt;'[2]Read Me'!$B$4,"Red",IF($H276-'[2]Read Me'!$B$4&lt;=21,"Amber","Green"))))</f>
        <v>Red</v>
      </c>
      <c r="N276" s="3"/>
      <c r="O276" t="str">
        <f>IF($I276&lt;&gt;"Complete",IF(COUNTIFS($A$4:$A275,$A276,$B$4:$B275,$B276,$I$4:$I275,"&lt;&gt;Complete")=0,$A276&amp;"|"&amp;$B276,""),"")</f>
        <v/>
      </c>
      <c r="P276" t="str">
        <f ca="1">IF($K276="Yes",COUNTIFS($K$4:$K276,"Yes"),"")</f>
        <v/>
      </c>
      <c r="Q276">
        <f t="shared" ca="1" si="19"/>
        <v>0</v>
      </c>
      <c r="R276" t="str">
        <f ca="1">IF($Q276=1,SUM($Q$4:$Q276),"")</f>
        <v/>
      </c>
    </row>
    <row r="277" spans="1:18" ht="14.25" customHeight="1" x14ac:dyDescent="0.3">
      <c r="A277" s="2" t="s">
        <v>613</v>
      </c>
      <c r="B277" s="2" t="s">
        <v>21</v>
      </c>
      <c r="C277" s="3" t="s">
        <v>613</v>
      </c>
      <c r="D277" s="3" t="s">
        <v>616</v>
      </c>
      <c r="E277" s="2" t="s">
        <v>215</v>
      </c>
      <c r="F277" s="2" t="s">
        <v>277</v>
      </c>
      <c r="G277" s="5">
        <v>45971</v>
      </c>
      <c r="H277" s="5">
        <v>46139</v>
      </c>
      <c r="I277" s="4" t="s">
        <v>31</v>
      </c>
      <c r="J277" s="6">
        <f t="shared" si="18"/>
        <v>168</v>
      </c>
      <c r="K277" s="4" t="str">
        <f t="shared" ca="1" si="20"/>
        <v>No</v>
      </c>
      <c r="L277" s="7">
        <f t="shared" ca="1" si="21"/>
        <v>0</v>
      </c>
      <c r="M277" s="4" t="str">
        <f>IF($I277="Complete","Green",IF($H277="","Amber",IF($H277&lt;'[2]Read Me'!$B$4,"Red",IF($H277-'[2]Read Me'!$B$4&lt;=21,"Amber","Green"))))</f>
        <v>Red</v>
      </c>
      <c r="N277" s="3"/>
      <c r="O277" t="str">
        <f>IF($I277&lt;&gt;"Complete",IF(COUNTIFS($A$4:$A276,$A277,$B$4:$B276,$B277,$I$4:$I276,"&lt;&gt;Complete")=0,$A277&amp;"|"&amp;$B277,""),"")</f>
        <v/>
      </c>
      <c r="P277" t="str">
        <f ca="1">IF($K277="Yes",COUNTIFS($K$4:$K277,"Yes"),"")</f>
        <v/>
      </c>
      <c r="Q277">
        <f t="shared" ca="1" si="19"/>
        <v>0</v>
      </c>
      <c r="R277" t="str">
        <f ca="1">IF($Q277=1,SUM($Q$4:$Q277),"")</f>
        <v/>
      </c>
    </row>
    <row r="278" spans="1:18" ht="14.25" customHeight="1" x14ac:dyDescent="0.3">
      <c r="A278" s="2" t="s">
        <v>613</v>
      </c>
      <c r="B278" s="2" t="s">
        <v>21</v>
      </c>
      <c r="C278" s="3" t="s">
        <v>613</v>
      </c>
      <c r="D278" s="3" t="s">
        <v>32</v>
      </c>
      <c r="E278" s="2" t="s">
        <v>215</v>
      </c>
      <c r="F278" s="2"/>
      <c r="G278" s="5">
        <v>45985</v>
      </c>
      <c r="H278" s="5">
        <v>46146</v>
      </c>
      <c r="I278" s="4" t="s">
        <v>31</v>
      </c>
      <c r="J278" s="6">
        <f t="shared" si="18"/>
        <v>161</v>
      </c>
      <c r="K278" s="4" t="str">
        <f t="shared" ca="1" si="20"/>
        <v>No</v>
      </c>
      <c r="L278" s="7">
        <f t="shared" ca="1" si="21"/>
        <v>0</v>
      </c>
      <c r="M278" s="4" t="str">
        <f>IF($I278="Complete","Green",IF($H278="","Amber",IF($H278&lt;'[2]Read Me'!$B$4,"Red",IF($H278-'[2]Read Me'!$B$4&lt;=21,"Amber","Green"))))</f>
        <v>Red</v>
      </c>
      <c r="N278" s="3"/>
      <c r="O278" t="str">
        <f>IF($I278&lt;&gt;"Complete",IF(COUNTIFS($A$4:$A277,$A278,$B$4:$B277,$B278,$I$4:$I277,"&lt;&gt;Complete")=0,$A278&amp;"|"&amp;$B278,""),"")</f>
        <v/>
      </c>
      <c r="P278" t="str">
        <f ca="1">IF($K278="Yes",COUNTIFS($K$4:$K278,"Yes"),"")</f>
        <v/>
      </c>
      <c r="Q278">
        <f t="shared" ca="1" si="19"/>
        <v>0</v>
      </c>
      <c r="R278" t="str">
        <f ca="1">IF($Q278=1,SUM($Q$4:$Q278),"")</f>
        <v/>
      </c>
    </row>
    <row r="279" spans="1:18" ht="14.25" customHeight="1" x14ac:dyDescent="0.3">
      <c r="A279" s="2" t="s">
        <v>613</v>
      </c>
      <c r="B279" s="2" t="s">
        <v>21</v>
      </c>
      <c r="C279" s="3" t="s">
        <v>613</v>
      </c>
      <c r="D279" s="3" t="s">
        <v>548</v>
      </c>
      <c r="E279" s="2" t="s">
        <v>215</v>
      </c>
      <c r="F279" s="2" t="s">
        <v>79</v>
      </c>
      <c r="G279" s="5">
        <v>46152</v>
      </c>
      <c r="H279" s="5">
        <v>46160</v>
      </c>
      <c r="I279" s="4" t="s">
        <v>31</v>
      </c>
      <c r="J279" s="6">
        <f t="shared" si="18"/>
        <v>8</v>
      </c>
      <c r="K279" s="4" t="str">
        <f t="shared" ca="1" si="20"/>
        <v>No</v>
      </c>
      <c r="L279" s="7">
        <f t="shared" ca="1" si="21"/>
        <v>0</v>
      </c>
      <c r="M279" s="4" t="str">
        <f>IF($I279="Complete","Green",IF($H279="","Amber",IF($H279&lt;'[2]Read Me'!$B$4,"Red",IF($H279-'[2]Read Me'!$B$4&lt;=21,"Amber","Green"))))</f>
        <v>Red</v>
      </c>
      <c r="N279" s="3"/>
      <c r="O279" t="str">
        <f>IF($I279&lt;&gt;"Complete",IF(COUNTIFS($A$4:$A278,$A279,$B$4:$B278,$B279,$I$4:$I278,"&lt;&gt;Complete")=0,$A279&amp;"|"&amp;$B279,""),"")</f>
        <v/>
      </c>
      <c r="P279" t="str">
        <f ca="1">IF($K279="Yes",COUNTIFS($K$4:$K279,"Yes"),"")</f>
        <v/>
      </c>
      <c r="Q279">
        <f t="shared" ca="1" si="19"/>
        <v>0</v>
      </c>
      <c r="R279" t="str">
        <f ca="1">IF($Q279=1,SUM($Q$4:$Q279),"")</f>
        <v/>
      </c>
    </row>
    <row r="280" spans="1:18" ht="14.25" customHeight="1" x14ac:dyDescent="0.3">
      <c r="A280" s="2" t="s">
        <v>613</v>
      </c>
      <c r="B280" s="2" t="s">
        <v>21</v>
      </c>
      <c r="C280" s="3" t="s">
        <v>613</v>
      </c>
      <c r="D280" s="3" t="s">
        <v>617</v>
      </c>
      <c r="E280" s="2" t="s">
        <v>215</v>
      </c>
      <c r="F280" s="2"/>
      <c r="G280" s="5">
        <v>46166</v>
      </c>
      <c r="H280" s="5">
        <v>46167</v>
      </c>
      <c r="I280" s="4" t="s">
        <v>31</v>
      </c>
      <c r="J280" s="6">
        <f t="shared" si="18"/>
        <v>1</v>
      </c>
      <c r="K280" s="4" t="str">
        <f t="shared" ca="1" si="20"/>
        <v>No</v>
      </c>
      <c r="L280" s="7">
        <f t="shared" ca="1" si="21"/>
        <v>0</v>
      </c>
      <c r="M280" s="4" t="str">
        <f>IF($I280="Complete","Green",IF($H280="","Amber",IF($H280&lt;'[2]Read Me'!$B$4,"Red",IF($H280-'[2]Read Me'!$B$4&lt;=21,"Amber","Green"))))</f>
        <v>Red</v>
      </c>
      <c r="N280" s="3"/>
      <c r="O280" t="str">
        <f>IF($I280&lt;&gt;"Complete",IF(COUNTIFS($A$4:$A279,$A280,$B$4:$B279,$B280,$I$4:$I279,"&lt;&gt;Complete")=0,$A280&amp;"|"&amp;$B280,""),"")</f>
        <v/>
      </c>
      <c r="P280" t="str">
        <f ca="1">IF($K280="Yes",COUNTIFS($K$4:$K280,"Yes"),"")</f>
        <v/>
      </c>
      <c r="Q280">
        <f t="shared" ca="1" si="19"/>
        <v>0</v>
      </c>
      <c r="R280" t="str">
        <f ca="1">IF($Q280=1,SUM($Q$4:$Q280),"")</f>
        <v/>
      </c>
    </row>
    <row r="281" spans="1:18" ht="14.25" customHeight="1" x14ac:dyDescent="0.3">
      <c r="A281" s="2" t="s">
        <v>613</v>
      </c>
      <c r="B281" s="2" t="s">
        <v>21</v>
      </c>
      <c r="C281" s="3" t="s">
        <v>613</v>
      </c>
      <c r="D281" s="3" t="s">
        <v>14</v>
      </c>
      <c r="E281" s="2" t="s">
        <v>215</v>
      </c>
      <c r="F281" s="2" t="s">
        <v>79</v>
      </c>
      <c r="G281" s="5">
        <v>46194</v>
      </c>
      <c r="H281" s="5">
        <v>46195</v>
      </c>
      <c r="I281" s="4" t="s">
        <v>17</v>
      </c>
      <c r="J281" s="6">
        <f t="shared" si="18"/>
        <v>1</v>
      </c>
      <c r="K281" s="4" t="str">
        <f t="shared" ca="1" si="20"/>
        <v>No</v>
      </c>
      <c r="L281" s="7">
        <f t="shared" ca="1" si="21"/>
        <v>-13</v>
      </c>
      <c r="M281" s="4" t="str">
        <f>IF($I281="Complete","Green",IF($H281="","Amber",IF($H281&lt;'[2]Read Me'!$B$4,"Red",IF($H281-'[2]Read Me'!$B$4&lt;=21,"Amber","Green"))))</f>
        <v>Amber</v>
      </c>
      <c r="N281" s="3"/>
      <c r="O281" t="str">
        <f>IF($I281&lt;&gt;"Complete",IF(COUNTIFS($A$4:$A280,$A281,$B$4:$B280,$B281,$I$4:$I280,"&lt;&gt;Complete")=0,$A281&amp;"|"&amp;$B281,""),"")</f>
        <v/>
      </c>
      <c r="P281" t="str">
        <f ca="1">IF($K281="Yes",COUNTIFS($K$4:$K281,"Yes"),"")</f>
        <v/>
      </c>
      <c r="Q281">
        <f t="shared" ca="1" si="19"/>
        <v>0</v>
      </c>
      <c r="R281" t="str">
        <f ca="1">IF($Q281=1,SUM($Q$4:$Q281),"")</f>
        <v/>
      </c>
    </row>
    <row r="282" spans="1:18" ht="14.25" customHeight="1" x14ac:dyDescent="0.3">
      <c r="A282" s="2" t="s">
        <v>613</v>
      </c>
      <c r="B282" s="2" t="s">
        <v>21</v>
      </c>
      <c r="C282" s="3" t="s">
        <v>613</v>
      </c>
      <c r="D282" s="3" t="s">
        <v>34</v>
      </c>
      <c r="E282" s="2" t="s">
        <v>215</v>
      </c>
      <c r="F282" s="2"/>
      <c r="G282" s="5">
        <v>46208</v>
      </c>
      <c r="H282" s="5">
        <v>46209</v>
      </c>
      <c r="I282" s="4" t="s">
        <v>17</v>
      </c>
      <c r="J282" s="6">
        <f t="shared" si="18"/>
        <v>1</v>
      </c>
      <c r="K282" s="4" t="str">
        <f t="shared" ca="1" si="20"/>
        <v>Yes</v>
      </c>
      <c r="L282" s="7">
        <f t="shared" ca="1" si="21"/>
        <v>1</v>
      </c>
      <c r="M282" s="4" t="str">
        <f>IF($I282="Complete","Green",IF($H282="","Amber",IF($H282&lt;'[2]Read Me'!$B$4,"Red",IF($H282-'[2]Read Me'!$B$4&lt;=21,"Amber","Green"))))</f>
        <v>Green</v>
      </c>
      <c r="N282" s="3"/>
      <c r="O282" t="str">
        <f>IF($I282&lt;&gt;"Complete",IF(COUNTIFS($A$4:$A281,$A282,$B$4:$B281,$B282,$I$4:$I281,"&lt;&gt;Complete")=0,$A282&amp;"|"&amp;$B282,""),"")</f>
        <v/>
      </c>
      <c r="P282">
        <f ca="1">IF($K282="Yes",COUNTIFS($K$4:$K282,"Yes"),"")</f>
        <v>27</v>
      </c>
      <c r="Q282">
        <f t="shared" ca="1" si="19"/>
        <v>1</v>
      </c>
      <c r="R282">
        <f ca="1">IF($Q282=1,SUM($Q$4:$Q282),"")</f>
        <v>27</v>
      </c>
    </row>
    <row r="283" spans="1:18" ht="14.25" customHeight="1" x14ac:dyDescent="0.3">
      <c r="A283" s="2" t="s">
        <v>613</v>
      </c>
      <c r="B283" s="2" t="s">
        <v>21</v>
      </c>
      <c r="C283" s="3" t="s">
        <v>613</v>
      </c>
      <c r="D283" s="3" t="s">
        <v>15</v>
      </c>
      <c r="E283" s="2" t="s">
        <v>215</v>
      </c>
      <c r="F283" s="2" t="s">
        <v>79</v>
      </c>
      <c r="G283" s="5">
        <v>46257</v>
      </c>
      <c r="H283" s="5">
        <v>46258</v>
      </c>
      <c r="I283" s="4" t="s">
        <v>17</v>
      </c>
      <c r="J283" s="6">
        <f t="shared" si="18"/>
        <v>1</v>
      </c>
      <c r="K283" s="4" t="str">
        <f t="shared" ca="1" si="20"/>
        <v>Yes</v>
      </c>
      <c r="L283" s="7">
        <f t="shared" ca="1" si="21"/>
        <v>50</v>
      </c>
      <c r="M283" s="4" t="str">
        <f>IF($I283="Complete","Green",IF($H283="","Amber",IF($H283&lt;'[2]Read Me'!$B$4,"Red",IF($H283-'[2]Read Me'!$B$4&lt;=21,"Amber","Green"))))</f>
        <v>Green</v>
      </c>
      <c r="N283" s="3"/>
      <c r="O283" t="str">
        <f>IF($I283&lt;&gt;"Complete",IF(COUNTIFS($A$4:$A282,$A283,$B$4:$B282,$B283,$I$4:$I282,"&lt;&gt;Complete")=0,$A283&amp;"|"&amp;$B283,""),"")</f>
        <v/>
      </c>
      <c r="P283">
        <f ca="1">IF($K283="Yes",COUNTIFS($K$4:$K283,"Yes"),"")</f>
        <v>28</v>
      </c>
      <c r="Q283">
        <f t="shared" ca="1" si="19"/>
        <v>1</v>
      </c>
      <c r="R283">
        <f ca="1">IF($Q283=1,SUM($Q$4:$Q283),"")</f>
        <v>28</v>
      </c>
    </row>
    <row r="284" spans="1:18" ht="14.25" customHeight="1" x14ac:dyDescent="0.3">
      <c r="A284" s="2" t="s">
        <v>613</v>
      </c>
      <c r="B284" s="2" t="s">
        <v>21</v>
      </c>
      <c r="C284" s="3" t="s">
        <v>613</v>
      </c>
      <c r="D284" s="3" t="s">
        <v>35</v>
      </c>
      <c r="E284" s="2" t="s">
        <v>215</v>
      </c>
      <c r="F284" s="2"/>
      <c r="G284" s="5">
        <v>46271</v>
      </c>
      <c r="H284" s="5">
        <v>46272</v>
      </c>
      <c r="I284" s="4" t="s">
        <v>17</v>
      </c>
      <c r="J284" s="6">
        <f t="shared" si="18"/>
        <v>1</v>
      </c>
      <c r="K284" s="4" t="str">
        <f t="shared" ca="1" si="20"/>
        <v>Yes</v>
      </c>
      <c r="L284" s="7">
        <f t="shared" ca="1" si="21"/>
        <v>64</v>
      </c>
      <c r="M284" s="4" t="str">
        <f>IF($I284="Complete","Green",IF($H284="","Amber",IF($H284&lt;'[2]Read Me'!$B$4,"Red",IF($H284-'[2]Read Me'!$B$4&lt;=21,"Amber","Green"))))</f>
        <v>Green</v>
      </c>
      <c r="N284" s="3"/>
      <c r="O284" t="str">
        <f>IF($I284&lt;&gt;"Complete",IF(COUNTIFS($A$4:$A283,$A284,$B$4:$B283,$B284,$I$4:$I283,"&lt;&gt;Complete")=0,$A284&amp;"|"&amp;$B284,""),"")</f>
        <v/>
      </c>
      <c r="P284">
        <f ca="1">IF($K284="Yes",COUNTIFS($K$4:$K284,"Yes"),"")</f>
        <v>29</v>
      </c>
      <c r="Q284">
        <f t="shared" ca="1" si="19"/>
        <v>1</v>
      </c>
      <c r="R284">
        <f ca="1">IF($Q284=1,SUM($Q$4:$Q284),"")</f>
        <v>29</v>
      </c>
    </row>
    <row r="285" spans="1:18" ht="14.25" customHeight="1" x14ac:dyDescent="0.3">
      <c r="A285" s="2" t="s">
        <v>613</v>
      </c>
      <c r="B285" s="2" t="s">
        <v>21</v>
      </c>
      <c r="C285" s="3" t="s">
        <v>613</v>
      </c>
      <c r="D285" s="3" t="s">
        <v>618</v>
      </c>
      <c r="E285" s="2" t="s">
        <v>215</v>
      </c>
      <c r="F285" s="2" t="s">
        <v>79</v>
      </c>
      <c r="G285" s="5">
        <v>46271</v>
      </c>
      <c r="H285" s="5">
        <v>46272</v>
      </c>
      <c r="I285" s="4" t="s">
        <v>17</v>
      </c>
      <c r="J285" s="6">
        <f t="shared" si="18"/>
        <v>1</v>
      </c>
      <c r="K285" s="4" t="str">
        <f t="shared" ca="1" si="20"/>
        <v>Yes</v>
      </c>
      <c r="L285" s="7">
        <f t="shared" ca="1" si="21"/>
        <v>64</v>
      </c>
      <c r="M285" s="4" t="str">
        <f>IF($I285="Complete","Green",IF($H285="","Amber",IF($H285&lt;'[2]Read Me'!$B$4,"Red",IF($H285-'[2]Read Me'!$B$4&lt;=21,"Amber","Green"))))</f>
        <v>Green</v>
      </c>
      <c r="N285" s="3"/>
      <c r="O285" t="str">
        <f>IF($I285&lt;&gt;"Complete",IF(COUNTIFS($A$4:$A284,$A285,$B$4:$B284,$B285,$I$4:$I284,"&lt;&gt;Complete")=0,$A285&amp;"|"&amp;$B285,""),"")</f>
        <v/>
      </c>
      <c r="P285">
        <f ca="1">IF($K285="Yes",COUNTIFS($K$4:$K285,"Yes"),"")</f>
        <v>30</v>
      </c>
      <c r="Q285">
        <f t="shared" ca="1" si="19"/>
        <v>1</v>
      </c>
      <c r="R285">
        <f ca="1">IF($Q285=1,SUM($Q$4:$Q285),"")</f>
        <v>30</v>
      </c>
    </row>
    <row r="286" spans="1:18" ht="14.25" customHeight="1" x14ac:dyDescent="0.3">
      <c r="A286" s="2" t="s">
        <v>613</v>
      </c>
      <c r="B286" s="2" t="s">
        <v>21</v>
      </c>
      <c r="C286" s="3" t="s">
        <v>613</v>
      </c>
      <c r="D286" s="3" t="s">
        <v>16</v>
      </c>
      <c r="E286" s="2" t="s">
        <v>215</v>
      </c>
      <c r="F286" s="2" t="s">
        <v>79</v>
      </c>
      <c r="G286" s="5">
        <v>46313</v>
      </c>
      <c r="H286" s="5">
        <v>46314</v>
      </c>
      <c r="I286" s="4" t="s">
        <v>17</v>
      </c>
      <c r="J286" s="6">
        <f t="shared" si="18"/>
        <v>1</v>
      </c>
      <c r="K286" s="4" t="str">
        <f t="shared" ca="1" si="20"/>
        <v>Yes</v>
      </c>
      <c r="L286" s="7">
        <f t="shared" ca="1" si="21"/>
        <v>106</v>
      </c>
      <c r="M286" s="4" t="str">
        <f>IF($I286="Complete","Green",IF($H286="","Amber",IF($H286&lt;'[2]Read Me'!$B$4,"Red",IF($H286-'[2]Read Me'!$B$4&lt;=21,"Amber","Green"))))</f>
        <v>Green</v>
      </c>
      <c r="N286" s="3"/>
      <c r="O286" t="str">
        <f>IF($I286&lt;&gt;"Complete",IF(COUNTIFS($A$4:$A285,$A286,$B$4:$B285,$B286,$I$4:$I285,"&lt;&gt;Complete")=0,$A286&amp;"|"&amp;$B286,""),"")</f>
        <v/>
      </c>
      <c r="P286">
        <f ca="1">IF($K286="Yes",COUNTIFS($K$4:$K286,"Yes"),"")</f>
        <v>31</v>
      </c>
      <c r="Q286">
        <f t="shared" ca="1" si="19"/>
        <v>1</v>
      </c>
      <c r="R286">
        <f ca="1">IF($Q286=1,SUM($Q$4:$Q286),"")</f>
        <v>31</v>
      </c>
    </row>
    <row r="287" spans="1:18" ht="14.25" customHeight="1" x14ac:dyDescent="0.3">
      <c r="A287" s="2" t="s">
        <v>613</v>
      </c>
      <c r="B287" s="2" t="s">
        <v>21</v>
      </c>
      <c r="C287" s="3" t="s">
        <v>613</v>
      </c>
      <c r="D287" s="3" t="s">
        <v>37</v>
      </c>
      <c r="E287" s="2" t="s">
        <v>215</v>
      </c>
      <c r="F287" s="2"/>
      <c r="G287" s="5">
        <v>46327</v>
      </c>
      <c r="H287" s="5">
        <v>46328</v>
      </c>
      <c r="I287" s="4" t="s">
        <v>17</v>
      </c>
      <c r="J287" s="6">
        <f t="shared" si="18"/>
        <v>1</v>
      </c>
      <c r="K287" s="4" t="str">
        <f t="shared" ca="1" si="20"/>
        <v>Yes</v>
      </c>
      <c r="L287" s="7">
        <f t="shared" ca="1" si="21"/>
        <v>120</v>
      </c>
      <c r="M287" s="4" t="str">
        <f>IF($I287="Complete","Green",IF($H287="","Amber",IF($H287&lt;'[2]Read Me'!$B$4,"Red",IF($H287-'[2]Read Me'!$B$4&lt;=21,"Amber","Green"))))</f>
        <v>Green</v>
      </c>
      <c r="N287" s="3"/>
      <c r="O287" t="str">
        <f>IF($I287&lt;&gt;"Complete",IF(COUNTIFS($A$4:$A286,$A287,$B$4:$B286,$B287,$I$4:$I286,"&lt;&gt;Complete")=0,$A287&amp;"|"&amp;$B287,""),"")</f>
        <v/>
      </c>
      <c r="P287">
        <f ca="1">IF($K287="Yes",COUNTIFS($K$4:$K287,"Yes"),"")</f>
        <v>32</v>
      </c>
      <c r="Q287">
        <f t="shared" ca="1" si="19"/>
        <v>1</v>
      </c>
      <c r="R287">
        <f ca="1">IF($Q287=1,SUM($Q$4:$Q287),"")</f>
        <v>32</v>
      </c>
    </row>
    <row r="288" spans="1:18" ht="14.25" hidden="1" customHeight="1" x14ac:dyDescent="0.3">
      <c r="A288" s="2"/>
      <c r="B288" s="2"/>
      <c r="C288" s="3" t="s">
        <v>613</v>
      </c>
      <c r="D288" s="3" t="s">
        <v>388</v>
      </c>
      <c r="E288" s="2"/>
      <c r="F288" s="2"/>
      <c r="G288" s="5">
        <v>46341</v>
      </c>
      <c r="H288" s="5">
        <v>46342</v>
      </c>
      <c r="I288" s="4" t="s">
        <v>17</v>
      </c>
      <c r="J288" s="6">
        <f t="shared" si="18"/>
        <v>1</v>
      </c>
      <c r="K288" s="4" t="str">
        <f t="shared" ca="1" si="20"/>
        <v>Yes</v>
      </c>
      <c r="L288" s="7">
        <f t="shared" ca="1" si="21"/>
        <v>134</v>
      </c>
      <c r="M288" s="4" t="str">
        <f>IF($I288="Complete","Green",IF($H288="","Amber",IF($H288&lt;'[2]Read Me'!$B$4,"Red",IF($H288-'[2]Read Me'!$B$4&lt;=21,"Amber","Green"))))</f>
        <v>Green</v>
      </c>
      <c r="N288" s="3"/>
      <c r="O288" t="str">
        <f>IF($I288&lt;&gt;"Complete",IF(COUNTIFS($A$4:$A287,$A288,$B$4:$B287,$B288,$I$4:$I287,"&lt;&gt;Complete")=0,$A288&amp;"|"&amp;$B288,""),"")</f>
        <v>|</v>
      </c>
      <c r="P288">
        <f ca="1">IF($K288="Yes",COUNTIFS($K$4:$K288,"Yes"),"")</f>
        <v>33</v>
      </c>
      <c r="Q288">
        <f t="shared" ca="1" si="19"/>
        <v>1</v>
      </c>
      <c r="R288">
        <f ca="1">IF($Q288=1,SUM($Q$4:$Q288),"")</f>
        <v>33</v>
      </c>
    </row>
    <row r="289" spans="1:18" ht="14.25" hidden="1" customHeight="1" x14ac:dyDescent="0.3">
      <c r="A289" s="2" t="s">
        <v>613</v>
      </c>
      <c r="B289" s="2" t="s">
        <v>49</v>
      </c>
      <c r="C289" s="3" t="s">
        <v>613</v>
      </c>
      <c r="D289" s="3" t="s">
        <v>619</v>
      </c>
      <c r="E289" s="2"/>
      <c r="F289" s="2"/>
      <c r="G289" s="5">
        <v>46355</v>
      </c>
      <c r="H289" s="5">
        <v>46356</v>
      </c>
      <c r="I289" s="4" t="s">
        <v>17</v>
      </c>
      <c r="J289" s="6">
        <f t="shared" si="18"/>
        <v>1</v>
      </c>
      <c r="K289" s="4" t="str">
        <f t="shared" ca="1" si="20"/>
        <v>Yes</v>
      </c>
      <c r="L289" s="7">
        <f t="shared" ca="1" si="21"/>
        <v>148</v>
      </c>
      <c r="M289" s="4" t="str">
        <f>IF($I289="Complete","Green",IF($H289="","Amber",IF($H289&lt;'[2]Read Me'!$B$4,"Red",IF($H289-'[2]Read Me'!$B$4&lt;=21,"Amber","Green"))))</f>
        <v>Green</v>
      </c>
      <c r="N289" s="3"/>
      <c r="O289" t="str">
        <f>IF($I289&lt;&gt;"Complete",IF(COUNTIFS($A$4:$A288,$A289,$B$4:$B288,$B289,$I$4:$I288,"&lt;&gt;Complete")=0,$A289&amp;"|"&amp;$B289,""),"")</f>
        <v>External Fences and Gates|Authorities</v>
      </c>
      <c r="P289">
        <f ca="1">IF($K289="Yes",COUNTIFS($K$4:$K289,"Yes"),"")</f>
        <v>34</v>
      </c>
      <c r="Q289">
        <f t="shared" ca="1" si="19"/>
        <v>1</v>
      </c>
      <c r="R289">
        <f ca="1">IF($Q289=1,SUM($Q$4:$Q289),"")</f>
        <v>34</v>
      </c>
    </row>
    <row r="290" spans="1:18" ht="14.25" hidden="1" customHeight="1" x14ac:dyDescent="0.3">
      <c r="A290" s="2" t="s">
        <v>613</v>
      </c>
      <c r="B290" s="2" t="s">
        <v>49</v>
      </c>
      <c r="C290" s="3" t="s">
        <v>613</v>
      </c>
      <c r="D290" s="3" t="s">
        <v>110</v>
      </c>
      <c r="E290" s="2" t="s">
        <v>104</v>
      </c>
      <c r="F290" s="2"/>
      <c r="G290" s="5">
        <v>45999</v>
      </c>
      <c r="H290" s="5">
        <v>46106</v>
      </c>
      <c r="I290" s="4" t="s">
        <v>31</v>
      </c>
      <c r="J290" s="6">
        <f t="shared" si="18"/>
        <v>107</v>
      </c>
      <c r="K290" s="4" t="str">
        <f t="shared" ca="1" si="20"/>
        <v>No</v>
      </c>
      <c r="L290" s="7">
        <f t="shared" ca="1" si="21"/>
        <v>0</v>
      </c>
      <c r="M290" s="4" t="str">
        <f>IF($I290="Complete","Green",IF($H290="","Amber",IF($H290&lt;'[2]Read Me'!$B$4,"Red",IF($H290-'[2]Read Me'!$B$4&lt;=21,"Amber","Green"))))</f>
        <v>Red</v>
      </c>
      <c r="N290" s="3"/>
      <c r="O290" t="str">
        <f>IF($I290&lt;&gt;"Complete",IF(COUNTIFS($A$4:$A289,$A290,$B$4:$B289,$B290,$I$4:$I289,"&lt;&gt;Complete")=0,$A290&amp;"|"&amp;$B290,""),"")</f>
        <v/>
      </c>
      <c r="P290" t="str">
        <f ca="1">IF($K290="Yes",COUNTIFS($K$4:$K290,"Yes"),"")</f>
        <v/>
      </c>
      <c r="Q290">
        <f t="shared" ca="1" si="19"/>
        <v>0</v>
      </c>
      <c r="R290" t="str">
        <f ca="1">IF($Q290=1,SUM($Q$4:$Q290),"")</f>
        <v/>
      </c>
    </row>
    <row r="291" spans="1:18" ht="14.25" hidden="1" customHeight="1" x14ac:dyDescent="0.3">
      <c r="A291" s="2" t="s">
        <v>613</v>
      </c>
      <c r="B291" s="2" t="s">
        <v>49</v>
      </c>
      <c r="C291" s="3" t="s">
        <v>613</v>
      </c>
      <c r="D291" s="3" t="s">
        <v>620</v>
      </c>
      <c r="E291" s="2" t="s">
        <v>104</v>
      </c>
      <c r="F291" s="2"/>
      <c r="G291" s="5">
        <v>46355</v>
      </c>
      <c r="H291" s="5">
        <v>46356</v>
      </c>
      <c r="I291" s="4" t="s">
        <v>17</v>
      </c>
      <c r="J291" s="6">
        <f t="shared" si="18"/>
        <v>1</v>
      </c>
      <c r="K291" s="4" t="str">
        <f t="shared" ca="1" si="20"/>
        <v>Yes</v>
      </c>
      <c r="L291" s="7">
        <f t="shared" ca="1" si="21"/>
        <v>148</v>
      </c>
      <c r="M291" s="4" t="str">
        <f>IF($I291="Complete","Green",IF($H291="","Amber",IF($H291&lt;'[2]Read Me'!$B$4,"Red",IF($H291-'[2]Read Me'!$B$4&lt;=21,"Amber","Green"))))</f>
        <v>Green</v>
      </c>
      <c r="N291" s="3"/>
      <c r="O291" t="str">
        <f>IF($I291&lt;&gt;"Complete",IF(COUNTIFS($A$4:$A290,$A291,$B$4:$B290,$B291,$I$4:$I290,"&lt;&gt;Complete")=0,$A291&amp;"|"&amp;$B291,""),"")</f>
        <v/>
      </c>
      <c r="P291">
        <f ca="1">IF($K291="Yes",COUNTIFS($K$4:$K291,"Yes"),"")</f>
        <v>35</v>
      </c>
      <c r="Q291">
        <f t="shared" ca="1" si="19"/>
        <v>1</v>
      </c>
      <c r="R291">
        <f ca="1">IF($Q291=1,SUM($Q$4:$Q291),"")</f>
        <v>35</v>
      </c>
    </row>
    <row r="292" spans="1:18" ht="14.25" hidden="1" customHeight="1" x14ac:dyDescent="0.3">
      <c r="A292" s="2" t="s">
        <v>621</v>
      </c>
      <c r="B292" s="2" t="s">
        <v>140</v>
      </c>
      <c r="C292" s="3"/>
      <c r="D292" s="3"/>
      <c r="E292" s="2"/>
      <c r="F292" s="2"/>
      <c r="G292" s="5">
        <v>46411</v>
      </c>
      <c r="H292" s="5">
        <v>46413</v>
      </c>
      <c r="I292" s="4"/>
      <c r="J292" s="6">
        <f t="shared" si="18"/>
        <v>2</v>
      </c>
      <c r="K292" s="4" t="str">
        <f t="shared" ca="1" si="20"/>
        <v>Yes</v>
      </c>
      <c r="L292" s="7">
        <f t="shared" ca="1" si="21"/>
        <v>205</v>
      </c>
      <c r="M292" s="4" t="str">
        <f>IF($I292="Complete","Green",IF($H292="","Amber",IF($H292&lt;'[2]Read Me'!$B$4,"Red",IF($H292-'[2]Read Me'!$B$4&lt;=21,"Amber","Green"))))</f>
        <v>Green</v>
      </c>
      <c r="N292" s="3"/>
      <c r="O292" t="str">
        <f>IF($I292&lt;&gt;"Complete",IF(COUNTIFS($A$4:$A291,$A292,$B$4:$B291,$B292,$I$4:$I291,"&lt;&gt;Complete")=0,$A292&amp;"|"&amp;$B292,""),"")</f>
        <v>Ph - 2D 2E|Masterplan</v>
      </c>
      <c r="P292">
        <f ca="1">IF($K292="Yes",COUNTIFS($K$4:$K292,"Yes"),"")</f>
        <v>36</v>
      </c>
      <c r="Q292">
        <f t="shared" ca="1" si="19"/>
        <v>1</v>
      </c>
      <c r="R292">
        <f ca="1">IF($Q292=1,SUM($Q$4:$Q292),"")</f>
        <v>36</v>
      </c>
    </row>
    <row r="293" spans="1:18" ht="22.5" hidden="1" customHeight="1" x14ac:dyDescent="0.3">
      <c r="A293" s="2" t="s">
        <v>621</v>
      </c>
      <c r="B293" s="2" t="s">
        <v>140</v>
      </c>
      <c r="C293" s="3" t="s">
        <v>622</v>
      </c>
      <c r="D293" s="3" t="s">
        <v>14</v>
      </c>
      <c r="E293" s="2" t="s">
        <v>553</v>
      </c>
      <c r="F293" s="2" t="s">
        <v>79</v>
      </c>
      <c r="G293" s="5">
        <v>46285</v>
      </c>
      <c r="H293" s="5">
        <v>46287</v>
      </c>
      <c r="I293" s="4" t="s">
        <v>17</v>
      </c>
      <c r="J293" s="6">
        <f t="shared" si="18"/>
        <v>2</v>
      </c>
      <c r="K293" s="4" t="str">
        <f t="shared" ca="1" si="20"/>
        <v>Yes</v>
      </c>
      <c r="L293" s="7">
        <f t="shared" ca="1" si="21"/>
        <v>79</v>
      </c>
      <c r="M293" s="4" t="str">
        <f>IF($I293="Complete","Green",IF($H293="","Amber",IF($H293&lt;'[2]Read Me'!$B$4,"Red",IF($H293-'[2]Read Me'!$B$4&lt;=21,"Amber","Green"))))</f>
        <v>Green</v>
      </c>
      <c r="N293" s="3"/>
      <c r="O293" t="str">
        <f>IF($I293&lt;&gt;"Complete",IF(COUNTIFS($A$4:$A292,$A293,$B$4:$B292,$B293,$I$4:$I292,"&lt;&gt;Complete")=0,$A293&amp;"|"&amp;$B293,""),"")</f>
        <v/>
      </c>
      <c r="P293">
        <f ca="1">IF($K293="Yes",COUNTIFS($K$4:$K293,"Yes"),"")</f>
        <v>37</v>
      </c>
      <c r="Q293">
        <f t="shared" ca="1" si="19"/>
        <v>1</v>
      </c>
      <c r="R293">
        <f ca="1">IF($Q293=1,SUM($Q$4:$Q293),"")</f>
        <v>37</v>
      </c>
    </row>
    <row r="294" spans="1:18" ht="22.5" hidden="1" customHeight="1" x14ac:dyDescent="0.3">
      <c r="A294" s="2" t="s">
        <v>621</v>
      </c>
      <c r="B294" s="2" t="s">
        <v>140</v>
      </c>
      <c r="C294" s="3" t="s">
        <v>622</v>
      </c>
      <c r="D294" s="3" t="s">
        <v>34</v>
      </c>
      <c r="E294" s="2" t="s">
        <v>553</v>
      </c>
      <c r="F294" s="2"/>
      <c r="G294" s="5">
        <v>46299</v>
      </c>
      <c r="H294" s="5">
        <v>46301</v>
      </c>
      <c r="I294" s="4" t="s">
        <v>17</v>
      </c>
      <c r="J294" s="6">
        <f t="shared" si="18"/>
        <v>2</v>
      </c>
      <c r="K294" s="4" t="str">
        <f t="shared" ca="1" si="20"/>
        <v>Yes</v>
      </c>
      <c r="L294" s="7">
        <f t="shared" ca="1" si="21"/>
        <v>93</v>
      </c>
      <c r="M294" s="4" t="str">
        <f>IF($I294="Complete","Green",IF($H294="","Amber",IF($H294&lt;'[2]Read Me'!$B$4,"Red",IF($H294-'[2]Read Me'!$B$4&lt;=21,"Amber","Green"))))</f>
        <v>Green</v>
      </c>
      <c r="N294" s="3"/>
      <c r="O294" t="str">
        <f>IF($I294&lt;&gt;"Complete",IF(COUNTIFS($A$4:$A293,$A294,$B$4:$B293,$B294,$I$4:$I293,"&lt;&gt;Complete")=0,$A294&amp;"|"&amp;$B294,""),"")</f>
        <v/>
      </c>
      <c r="P294">
        <f ca="1">IF($K294="Yes",COUNTIFS($K$4:$K294,"Yes"),"")</f>
        <v>38</v>
      </c>
      <c r="Q294">
        <f t="shared" ca="1" si="19"/>
        <v>1</v>
      </c>
      <c r="R294">
        <f ca="1">IF($Q294=1,SUM($Q$4:$Q294),"")</f>
        <v>38</v>
      </c>
    </row>
    <row r="295" spans="1:18" ht="22.5" hidden="1" customHeight="1" x14ac:dyDescent="0.3">
      <c r="A295" s="2" t="s">
        <v>621</v>
      </c>
      <c r="B295" s="2" t="s">
        <v>140</v>
      </c>
      <c r="C295" s="3" t="s">
        <v>622</v>
      </c>
      <c r="D295" s="3" t="s">
        <v>15</v>
      </c>
      <c r="E295" s="2" t="s">
        <v>553</v>
      </c>
      <c r="F295" s="2" t="s">
        <v>79</v>
      </c>
      <c r="G295" s="5">
        <v>46355</v>
      </c>
      <c r="H295" s="5">
        <v>46357</v>
      </c>
      <c r="I295" s="4" t="s">
        <v>17</v>
      </c>
      <c r="J295" s="6">
        <f t="shared" si="18"/>
        <v>2</v>
      </c>
      <c r="K295" s="4" t="str">
        <f t="shared" ca="1" si="20"/>
        <v>Yes</v>
      </c>
      <c r="L295" s="7">
        <f t="shared" ca="1" si="21"/>
        <v>149</v>
      </c>
      <c r="M295" s="4" t="str">
        <f>IF($I295="Complete","Green",IF($H295="","Amber",IF($H295&lt;'[2]Read Me'!$B$4,"Red",IF($H295-'[2]Read Me'!$B$4&lt;=21,"Amber","Green"))))</f>
        <v>Green</v>
      </c>
      <c r="N295" s="3"/>
      <c r="O295" t="str">
        <f>IF($I295&lt;&gt;"Complete",IF(COUNTIFS($A$4:$A294,$A295,$B$4:$B294,$B295,$I$4:$I294,"&lt;&gt;Complete")=0,$A295&amp;"|"&amp;$B295,""),"")</f>
        <v/>
      </c>
      <c r="P295">
        <f ca="1">IF($K295="Yes",COUNTIFS($K$4:$K295,"Yes"),"")</f>
        <v>39</v>
      </c>
      <c r="Q295">
        <f t="shared" ca="1" si="19"/>
        <v>1</v>
      </c>
      <c r="R295">
        <f ca="1">IF($Q295=1,SUM($Q$4:$Q295),"")</f>
        <v>39</v>
      </c>
    </row>
    <row r="296" spans="1:18" ht="22.5" hidden="1" customHeight="1" x14ac:dyDescent="0.3">
      <c r="A296" s="2" t="s">
        <v>621</v>
      </c>
      <c r="B296" s="2" t="s">
        <v>140</v>
      </c>
      <c r="C296" s="3" t="s">
        <v>622</v>
      </c>
      <c r="D296" s="3" t="s">
        <v>35</v>
      </c>
      <c r="E296" s="2" t="s">
        <v>553</v>
      </c>
      <c r="F296" s="2"/>
      <c r="G296" s="5">
        <v>46369</v>
      </c>
      <c r="H296" s="5">
        <v>46371</v>
      </c>
      <c r="I296" s="4" t="s">
        <v>17</v>
      </c>
      <c r="J296" s="6">
        <f t="shared" si="18"/>
        <v>2</v>
      </c>
      <c r="K296" s="4" t="str">
        <f t="shared" ca="1" si="20"/>
        <v>Yes</v>
      </c>
      <c r="L296" s="7">
        <f t="shared" ca="1" si="21"/>
        <v>163</v>
      </c>
      <c r="M296" s="4" t="str">
        <f>IF($I296="Complete","Green",IF($H296="","Amber",IF($H296&lt;'[2]Read Me'!$B$4,"Red",IF($H296-'[2]Read Me'!$B$4&lt;=21,"Amber","Green"))))</f>
        <v>Green</v>
      </c>
      <c r="N296" s="3"/>
      <c r="O296" t="str">
        <f>IF($I296&lt;&gt;"Complete",IF(COUNTIFS($A$4:$A295,$A296,$B$4:$B295,$B296,$I$4:$I295,"&lt;&gt;Complete")=0,$A296&amp;"|"&amp;$B296,""),"")</f>
        <v/>
      </c>
      <c r="P296">
        <f ca="1">IF($K296="Yes",COUNTIFS($K$4:$K296,"Yes"),"")</f>
        <v>40</v>
      </c>
      <c r="Q296">
        <f t="shared" ca="1" si="19"/>
        <v>1</v>
      </c>
      <c r="R296">
        <f ca="1">IF($Q296=1,SUM($Q$4:$Q296),"")</f>
        <v>40</v>
      </c>
    </row>
    <row r="297" spans="1:18" ht="22.5" hidden="1" customHeight="1" x14ac:dyDescent="0.3">
      <c r="A297" s="2" t="s">
        <v>621</v>
      </c>
      <c r="B297" s="2" t="s">
        <v>140</v>
      </c>
      <c r="C297" s="3" t="s">
        <v>622</v>
      </c>
      <c r="D297" s="3" t="s">
        <v>16</v>
      </c>
      <c r="E297" s="2" t="s">
        <v>553</v>
      </c>
      <c r="F297" s="2" t="s">
        <v>79</v>
      </c>
      <c r="G297" s="5">
        <v>46383</v>
      </c>
      <c r="H297" s="5">
        <v>46385</v>
      </c>
      <c r="I297" s="4" t="s">
        <v>17</v>
      </c>
      <c r="J297" s="6">
        <f t="shared" si="18"/>
        <v>2</v>
      </c>
      <c r="K297" s="4" t="str">
        <f t="shared" ca="1" si="20"/>
        <v>Yes</v>
      </c>
      <c r="L297" s="7">
        <f t="shared" ca="1" si="21"/>
        <v>177</v>
      </c>
      <c r="M297" s="4" t="str">
        <f>IF($I297="Complete","Green",IF($H297="","Amber",IF($H297&lt;'[2]Read Me'!$B$4,"Red",IF($H297-'[2]Read Me'!$B$4&lt;=21,"Amber","Green"))))</f>
        <v>Green</v>
      </c>
      <c r="N297" s="3"/>
      <c r="O297" t="str">
        <f>IF($I297&lt;&gt;"Complete",IF(COUNTIFS($A$4:$A296,$A297,$B$4:$B296,$B297,$I$4:$I296,"&lt;&gt;Complete")=0,$A297&amp;"|"&amp;$B297,""),"")</f>
        <v/>
      </c>
      <c r="P297">
        <f ca="1">IF($K297="Yes",COUNTIFS($K$4:$K297,"Yes"),"")</f>
        <v>41</v>
      </c>
      <c r="Q297">
        <f t="shared" ca="1" si="19"/>
        <v>1</v>
      </c>
      <c r="R297">
        <f ca="1">IF($Q297=1,SUM($Q$4:$Q297),"")</f>
        <v>41</v>
      </c>
    </row>
    <row r="298" spans="1:18" ht="22.5" hidden="1" customHeight="1" x14ac:dyDescent="0.3">
      <c r="A298" s="2" t="s">
        <v>621</v>
      </c>
      <c r="B298" s="2" t="s">
        <v>140</v>
      </c>
      <c r="C298" s="3" t="s">
        <v>622</v>
      </c>
      <c r="D298" s="3" t="s">
        <v>37</v>
      </c>
      <c r="E298" s="2" t="s">
        <v>553</v>
      </c>
      <c r="F298" s="2"/>
      <c r="G298" s="5">
        <v>46397</v>
      </c>
      <c r="H298" s="5">
        <v>46399</v>
      </c>
      <c r="I298" s="4" t="s">
        <v>17</v>
      </c>
      <c r="J298" s="6">
        <f t="shared" si="18"/>
        <v>2</v>
      </c>
      <c r="K298" s="4" t="str">
        <f t="shared" ca="1" si="20"/>
        <v>Yes</v>
      </c>
      <c r="L298" s="7">
        <f t="shared" ca="1" si="21"/>
        <v>191</v>
      </c>
      <c r="M298" s="4" t="str">
        <f>IF($I298="Complete","Green",IF($H298="","Amber",IF($H298&lt;'[2]Read Me'!$B$4,"Red",IF($H298-'[2]Read Me'!$B$4&lt;=21,"Amber","Green"))))</f>
        <v>Green</v>
      </c>
      <c r="N298" s="3"/>
      <c r="O298" t="str">
        <f>IF($I298&lt;&gt;"Complete",IF(COUNTIFS($A$4:$A297,$A298,$B$4:$B297,$B298,$I$4:$I297,"&lt;&gt;Complete")=0,$A298&amp;"|"&amp;$B298,""),"")</f>
        <v/>
      </c>
      <c r="P298">
        <f ca="1">IF($K298="Yes",COUNTIFS($K$4:$K298,"Yes"),"")</f>
        <v>42</v>
      </c>
      <c r="Q298">
        <f t="shared" ca="1" si="19"/>
        <v>1</v>
      </c>
      <c r="R298">
        <f ca="1">IF($Q298=1,SUM($Q$4:$Q298),"")</f>
        <v>42</v>
      </c>
    </row>
    <row r="299" spans="1:18" ht="22.5" hidden="1" customHeight="1" x14ac:dyDescent="0.3">
      <c r="A299" s="2"/>
      <c r="B299" s="2"/>
      <c r="C299" s="3" t="s">
        <v>622</v>
      </c>
      <c r="D299" s="3" t="s">
        <v>388</v>
      </c>
      <c r="E299" s="2"/>
      <c r="F299" s="2"/>
      <c r="G299" s="5">
        <v>46411</v>
      </c>
      <c r="H299" s="5">
        <v>46413</v>
      </c>
      <c r="I299" s="4" t="s">
        <v>17</v>
      </c>
      <c r="J299" s="6">
        <f t="shared" si="18"/>
        <v>2</v>
      </c>
      <c r="K299" s="4" t="str">
        <f t="shared" ca="1" si="20"/>
        <v>Yes</v>
      </c>
      <c r="L299" s="7">
        <f t="shared" ca="1" si="21"/>
        <v>205</v>
      </c>
      <c r="M299" s="4" t="str">
        <f>IF($I299="Complete","Green",IF($H299="","Amber",IF($H299&lt;'[2]Read Me'!$B$4,"Red",IF($H299-'[2]Read Me'!$B$4&lt;=21,"Amber","Green"))))</f>
        <v>Green</v>
      </c>
      <c r="N299" s="3"/>
      <c r="O299" t="str">
        <f>IF($I299&lt;&gt;"Complete",IF(COUNTIFS($A$4:$A298,$A299,$B$4:$B298,$B299,$I$4:$I298,"&lt;&gt;Complete")=0,$A299&amp;"|"&amp;$B299,""),"")</f>
        <v>|</v>
      </c>
      <c r="P299">
        <f ca="1">IF($K299="Yes",COUNTIFS($K$4:$K299,"Yes"),"")</f>
        <v>43</v>
      </c>
      <c r="Q299">
        <f t="shared" ca="1" si="19"/>
        <v>1</v>
      </c>
      <c r="R299">
        <f ca="1">IF($Q299=1,SUM($Q$4:$Q299),"")</f>
        <v>43</v>
      </c>
    </row>
    <row r="300" spans="1:18" ht="22.5" hidden="1" customHeight="1" x14ac:dyDescent="0.3">
      <c r="A300" s="2" t="s">
        <v>621</v>
      </c>
      <c r="B300" s="2" t="s">
        <v>171</v>
      </c>
      <c r="C300" s="3"/>
      <c r="D300" s="3"/>
      <c r="E300" s="2"/>
      <c r="F300" s="2"/>
      <c r="G300" s="5">
        <v>46411</v>
      </c>
      <c r="H300" s="5">
        <v>46413</v>
      </c>
      <c r="I300" s="4"/>
      <c r="J300" s="6">
        <f t="shared" si="18"/>
        <v>2</v>
      </c>
      <c r="K300" s="4" t="str">
        <f t="shared" ca="1" si="20"/>
        <v>Yes</v>
      </c>
      <c r="L300" s="7">
        <f t="shared" ca="1" si="21"/>
        <v>205</v>
      </c>
      <c r="M300" s="4" t="str">
        <f>IF($I300="Complete","Green",IF($H300="","Amber",IF($H300&lt;'[2]Read Me'!$B$4,"Red",IF($H300-'[2]Read Me'!$B$4&lt;=21,"Amber","Green"))))</f>
        <v>Green</v>
      </c>
      <c r="N300" s="3"/>
      <c r="O300" t="str">
        <f>IF($I300&lt;&gt;"Complete",IF(COUNTIFS($A$4:$A299,$A300,$B$4:$B299,$B300,$I$4:$I299,"&lt;&gt;Complete")=0,$A300&amp;"|"&amp;$B300,""),"")</f>
        <v>Ph - 2D 2E|Infrastructure</v>
      </c>
      <c r="P300">
        <f ca="1">IF($K300="Yes",COUNTIFS($K$4:$K300,"Yes"),"")</f>
        <v>44</v>
      </c>
      <c r="Q300">
        <f t="shared" ca="1" si="19"/>
        <v>1</v>
      </c>
      <c r="R300">
        <f ca="1">IF($Q300=1,SUM($Q$4:$Q300),"")</f>
        <v>44</v>
      </c>
    </row>
    <row r="301" spans="1:18" ht="22.5" hidden="1" customHeight="1" x14ac:dyDescent="0.3">
      <c r="A301" s="2" t="s">
        <v>621</v>
      </c>
      <c r="B301" s="2" t="s">
        <v>171</v>
      </c>
      <c r="C301" s="3" t="s">
        <v>623</v>
      </c>
      <c r="D301" s="3" t="s">
        <v>14</v>
      </c>
      <c r="E301" s="2" t="s">
        <v>553</v>
      </c>
      <c r="F301" s="2" t="s">
        <v>79</v>
      </c>
      <c r="G301" s="5">
        <v>46285</v>
      </c>
      <c r="H301" s="5">
        <v>46287</v>
      </c>
      <c r="I301" s="4" t="s">
        <v>17</v>
      </c>
      <c r="J301" s="6">
        <f t="shared" si="18"/>
        <v>2</v>
      </c>
      <c r="K301" s="4" t="str">
        <f t="shared" ca="1" si="20"/>
        <v>Yes</v>
      </c>
      <c r="L301" s="7">
        <f t="shared" ca="1" si="21"/>
        <v>79</v>
      </c>
      <c r="M301" s="4" t="str">
        <f>IF($I301="Complete","Green",IF($H301="","Amber",IF($H301&lt;'[2]Read Me'!$B$4,"Red",IF($H301-'[2]Read Me'!$B$4&lt;=21,"Amber","Green"))))</f>
        <v>Green</v>
      </c>
      <c r="N301" s="3"/>
      <c r="O301" t="str">
        <f>IF($I301&lt;&gt;"Complete",IF(COUNTIFS($A$4:$A300,$A301,$B$4:$B300,$B301,$I$4:$I300,"&lt;&gt;Complete")=0,$A301&amp;"|"&amp;$B301,""),"")</f>
        <v/>
      </c>
      <c r="P301">
        <f ca="1">IF($K301="Yes",COUNTIFS($K$4:$K301,"Yes"),"")</f>
        <v>45</v>
      </c>
      <c r="Q301">
        <f t="shared" ca="1" si="19"/>
        <v>1</v>
      </c>
      <c r="R301">
        <f ca="1">IF($Q301=1,SUM($Q$4:$Q301),"")</f>
        <v>45</v>
      </c>
    </row>
    <row r="302" spans="1:18" ht="22.5" hidden="1" customHeight="1" x14ac:dyDescent="0.3">
      <c r="A302" s="2" t="s">
        <v>621</v>
      </c>
      <c r="B302" s="2" t="s">
        <v>171</v>
      </c>
      <c r="C302" s="3" t="s">
        <v>623</v>
      </c>
      <c r="D302" s="3" t="s">
        <v>34</v>
      </c>
      <c r="E302" s="2" t="s">
        <v>553</v>
      </c>
      <c r="F302" s="2"/>
      <c r="G302" s="5">
        <v>46299</v>
      </c>
      <c r="H302" s="5">
        <v>46301</v>
      </c>
      <c r="I302" s="4" t="s">
        <v>17</v>
      </c>
      <c r="J302" s="6">
        <f t="shared" si="18"/>
        <v>2</v>
      </c>
      <c r="K302" s="4" t="str">
        <f t="shared" ca="1" si="20"/>
        <v>Yes</v>
      </c>
      <c r="L302" s="7">
        <f t="shared" ca="1" si="21"/>
        <v>93</v>
      </c>
      <c r="M302" s="4" t="str">
        <f>IF($I302="Complete","Green",IF($H302="","Amber",IF($H302&lt;'[2]Read Me'!$B$4,"Red",IF($H302-'[2]Read Me'!$B$4&lt;=21,"Amber","Green"))))</f>
        <v>Green</v>
      </c>
      <c r="N302" s="3"/>
      <c r="O302" t="str">
        <f>IF($I302&lt;&gt;"Complete",IF(COUNTIFS($A$4:$A301,$A302,$B$4:$B301,$B302,$I$4:$I301,"&lt;&gt;Complete")=0,$A302&amp;"|"&amp;$B302,""),"")</f>
        <v/>
      </c>
      <c r="P302">
        <f ca="1">IF($K302="Yes",COUNTIFS($K$4:$K302,"Yes"),"")</f>
        <v>46</v>
      </c>
      <c r="Q302">
        <f t="shared" ca="1" si="19"/>
        <v>1</v>
      </c>
      <c r="R302">
        <f ca="1">IF($Q302=1,SUM($Q$4:$Q302),"")</f>
        <v>46</v>
      </c>
    </row>
    <row r="303" spans="1:18" ht="22.5" hidden="1" customHeight="1" x14ac:dyDescent="0.3">
      <c r="A303" s="2" t="s">
        <v>621</v>
      </c>
      <c r="B303" s="2" t="s">
        <v>171</v>
      </c>
      <c r="C303" s="3" t="s">
        <v>623</v>
      </c>
      <c r="D303" s="3" t="s">
        <v>15</v>
      </c>
      <c r="E303" s="2" t="s">
        <v>553</v>
      </c>
      <c r="F303" s="2" t="s">
        <v>79</v>
      </c>
      <c r="G303" s="5">
        <v>46355</v>
      </c>
      <c r="H303" s="5">
        <v>46357</v>
      </c>
      <c r="I303" s="4" t="s">
        <v>17</v>
      </c>
      <c r="J303" s="6">
        <f t="shared" si="18"/>
        <v>2</v>
      </c>
      <c r="K303" s="4" t="str">
        <f t="shared" ca="1" si="20"/>
        <v>Yes</v>
      </c>
      <c r="L303" s="7">
        <f t="shared" ca="1" si="21"/>
        <v>149</v>
      </c>
      <c r="M303" s="4" t="str">
        <f>IF($I303="Complete","Green",IF($H303="","Amber",IF($H303&lt;'[2]Read Me'!$B$4,"Red",IF($H303-'[2]Read Me'!$B$4&lt;=21,"Amber","Green"))))</f>
        <v>Green</v>
      </c>
      <c r="N303" s="3"/>
      <c r="O303" t="str">
        <f>IF($I303&lt;&gt;"Complete",IF(COUNTIFS($A$4:$A302,$A303,$B$4:$B302,$B303,$I$4:$I302,"&lt;&gt;Complete")=0,$A303&amp;"|"&amp;$B303,""),"")</f>
        <v/>
      </c>
      <c r="P303">
        <f ca="1">IF($K303="Yes",COUNTIFS($K$4:$K303,"Yes"),"")</f>
        <v>47</v>
      </c>
      <c r="Q303">
        <f t="shared" ca="1" si="19"/>
        <v>1</v>
      </c>
      <c r="R303">
        <f ca="1">IF($Q303=1,SUM($Q$4:$Q303),"")</f>
        <v>47</v>
      </c>
    </row>
    <row r="304" spans="1:18" ht="22.5" hidden="1" customHeight="1" x14ac:dyDescent="0.3">
      <c r="A304" s="2" t="s">
        <v>621</v>
      </c>
      <c r="B304" s="2" t="s">
        <v>171</v>
      </c>
      <c r="C304" s="3" t="s">
        <v>623</v>
      </c>
      <c r="D304" s="3" t="s">
        <v>35</v>
      </c>
      <c r="E304" s="2" t="s">
        <v>553</v>
      </c>
      <c r="F304" s="2"/>
      <c r="G304" s="5">
        <v>46369</v>
      </c>
      <c r="H304" s="5">
        <v>46371</v>
      </c>
      <c r="I304" s="4" t="s">
        <v>17</v>
      </c>
      <c r="J304" s="6">
        <f t="shared" si="18"/>
        <v>2</v>
      </c>
      <c r="K304" s="4" t="str">
        <f t="shared" ca="1" si="20"/>
        <v>Yes</v>
      </c>
      <c r="L304" s="7">
        <f t="shared" ca="1" si="21"/>
        <v>163</v>
      </c>
      <c r="M304" s="4" t="str">
        <f>IF($I304="Complete","Green",IF($H304="","Amber",IF($H304&lt;'[2]Read Me'!$B$4,"Red",IF($H304-'[2]Read Me'!$B$4&lt;=21,"Amber","Green"))))</f>
        <v>Green</v>
      </c>
      <c r="N304" s="3"/>
      <c r="O304" t="str">
        <f>IF($I304&lt;&gt;"Complete",IF(COUNTIFS($A$4:$A303,$A304,$B$4:$B303,$B304,$I$4:$I303,"&lt;&gt;Complete")=0,$A304&amp;"|"&amp;$B304,""),"")</f>
        <v/>
      </c>
      <c r="P304">
        <f ca="1">IF($K304="Yes",COUNTIFS($K$4:$K304,"Yes"),"")</f>
        <v>48</v>
      </c>
      <c r="Q304">
        <f t="shared" ca="1" si="19"/>
        <v>1</v>
      </c>
      <c r="R304">
        <f ca="1">IF($Q304=1,SUM($Q$4:$Q304),"")</f>
        <v>48</v>
      </c>
    </row>
    <row r="305" spans="1:18" ht="22.5" hidden="1" customHeight="1" x14ac:dyDescent="0.3">
      <c r="A305" s="2" t="s">
        <v>621</v>
      </c>
      <c r="B305" s="2" t="s">
        <v>171</v>
      </c>
      <c r="C305" s="3" t="s">
        <v>623</v>
      </c>
      <c r="D305" s="3" t="s">
        <v>16</v>
      </c>
      <c r="E305" s="2" t="s">
        <v>553</v>
      </c>
      <c r="F305" s="2" t="s">
        <v>79</v>
      </c>
      <c r="G305" s="5">
        <v>46383</v>
      </c>
      <c r="H305" s="5">
        <v>46385</v>
      </c>
      <c r="I305" s="4" t="s">
        <v>17</v>
      </c>
      <c r="J305" s="6">
        <f t="shared" si="18"/>
        <v>2</v>
      </c>
      <c r="K305" s="4" t="str">
        <f t="shared" ca="1" si="20"/>
        <v>Yes</v>
      </c>
      <c r="L305" s="7">
        <f t="shared" ca="1" si="21"/>
        <v>177</v>
      </c>
      <c r="M305" s="4" t="str">
        <f>IF($I305="Complete","Green",IF($H305="","Amber",IF($H305&lt;'[2]Read Me'!$B$4,"Red",IF($H305-'[2]Read Me'!$B$4&lt;=21,"Amber","Green"))))</f>
        <v>Green</v>
      </c>
      <c r="N305" s="3"/>
      <c r="O305" t="str">
        <f>IF($I305&lt;&gt;"Complete",IF(COUNTIFS($A$4:$A304,$A305,$B$4:$B304,$B305,$I$4:$I304,"&lt;&gt;Complete")=0,$A305&amp;"|"&amp;$B305,""),"")</f>
        <v/>
      </c>
      <c r="P305">
        <f ca="1">IF($K305="Yes",COUNTIFS($K$4:$K305,"Yes"),"")</f>
        <v>49</v>
      </c>
      <c r="Q305">
        <f t="shared" ca="1" si="19"/>
        <v>1</v>
      </c>
      <c r="R305">
        <f ca="1">IF($Q305=1,SUM($Q$4:$Q305),"")</f>
        <v>49</v>
      </c>
    </row>
    <row r="306" spans="1:18" ht="22.5" hidden="1" customHeight="1" x14ac:dyDescent="0.3">
      <c r="A306" s="2" t="s">
        <v>621</v>
      </c>
      <c r="B306" s="2" t="s">
        <v>171</v>
      </c>
      <c r="C306" s="3" t="s">
        <v>623</v>
      </c>
      <c r="D306" s="3" t="s">
        <v>37</v>
      </c>
      <c r="E306" s="2" t="s">
        <v>553</v>
      </c>
      <c r="F306" s="2"/>
      <c r="G306" s="5">
        <v>46397</v>
      </c>
      <c r="H306" s="5">
        <v>46399</v>
      </c>
      <c r="I306" s="4" t="s">
        <v>17</v>
      </c>
      <c r="J306" s="6">
        <f t="shared" si="18"/>
        <v>2</v>
      </c>
      <c r="K306" s="4" t="str">
        <f t="shared" ca="1" si="20"/>
        <v>Yes</v>
      </c>
      <c r="L306" s="7">
        <f t="shared" ca="1" si="21"/>
        <v>191</v>
      </c>
      <c r="M306" s="4" t="str">
        <f>IF($I306="Complete","Green",IF($H306="","Amber",IF($H306&lt;'[2]Read Me'!$B$4,"Red",IF($H306-'[2]Read Me'!$B$4&lt;=21,"Amber","Green"))))</f>
        <v>Green</v>
      </c>
      <c r="N306" s="3"/>
      <c r="O306" t="str">
        <f>IF($I306&lt;&gt;"Complete",IF(COUNTIFS($A$4:$A305,$A306,$B$4:$B305,$B306,$I$4:$I305,"&lt;&gt;Complete")=0,$A306&amp;"|"&amp;$B306,""),"")</f>
        <v/>
      </c>
      <c r="P306">
        <f ca="1">IF($K306="Yes",COUNTIFS($K$4:$K306,"Yes"),"")</f>
        <v>50</v>
      </c>
      <c r="Q306">
        <f t="shared" ca="1" si="19"/>
        <v>1</v>
      </c>
      <c r="R306">
        <f ca="1">IF($Q306=1,SUM($Q$4:$Q306),"")</f>
        <v>50</v>
      </c>
    </row>
    <row r="307" spans="1:18" ht="22.5" hidden="1" customHeight="1" x14ac:dyDescent="0.3">
      <c r="A307" s="2"/>
      <c r="B307" s="2"/>
      <c r="C307" s="3" t="s">
        <v>623</v>
      </c>
      <c r="D307" s="3" t="s">
        <v>388</v>
      </c>
      <c r="E307" s="2"/>
      <c r="F307" s="2"/>
      <c r="G307" s="5">
        <v>46411</v>
      </c>
      <c r="H307" s="5">
        <v>46413</v>
      </c>
      <c r="I307" s="4" t="s">
        <v>17</v>
      </c>
      <c r="J307" s="6">
        <f t="shared" si="18"/>
        <v>2</v>
      </c>
      <c r="K307" s="4" t="str">
        <f t="shared" ca="1" si="20"/>
        <v>Yes</v>
      </c>
      <c r="L307" s="7">
        <f t="shared" ca="1" si="21"/>
        <v>205</v>
      </c>
      <c r="M307" s="4" t="str">
        <f>IF($I307="Complete","Green",IF($H307="","Amber",IF($H307&lt;'[2]Read Me'!$B$4,"Red",IF($H307-'[2]Read Me'!$B$4&lt;=21,"Amber","Green"))))</f>
        <v>Green</v>
      </c>
      <c r="N307" s="3"/>
      <c r="O307" t="str">
        <f>IF($I307&lt;&gt;"Complete",IF(COUNTIFS($A$4:$A306,$A307,$B$4:$B306,$B307,$I$4:$I306,"&lt;&gt;Complete")=0,$A307&amp;"|"&amp;$B307,""),"")</f>
        <v>|</v>
      </c>
      <c r="P307">
        <f ca="1">IF($K307="Yes",COUNTIFS($K$4:$K307,"Yes"),"")</f>
        <v>51</v>
      </c>
      <c r="Q307">
        <f t="shared" ca="1" si="19"/>
        <v>1</v>
      </c>
      <c r="R307">
        <f ca="1">IF($Q307=1,SUM($Q$4:$Q307),"")</f>
        <v>51</v>
      </c>
    </row>
    <row r="308" spans="1:18" ht="22.5" customHeight="1" x14ac:dyDescent="0.3">
      <c r="A308" s="2" t="s">
        <v>621</v>
      </c>
      <c r="B308" s="2" t="s">
        <v>21</v>
      </c>
      <c r="C308" s="3"/>
      <c r="D308" s="3"/>
      <c r="E308" s="2"/>
      <c r="F308" s="2"/>
      <c r="G308" s="5">
        <v>46652</v>
      </c>
      <c r="H308" s="5">
        <v>46672</v>
      </c>
      <c r="I308" s="4"/>
      <c r="J308" s="6">
        <f t="shared" si="18"/>
        <v>20</v>
      </c>
      <c r="K308" s="4" t="str">
        <f t="shared" ca="1" si="20"/>
        <v>Yes</v>
      </c>
      <c r="L308" s="7">
        <f t="shared" ca="1" si="21"/>
        <v>464</v>
      </c>
      <c r="M308" s="4" t="str">
        <f>IF($I308="Complete","Green",IF($H308="","Amber",IF($H308&lt;'[2]Read Me'!$B$4,"Red",IF($H308-'[2]Read Me'!$B$4&lt;=21,"Amber","Green"))))</f>
        <v>Green</v>
      </c>
      <c r="N308" s="3"/>
      <c r="O308" t="str">
        <f>IF($I308&lt;&gt;"Complete",IF(COUNTIFS($A$4:$A307,$A308,$B$4:$B307,$B308,$I$4:$I307,"&lt;&gt;Complete")=0,$A308&amp;"|"&amp;$B308,""),"")</f>
        <v>Ph - 2D 2E|Landscape</v>
      </c>
      <c r="P308">
        <f ca="1">IF($K308="Yes",COUNTIFS($K$4:$K308,"Yes"),"")</f>
        <v>52</v>
      </c>
      <c r="Q308">
        <f t="shared" ca="1" si="19"/>
        <v>1</v>
      </c>
      <c r="R308">
        <f ca="1">IF($Q308=1,SUM($Q$4:$Q308),"")</f>
        <v>52</v>
      </c>
    </row>
    <row r="309" spans="1:18" ht="22.5" customHeight="1" x14ac:dyDescent="0.3">
      <c r="A309" s="2" t="s">
        <v>621</v>
      </c>
      <c r="B309" s="2" t="s">
        <v>21</v>
      </c>
      <c r="C309" s="3" t="s">
        <v>624</v>
      </c>
      <c r="D309" s="3" t="s">
        <v>126</v>
      </c>
      <c r="E309" s="2" t="s">
        <v>215</v>
      </c>
      <c r="F309" s="2" t="s">
        <v>79</v>
      </c>
      <c r="G309" s="5">
        <v>46547</v>
      </c>
      <c r="H309" s="5">
        <v>46567</v>
      </c>
      <c r="I309" s="4" t="s">
        <v>17</v>
      </c>
      <c r="J309" s="6">
        <f t="shared" si="18"/>
        <v>20</v>
      </c>
      <c r="K309" s="4" t="str">
        <f t="shared" ca="1" si="20"/>
        <v>Yes</v>
      </c>
      <c r="L309" s="7">
        <f t="shared" ca="1" si="21"/>
        <v>359</v>
      </c>
      <c r="M309" s="4" t="str">
        <f>IF($I309="Complete","Green",IF($H309="","Amber",IF($H309&lt;'[2]Read Me'!$B$4,"Red",IF($H309-'[2]Read Me'!$B$4&lt;=21,"Amber","Green"))))</f>
        <v>Green</v>
      </c>
      <c r="N309" s="3"/>
      <c r="O309" t="str">
        <f>IF($I309&lt;&gt;"Complete",IF(COUNTIFS($A$4:$A308,$A309,$B$4:$B308,$B309,$I$4:$I308,"&lt;&gt;Complete")=0,$A309&amp;"|"&amp;$B309,""),"")</f>
        <v/>
      </c>
      <c r="P309">
        <f ca="1">IF($K309="Yes",COUNTIFS($K$4:$K309,"Yes"),"")</f>
        <v>53</v>
      </c>
      <c r="Q309">
        <f t="shared" ca="1" si="19"/>
        <v>1</v>
      </c>
      <c r="R309">
        <f ca="1">IF($Q309=1,SUM($Q$4:$Q309),"")</f>
        <v>53</v>
      </c>
    </row>
    <row r="310" spans="1:18" ht="14.25" customHeight="1" x14ac:dyDescent="0.3">
      <c r="A310" s="2" t="s">
        <v>621</v>
      </c>
      <c r="B310" s="2" t="s">
        <v>21</v>
      </c>
      <c r="C310" s="3" t="s">
        <v>624</v>
      </c>
      <c r="D310" s="3" t="s">
        <v>34</v>
      </c>
      <c r="E310" s="2" t="s">
        <v>215</v>
      </c>
      <c r="F310" s="2"/>
      <c r="G310" s="5">
        <v>46561</v>
      </c>
      <c r="H310" s="5">
        <v>46581</v>
      </c>
      <c r="I310" s="4" t="s">
        <v>17</v>
      </c>
      <c r="J310" s="6">
        <f t="shared" si="18"/>
        <v>20</v>
      </c>
      <c r="K310" s="4" t="str">
        <f t="shared" ca="1" si="20"/>
        <v>Yes</v>
      </c>
      <c r="L310" s="7">
        <f t="shared" ca="1" si="21"/>
        <v>373</v>
      </c>
      <c r="M310" s="4" t="str">
        <f>IF($I310="Complete","Green",IF($H310="","Amber",IF($H310&lt;'[2]Read Me'!$B$4,"Red",IF($H310-'[2]Read Me'!$B$4&lt;=21,"Amber","Green"))))</f>
        <v>Green</v>
      </c>
      <c r="N310" s="3"/>
      <c r="O310" t="str">
        <f>IF($I310&lt;&gt;"Complete",IF(COUNTIFS($A$4:$A309,$A310,$B$4:$B309,$B310,$I$4:$I309,"&lt;&gt;Complete")=0,$A310&amp;"|"&amp;$B310,""),"")</f>
        <v/>
      </c>
      <c r="P310">
        <f ca="1">IF($K310="Yes",COUNTIFS($K$4:$K310,"Yes"),"")</f>
        <v>54</v>
      </c>
      <c r="Q310">
        <f t="shared" ca="1" si="19"/>
        <v>1</v>
      </c>
      <c r="R310">
        <f ca="1">IF($Q310=1,SUM($Q$4:$Q310),"")</f>
        <v>54</v>
      </c>
    </row>
    <row r="311" spans="1:18" ht="14.25" customHeight="1" x14ac:dyDescent="0.3">
      <c r="A311" s="2" t="s">
        <v>621</v>
      </c>
      <c r="B311" s="2" t="s">
        <v>21</v>
      </c>
      <c r="C311" s="3" t="s">
        <v>624</v>
      </c>
      <c r="D311" s="3" t="s">
        <v>127</v>
      </c>
      <c r="E311" s="2" t="s">
        <v>215</v>
      </c>
      <c r="F311" s="2" t="s">
        <v>79</v>
      </c>
      <c r="G311" s="5">
        <v>46589</v>
      </c>
      <c r="H311" s="5">
        <v>46609</v>
      </c>
      <c r="I311" s="4" t="s">
        <v>17</v>
      </c>
      <c r="J311" s="6">
        <f t="shared" si="18"/>
        <v>20</v>
      </c>
      <c r="K311" s="4" t="str">
        <f t="shared" ca="1" si="20"/>
        <v>Yes</v>
      </c>
      <c r="L311" s="7">
        <f t="shared" ca="1" si="21"/>
        <v>401</v>
      </c>
      <c r="M311" s="4" t="str">
        <f>IF($I311="Complete","Green",IF($H311="","Amber",IF($H311&lt;'[2]Read Me'!$B$4,"Red",IF($H311-'[2]Read Me'!$B$4&lt;=21,"Amber","Green"))))</f>
        <v>Green</v>
      </c>
      <c r="N311" s="3"/>
      <c r="O311" t="str">
        <f>IF($I311&lt;&gt;"Complete",IF(COUNTIFS($A$4:$A310,$A311,$B$4:$B310,$B311,$I$4:$I310,"&lt;&gt;Complete")=0,$A311&amp;"|"&amp;$B311,""),"")</f>
        <v/>
      </c>
      <c r="P311">
        <f ca="1">IF($K311="Yes",COUNTIFS($K$4:$K311,"Yes"),"")</f>
        <v>55</v>
      </c>
      <c r="Q311">
        <f t="shared" ca="1" si="19"/>
        <v>1</v>
      </c>
      <c r="R311">
        <f ca="1">IF($Q311=1,SUM($Q$4:$Q311),"")</f>
        <v>55</v>
      </c>
    </row>
    <row r="312" spans="1:18" ht="14.25" customHeight="1" x14ac:dyDescent="0.3">
      <c r="A312" s="2" t="s">
        <v>621</v>
      </c>
      <c r="B312" s="2" t="s">
        <v>21</v>
      </c>
      <c r="C312" s="3" t="s">
        <v>624</v>
      </c>
      <c r="D312" s="3" t="s">
        <v>35</v>
      </c>
      <c r="E312" s="2" t="s">
        <v>215</v>
      </c>
      <c r="F312" s="2"/>
      <c r="G312" s="5">
        <v>46603</v>
      </c>
      <c r="H312" s="5">
        <v>46623</v>
      </c>
      <c r="I312" s="4" t="s">
        <v>17</v>
      </c>
      <c r="J312" s="6">
        <f t="shared" si="18"/>
        <v>20</v>
      </c>
      <c r="K312" s="4" t="str">
        <f t="shared" ca="1" si="20"/>
        <v>Yes</v>
      </c>
      <c r="L312" s="7">
        <f t="shared" ca="1" si="21"/>
        <v>415</v>
      </c>
      <c r="M312" s="4" t="str">
        <f>IF($I312="Complete","Green",IF($H312="","Amber",IF($H312&lt;'[2]Read Me'!$B$4,"Red",IF($H312-'[2]Read Me'!$B$4&lt;=21,"Amber","Green"))))</f>
        <v>Green</v>
      </c>
      <c r="N312" s="3"/>
      <c r="O312" t="str">
        <f>IF($I312&lt;&gt;"Complete",IF(COUNTIFS($A$4:$A311,$A312,$B$4:$B311,$B312,$I$4:$I311,"&lt;&gt;Complete")=0,$A312&amp;"|"&amp;$B312,""),"")</f>
        <v/>
      </c>
      <c r="P312">
        <f ca="1">IF($K312="Yes",COUNTIFS($K$4:$K312,"Yes"),"")</f>
        <v>56</v>
      </c>
      <c r="Q312">
        <f t="shared" ca="1" si="19"/>
        <v>1</v>
      </c>
      <c r="R312">
        <f ca="1">IF($Q312=1,SUM($Q$4:$Q312),"")</f>
        <v>56</v>
      </c>
    </row>
    <row r="313" spans="1:18" x14ac:dyDescent="0.3">
      <c r="A313" t="s">
        <v>621</v>
      </c>
      <c r="B313" t="s">
        <v>21</v>
      </c>
      <c r="C313" t="s">
        <v>624</v>
      </c>
      <c r="D313" t="s">
        <v>20</v>
      </c>
      <c r="E313" t="s">
        <v>215</v>
      </c>
      <c r="G313" s="9">
        <v>46603</v>
      </c>
      <c r="H313" s="9">
        <v>46623</v>
      </c>
      <c r="I313" t="s">
        <v>17</v>
      </c>
      <c r="L313" s="7">
        <f t="shared" ca="1" si="21"/>
        <v>415</v>
      </c>
    </row>
    <row r="314" spans="1:18" x14ac:dyDescent="0.3">
      <c r="A314" t="s">
        <v>621</v>
      </c>
      <c r="B314" t="s">
        <v>21</v>
      </c>
      <c r="C314" t="s">
        <v>624</v>
      </c>
      <c r="D314" t="s">
        <v>625</v>
      </c>
      <c r="E314" t="s">
        <v>215</v>
      </c>
      <c r="F314" t="s">
        <v>79</v>
      </c>
      <c r="G314" s="9">
        <v>46624</v>
      </c>
      <c r="H314" s="9">
        <v>46644</v>
      </c>
      <c r="I314" t="s">
        <v>17</v>
      </c>
      <c r="L314" s="7">
        <f t="shared" ca="1" si="21"/>
        <v>436</v>
      </c>
    </row>
    <row r="315" spans="1:18" x14ac:dyDescent="0.3">
      <c r="A315" t="s">
        <v>621</v>
      </c>
      <c r="B315" t="s">
        <v>21</v>
      </c>
      <c r="C315" t="s">
        <v>624</v>
      </c>
      <c r="D315" t="s">
        <v>626</v>
      </c>
      <c r="E315" t="s">
        <v>215</v>
      </c>
      <c r="G315" s="9">
        <v>46638</v>
      </c>
      <c r="H315" s="9">
        <v>46658</v>
      </c>
      <c r="I315" t="s">
        <v>17</v>
      </c>
      <c r="L315" s="7">
        <f t="shared" ca="1" si="21"/>
        <v>450</v>
      </c>
    </row>
    <row r="316" spans="1:18" x14ac:dyDescent="0.3">
      <c r="A316" t="s">
        <v>621</v>
      </c>
      <c r="B316" t="s">
        <v>21</v>
      </c>
      <c r="C316" t="s">
        <v>624</v>
      </c>
      <c r="D316" t="s">
        <v>627</v>
      </c>
      <c r="E316" t="s">
        <v>215</v>
      </c>
      <c r="F316" t="s">
        <v>79</v>
      </c>
      <c r="G316" s="9">
        <v>46645</v>
      </c>
      <c r="H316" s="9">
        <v>46665</v>
      </c>
      <c r="I316" t="s">
        <v>17</v>
      </c>
      <c r="L316" s="7">
        <f t="shared" ca="1" si="21"/>
        <v>457</v>
      </c>
    </row>
    <row r="317" spans="1:18" x14ac:dyDescent="0.3">
      <c r="A317" t="s">
        <v>621</v>
      </c>
      <c r="B317" t="s">
        <v>21</v>
      </c>
      <c r="C317" t="s">
        <v>624</v>
      </c>
      <c r="D317" t="s">
        <v>628</v>
      </c>
      <c r="E317" t="s">
        <v>215</v>
      </c>
      <c r="G317" s="9">
        <v>46652</v>
      </c>
      <c r="H317" s="9">
        <v>46672</v>
      </c>
      <c r="I317" t="s">
        <v>17</v>
      </c>
      <c r="L317" s="7">
        <f t="shared" ca="1" si="21"/>
        <v>464</v>
      </c>
    </row>
    <row r="318" spans="1:18" hidden="1" x14ac:dyDescent="0.3">
      <c r="A318" t="s">
        <v>504</v>
      </c>
      <c r="B318" t="s">
        <v>62</v>
      </c>
      <c r="C318" t="s">
        <v>624</v>
      </c>
      <c r="D318" t="s">
        <v>629</v>
      </c>
      <c r="G318" s="9">
        <v>46607</v>
      </c>
      <c r="H318" s="9">
        <v>46609</v>
      </c>
      <c r="I318" t="s">
        <v>17</v>
      </c>
      <c r="L318" s="7">
        <f t="shared" ca="1" si="21"/>
        <v>401</v>
      </c>
    </row>
    <row r="319" spans="1:18" hidden="1" x14ac:dyDescent="0.3">
      <c r="A319" t="s">
        <v>504</v>
      </c>
      <c r="B319" t="s">
        <v>62</v>
      </c>
      <c r="C319" t="s">
        <v>624</v>
      </c>
      <c r="D319" t="s">
        <v>630</v>
      </c>
      <c r="G319" s="9">
        <v>46215</v>
      </c>
      <c r="H319" s="9">
        <v>46217</v>
      </c>
      <c r="I319" t="s">
        <v>17</v>
      </c>
      <c r="L319" s="7">
        <f t="shared" ca="1" si="21"/>
        <v>9</v>
      </c>
    </row>
    <row r="320" spans="1:18" hidden="1" x14ac:dyDescent="0.3">
      <c r="A320" t="s">
        <v>504</v>
      </c>
      <c r="B320" t="s">
        <v>62</v>
      </c>
      <c r="C320" t="s">
        <v>624</v>
      </c>
      <c r="D320" t="s">
        <v>58</v>
      </c>
      <c r="G320" s="9">
        <v>46229</v>
      </c>
      <c r="H320" s="9">
        <v>46231</v>
      </c>
      <c r="I320" t="s">
        <v>17</v>
      </c>
      <c r="L320" s="7">
        <f t="shared" ca="1" si="21"/>
        <v>23</v>
      </c>
    </row>
    <row r="321" spans="1:12" hidden="1" x14ac:dyDescent="0.3">
      <c r="A321" t="s">
        <v>504</v>
      </c>
      <c r="B321" t="s">
        <v>62</v>
      </c>
      <c r="C321" t="s">
        <v>624</v>
      </c>
      <c r="D321" t="s">
        <v>631</v>
      </c>
      <c r="G321" s="9">
        <v>46243</v>
      </c>
      <c r="H321" s="9">
        <v>46245</v>
      </c>
      <c r="I321" t="s">
        <v>17</v>
      </c>
      <c r="L321" s="7">
        <f t="shared" ca="1" si="21"/>
        <v>37</v>
      </c>
    </row>
    <row r="322" spans="1:12" hidden="1" x14ac:dyDescent="0.3">
      <c r="A322" t="s">
        <v>504</v>
      </c>
      <c r="B322" t="s">
        <v>62</v>
      </c>
      <c r="C322" t="s">
        <v>624</v>
      </c>
      <c r="D322" t="s">
        <v>578</v>
      </c>
      <c r="G322" s="9">
        <v>46250</v>
      </c>
      <c r="H322" s="9">
        <v>46252</v>
      </c>
      <c r="I322" t="s">
        <v>17</v>
      </c>
      <c r="L322" s="7">
        <f t="shared" ca="1" si="21"/>
        <v>44</v>
      </c>
    </row>
    <row r="323" spans="1:12" hidden="1" x14ac:dyDescent="0.3">
      <c r="A323" t="s">
        <v>504</v>
      </c>
      <c r="B323" t="s">
        <v>62</v>
      </c>
      <c r="C323" t="s">
        <v>624</v>
      </c>
      <c r="D323" t="s">
        <v>408</v>
      </c>
      <c r="G323" s="9">
        <v>46285</v>
      </c>
      <c r="H323" s="9">
        <v>46287</v>
      </c>
      <c r="I323" t="s">
        <v>17</v>
      </c>
      <c r="L323" s="7">
        <f t="shared" ca="1" si="21"/>
        <v>79</v>
      </c>
    </row>
    <row r="324" spans="1:12" hidden="1" x14ac:dyDescent="0.3">
      <c r="A324" t="s">
        <v>504</v>
      </c>
      <c r="B324" t="s">
        <v>62</v>
      </c>
      <c r="C324" t="s">
        <v>624</v>
      </c>
      <c r="D324" t="s">
        <v>58</v>
      </c>
      <c r="G324" s="9">
        <v>46299</v>
      </c>
      <c r="H324" s="9">
        <v>46301</v>
      </c>
      <c r="I324" t="s">
        <v>17</v>
      </c>
      <c r="L324" s="7">
        <f t="shared" ca="1" si="21"/>
        <v>93</v>
      </c>
    </row>
    <row r="325" spans="1:12" hidden="1" x14ac:dyDescent="0.3">
      <c r="A325" t="s">
        <v>504</v>
      </c>
      <c r="B325" t="s">
        <v>62</v>
      </c>
      <c r="C325" t="s">
        <v>624</v>
      </c>
      <c r="D325" t="s">
        <v>409</v>
      </c>
      <c r="G325" s="9">
        <v>46299</v>
      </c>
      <c r="H325" s="9">
        <v>46301</v>
      </c>
      <c r="I325" t="s">
        <v>17</v>
      </c>
      <c r="L325" s="7">
        <f t="shared" ca="1" si="21"/>
        <v>93</v>
      </c>
    </row>
    <row r="326" spans="1:12" hidden="1" x14ac:dyDescent="0.3">
      <c r="A326" t="s">
        <v>504</v>
      </c>
      <c r="B326" t="s">
        <v>62</v>
      </c>
      <c r="C326" t="s">
        <v>624</v>
      </c>
      <c r="D326" t="s">
        <v>410</v>
      </c>
      <c r="G326" s="9">
        <v>46341</v>
      </c>
      <c r="H326" s="9">
        <v>46343</v>
      </c>
      <c r="I326" t="s">
        <v>17</v>
      </c>
      <c r="L326" s="7">
        <f t="shared" ca="1" si="21"/>
        <v>135</v>
      </c>
    </row>
    <row r="327" spans="1:12" hidden="1" x14ac:dyDescent="0.3">
      <c r="A327" t="s">
        <v>504</v>
      </c>
      <c r="B327" t="s">
        <v>62</v>
      </c>
      <c r="C327" t="s">
        <v>624</v>
      </c>
      <c r="D327" t="s">
        <v>58</v>
      </c>
      <c r="G327" s="9">
        <v>46355</v>
      </c>
      <c r="H327" s="9">
        <v>46357</v>
      </c>
      <c r="I327" t="s">
        <v>17</v>
      </c>
      <c r="L327" s="7">
        <f t="shared" ca="1" si="21"/>
        <v>149</v>
      </c>
    </row>
    <row r="328" spans="1:12" hidden="1" x14ac:dyDescent="0.3">
      <c r="A328" t="s">
        <v>504</v>
      </c>
      <c r="B328" t="s">
        <v>62</v>
      </c>
      <c r="C328" t="s">
        <v>624</v>
      </c>
      <c r="D328" t="s">
        <v>411</v>
      </c>
      <c r="G328" s="9">
        <v>46411</v>
      </c>
      <c r="H328" s="9">
        <v>46413</v>
      </c>
      <c r="I328" t="s">
        <v>17</v>
      </c>
      <c r="L328" s="7">
        <f t="shared" ca="1" si="21"/>
        <v>205</v>
      </c>
    </row>
    <row r="329" spans="1:12" hidden="1" x14ac:dyDescent="0.3">
      <c r="A329" t="s">
        <v>504</v>
      </c>
      <c r="B329" t="s">
        <v>62</v>
      </c>
      <c r="C329" t="s">
        <v>624</v>
      </c>
      <c r="D329" t="s">
        <v>58</v>
      </c>
      <c r="G329" s="9">
        <v>46425</v>
      </c>
      <c r="H329" s="9">
        <v>46427</v>
      </c>
      <c r="I329" t="s">
        <v>17</v>
      </c>
      <c r="L329" s="7">
        <f t="shared" ref="L329:L392" ca="1" si="22">IF(I329="Completed",0,IF(H329="","",H329-TODAY()))</f>
        <v>219</v>
      </c>
    </row>
    <row r="330" spans="1:12" hidden="1" x14ac:dyDescent="0.3">
      <c r="A330" t="s">
        <v>504</v>
      </c>
      <c r="B330" t="s">
        <v>62</v>
      </c>
      <c r="C330" t="s">
        <v>624</v>
      </c>
      <c r="D330" t="s">
        <v>412</v>
      </c>
      <c r="G330" s="9">
        <v>46425</v>
      </c>
      <c r="H330" s="9">
        <v>46427</v>
      </c>
      <c r="I330" t="s">
        <v>17</v>
      </c>
      <c r="L330" s="7">
        <f t="shared" ca="1" si="22"/>
        <v>219</v>
      </c>
    </row>
    <row r="331" spans="1:12" hidden="1" x14ac:dyDescent="0.3">
      <c r="A331" t="s">
        <v>504</v>
      </c>
      <c r="B331" t="s">
        <v>62</v>
      </c>
      <c r="C331" t="s">
        <v>624</v>
      </c>
      <c r="D331" t="s">
        <v>22</v>
      </c>
      <c r="G331" s="9">
        <v>46439</v>
      </c>
      <c r="H331" s="9">
        <v>46441</v>
      </c>
      <c r="I331" t="s">
        <v>17</v>
      </c>
      <c r="L331" s="7">
        <f t="shared" ca="1" si="22"/>
        <v>233</v>
      </c>
    </row>
    <row r="332" spans="1:12" hidden="1" x14ac:dyDescent="0.3">
      <c r="A332" t="s">
        <v>504</v>
      </c>
      <c r="B332" t="s">
        <v>62</v>
      </c>
      <c r="C332" t="s">
        <v>624</v>
      </c>
      <c r="D332" t="s">
        <v>16</v>
      </c>
      <c r="G332" s="9">
        <v>46460</v>
      </c>
      <c r="H332" s="9">
        <v>46462</v>
      </c>
      <c r="I332" t="s">
        <v>17</v>
      </c>
      <c r="L332" s="7">
        <f t="shared" ca="1" si="22"/>
        <v>254</v>
      </c>
    </row>
    <row r="333" spans="1:12" hidden="1" x14ac:dyDescent="0.3">
      <c r="A333" t="s">
        <v>504</v>
      </c>
      <c r="B333" t="s">
        <v>62</v>
      </c>
      <c r="C333" t="s">
        <v>624</v>
      </c>
      <c r="D333" t="s">
        <v>58</v>
      </c>
      <c r="G333" s="9">
        <v>46467</v>
      </c>
      <c r="H333" s="9">
        <v>46469</v>
      </c>
      <c r="I333" t="s">
        <v>17</v>
      </c>
      <c r="L333" s="7">
        <f t="shared" ca="1" si="22"/>
        <v>261</v>
      </c>
    </row>
    <row r="334" spans="1:12" hidden="1" x14ac:dyDescent="0.3">
      <c r="A334" t="s">
        <v>504</v>
      </c>
      <c r="B334" t="s">
        <v>62</v>
      </c>
      <c r="C334" t="s">
        <v>624</v>
      </c>
      <c r="D334" t="s">
        <v>559</v>
      </c>
      <c r="G334" s="9">
        <v>46474</v>
      </c>
      <c r="H334" s="9">
        <v>46476</v>
      </c>
      <c r="I334" t="s">
        <v>17</v>
      </c>
      <c r="L334" s="7">
        <f t="shared" ca="1" si="22"/>
        <v>268</v>
      </c>
    </row>
    <row r="335" spans="1:12" hidden="1" x14ac:dyDescent="0.3">
      <c r="A335" t="s">
        <v>504</v>
      </c>
      <c r="B335" t="s">
        <v>49</v>
      </c>
      <c r="C335" t="s">
        <v>624</v>
      </c>
      <c r="G335" s="9">
        <v>46607</v>
      </c>
      <c r="H335" s="9">
        <v>46609</v>
      </c>
      <c r="I335" t="s">
        <v>17</v>
      </c>
      <c r="L335" s="7">
        <f t="shared" ca="1" si="22"/>
        <v>401</v>
      </c>
    </row>
    <row r="336" spans="1:12" hidden="1" x14ac:dyDescent="0.3">
      <c r="A336" t="s">
        <v>504</v>
      </c>
      <c r="B336" t="s">
        <v>49</v>
      </c>
      <c r="C336" t="s">
        <v>624</v>
      </c>
      <c r="D336" t="s">
        <v>456</v>
      </c>
      <c r="G336" s="9">
        <v>46481</v>
      </c>
      <c r="H336" s="9">
        <v>46483</v>
      </c>
      <c r="I336" t="s">
        <v>17</v>
      </c>
      <c r="L336" s="7">
        <f t="shared" ca="1" si="22"/>
        <v>275</v>
      </c>
    </row>
    <row r="337" spans="1:12" hidden="1" x14ac:dyDescent="0.3">
      <c r="A337" t="s">
        <v>504</v>
      </c>
      <c r="B337" t="s">
        <v>49</v>
      </c>
      <c r="C337" t="s">
        <v>624</v>
      </c>
      <c r="D337" t="s">
        <v>91</v>
      </c>
      <c r="G337" s="9">
        <v>46481</v>
      </c>
      <c r="H337" s="9">
        <v>46483</v>
      </c>
      <c r="I337" t="s">
        <v>17</v>
      </c>
      <c r="L337" s="7">
        <f t="shared" ca="1" si="22"/>
        <v>275</v>
      </c>
    </row>
    <row r="338" spans="1:12" hidden="1" x14ac:dyDescent="0.3">
      <c r="A338" t="s">
        <v>504</v>
      </c>
      <c r="B338" t="s">
        <v>49</v>
      </c>
      <c r="C338" t="s">
        <v>624</v>
      </c>
      <c r="D338" t="s">
        <v>93</v>
      </c>
      <c r="G338" s="9">
        <v>46523</v>
      </c>
      <c r="H338" s="9">
        <v>46525</v>
      </c>
      <c r="I338" t="s">
        <v>17</v>
      </c>
      <c r="L338" s="7">
        <f t="shared" ca="1" si="22"/>
        <v>317</v>
      </c>
    </row>
    <row r="339" spans="1:12" hidden="1" x14ac:dyDescent="0.3">
      <c r="A339" t="s">
        <v>504</v>
      </c>
      <c r="B339" t="s">
        <v>49</v>
      </c>
      <c r="C339" t="s">
        <v>624</v>
      </c>
      <c r="D339" t="s">
        <v>94</v>
      </c>
      <c r="G339" s="9">
        <v>46607</v>
      </c>
      <c r="H339" s="9">
        <v>46609</v>
      </c>
      <c r="I339" t="s">
        <v>17</v>
      </c>
      <c r="L339" s="7">
        <f t="shared" ca="1" si="22"/>
        <v>401</v>
      </c>
    </row>
    <row r="340" spans="1:12" x14ac:dyDescent="0.3">
      <c r="G340" s="9"/>
      <c r="H340" s="9"/>
      <c r="L340" s="7" t="str">
        <f t="shared" ca="1" si="22"/>
        <v/>
      </c>
    </row>
    <row r="341" spans="1:12" x14ac:dyDescent="0.3">
      <c r="G341" s="9"/>
      <c r="H341" s="9"/>
      <c r="L341" s="7" t="str">
        <f t="shared" ca="1" si="22"/>
        <v/>
      </c>
    </row>
    <row r="342" spans="1:12" x14ac:dyDescent="0.3">
      <c r="G342" s="9"/>
      <c r="H342" s="9"/>
      <c r="L342" s="7" t="str">
        <f t="shared" ca="1" si="22"/>
        <v/>
      </c>
    </row>
    <row r="343" spans="1:12" x14ac:dyDescent="0.3">
      <c r="G343" s="9"/>
      <c r="H343" s="9"/>
      <c r="L343" s="7" t="str">
        <f t="shared" ca="1" si="22"/>
        <v/>
      </c>
    </row>
    <row r="344" spans="1:12" x14ac:dyDescent="0.3">
      <c r="G344" s="9"/>
      <c r="H344" s="9"/>
      <c r="L344" s="7" t="str">
        <f t="shared" ca="1" si="22"/>
        <v/>
      </c>
    </row>
    <row r="345" spans="1:12" x14ac:dyDescent="0.3">
      <c r="G345" s="9"/>
      <c r="H345" s="9"/>
      <c r="L345" s="7" t="str">
        <f t="shared" ca="1" si="22"/>
        <v/>
      </c>
    </row>
    <row r="346" spans="1:12" x14ac:dyDescent="0.3">
      <c r="G346" s="9"/>
      <c r="H346" s="9"/>
      <c r="L346" s="7" t="str">
        <f t="shared" ca="1" si="22"/>
        <v/>
      </c>
    </row>
    <row r="347" spans="1:12" x14ac:dyDescent="0.3">
      <c r="G347" s="9"/>
      <c r="H347" s="9"/>
      <c r="L347" s="7" t="str">
        <f t="shared" ca="1" si="22"/>
        <v/>
      </c>
    </row>
    <row r="348" spans="1:12" x14ac:dyDescent="0.3">
      <c r="G348" s="9"/>
      <c r="H348" s="9"/>
      <c r="L348" s="7" t="str">
        <f t="shared" ca="1" si="22"/>
        <v/>
      </c>
    </row>
    <row r="349" spans="1:12" x14ac:dyDescent="0.3">
      <c r="G349" s="9"/>
      <c r="H349" s="9"/>
      <c r="L349" s="7" t="str">
        <f t="shared" ca="1" si="22"/>
        <v/>
      </c>
    </row>
    <row r="350" spans="1:12" x14ac:dyDescent="0.3">
      <c r="G350" s="9"/>
      <c r="H350" s="9"/>
      <c r="L350" s="7" t="str">
        <f t="shared" ca="1" si="22"/>
        <v/>
      </c>
    </row>
    <row r="351" spans="1:12" x14ac:dyDescent="0.3">
      <c r="G351" s="9"/>
      <c r="H351" s="9"/>
      <c r="L351" s="7" t="str">
        <f t="shared" ca="1" si="22"/>
        <v/>
      </c>
    </row>
    <row r="352" spans="1:12" x14ac:dyDescent="0.3">
      <c r="G352" s="9"/>
      <c r="H352" s="9"/>
      <c r="L352" s="7" t="str">
        <f t="shared" ca="1" si="22"/>
        <v/>
      </c>
    </row>
    <row r="353" spans="7:12" x14ac:dyDescent="0.3">
      <c r="G353" s="9"/>
      <c r="H353" s="9"/>
      <c r="L353" s="7" t="str">
        <f t="shared" ca="1" si="22"/>
        <v/>
      </c>
    </row>
    <row r="354" spans="7:12" x14ac:dyDescent="0.3">
      <c r="G354" s="9"/>
      <c r="H354" s="9"/>
      <c r="L354" s="7" t="str">
        <f t="shared" ca="1" si="22"/>
        <v/>
      </c>
    </row>
    <row r="355" spans="7:12" x14ac:dyDescent="0.3">
      <c r="G355" s="9"/>
      <c r="H355" s="9"/>
      <c r="L355" s="7" t="str">
        <f t="shared" ca="1" si="22"/>
        <v/>
      </c>
    </row>
    <row r="356" spans="7:12" x14ac:dyDescent="0.3">
      <c r="G356" s="9"/>
      <c r="H356" s="9"/>
      <c r="L356" s="7" t="str">
        <f t="shared" ca="1" si="22"/>
        <v/>
      </c>
    </row>
    <row r="357" spans="7:12" x14ac:dyDescent="0.3">
      <c r="G357" s="9"/>
      <c r="H357" s="9"/>
      <c r="L357" s="7" t="str">
        <f t="shared" ca="1" si="22"/>
        <v/>
      </c>
    </row>
    <row r="358" spans="7:12" x14ac:dyDescent="0.3">
      <c r="G358" s="9"/>
      <c r="H358" s="9"/>
      <c r="L358" s="7" t="str">
        <f t="shared" ca="1" si="22"/>
        <v/>
      </c>
    </row>
    <row r="359" spans="7:12" x14ac:dyDescent="0.3">
      <c r="G359" s="9"/>
      <c r="H359" s="9"/>
      <c r="L359" s="7" t="str">
        <f t="shared" ca="1" si="22"/>
        <v/>
      </c>
    </row>
    <row r="360" spans="7:12" x14ac:dyDescent="0.3">
      <c r="G360" s="9"/>
      <c r="H360" s="9"/>
      <c r="L360" s="7" t="str">
        <f t="shared" ca="1" si="22"/>
        <v/>
      </c>
    </row>
    <row r="361" spans="7:12" x14ac:dyDescent="0.3">
      <c r="G361" s="9"/>
      <c r="H361" s="9"/>
      <c r="L361" s="7" t="str">
        <f t="shared" ca="1" si="22"/>
        <v/>
      </c>
    </row>
    <row r="362" spans="7:12" x14ac:dyDescent="0.3">
      <c r="G362" s="9"/>
      <c r="H362" s="9"/>
      <c r="L362" s="7" t="str">
        <f t="shared" ca="1" si="22"/>
        <v/>
      </c>
    </row>
    <row r="363" spans="7:12" x14ac:dyDescent="0.3">
      <c r="G363" s="9"/>
      <c r="H363" s="9"/>
      <c r="L363" s="7" t="str">
        <f t="shared" ca="1" si="22"/>
        <v/>
      </c>
    </row>
    <row r="364" spans="7:12" x14ac:dyDescent="0.3">
      <c r="G364" s="9"/>
      <c r="H364" s="9"/>
      <c r="L364" s="7" t="str">
        <f t="shared" ca="1" si="22"/>
        <v/>
      </c>
    </row>
    <row r="365" spans="7:12" x14ac:dyDescent="0.3">
      <c r="G365" s="9"/>
      <c r="H365" s="9"/>
      <c r="L365" s="7" t="str">
        <f t="shared" ca="1" si="22"/>
        <v/>
      </c>
    </row>
    <row r="366" spans="7:12" x14ac:dyDescent="0.3">
      <c r="G366" s="9"/>
      <c r="H366" s="9"/>
      <c r="L366" s="7" t="str">
        <f t="shared" ca="1" si="22"/>
        <v/>
      </c>
    </row>
    <row r="367" spans="7:12" x14ac:dyDescent="0.3">
      <c r="G367" s="9"/>
      <c r="H367" s="9"/>
      <c r="L367" s="7" t="str">
        <f t="shared" ca="1" si="22"/>
        <v/>
      </c>
    </row>
    <row r="368" spans="7:12" x14ac:dyDescent="0.3">
      <c r="G368" s="9"/>
      <c r="H368" s="9"/>
      <c r="L368" s="7" t="str">
        <f t="shared" ca="1" si="22"/>
        <v/>
      </c>
    </row>
    <row r="369" spans="7:12" x14ac:dyDescent="0.3">
      <c r="G369" s="9"/>
      <c r="H369" s="9"/>
      <c r="L369" s="7" t="str">
        <f t="shared" ca="1" si="22"/>
        <v/>
      </c>
    </row>
    <row r="370" spans="7:12" x14ac:dyDescent="0.3">
      <c r="G370" s="9"/>
      <c r="H370" s="9"/>
      <c r="L370" s="7" t="str">
        <f t="shared" ca="1" si="22"/>
        <v/>
      </c>
    </row>
    <row r="371" spans="7:12" x14ac:dyDescent="0.3">
      <c r="G371" s="9"/>
      <c r="H371" s="9"/>
      <c r="L371" s="7" t="str">
        <f t="shared" ca="1" si="22"/>
        <v/>
      </c>
    </row>
    <row r="372" spans="7:12" x14ac:dyDescent="0.3">
      <c r="G372" s="9"/>
      <c r="H372" s="9"/>
      <c r="L372" s="7" t="str">
        <f t="shared" ca="1" si="22"/>
        <v/>
      </c>
    </row>
    <row r="373" spans="7:12" x14ac:dyDescent="0.3">
      <c r="G373" s="9"/>
      <c r="H373" s="9"/>
      <c r="L373" s="7" t="str">
        <f t="shared" ca="1" si="22"/>
        <v/>
      </c>
    </row>
    <row r="374" spans="7:12" x14ac:dyDescent="0.3">
      <c r="G374" s="9"/>
      <c r="H374" s="9"/>
      <c r="L374" s="7" t="str">
        <f t="shared" ca="1" si="22"/>
        <v/>
      </c>
    </row>
    <row r="375" spans="7:12" x14ac:dyDescent="0.3">
      <c r="G375" s="9"/>
      <c r="H375" s="9"/>
      <c r="L375" s="7" t="str">
        <f t="shared" ca="1" si="22"/>
        <v/>
      </c>
    </row>
    <row r="376" spans="7:12" x14ac:dyDescent="0.3">
      <c r="G376" s="9"/>
      <c r="H376" s="9"/>
      <c r="L376" s="7" t="str">
        <f t="shared" ca="1" si="22"/>
        <v/>
      </c>
    </row>
    <row r="377" spans="7:12" x14ac:dyDescent="0.3">
      <c r="G377" s="9"/>
      <c r="H377" s="9"/>
      <c r="L377" s="7" t="str">
        <f t="shared" ca="1" si="22"/>
        <v/>
      </c>
    </row>
    <row r="378" spans="7:12" x14ac:dyDescent="0.3">
      <c r="G378" s="9"/>
      <c r="H378" s="9"/>
      <c r="L378" s="7" t="str">
        <f t="shared" ca="1" si="22"/>
        <v/>
      </c>
    </row>
    <row r="379" spans="7:12" x14ac:dyDescent="0.3">
      <c r="G379" s="9"/>
      <c r="H379" s="9"/>
      <c r="L379" s="7" t="str">
        <f t="shared" ca="1" si="22"/>
        <v/>
      </c>
    </row>
    <row r="380" spans="7:12" x14ac:dyDescent="0.3">
      <c r="G380" s="9"/>
      <c r="H380" s="9"/>
      <c r="L380" s="7" t="str">
        <f t="shared" ca="1" si="22"/>
        <v/>
      </c>
    </row>
    <row r="381" spans="7:12" x14ac:dyDescent="0.3">
      <c r="G381" s="9"/>
      <c r="H381" s="9"/>
      <c r="L381" s="7" t="str">
        <f t="shared" ca="1" si="22"/>
        <v/>
      </c>
    </row>
    <row r="382" spans="7:12" x14ac:dyDescent="0.3">
      <c r="G382" s="9"/>
      <c r="H382" s="9"/>
      <c r="L382" s="7" t="str">
        <f t="shared" ca="1" si="22"/>
        <v/>
      </c>
    </row>
    <row r="383" spans="7:12" x14ac:dyDescent="0.3">
      <c r="G383" s="9"/>
      <c r="H383" s="9"/>
      <c r="L383" s="7" t="str">
        <f t="shared" ca="1" si="22"/>
        <v/>
      </c>
    </row>
    <row r="384" spans="7:12" x14ac:dyDescent="0.3">
      <c r="G384" s="9"/>
      <c r="H384" s="9"/>
      <c r="L384" s="7" t="str">
        <f t="shared" ca="1" si="22"/>
        <v/>
      </c>
    </row>
    <row r="385" spans="7:12" x14ac:dyDescent="0.3">
      <c r="G385" s="9"/>
      <c r="H385" s="9"/>
      <c r="L385" s="7" t="str">
        <f t="shared" ca="1" si="22"/>
        <v/>
      </c>
    </row>
    <row r="386" spans="7:12" x14ac:dyDescent="0.3">
      <c r="G386" s="9"/>
      <c r="H386" s="9"/>
      <c r="L386" s="7" t="str">
        <f t="shared" ca="1" si="22"/>
        <v/>
      </c>
    </row>
    <row r="387" spans="7:12" x14ac:dyDescent="0.3">
      <c r="G387" s="9"/>
      <c r="H387" s="9"/>
      <c r="L387" s="7" t="str">
        <f t="shared" ca="1" si="22"/>
        <v/>
      </c>
    </row>
    <row r="388" spans="7:12" x14ac:dyDescent="0.3">
      <c r="G388" s="9"/>
      <c r="H388" s="9"/>
      <c r="L388" s="7" t="str">
        <f t="shared" ca="1" si="22"/>
        <v/>
      </c>
    </row>
    <row r="389" spans="7:12" x14ac:dyDescent="0.3">
      <c r="G389" s="9"/>
      <c r="H389" s="9"/>
      <c r="L389" s="7" t="str">
        <f t="shared" ca="1" si="22"/>
        <v/>
      </c>
    </row>
    <row r="390" spans="7:12" x14ac:dyDescent="0.3">
      <c r="G390" s="9"/>
      <c r="H390" s="9"/>
      <c r="L390" s="7" t="str">
        <f t="shared" ca="1" si="22"/>
        <v/>
      </c>
    </row>
    <row r="391" spans="7:12" x14ac:dyDescent="0.3">
      <c r="G391" s="9"/>
      <c r="H391" s="9"/>
      <c r="L391" s="7" t="str">
        <f t="shared" ca="1" si="22"/>
        <v/>
      </c>
    </row>
    <row r="392" spans="7:12" x14ac:dyDescent="0.3">
      <c r="G392" s="9"/>
      <c r="H392" s="9"/>
      <c r="L392" s="7" t="str">
        <f t="shared" ca="1" si="22"/>
        <v/>
      </c>
    </row>
    <row r="393" spans="7:12" x14ac:dyDescent="0.3">
      <c r="G393" s="9"/>
      <c r="H393" s="9"/>
      <c r="L393" s="7" t="str">
        <f t="shared" ref="L393:L456" ca="1" si="23">IF(I393="Completed",0,IF(H393="","",H393-TODAY()))</f>
        <v/>
      </c>
    </row>
    <row r="394" spans="7:12" x14ac:dyDescent="0.3">
      <c r="G394" s="9"/>
      <c r="H394" s="9"/>
      <c r="L394" s="7" t="str">
        <f t="shared" ca="1" si="23"/>
        <v/>
      </c>
    </row>
    <row r="395" spans="7:12" x14ac:dyDescent="0.3">
      <c r="G395" s="9"/>
      <c r="H395" s="9"/>
      <c r="L395" s="7" t="str">
        <f t="shared" ca="1" si="23"/>
        <v/>
      </c>
    </row>
    <row r="396" spans="7:12" x14ac:dyDescent="0.3">
      <c r="G396" s="9"/>
      <c r="H396" s="9"/>
      <c r="L396" s="7" t="str">
        <f t="shared" ca="1" si="23"/>
        <v/>
      </c>
    </row>
    <row r="397" spans="7:12" x14ac:dyDescent="0.3">
      <c r="G397" s="9"/>
      <c r="H397" s="9"/>
      <c r="L397" s="7" t="str">
        <f t="shared" ca="1" si="23"/>
        <v/>
      </c>
    </row>
    <row r="398" spans="7:12" x14ac:dyDescent="0.3">
      <c r="G398" s="9"/>
      <c r="H398" s="9"/>
      <c r="L398" s="7" t="str">
        <f t="shared" ca="1" si="23"/>
        <v/>
      </c>
    </row>
    <row r="399" spans="7:12" x14ac:dyDescent="0.3">
      <c r="G399" s="9"/>
      <c r="H399" s="9"/>
      <c r="L399" s="7" t="str">
        <f t="shared" ca="1" si="23"/>
        <v/>
      </c>
    </row>
    <row r="400" spans="7:12" x14ac:dyDescent="0.3">
      <c r="G400" s="9"/>
      <c r="H400" s="9"/>
      <c r="L400" s="7" t="str">
        <f t="shared" ca="1" si="23"/>
        <v/>
      </c>
    </row>
    <row r="401" spans="7:12" x14ac:dyDescent="0.3">
      <c r="G401" s="9"/>
      <c r="H401" s="9"/>
      <c r="L401" s="7" t="str">
        <f t="shared" ca="1" si="23"/>
        <v/>
      </c>
    </row>
    <row r="402" spans="7:12" x14ac:dyDescent="0.3">
      <c r="G402" s="9"/>
      <c r="H402" s="9"/>
      <c r="L402" s="7" t="str">
        <f t="shared" ca="1" si="23"/>
        <v/>
      </c>
    </row>
    <row r="403" spans="7:12" x14ac:dyDescent="0.3">
      <c r="G403" s="9"/>
      <c r="H403" s="9"/>
      <c r="L403" s="7" t="str">
        <f t="shared" ca="1" si="23"/>
        <v/>
      </c>
    </row>
    <row r="404" spans="7:12" x14ac:dyDescent="0.3">
      <c r="G404" s="9"/>
      <c r="H404" s="9"/>
      <c r="L404" s="7" t="str">
        <f t="shared" ca="1" si="23"/>
        <v/>
      </c>
    </row>
    <row r="405" spans="7:12" x14ac:dyDescent="0.3">
      <c r="G405" s="9"/>
      <c r="H405" s="9"/>
      <c r="L405" s="7" t="str">
        <f t="shared" ca="1" si="23"/>
        <v/>
      </c>
    </row>
    <row r="406" spans="7:12" x14ac:dyDescent="0.3">
      <c r="G406" s="9"/>
      <c r="H406" s="9"/>
      <c r="L406" s="7" t="str">
        <f t="shared" ca="1" si="23"/>
        <v/>
      </c>
    </row>
    <row r="407" spans="7:12" x14ac:dyDescent="0.3">
      <c r="G407" s="9"/>
      <c r="H407" s="9"/>
      <c r="L407" s="7" t="str">
        <f t="shared" ca="1" si="23"/>
        <v/>
      </c>
    </row>
    <row r="408" spans="7:12" x14ac:dyDescent="0.3">
      <c r="G408" s="9"/>
      <c r="H408" s="9"/>
      <c r="L408" s="7" t="str">
        <f t="shared" ca="1" si="23"/>
        <v/>
      </c>
    </row>
    <row r="409" spans="7:12" x14ac:dyDescent="0.3">
      <c r="G409" s="9"/>
      <c r="H409" s="9"/>
      <c r="L409" s="7" t="str">
        <f t="shared" ca="1" si="23"/>
        <v/>
      </c>
    </row>
    <row r="410" spans="7:12" x14ac:dyDescent="0.3">
      <c r="L410" s="7" t="str">
        <f t="shared" ca="1" si="23"/>
        <v/>
      </c>
    </row>
    <row r="411" spans="7:12" x14ac:dyDescent="0.3">
      <c r="L411" s="7" t="str">
        <f t="shared" ca="1" si="23"/>
        <v/>
      </c>
    </row>
    <row r="412" spans="7:12" x14ac:dyDescent="0.3">
      <c r="L412" s="7" t="str">
        <f t="shared" ca="1" si="23"/>
        <v/>
      </c>
    </row>
    <row r="413" spans="7:12" x14ac:dyDescent="0.3">
      <c r="L413" s="7" t="str">
        <f t="shared" ca="1" si="23"/>
        <v/>
      </c>
    </row>
    <row r="414" spans="7:12" x14ac:dyDescent="0.3">
      <c r="L414" s="7" t="str">
        <f t="shared" ca="1" si="23"/>
        <v/>
      </c>
    </row>
    <row r="415" spans="7:12" x14ac:dyDescent="0.3">
      <c r="L415" s="7" t="str">
        <f t="shared" ca="1" si="23"/>
        <v/>
      </c>
    </row>
    <row r="416" spans="7:12" x14ac:dyDescent="0.3">
      <c r="L416" s="7" t="str">
        <f t="shared" ca="1" si="23"/>
        <v/>
      </c>
    </row>
    <row r="417" spans="12:12" x14ac:dyDescent="0.3">
      <c r="L417" s="7" t="str">
        <f t="shared" ca="1" si="23"/>
        <v/>
      </c>
    </row>
    <row r="418" spans="12:12" x14ac:dyDescent="0.3">
      <c r="L418" s="7" t="str">
        <f t="shared" ca="1" si="23"/>
        <v/>
      </c>
    </row>
    <row r="419" spans="12:12" x14ac:dyDescent="0.3">
      <c r="L419" s="7" t="str">
        <f t="shared" ca="1" si="23"/>
        <v/>
      </c>
    </row>
    <row r="420" spans="12:12" x14ac:dyDescent="0.3">
      <c r="L420" s="7" t="str">
        <f t="shared" ca="1" si="23"/>
        <v/>
      </c>
    </row>
    <row r="421" spans="12:12" x14ac:dyDescent="0.3">
      <c r="L421" s="7" t="str">
        <f t="shared" ca="1" si="23"/>
        <v/>
      </c>
    </row>
    <row r="422" spans="12:12" x14ac:dyDescent="0.3">
      <c r="L422" s="7" t="str">
        <f t="shared" ca="1" si="23"/>
        <v/>
      </c>
    </row>
    <row r="423" spans="12:12" x14ac:dyDescent="0.3">
      <c r="L423" s="7" t="str">
        <f t="shared" ca="1" si="23"/>
        <v/>
      </c>
    </row>
    <row r="424" spans="12:12" x14ac:dyDescent="0.3">
      <c r="L424" s="7" t="str">
        <f t="shared" ca="1" si="23"/>
        <v/>
      </c>
    </row>
    <row r="425" spans="12:12" x14ac:dyDescent="0.3">
      <c r="L425" s="7" t="str">
        <f t="shared" ca="1" si="23"/>
        <v/>
      </c>
    </row>
    <row r="426" spans="12:12" x14ac:dyDescent="0.3">
      <c r="L426" s="7" t="str">
        <f t="shared" ca="1" si="23"/>
        <v/>
      </c>
    </row>
    <row r="427" spans="12:12" x14ac:dyDescent="0.3">
      <c r="L427" s="7" t="str">
        <f t="shared" ca="1" si="23"/>
        <v/>
      </c>
    </row>
    <row r="428" spans="12:12" x14ac:dyDescent="0.3">
      <c r="L428" s="7" t="str">
        <f t="shared" ca="1" si="23"/>
        <v/>
      </c>
    </row>
    <row r="429" spans="12:12" x14ac:dyDescent="0.3">
      <c r="L429" s="7" t="str">
        <f t="shared" ca="1" si="23"/>
        <v/>
      </c>
    </row>
    <row r="430" spans="12:12" x14ac:dyDescent="0.3">
      <c r="L430" s="7" t="str">
        <f t="shared" ca="1" si="23"/>
        <v/>
      </c>
    </row>
    <row r="431" spans="12:12" x14ac:dyDescent="0.3">
      <c r="L431" s="7" t="str">
        <f t="shared" ca="1" si="23"/>
        <v/>
      </c>
    </row>
    <row r="432" spans="12:12" x14ac:dyDescent="0.3">
      <c r="L432" s="7" t="str">
        <f t="shared" ca="1" si="23"/>
        <v/>
      </c>
    </row>
    <row r="433" spans="12:12" x14ac:dyDescent="0.3">
      <c r="L433" s="7" t="str">
        <f t="shared" ca="1" si="23"/>
        <v/>
      </c>
    </row>
    <row r="434" spans="12:12" x14ac:dyDescent="0.3">
      <c r="L434" s="7" t="str">
        <f t="shared" ca="1" si="23"/>
        <v/>
      </c>
    </row>
    <row r="435" spans="12:12" x14ac:dyDescent="0.3">
      <c r="L435" s="7" t="str">
        <f t="shared" ca="1" si="23"/>
        <v/>
      </c>
    </row>
    <row r="436" spans="12:12" x14ac:dyDescent="0.3">
      <c r="L436" s="7" t="str">
        <f t="shared" ca="1" si="23"/>
        <v/>
      </c>
    </row>
    <row r="437" spans="12:12" x14ac:dyDescent="0.3">
      <c r="L437" s="7" t="str">
        <f t="shared" ca="1" si="23"/>
        <v/>
      </c>
    </row>
    <row r="438" spans="12:12" x14ac:dyDescent="0.3">
      <c r="L438" s="7" t="str">
        <f t="shared" ca="1" si="23"/>
        <v/>
      </c>
    </row>
    <row r="439" spans="12:12" x14ac:dyDescent="0.3">
      <c r="L439" s="7" t="str">
        <f t="shared" ca="1" si="23"/>
        <v/>
      </c>
    </row>
    <row r="440" spans="12:12" x14ac:dyDescent="0.3">
      <c r="L440" s="7" t="str">
        <f t="shared" ca="1" si="23"/>
        <v/>
      </c>
    </row>
    <row r="441" spans="12:12" x14ac:dyDescent="0.3">
      <c r="L441" s="7" t="str">
        <f t="shared" ca="1" si="23"/>
        <v/>
      </c>
    </row>
    <row r="442" spans="12:12" x14ac:dyDescent="0.3">
      <c r="L442" s="7" t="str">
        <f t="shared" ca="1" si="23"/>
        <v/>
      </c>
    </row>
    <row r="443" spans="12:12" x14ac:dyDescent="0.3">
      <c r="L443" s="7" t="str">
        <f t="shared" ca="1" si="23"/>
        <v/>
      </c>
    </row>
    <row r="444" spans="12:12" x14ac:dyDescent="0.3">
      <c r="L444" s="7" t="str">
        <f t="shared" ca="1" si="23"/>
        <v/>
      </c>
    </row>
    <row r="445" spans="12:12" x14ac:dyDescent="0.3">
      <c r="L445" s="7" t="str">
        <f t="shared" ca="1" si="23"/>
        <v/>
      </c>
    </row>
    <row r="446" spans="12:12" x14ac:dyDescent="0.3">
      <c r="L446" s="7" t="str">
        <f t="shared" ca="1" si="23"/>
        <v/>
      </c>
    </row>
    <row r="447" spans="12:12" x14ac:dyDescent="0.3">
      <c r="L447" s="7" t="str">
        <f t="shared" ca="1" si="23"/>
        <v/>
      </c>
    </row>
    <row r="448" spans="12:12" x14ac:dyDescent="0.3">
      <c r="L448" s="7" t="str">
        <f t="shared" ca="1" si="23"/>
        <v/>
      </c>
    </row>
    <row r="449" spans="12:12" x14ac:dyDescent="0.3">
      <c r="L449" s="7" t="str">
        <f t="shared" ca="1" si="23"/>
        <v/>
      </c>
    </row>
    <row r="450" spans="12:12" x14ac:dyDescent="0.3">
      <c r="L450" s="7" t="str">
        <f t="shared" ca="1" si="23"/>
        <v/>
      </c>
    </row>
    <row r="451" spans="12:12" x14ac:dyDescent="0.3">
      <c r="L451" s="7" t="str">
        <f t="shared" ca="1" si="23"/>
        <v/>
      </c>
    </row>
    <row r="452" spans="12:12" x14ac:dyDescent="0.3">
      <c r="L452" s="7" t="str">
        <f t="shared" ca="1" si="23"/>
        <v/>
      </c>
    </row>
    <row r="453" spans="12:12" x14ac:dyDescent="0.3">
      <c r="L453" s="7" t="str">
        <f t="shared" ca="1" si="23"/>
        <v/>
      </c>
    </row>
    <row r="454" spans="12:12" x14ac:dyDescent="0.3">
      <c r="L454" s="7" t="str">
        <f t="shared" ca="1" si="23"/>
        <v/>
      </c>
    </row>
    <row r="455" spans="12:12" x14ac:dyDescent="0.3">
      <c r="L455" s="7" t="str">
        <f t="shared" ca="1" si="23"/>
        <v/>
      </c>
    </row>
    <row r="456" spans="12:12" x14ac:dyDescent="0.3">
      <c r="L456" s="7" t="str">
        <f t="shared" ca="1" si="23"/>
        <v/>
      </c>
    </row>
    <row r="457" spans="12:12" x14ac:dyDescent="0.3">
      <c r="L457" s="7" t="str">
        <f t="shared" ref="L457:L520" ca="1" si="24">IF(I457="Completed",0,IF(H457="","",H457-TODAY()))</f>
        <v/>
      </c>
    </row>
    <row r="458" spans="12:12" x14ac:dyDescent="0.3">
      <c r="L458" s="7" t="str">
        <f t="shared" ca="1" si="24"/>
        <v/>
      </c>
    </row>
    <row r="459" spans="12:12" x14ac:dyDescent="0.3">
      <c r="L459" s="7" t="str">
        <f t="shared" ca="1" si="24"/>
        <v/>
      </c>
    </row>
    <row r="460" spans="12:12" x14ac:dyDescent="0.3">
      <c r="L460" s="7" t="str">
        <f t="shared" ca="1" si="24"/>
        <v/>
      </c>
    </row>
    <row r="461" spans="12:12" x14ac:dyDescent="0.3">
      <c r="L461" s="7" t="str">
        <f t="shared" ca="1" si="24"/>
        <v/>
      </c>
    </row>
    <row r="462" spans="12:12" x14ac:dyDescent="0.3">
      <c r="L462" s="7" t="str">
        <f t="shared" ca="1" si="24"/>
        <v/>
      </c>
    </row>
    <row r="463" spans="12:12" x14ac:dyDescent="0.3">
      <c r="L463" s="7" t="str">
        <f t="shared" ca="1" si="24"/>
        <v/>
      </c>
    </row>
    <row r="464" spans="12:12" x14ac:dyDescent="0.3">
      <c r="L464" s="7" t="str">
        <f t="shared" ca="1" si="24"/>
        <v/>
      </c>
    </row>
    <row r="465" spans="12:12" x14ac:dyDescent="0.3">
      <c r="L465" s="7" t="str">
        <f t="shared" ca="1" si="24"/>
        <v/>
      </c>
    </row>
    <row r="466" spans="12:12" x14ac:dyDescent="0.3">
      <c r="L466" s="7" t="str">
        <f t="shared" ca="1" si="24"/>
        <v/>
      </c>
    </row>
    <row r="467" spans="12:12" x14ac:dyDescent="0.3">
      <c r="L467" s="7" t="str">
        <f t="shared" ca="1" si="24"/>
        <v/>
      </c>
    </row>
    <row r="468" spans="12:12" x14ac:dyDescent="0.3">
      <c r="L468" s="7" t="str">
        <f t="shared" ca="1" si="24"/>
        <v/>
      </c>
    </row>
    <row r="469" spans="12:12" x14ac:dyDescent="0.3">
      <c r="L469" s="7" t="str">
        <f t="shared" ca="1" si="24"/>
        <v/>
      </c>
    </row>
    <row r="470" spans="12:12" x14ac:dyDescent="0.3">
      <c r="L470" s="7" t="str">
        <f t="shared" ca="1" si="24"/>
        <v/>
      </c>
    </row>
    <row r="471" spans="12:12" x14ac:dyDescent="0.3">
      <c r="L471" s="7" t="str">
        <f t="shared" ca="1" si="24"/>
        <v/>
      </c>
    </row>
    <row r="472" spans="12:12" x14ac:dyDescent="0.3">
      <c r="L472" s="7" t="str">
        <f t="shared" ca="1" si="24"/>
        <v/>
      </c>
    </row>
    <row r="473" spans="12:12" x14ac:dyDescent="0.3">
      <c r="L473" s="7" t="str">
        <f t="shared" ca="1" si="24"/>
        <v/>
      </c>
    </row>
    <row r="474" spans="12:12" x14ac:dyDescent="0.3">
      <c r="L474" s="7" t="str">
        <f t="shared" ca="1" si="24"/>
        <v/>
      </c>
    </row>
    <row r="475" spans="12:12" x14ac:dyDescent="0.3">
      <c r="L475" s="7" t="str">
        <f t="shared" ca="1" si="24"/>
        <v/>
      </c>
    </row>
    <row r="476" spans="12:12" x14ac:dyDescent="0.3">
      <c r="L476" s="7" t="str">
        <f t="shared" ca="1" si="24"/>
        <v/>
      </c>
    </row>
    <row r="477" spans="12:12" x14ac:dyDescent="0.3">
      <c r="L477" s="7" t="str">
        <f t="shared" ca="1" si="24"/>
        <v/>
      </c>
    </row>
    <row r="478" spans="12:12" x14ac:dyDescent="0.3">
      <c r="L478" s="7" t="str">
        <f t="shared" ca="1" si="24"/>
        <v/>
      </c>
    </row>
    <row r="479" spans="12:12" x14ac:dyDescent="0.3">
      <c r="L479" s="7" t="str">
        <f t="shared" ca="1" si="24"/>
        <v/>
      </c>
    </row>
    <row r="480" spans="12:12" x14ac:dyDescent="0.3">
      <c r="L480" s="7" t="str">
        <f t="shared" ca="1" si="24"/>
        <v/>
      </c>
    </row>
    <row r="481" spans="12:12" x14ac:dyDescent="0.3">
      <c r="L481" s="7" t="str">
        <f t="shared" ca="1" si="24"/>
        <v/>
      </c>
    </row>
    <row r="482" spans="12:12" x14ac:dyDescent="0.3">
      <c r="L482" s="7" t="str">
        <f t="shared" ca="1" si="24"/>
        <v/>
      </c>
    </row>
    <row r="483" spans="12:12" x14ac:dyDescent="0.3">
      <c r="L483" s="7" t="str">
        <f t="shared" ca="1" si="24"/>
        <v/>
      </c>
    </row>
    <row r="484" spans="12:12" x14ac:dyDescent="0.3">
      <c r="L484" s="7" t="str">
        <f t="shared" ca="1" si="24"/>
        <v/>
      </c>
    </row>
    <row r="485" spans="12:12" x14ac:dyDescent="0.3">
      <c r="L485" s="7" t="str">
        <f t="shared" ca="1" si="24"/>
        <v/>
      </c>
    </row>
    <row r="486" spans="12:12" x14ac:dyDescent="0.3">
      <c r="L486" s="7" t="str">
        <f t="shared" ca="1" si="24"/>
        <v/>
      </c>
    </row>
    <row r="487" spans="12:12" x14ac:dyDescent="0.3">
      <c r="L487" s="7" t="str">
        <f t="shared" ca="1" si="24"/>
        <v/>
      </c>
    </row>
    <row r="488" spans="12:12" x14ac:dyDescent="0.3">
      <c r="L488" s="7" t="str">
        <f t="shared" ca="1" si="24"/>
        <v/>
      </c>
    </row>
    <row r="489" spans="12:12" x14ac:dyDescent="0.3">
      <c r="L489" s="7" t="str">
        <f t="shared" ca="1" si="24"/>
        <v/>
      </c>
    </row>
    <row r="490" spans="12:12" x14ac:dyDescent="0.3">
      <c r="L490" s="7" t="str">
        <f t="shared" ca="1" si="24"/>
        <v/>
      </c>
    </row>
    <row r="491" spans="12:12" x14ac:dyDescent="0.3">
      <c r="L491" s="7" t="str">
        <f t="shared" ca="1" si="24"/>
        <v/>
      </c>
    </row>
    <row r="492" spans="12:12" x14ac:dyDescent="0.3">
      <c r="L492" s="7" t="str">
        <f t="shared" ca="1" si="24"/>
        <v/>
      </c>
    </row>
    <row r="493" spans="12:12" x14ac:dyDescent="0.3">
      <c r="L493" s="7" t="str">
        <f t="shared" ca="1" si="24"/>
        <v/>
      </c>
    </row>
    <row r="494" spans="12:12" x14ac:dyDescent="0.3">
      <c r="L494" s="7" t="str">
        <f t="shared" ca="1" si="24"/>
        <v/>
      </c>
    </row>
    <row r="495" spans="12:12" x14ac:dyDescent="0.3">
      <c r="L495" s="7" t="str">
        <f t="shared" ca="1" si="24"/>
        <v/>
      </c>
    </row>
    <row r="496" spans="12:12" x14ac:dyDescent="0.3">
      <c r="L496" s="7" t="str">
        <f t="shared" ca="1" si="24"/>
        <v/>
      </c>
    </row>
    <row r="497" spans="12:12" x14ac:dyDescent="0.3">
      <c r="L497" s="7" t="str">
        <f t="shared" ca="1" si="24"/>
        <v/>
      </c>
    </row>
    <row r="498" spans="12:12" x14ac:dyDescent="0.3">
      <c r="L498" s="7" t="str">
        <f t="shared" ca="1" si="24"/>
        <v/>
      </c>
    </row>
    <row r="499" spans="12:12" x14ac:dyDescent="0.3">
      <c r="L499" s="7" t="str">
        <f t="shared" ca="1" si="24"/>
        <v/>
      </c>
    </row>
    <row r="500" spans="12:12" x14ac:dyDescent="0.3">
      <c r="L500" s="7" t="str">
        <f t="shared" ca="1" si="24"/>
        <v/>
      </c>
    </row>
    <row r="501" spans="12:12" x14ac:dyDescent="0.3">
      <c r="L501" s="7" t="str">
        <f t="shared" ca="1" si="24"/>
        <v/>
      </c>
    </row>
    <row r="502" spans="12:12" x14ac:dyDescent="0.3">
      <c r="L502" s="7" t="str">
        <f t="shared" ca="1" si="24"/>
        <v/>
      </c>
    </row>
    <row r="503" spans="12:12" x14ac:dyDescent="0.3">
      <c r="L503" s="7" t="str">
        <f t="shared" ca="1" si="24"/>
        <v/>
      </c>
    </row>
    <row r="504" spans="12:12" x14ac:dyDescent="0.3">
      <c r="L504" s="7" t="str">
        <f t="shared" ca="1" si="24"/>
        <v/>
      </c>
    </row>
    <row r="505" spans="12:12" x14ac:dyDescent="0.3">
      <c r="L505" s="7" t="str">
        <f t="shared" ca="1" si="24"/>
        <v/>
      </c>
    </row>
    <row r="506" spans="12:12" x14ac:dyDescent="0.3">
      <c r="L506" s="7" t="str">
        <f t="shared" ca="1" si="24"/>
        <v/>
      </c>
    </row>
    <row r="507" spans="12:12" x14ac:dyDescent="0.3">
      <c r="L507" s="7" t="str">
        <f t="shared" ca="1" si="24"/>
        <v/>
      </c>
    </row>
    <row r="508" spans="12:12" x14ac:dyDescent="0.3">
      <c r="L508" s="7" t="str">
        <f t="shared" ca="1" si="24"/>
        <v/>
      </c>
    </row>
    <row r="509" spans="12:12" x14ac:dyDescent="0.3">
      <c r="L509" s="7" t="str">
        <f t="shared" ca="1" si="24"/>
        <v/>
      </c>
    </row>
    <row r="510" spans="12:12" x14ac:dyDescent="0.3">
      <c r="L510" s="7" t="str">
        <f t="shared" ca="1" si="24"/>
        <v/>
      </c>
    </row>
    <row r="511" spans="12:12" x14ac:dyDescent="0.3">
      <c r="L511" s="7" t="str">
        <f t="shared" ca="1" si="24"/>
        <v/>
      </c>
    </row>
    <row r="512" spans="12:12" x14ac:dyDescent="0.3">
      <c r="L512" s="7" t="str">
        <f t="shared" ca="1" si="24"/>
        <v/>
      </c>
    </row>
    <row r="513" spans="12:12" x14ac:dyDescent="0.3">
      <c r="L513" s="7" t="str">
        <f t="shared" ca="1" si="24"/>
        <v/>
      </c>
    </row>
    <row r="514" spans="12:12" x14ac:dyDescent="0.3">
      <c r="L514" s="7" t="str">
        <f t="shared" ca="1" si="24"/>
        <v/>
      </c>
    </row>
    <row r="515" spans="12:12" x14ac:dyDescent="0.3">
      <c r="L515" s="7" t="str">
        <f t="shared" ca="1" si="24"/>
        <v/>
      </c>
    </row>
    <row r="516" spans="12:12" x14ac:dyDescent="0.3">
      <c r="L516" s="7" t="str">
        <f t="shared" ca="1" si="24"/>
        <v/>
      </c>
    </row>
    <row r="517" spans="12:12" x14ac:dyDescent="0.3">
      <c r="L517" s="7" t="str">
        <f t="shared" ca="1" si="24"/>
        <v/>
      </c>
    </row>
    <row r="518" spans="12:12" x14ac:dyDescent="0.3">
      <c r="L518" s="7" t="str">
        <f t="shared" ca="1" si="24"/>
        <v/>
      </c>
    </row>
    <row r="519" spans="12:12" x14ac:dyDescent="0.3">
      <c r="L519" s="7" t="str">
        <f t="shared" ca="1" si="24"/>
        <v/>
      </c>
    </row>
    <row r="520" spans="12:12" x14ac:dyDescent="0.3">
      <c r="L520" s="7" t="str">
        <f t="shared" ca="1" si="24"/>
        <v/>
      </c>
    </row>
    <row r="521" spans="12:12" x14ac:dyDescent="0.3">
      <c r="L521" s="7" t="str">
        <f t="shared" ref="L521:L584" ca="1" si="25">IF(I521="Completed",0,IF(H521="","",H521-TODAY()))</f>
        <v/>
      </c>
    </row>
    <row r="522" spans="12:12" x14ac:dyDescent="0.3">
      <c r="L522" s="7" t="str">
        <f t="shared" ca="1" si="25"/>
        <v/>
      </c>
    </row>
    <row r="523" spans="12:12" x14ac:dyDescent="0.3">
      <c r="L523" s="7" t="str">
        <f t="shared" ca="1" si="25"/>
        <v/>
      </c>
    </row>
    <row r="524" spans="12:12" x14ac:dyDescent="0.3">
      <c r="L524" s="7" t="str">
        <f t="shared" ca="1" si="25"/>
        <v/>
      </c>
    </row>
    <row r="525" spans="12:12" x14ac:dyDescent="0.3">
      <c r="L525" s="7" t="str">
        <f t="shared" ca="1" si="25"/>
        <v/>
      </c>
    </row>
    <row r="526" spans="12:12" x14ac:dyDescent="0.3">
      <c r="L526" s="7" t="str">
        <f t="shared" ca="1" si="25"/>
        <v/>
      </c>
    </row>
    <row r="527" spans="12:12" x14ac:dyDescent="0.3">
      <c r="L527" s="7" t="str">
        <f t="shared" ca="1" si="25"/>
        <v/>
      </c>
    </row>
    <row r="528" spans="12:12" x14ac:dyDescent="0.3">
      <c r="L528" s="7" t="str">
        <f t="shared" ca="1" si="25"/>
        <v/>
      </c>
    </row>
    <row r="529" spans="12:12" x14ac:dyDescent="0.3">
      <c r="L529" s="7" t="str">
        <f t="shared" ca="1" si="25"/>
        <v/>
      </c>
    </row>
    <row r="530" spans="12:12" x14ac:dyDescent="0.3">
      <c r="L530" s="7" t="str">
        <f t="shared" ca="1" si="25"/>
        <v/>
      </c>
    </row>
    <row r="531" spans="12:12" x14ac:dyDescent="0.3">
      <c r="L531" s="7" t="str">
        <f t="shared" ca="1" si="25"/>
        <v/>
      </c>
    </row>
    <row r="532" spans="12:12" x14ac:dyDescent="0.3">
      <c r="L532" s="7" t="str">
        <f t="shared" ca="1" si="25"/>
        <v/>
      </c>
    </row>
    <row r="533" spans="12:12" x14ac:dyDescent="0.3">
      <c r="L533" s="7" t="str">
        <f t="shared" ca="1" si="25"/>
        <v/>
      </c>
    </row>
    <row r="534" spans="12:12" x14ac:dyDescent="0.3">
      <c r="L534" s="7" t="str">
        <f t="shared" ca="1" si="25"/>
        <v/>
      </c>
    </row>
    <row r="535" spans="12:12" x14ac:dyDescent="0.3">
      <c r="L535" s="7" t="str">
        <f t="shared" ca="1" si="25"/>
        <v/>
      </c>
    </row>
    <row r="536" spans="12:12" x14ac:dyDescent="0.3">
      <c r="L536" s="7" t="str">
        <f t="shared" ca="1" si="25"/>
        <v/>
      </c>
    </row>
    <row r="537" spans="12:12" x14ac:dyDescent="0.3">
      <c r="L537" s="7" t="str">
        <f t="shared" ca="1" si="25"/>
        <v/>
      </c>
    </row>
    <row r="538" spans="12:12" x14ac:dyDescent="0.3">
      <c r="L538" s="7" t="str">
        <f t="shared" ca="1" si="25"/>
        <v/>
      </c>
    </row>
    <row r="539" spans="12:12" x14ac:dyDescent="0.3">
      <c r="L539" s="7" t="str">
        <f t="shared" ca="1" si="25"/>
        <v/>
      </c>
    </row>
    <row r="540" spans="12:12" x14ac:dyDescent="0.3">
      <c r="L540" s="7" t="str">
        <f t="shared" ca="1" si="25"/>
        <v/>
      </c>
    </row>
    <row r="541" spans="12:12" x14ac:dyDescent="0.3">
      <c r="L541" s="7" t="str">
        <f t="shared" ca="1" si="25"/>
        <v/>
      </c>
    </row>
    <row r="542" spans="12:12" x14ac:dyDescent="0.3">
      <c r="L542" s="7" t="str">
        <f t="shared" ca="1" si="25"/>
        <v/>
      </c>
    </row>
    <row r="543" spans="12:12" x14ac:dyDescent="0.3">
      <c r="L543" s="7" t="str">
        <f t="shared" ca="1" si="25"/>
        <v/>
      </c>
    </row>
    <row r="544" spans="12:12" x14ac:dyDescent="0.3">
      <c r="L544" s="7" t="str">
        <f t="shared" ca="1" si="25"/>
        <v/>
      </c>
    </row>
    <row r="545" spans="12:12" x14ac:dyDescent="0.3">
      <c r="L545" s="7" t="str">
        <f t="shared" ca="1" si="25"/>
        <v/>
      </c>
    </row>
    <row r="546" spans="12:12" x14ac:dyDescent="0.3">
      <c r="L546" s="7" t="str">
        <f t="shared" ca="1" si="25"/>
        <v/>
      </c>
    </row>
    <row r="547" spans="12:12" x14ac:dyDescent="0.3">
      <c r="L547" s="7" t="str">
        <f t="shared" ca="1" si="25"/>
        <v/>
      </c>
    </row>
    <row r="548" spans="12:12" x14ac:dyDescent="0.3">
      <c r="L548" s="7" t="str">
        <f t="shared" ca="1" si="25"/>
        <v/>
      </c>
    </row>
    <row r="549" spans="12:12" x14ac:dyDescent="0.3">
      <c r="L549" s="7" t="str">
        <f t="shared" ca="1" si="25"/>
        <v/>
      </c>
    </row>
    <row r="550" spans="12:12" x14ac:dyDescent="0.3">
      <c r="L550" s="7" t="str">
        <f t="shared" ca="1" si="25"/>
        <v/>
      </c>
    </row>
    <row r="551" spans="12:12" x14ac:dyDescent="0.3">
      <c r="L551" s="7" t="str">
        <f t="shared" ca="1" si="25"/>
        <v/>
      </c>
    </row>
    <row r="552" spans="12:12" x14ac:dyDescent="0.3">
      <c r="L552" s="7" t="str">
        <f t="shared" ca="1" si="25"/>
        <v/>
      </c>
    </row>
    <row r="553" spans="12:12" x14ac:dyDescent="0.3">
      <c r="L553" s="7" t="str">
        <f t="shared" ca="1" si="25"/>
        <v/>
      </c>
    </row>
    <row r="554" spans="12:12" x14ac:dyDescent="0.3">
      <c r="L554" s="7" t="str">
        <f t="shared" ca="1" si="25"/>
        <v/>
      </c>
    </row>
    <row r="555" spans="12:12" x14ac:dyDescent="0.3">
      <c r="L555" s="7" t="str">
        <f t="shared" ca="1" si="25"/>
        <v/>
      </c>
    </row>
    <row r="556" spans="12:12" x14ac:dyDescent="0.3">
      <c r="L556" s="7" t="str">
        <f t="shared" ca="1" si="25"/>
        <v/>
      </c>
    </row>
    <row r="557" spans="12:12" x14ac:dyDescent="0.3">
      <c r="L557" s="7" t="str">
        <f t="shared" ca="1" si="25"/>
        <v/>
      </c>
    </row>
    <row r="558" spans="12:12" x14ac:dyDescent="0.3">
      <c r="L558" s="7" t="str">
        <f t="shared" ca="1" si="25"/>
        <v/>
      </c>
    </row>
    <row r="559" spans="12:12" x14ac:dyDescent="0.3">
      <c r="L559" s="7" t="str">
        <f t="shared" ca="1" si="25"/>
        <v/>
      </c>
    </row>
    <row r="560" spans="12:12" x14ac:dyDescent="0.3">
      <c r="L560" s="7" t="str">
        <f t="shared" ca="1" si="25"/>
        <v/>
      </c>
    </row>
    <row r="561" spans="12:12" x14ac:dyDescent="0.3">
      <c r="L561" s="7" t="str">
        <f t="shared" ca="1" si="25"/>
        <v/>
      </c>
    </row>
    <row r="562" spans="12:12" x14ac:dyDescent="0.3">
      <c r="L562" s="7" t="str">
        <f t="shared" ca="1" si="25"/>
        <v/>
      </c>
    </row>
    <row r="563" spans="12:12" x14ac:dyDescent="0.3">
      <c r="L563" s="7" t="str">
        <f t="shared" ca="1" si="25"/>
        <v/>
      </c>
    </row>
    <row r="564" spans="12:12" x14ac:dyDescent="0.3">
      <c r="L564" s="7" t="str">
        <f t="shared" ca="1" si="25"/>
        <v/>
      </c>
    </row>
    <row r="565" spans="12:12" x14ac:dyDescent="0.3">
      <c r="L565" s="7" t="str">
        <f t="shared" ca="1" si="25"/>
        <v/>
      </c>
    </row>
    <row r="566" spans="12:12" x14ac:dyDescent="0.3">
      <c r="L566" s="7" t="str">
        <f t="shared" ca="1" si="25"/>
        <v/>
      </c>
    </row>
    <row r="567" spans="12:12" x14ac:dyDescent="0.3">
      <c r="L567" s="7" t="str">
        <f t="shared" ca="1" si="25"/>
        <v/>
      </c>
    </row>
    <row r="568" spans="12:12" x14ac:dyDescent="0.3">
      <c r="L568" s="7" t="str">
        <f t="shared" ca="1" si="25"/>
        <v/>
      </c>
    </row>
    <row r="569" spans="12:12" x14ac:dyDescent="0.3">
      <c r="L569" s="7" t="str">
        <f t="shared" ca="1" si="25"/>
        <v/>
      </c>
    </row>
    <row r="570" spans="12:12" x14ac:dyDescent="0.3">
      <c r="L570" s="7" t="str">
        <f t="shared" ca="1" si="25"/>
        <v/>
      </c>
    </row>
    <row r="571" spans="12:12" x14ac:dyDescent="0.3">
      <c r="L571" s="7" t="str">
        <f t="shared" ca="1" si="25"/>
        <v/>
      </c>
    </row>
    <row r="572" spans="12:12" x14ac:dyDescent="0.3">
      <c r="L572" s="7" t="str">
        <f t="shared" ca="1" si="25"/>
        <v/>
      </c>
    </row>
    <row r="573" spans="12:12" x14ac:dyDescent="0.3">
      <c r="L573" s="7" t="str">
        <f t="shared" ca="1" si="25"/>
        <v/>
      </c>
    </row>
    <row r="574" spans="12:12" x14ac:dyDescent="0.3">
      <c r="L574" s="7" t="str">
        <f t="shared" ca="1" si="25"/>
        <v/>
      </c>
    </row>
    <row r="575" spans="12:12" x14ac:dyDescent="0.3">
      <c r="L575" s="7" t="str">
        <f t="shared" ca="1" si="25"/>
        <v/>
      </c>
    </row>
    <row r="576" spans="12:12" x14ac:dyDescent="0.3">
      <c r="L576" s="7" t="str">
        <f t="shared" ca="1" si="25"/>
        <v/>
      </c>
    </row>
    <row r="577" spans="12:12" x14ac:dyDescent="0.3">
      <c r="L577" s="7" t="str">
        <f t="shared" ca="1" si="25"/>
        <v/>
      </c>
    </row>
    <row r="578" spans="12:12" x14ac:dyDescent="0.3">
      <c r="L578" s="7" t="str">
        <f t="shared" ca="1" si="25"/>
        <v/>
      </c>
    </row>
    <row r="579" spans="12:12" x14ac:dyDescent="0.3">
      <c r="L579" s="7" t="str">
        <f t="shared" ca="1" si="25"/>
        <v/>
      </c>
    </row>
    <row r="580" spans="12:12" x14ac:dyDescent="0.3">
      <c r="L580" s="7" t="str">
        <f t="shared" ca="1" si="25"/>
        <v/>
      </c>
    </row>
    <row r="581" spans="12:12" x14ac:dyDescent="0.3">
      <c r="L581" s="7" t="str">
        <f t="shared" ca="1" si="25"/>
        <v/>
      </c>
    </row>
    <row r="582" spans="12:12" x14ac:dyDescent="0.3">
      <c r="L582" s="7" t="str">
        <f t="shared" ca="1" si="25"/>
        <v/>
      </c>
    </row>
    <row r="583" spans="12:12" x14ac:dyDescent="0.3">
      <c r="L583" s="7" t="str">
        <f t="shared" ca="1" si="25"/>
        <v/>
      </c>
    </row>
    <row r="584" spans="12:12" x14ac:dyDescent="0.3">
      <c r="L584" s="7" t="str">
        <f t="shared" ca="1" si="25"/>
        <v/>
      </c>
    </row>
    <row r="585" spans="12:12" x14ac:dyDescent="0.3">
      <c r="L585" s="7" t="str">
        <f t="shared" ref="L585:L648" ca="1" si="26">IF(I585="Completed",0,IF(H585="","",H585-TODAY()))</f>
        <v/>
      </c>
    </row>
    <row r="586" spans="12:12" x14ac:dyDescent="0.3">
      <c r="L586" s="7" t="str">
        <f t="shared" ca="1" si="26"/>
        <v/>
      </c>
    </row>
    <row r="587" spans="12:12" x14ac:dyDescent="0.3">
      <c r="L587" s="7" t="str">
        <f t="shared" ca="1" si="26"/>
        <v/>
      </c>
    </row>
    <row r="588" spans="12:12" x14ac:dyDescent="0.3">
      <c r="L588" s="7" t="str">
        <f t="shared" ca="1" si="26"/>
        <v/>
      </c>
    </row>
    <row r="589" spans="12:12" x14ac:dyDescent="0.3">
      <c r="L589" s="7" t="str">
        <f t="shared" ca="1" si="26"/>
        <v/>
      </c>
    </row>
    <row r="590" spans="12:12" x14ac:dyDescent="0.3">
      <c r="L590" s="7" t="str">
        <f t="shared" ca="1" si="26"/>
        <v/>
      </c>
    </row>
    <row r="591" spans="12:12" x14ac:dyDescent="0.3">
      <c r="L591" s="7" t="str">
        <f t="shared" ca="1" si="26"/>
        <v/>
      </c>
    </row>
    <row r="592" spans="12:12" x14ac:dyDescent="0.3">
      <c r="L592" s="7" t="str">
        <f t="shared" ca="1" si="26"/>
        <v/>
      </c>
    </row>
    <row r="593" spans="12:12" x14ac:dyDescent="0.3">
      <c r="L593" s="7" t="str">
        <f t="shared" ca="1" si="26"/>
        <v/>
      </c>
    </row>
    <row r="594" spans="12:12" x14ac:dyDescent="0.3">
      <c r="L594" s="7" t="str">
        <f t="shared" ca="1" si="26"/>
        <v/>
      </c>
    </row>
    <row r="595" spans="12:12" x14ac:dyDescent="0.3">
      <c r="L595" s="7" t="str">
        <f t="shared" ca="1" si="26"/>
        <v/>
      </c>
    </row>
    <row r="596" spans="12:12" x14ac:dyDescent="0.3">
      <c r="L596" s="7" t="str">
        <f t="shared" ca="1" si="26"/>
        <v/>
      </c>
    </row>
    <row r="597" spans="12:12" x14ac:dyDescent="0.3">
      <c r="L597" s="7" t="str">
        <f t="shared" ca="1" si="26"/>
        <v/>
      </c>
    </row>
    <row r="598" spans="12:12" x14ac:dyDescent="0.3">
      <c r="L598" s="7" t="str">
        <f t="shared" ca="1" si="26"/>
        <v/>
      </c>
    </row>
    <row r="599" spans="12:12" x14ac:dyDescent="0.3">
      <c r="L599" s="7" t="str">
        <f t="shared" ca="1" si="26"/>
        <v/>
      </c>
    </row>
    <row r="600" spans="12:12" x14ac:dyDescent="0.3">
      <c r="L600" s="7" t="str">
        <f t="shared" ca="1" si="26"/>
        <v/>
      </c>
    </row>
    <row r="601" spans="12:12" x14ac:dyDescent="0.3">
      <c r="L601" s="7" t="str">
        <f t="shared" ca="1" si="26"/>
        <v/>
      </c>
    </row>
    <row r="602" spans="12:12" x14ac:dyDescent="0.3">
      <c r="L602" s="7" t="str">
        <f t="shared" ca="1" si="26"/>
        <v/>
      </c>
    </row>
    <row r="603" spans="12:12" x14ac:dyDescent="0.3">
      <c r="L603" s="7" t="str">
        <f t="shared" ca="1" si="26"/>
        <v/>
      </c>
    </row>
    <row r="604" spans="12:12" x14ac:dyDescent="0.3">
      <c r="L604" s="7" t="str">
        <f t="shared" ca="1" si="26"/>
        <v/>
      </c>
    </row>
    <row r="605" spans="12:12" x14ac:dyDescent="0.3">
      <c r="L605" s="7" t="str">
        <f t="shared" ca="1" si="26"/>
        <v/>
      </c>
    </row>
    <row r="606" spans="12:12" x14ac:dyDescent="0.3">
      <c r="L606" s="7" t="str">
        <f t="shared" ca="1" si="26"/>
        <v/>
      </c>
    </row>
    <row r="607" spans="12:12" x14ac:dyDescent="0.3">
      <c r="L607" s="7" t="str">
        <f t="shared" ca="1" si="26"/>
        <v/>
      </c>
    </row>
    <row r="608" spans="12:12" x14ac:dyDescent="0.3">
      <c r="L608" s="7" t="str">
        <f t="shared" ca="1" si="26"/>
        <v/>
      </c>
    </row>
    <row r="609" spans="12:12" x14ac:dyDescent="0.3">
      <c r="L609" s="7" t="str">
        <f t="shared" ca="1" si="26"/>
        <v/>
      </c>
    </row>
    <row r="610" spans="12:12" x14ac:dyDescent="0.3">
      <c r="L610" s="7" t="str">
        <f t="shared" ca="1" si="26"/>
        <v/>
      </c>
    </row>
    <row r="611" spans="12:12" x14ac:dyDescent="0.3">
      <c r="L611" s="7" t="str">
        <f t="shared" ca="1" si="26"/>
        <v/>
      </c>
    </row>
    <row r="612" spans="12:12" x14ac:dyDescent="0.3">
      <c r="L612" s="7" t="str">
        <f t="shared" ca="1" si="26"/>
        <v/>
      </c>
    </row>
    <row r="613" spans="12:12" x14ac:dyDescent="0.3">
      <c r="L613" s="7" t="str">
        <f t="shared" ca="1" si="26"/>
        <v/>
      </c>
    </row>
    <row r="614" spans="12:12" x14ac:dyDescent="0.3">
      <c r="L614" s="7" t="str">
        <f t="shared" ca="1" si="26"/>
        <v/>
      </c>
    </row>
    <row r="615" spans="12:12" x14ac:dyDescent="0.3">
      <c r="L615" s="7" t="str">
        <f t="shared" ca="1" si="26"/>
        <v/>
      </c>
    </row>
    <row r="616" spans="12:12" x14ac:dyDescent="0.3">
      <c r="L616" s="7" t="str">
        <f t="shared" ca="1" si="26"/>
        <v/>
      </c>
    </row>
    <row r="617" spans="12:12" x14ac:dyDescent="0.3">
      <c r="L617" s="7" t="str">
        <f t="shared" ca="1" si="26"/>
        <v/>
      </c>
    </row>
    <row r="618" spans="12:12" x14ac:dyDescent="0.3">
      <c r="L618" s="7" t="str">
        <f t="shared" ca="1" si="26"/>
        <v/>
      </c>
    </row>
    <row r="619" spans="12:12" x14ac:dyDescent="0.3">
      <c r="L619" s="7" t="str">
        <f t="shared" ca="1" si="26"/>
        <v/>
      </c>
    </row>
    <row r="620" spans="12:12" x14ac:dyDescent="0.3">
      <c r="L620" s="7" t="str">
        <f t="shared" ca="1" si="26"/>
        <v/>
      </c>
    </row>
    <row r="621" spans="12:12" x14ac:dyDescent="0.3">
      <c r="L621" s="7" t="str">
        <f t="shared" ca="1" si="26"/>
        <v/>
      </c>
    </row>
    <row r="622" spans="12:12" x14ac:dyDescent="0.3">
      <c r="L622" s="7" t="str">
        <f t="shared" ca="1" si="26"/>
        <v/>
      </c>
    </row>
    <row r="623" spans="12:12" x14ac:dyDescent="0.3">
      <c r="L623" s="7" t="str">
        <f t="shared" ca="1" si="26"/>
        <v/>
      </c>
    </row>
    <row r="624" spans="12:12" x14ac:dyDescent="0.3">
      <c r="L624" s="7" t="str">
        <f t="shared" ca="1" si="26"/>
        <v/>
      </c>
    </row>
    <row r="625" spans="12:12" x14ac:dyDescent="0.3">
      <c r="L625" s="7" t="str">
        <f t="shared" ca="1" si="26"/>
        <v/>
      </c>
    </row>
    <row r="626" spans="12:12" x14ac:dyDescent="0.3">
      <c r="L626" s="7" t="str">
        <f t="shared" ca="1" si="26"/>
        <v/>
      </c>
    </row>
    <row r="627" spans="12:12" x14ac:dyDescent="0.3">
      <c r="L627" s="7" t="str">
        <f t="shared" ca="1" si="26"/>
        <v/>
      </c>
    </row>
    <row r="628" spans="12:12" x14ac:dyDescent="0.3">
      <c r="L628" s="7" t="str">
        <f t="shared" ca="1" si="26"/>
        <v/>
      </c>
    </row>
    <row r="629" spans="12:12" x14ac:dyDescent="0.3">
      <c r="L629" s="7" t="str">
        <f t="shared" ca="1" si="26"/>
        <v/>
      </c>
    </row>
    <row r="630" spans="12:12" x14ac:dyDescent="0.3">
      <c r="L630" s="7" t="str">
        <f t="shared" ca="1" si="26"/>
        <v/>
      </c>
    </row>
    <row r="631" spans="12:12" x14ac:dyDescent="0.3">
      <c r="L631" s="7" t="str">
        <f t="shared" ca="1" si="26"/>
        <v/>
      </c>
    </row>
    <row r="632" spans="12:12" x14ac:dyDescent="0.3">
      <c r="L632" s="7" t="str">
        <f t="shared" ca="1" si="26"/>
        <v/>
      </c>
    </row>
    <row r="633" spans="12:12" x14ac:dyDescent="0.3">
      <c r="L633" s="7" t="str">
        <f t="shared" ca="1" si="26"/>
        <v/>
      </c>
    </row>
    <row r="634" spans="12:12" x14ac:dyDescent="0.3">
      <c r="L634" s="7" t="str">
        <f t="shared" ca="1" si="26"/>
        <v/>
      </c>
    </row>
    <row r="635" spans="12:12" x14ac:dyDescent="0.3">
      <c r="L635" s="7" t="str">
        <f t="shared" ca="1" si="26"/>
        <v/>
      </c>
    </row>
    <row r="636" spans="12:12" x14ac:dyDescent="0.3">
      <c r="L636" s="7" t="str">
        <f t="shared" ca="1" si="26"/>
        <v/>
      </c>
    </row>
    <row r="637" spans="12:12" x14ac:dyDescent="0.3">
      <c r="L637" s="7" t="str">
        <f t="shared" ca="1" si="26"/>
        <v/>
      </c>
    </row>
    <row r="638" spans="12:12" x14ac:dyDescent="0.3">
      <c r="L638" s="7" t="str">
        <f t="shared" ca="1" si="26"/>
        <v/>
      </c>
    </row>
    <row r="639" spans="12:12" x14ac:dyDescent="0.3">
      <c r="L639" s="7" t="str">
        <f t="shared" ca="1" si="26"/>
        <v/>
      </c>
    </row>
    <row r="640" spans="12:12" x14ac:dyDescent="0.3">
      <c r="L640" s="7" t="str">
        <f t="shared" ca="1" si="26"/>
        <v/>
      </c>
    </row>
    <row r="641" spans="12:12" x14ac:dyDescent="0.3">
      <c r="L641" s="7" t="str">
        <f t="shared" ca="1" si="26"/>
        <v/>
      </c>
    </row>
    <row r="642" spans="12:12" x14ac:dyDescent="0.3">
      <c r="L642" s="7" t="str">
        <f t="shared" ca="1" si="26"/>
        <v/>
      </c>
    </row>
    <row r="643" spans="12:12" x14ac:dyDescent="0.3">
      <c r="L643" s="7" t="str">
        <f t="shared" ca="1" si="26"/>
        <v/>
      </c>
    </row>
    <row r="644" spans="12:12" x14ac:dyDescent="0.3">
      <c r="L644" s="7" t="str">
        <f t="shared" ca="1" si="26"/>
        <v/>
      </c>
    </row>
    <row r="645" spans="12:12" x14ac:dyDescent="0.3">
      <c r="L645" s="7" t="str">
        <f t="shared" ca="1" si="26"/>
        <v/>
      </c>
    </row>
    <row r="646" spans="12:12" x14ac:dyDescent="0.3">
      <c r="L646" s="7" t="str">
        <f t="shared" ca="1" si="26"/>
        <v/>
      </c>
    </row>
    <row r="647" spans="12:12" x14ac:dyDescent="0.3">
      <c r="L647" s="7" t="str">
        <f t="shared" ca="1" si="26"/>
        <v/>
      </c>
    </row>
    <row r="648" spans="12:12" x14ac:dyDescent="0.3">
      <c r="L648" s="7" t="str">
        <f t="shared" ca="1" si="26"/>
        <v/>
      </c>
    </row>
    <row r="649" spans="12:12" x14ac:dyDescent="0.3">
      <c r="L649" s="7" t="str">
        <f t="shared" ref="L649:L712" ca="1" si="27">IF(I649="Completed",0,IF(H649="","",H649-TODAY()))</f>
        <v/>
      </c>
    </row>
    <row r="650" spans="12:12" x14ac:dyDescent="0.3">
      <c r="L650" s="7" t="str">
        <f t="shared" ca="1" si="27"/>
        <v/>
      </c>
    </row>
    <row r="651" spans="12:12" x14ac:dyDescent="0.3">
      <c r="L651" s="7" t="str">
        <f t="shared" ca="1" si="27"/>
        <v/>
      </c>
    </row>
    <row r="652" spans="12:12" x14ac:dyDescent="0.3">
      <c r="L652" s="7" t="str">
        <f t="shared" ca="1" si="27"/>
        <v/>
      </c>
    </row>
    <row r="653" spans="12:12" x14ac:dyDescent="0.3">
      <c r="L653" s="7" t="str">
        <f t="shared" ca="1" si="27"/>
        <v/>
      </c>
    </row>
    <row r="654" spans="12:12" x14ac:dyDescent="0.3">
      <c r="L654" s="7" t="str">
        <f t="shared" ca="1" si="27"/>
        <v/>
      </c>
    </row>
    <row r="655" spans="12:12" x14ac:dyDescent="0.3">
      <c r="L655" s="7" t="str">
        <f t="shared" ca="1" si="27"/>
        <v/>
      </c>
    </row>
    <row r="656" spans="12:12" x14ac:dyDescent="0.3">
      <c r="L656" s="7" t="str">
        <f t="shared" ca="1" si="27"/>
        <v/>
      </c>
    </row>
    <row r="657" spans="12:12" x14ac:dyDescent="0.3">
      <c r="L657" s="7" t="str">
        <f t="shared" ca="1" si="27"/>
        <v/>
      </c>
    </row>
    <row r="658" spans="12:12" x14ac:dyDescent="0.3">
      <c r="L658" s="7" t="str">
        <f t="shared" ca="1" si="27"/>
        <v/>
      </c>
    </row>
    <row r="659" spans="12:12" x14ac:dyDescent="0.3">
      <c r="L659" s="7" t="str">
        <f t="shared" ca="1" si="27"/>
        <v/>
      </c>
    </row>
    <row r="660" spans="12:12" x14ac:dyDescent="0.3">
      <c r="L660" s="7" t="str">
        <f t="shared" ca="1" si="27"/>
        <v/>
      </c>
    </row>
    <row r="661" spans="12:12" x14ac:dyDescent="0.3">
      <c r="L661" s="7" t="str">
        <f t="shared" ca="1" si="27"/>
        <v/>
      </c>
    </row>
    <row r="662" spans="12:12" x14ac:dyDescent="0.3">
      <c r="L662" s="7" t="str">
        <f t="shared" ca="1" si="27"/>
        <v/>
      </c>
    </row>
    <row r="663" spans="12:12" x14ac:dyDescent="0.3">
      <c r="L663" s="7" t="str">
        <f t="shared" ca="1" si="27"/>
        <v/>
      </c>
    </row>
    <row r="664" spans="12:12" x14ac:dyDescent="0.3">
      <c r="L664" s="7" t="str">
        <f t="shared" ca="1" si="27"/>
        <v/>
      </c>
    </row>
    <row r="665" spans="12:12" x14ac:dyDescent="0.3">
      <c r="L665" s="7" t="str">
        <f t="shared" ca="1" si="27"/>
        <v/>
      </c>
    </row>
    <row r="666" spans="12:12" x14ac:dyDescent="0.3">
      <c r="L666" s="7" t="str">
        <f t="shared" ca="1" si="27"/>
        <v/>
      </c>
    </row>
    <row r="667" spans="12:12" x14ac:dyDescent="0.3">
      <c r="L667" s="7" t="str">
        <f t="shared" ca="1" si="27"/>
        <v/>
      </c>
    </row>
    <row r="668" spans="12:12" x14ac:dyDescent="0.3">
      <c r="L668" s="7" t="str">
        <f t="shared" ca="1" si="27"/>
        <v/>
      </c>
    </row>
    <row r="669" spans="12:12" x14ac:dyDescent="0.3">
      <c r="L669" s="7" t="str">
        <f t="shared" ca="1" si="27"/>
        <v/>
      </c>
    </row>
    <row r="670" spans="12:12" x14ac:dyDescent="0.3">
      <c r="L670" s="7" t="str">
        <f t="shared" ca="1" si="27"/>
        <v/>
      </c>
    </row>
    <row r="671" spans="12:12" x14ac:dyDescent="0.3">
      <c r="L671" s="7" t="str">
        <f t="shared" ca="1" si="27"/>
        <v/>
      </c>
    </row>
    <row r="672" spans="12:12" x14ac:dyDescent="0.3">
      <c r="L672" s="7" t="str">
        <f t="shared" ca="1" si="27"/>
        <v/>
      </c>
    </row>
    <row r="673" spans="12:12" x14ac:dyDescent="0.3">
      <c r="L673" s="7" t="str">
        <f t="shared" ca="1" si="27"/>
        <v/>
      </c>
    </row>
    <row r="674" spans="12:12" x14ac:dyDescent="0.3">
      <c r="L674" s="7" t="str">
        <f t="shared" ca="1" si="27"/>
        <v/>
      </c>
    </row>
    <row r="675" spans="12:12" x14ac:dyDescent="0.3">
      <c r="L675" s="7" t="str">
        <f t="shared" ca="1" si="27"/>
        <v/>
      </c>
    </row>
    <row r="676" spans="12:12" x14ac:dyDescent="0.3">
      <c r="L676" s="7" t="str">
        <f t="shared" ca="1" si="27"/>
        <v/>
      </c>
    </row>
    <row r="677" spans="12:12" x14ac:dyDescent="0.3">
      <c r="L677" s="7" t="str">
        <f t="shared" ca="1" si="27"/>
        <v/>
      </c>
    </row>
    <row r="678" spans="12:12" x14ac:dyDescent="0.3">
      <c r="L678" s="7" t="str">
        <f t="shared" ca="1" si="27"/>
        <v/>
      </c>
    </row>
    <row r="679" spans="12:12" x14ac:dyDescent="0.3">
      <c r="L679" s="7" t="str">
        <f t="shared" ca="1" si="27"/>
        <v/>
      </c>
    </row>
    <row r="680" spans="12:12" x14ac:dyDescent="0.3">
      <c r="L680" s="7" t="str">
        <f t="shared" ca="1" si="27"/>
        <v/>
      </c>
    </row>
    <row r="681" spans="12:12" x14ac:dyDescent="0.3">
      <c r="L681" s="7" t="str">
        <f t="shared" ca="1" si="27"/>
        <v/>
      </c>
    </row>
    <row r="682" spans="12:12" x14ac:dyDescent="0.3">
      <c r="L682" s="7" t="str">
        <f t="shared" ca="1" si="27"/>
        <v/>
      </c>
    </row>
    <row r="683" spans="12:12" x14ac:dyDescent="0.3">
      <c r="L683" s="7" t="str">
        <f t="shared" ca="1" si="27"/>
        <v/>
      </c>
    </row>
    <row r="684" spans="12:12" x14ac:dyDescent="0.3">
      <c r="L684" s="7" t="str">
        <f t="shared" ca="1" si="27"/>
        <v/>
      </c>
    </row>
    <row r="685" spans="12:12" x14ac:dyDescent="0.3">
      <c r="L685" s="7" t="str">
        <f t="shared" ca="1" si="27"/>
        <v/>
      </c>
    </row>
    <row r="686" spans="12:12" x14ac:dyDescent="0.3">
      <c r="L686" s="7" t="str">
        <f t="shared" ca="1" si="27"/>
        <v/>
      </c>
    </row>
    <row r="687" spans="12:12" x14ac:dyDescent="0.3">
      <c r="L687" s="7" t="str">
        <f t="shared" ca="1" si="27"/>
        <v/>
      </c>
    </row>
    <row r="688" spans="12:12" x14ac:dyDescent="0.3">
      <c r="L688" s="7" t="str">
        <f t="shared" ca="1" si="27"/>
        <v/>
      </c>
    </row>
    <row r="689" spans="12:12" x14ac:dyDescent="0.3">
      <c r="L689" s="7" t="str">
        <f t="shared" ca="1" si="27"/>
        <v/>
      </c>
    </row>
    <row r="690" spans="12:12" x14ac:dyDescent="0.3">
      <c r="L690" s="7" t="str">
        <f t="shared" ca="1" si="27"/>
        <v/>
      </c>
    </row>
    <row r="691" spans="12:12" x14ac:dyDescent="0.3">
      <c r="L691" s="7" t="str">
        <f t="shared" ca="1" si="27"/>
        <v/>
      </c>
    </row>
    <row r="692" spans="12:12" x14ac:dyDescent="0.3">
      <c r="L692" s="7" t="str">
        <f t="shared" ca="1" si="27"/>
        <v/>
      </c>
    </row>
    <row r="693" spans="12:12" x14ac:dyDescent="0.3">
      <c r="L693" s="7" t="str">
        <f t="shared" ca="1" si="27"/>
        <v/>
      </c>
    </row>
    <row r="694" spans="12:12" x14ac:dyDescent="0.3">
      <c r="L694" s="7" t="str">
        <f t="shared" ca="1" si="27"/>
        <v/>
      </c>
    </row>
    <row r="695" spans="12:12" x14ac:dyDescent="0.3">
      <c r="L695" s="7" t="str">
        <f t="shared" ca="1" si="27"/>
        <v/>
      </c>
    </row>
    <row r="696" spans="12:12" x14ac:dyDescent="0.3">
      <c r="L696" s="7" t="str">
        <f t="shared" ca="1" si="27"/>
        <v/>
      </c>
    </row>
    <row r="697" spans="12:12" x14ac:dyDescent="0.3">
      <c r="L697" s="7" t="str">
        <f t="shared" ca="1" si="27"/>
        <v/>
      </c>
    </row>
    <row r="698" spans="12:12" x14ac:dyDescent="0.3">
      <c r="L698" s="7" t="str">
        <f t="shared" ca="1" si="27"/>
        <v/>
      </c>
    </row>
    <row r="699" spans="12:12" x14ac:dyDescent="0.3">
      <c r="L699" s="7" t="str">
        <f t="shared" ca="1" si="27"/>
        <v/>
      </c>
    </row>
    <row r="700" spans="12:12" x14ac:dyDescent="0.3">
      <c r="L700" s="7" t="str">
        <f t="shared" ca="1" si="27"/>
        <v/>
      </c>
    </row>
    <row r="701" spans="12:12" x14ac:dyDescent="0.3">
      <c r="L701" s="7" t="str">
        <f t="shared" ca="1" si="27"/>
        <v/>
      </c>
    </row>
    <row r="702" spans="12:12" x14ac:dyDescent="0.3">
      <c r="L702" s="7" t="str">
        <f t="shared" ca="1" si="27"/>
        <v/>
      </c>
    </row>
    <row r="703" spans="12:12" x14ac:dyDescent="0.3">
      <c r="L703" s="7" t="str">
        <f t="shared" ca="1" si="27"/>
        <v/>
      </c>
    </row>
    <row r="704" spans="12:12" x14ac:dyDescent="0.3">
      <c r="L704" s="7" t="str">
        <f t="shared" ca="1" si="27"/>
        <v/>
      </c>
    </row>
    <row r="705" spans="12:12" x14ac:dyDescent="0.3">
      <c r="L705" s="7" t="str">
        <f t="shared" ca="1" si="27"/>
        <v/>
      </c>
    </row>
    <row r="706" spans="12:12" x14ac:dyDescent="0.3">
      <c r="L706" s="7" t="str">
        <f t="shared" ca="1" si="27"/>
        <v/>
      </c>
    </row>
    <row r="707" spans="12:12" x14ac:dyDescent="0.3">
      <c r="L707" s="7" t="str">
        <f t="shared" ca="1" si="27"/>
        <v/>
      </c>
    </row>
    <row r="708" spans="12:12" x14ac:dyDescent="0.3">
      <c r="L708" s="7" t="str">
        <f t="shared" ca="1" si="27"/>
        <v/>
      </c>
    </row>
    <row r="709" spans="12:12" x14ac:dyDescent="0.3">
      <c r="L709" s="7" t="str">
        <f t="shared" ca="1" si="27"/>
        <v/>
      </c>
    </row>
    <row r="710" spans="12:12" x14ac:dyDescent="0.3">
      <c r="L710" s="7" t="str">
        <f t="shared" ca="1" si="27"/>
        <v/>
      </c>
    </row>
    <row r="711" spans="12:12" x14ac:dyDescent="0.3">
      <c r="L711" s="7" t="str">
        <f t="shared" ca="1" si="27"/>
        <v/>
      </c>
    </row>
    <row r="712" spans="12:12" x14ac:dyDescent="0.3">
      <c r="L712" s="7" t="str">
        <f t="shared" ca="1" si="27"/>
        <v/>
      </c>
    </row>
    <row r="713" spans="12:12" x14ac:dyDescent="0.3">
      <c r="L713" s="7" t="str">
        <f t="shared" ref="L713:L776" ca="1" si="28">IF(I713="Completed",0,IF(H713="","",H713-TODAY()))</f>
        <v/>
      </c>
    </row>
    <row r="714" spans="12:12" x14ac:dyDescent="0.3">
      <c r="L714" s="7" t="str">
        <f t="shared" ca="1" si="28"/>
        <v/>
      </c>
    </row>
    <row r="715" spans="12:12" x14ac:dyDescent="0.3">
      <c r="L715" s="7" t="str">
        <f t="shared" ca="1" si="28"/>
        <v/>
      </c>
    </row>
    <row r="716" spans="12:12" x14ac:dyDescent="0.3">
      <c r="L716" s="7" t="str">
        <f t="shared" ca="1" si="28"/>
        <v/>
      </c>
    </row>
    <row r="717" spans="12:12" x14ac:dyDescent="0.3">
      <c r="L717" s="7" t="str">
        <f t="shared" ca="1" si="28"/>
        <v/>
      </c>
    </row>
    <row r="718" spans="12:12" x14ac:dyDescent="0.3">
      <c r="L718" s="7" t="str">
        <f t="shared" ca="1" si="28"/>
        <v/>
      </c>
    </row>
    <row r="719" spans="12:12" x14ac:dyDescent="0.3">
      <c r="L719" s="7" t="str">
        <f t="shared" ca="1" si="28"/>
        <v/>
      </c>
    </row>
    <row r="720" spans="12:12" x14ac:dyDescent="0.3">
      <c r="L720" s="7" t="str">
        <f t="shared" ca="1" si="28"/>
        <v/>
      </c>
    </row>
    <row r="721" spans="12:12" x14ac:dyDescent="0.3">
      <c r="L721" s="7" t="str">
        <f t="shared" ca="1" si="28"/>
        <v/>
      </c>
    </row>
    <row r="722" spans="12:12" x14ac:dyDescent="0.3">
      <c r="L722" s="7" t="str">
        <f t="shared" ca="1" si="28"/>
        <v/>
      </c>
    </row>
    <row r="723" spans="12:12" x14ac:dyDescent="0.3">
      <c r="L723" s="7" t="str">
        <f t="shared" ca="1" si="28"/>
        <v/>
      </c>
    </row>
    <row r="724" spans="12:12" x14ac:dyDescent="0.3">
      <c r="L724" s="7" t="str">
        <f t="shared" ca="1" si="28"/>
        <v/>
      </c>
    </row>
    <row r="725" spans="12:12" x14ac:dyDescent="0.3">
      <c r="L725" s="7" t="str">
        <f t="shared" ca="1" si="28"/>
        <v/>
      </c>
    </row>
    <row r="726" spans="12:12" x14ac:dyDescent="0.3">
      <c r="L726" s="7" t="str">
        <f t="shared" ca="1" si="28"/>
        <v/>
      </c>
    </row>
    <row r="727" spans="12:12" x14ac:dyDescent="0.3">
      <c r="L727" s="7" t="str">
        <f t="shared" ca="1" si="28"/>
        <v/>
      </c>
    </row>
    <row r="728" spans="12:12" x14ac:dyDescent="0.3">
      <c r="L728" s="7" t="str">
        <f t="shared" ca="1" si="28"/>
        <v/>
      </c>
    </row>
    <row r="729" spans="12:12" x14ac:dyDescent="0.3">
      <c r="L729" s="7" t="str">
        <f t="shared" ca="1" si="28"/>
        <v/>
      </c>
    </row>
    <row r="730" spans="12:12" x14ac:dyDescent="0.3">
      <c r="L730" s="7" t="str">
        <f t="shared" ca="1" si="28"/>
        <v/>
      </c>
    </row>
    <row r="731" spans="12:12" x14ac:dyDescent="0.3">
      <c r="L731" s="7" t="str">
        <f t="shared" ca="1" si="28"/>
        <v/>
      </c>
    </row>
    <row r="732" spans="12:12" x14ac:dyDescent="0.3">
      <c r="L732" s="7" t="str">
        <f t="shared" ca="1" si="28"/>
        <v/>
      </c>
    </row>
    <row r="733" spans="12:12" x14ac:dyDescent="0.3">
      <c r="L733" s="7" t="str">
        <f t="shared" ca="1" si="28"/>
        <v/>
      </c>
    </row>
    <row r="734" spans="12:12" x14ac:dyDescent="0.3">
      <c r="L734" s="7" t="str">
        <f t="shared" ca="1" si="28"/>
        <v/>
      </c>
    </row>
    <row r="735" spans="12:12" x14ac:dyDescent="0.3">
      <c r="L735" s="7" t="str">
        <f t="shared" ca="1" si="28"/>
        <v/>
      </c>
    </row>
    <row r="736" spans="12:12" x14ac:dyDescent="0.3">
      <c r="L736" s="7" t="str">
        <f t="shared" ca="1" si="28"/>
        <v/>
      </c>
    </row>
    <row r="737" spans="12:12" x14ac:dyDescent="0.3">
      <c r="L737" s="7" t="str">
        <f t="shared" ca="1" si="28"/>
        <v/>
      </c>
    </row>
    <row r="738" spans="12:12" x14ac:dyDescent="0.3">
      <c r="L738" s="7" t="str">
        <f t="shared" ca="1" si="28"/>
        <v/>
      </c>
    </row>
    <row r="739" spans="12:12" x14ac:dyDescent="0.3">
      <c r="L739" s="7" t="str">
        <f t="shared" ca="1" si="28"/>
        <v/>
      </c>
    </row>
    <row r="740" spans="12:12" x14ac:dyDescent="0.3">
      <c r="L740" s="7" t="str">
        <f t="shared" ca="1" si="28"/>
        <v/>
      </c>
    </row>
    <row r="741" spans="12:12" x14ac:dyDescent="0.3">
      <c r="L741" s="7" t="str">
        <f t="shared" ca="1" si="28"/>
        <v/>
      </c>
    </row>
    <row r="742" spans="12:12" x14ac:dyDescent="0.3">
      <c r="L742" s="7" t="str">
        <f t="shared" ca="1" si="28"/>
        <v/>
      </c>
    </row>
    <row r="743" spans="12:12" x14ac:dyDescent="0.3">
      <c r="L743" s="7" t="str">
        <f t="shared" ca="1" si="28"/>
        <v/>
      </c>
    </row>
    <row r="744" spans="12:12" x14ac:dyDescent="0.3">
      <c r="L744" s="7" t="str">
        <f t="shared" ca="1" si="28"/>
        <v/>
      </c>
    </row>
    <row r="745" spans="12:12" x14ac:dyDescent="0.3">
      <c r="L745" s="7" t="str">
        <f t="shared" ca="1" si="28"/>
        <v/>
      </c>
    </row>
    <row r="746" spans="12:12" x14ac:dyDescent="0.3">
      <c r="L746" s="7" t="str">
        <f t="shared" ca="1" si="28"/>
        <v/>
      </c>
    </row>
    <row r="747" spans="12:12" x14ac:dyDescent="0.3">
      <c r="L747" s="7" t="str">
        <f t="shared" ca="1" si="28"/>
        <v/>
      </c>
    </row>
    <row r="748" spans="12:12" x14ac:dyDescent="0.3">
      <c r="L748" s="7" t="str">
        <f t="shared" ca="1" si="28"/>
        <v/>
      </c>
    </row>
    <row r="749" spans="12:12" x14ac:dyDescent="0.3">
      <c r="L749" s="7" t="str">
        <f t="shared" ca="1" si="28"/>
        <v/>
      </c>
    </row>
    <row r="750" spans="12:12" x14ac:dyDescent="0.3">
      <c r="L750" s="7" t="str">
        <f t="shared" ca="1" si="28"/>
        <v/>
      </c>
    </row>
    <row r="751" spans="12:12" x14ac:dyDescent="0.3">
      <c r="L751" s="7" t="str">
        <f t="shared" ca="1" si="28"/>
        <v/>
      </c>
    </row>
    <row r="752" spans="12:12" x14ac:dyDescent="0.3">
      <c r="L752" s="7" t="str">
        <f t="shared" ca="1" si="28"/>
        <v/>
      </c>
    </row>
    <row r="753" spans="12:12" x14ac:dyDescent="0.3">
      <c r="L753" s="7" t="str">
        <f t="shared" ca="1" si="28"/>
        <v/>
      </c>
    </row>
    <row r="754" spans="12:12" x14ac:dyDescent="0.3">
      <c r="L754" s="7" t="str">
        <f t="shared" ca="1" si="28"/>
        <v/>
      </c>
    </row>
    <row r="755" spans="12:12" x14ac:dyDescent="0.3">
      <c r="L755" s="7" t="str">
        <f t="shared" ca="1" si="28"/>
        <v/>
      </c>
    </row>
    <row r="756" spans="12:12" x14ac:dyDescent="0.3">
      <c r="L756" s="7" t="str">
        <f t="shared" ca="1" si="28"/>
        <v/>
      </c>
    </row>
    <row r="757" spans="12:12" x14ac:dyDescent="0.3">
      <c r="L757" s="7" t="str">
        <f t="shared" ca="1" si="28"/>
        <v/>
      </c>
    </row>
    <row r="758" spans="12:12" x14ac:dyDescent="0.3">
      <c r="L758" s="7" t="str">
        <f t="shared" ca="1" si="28"/>
        <v/>
      </c>
    </row>
    <row r="759" spans="12:12" x14ac:dyDescent="0.3">
      <c r="L759" s="7" t="str">
        <f t="shared" ca="1" si="28"/>
        <v/>
      </c>
    </row>
    <row r="760" spans="12:12" x14ac:dyDescent="0.3">
      <c r="L760" s="7" t="str">
        <f t="shared" ca="1" si="28"/>
        <v/>
      </c>
    </row>
    <row r="761" spans="12:12" x14ac:dyDescent="0.3">
      <c r="L761" s="7" t="str">
        <f t="shared" ca="1" si="28"/>
        <v/>
      </c>
    </row>
    <row r="762" spans="12:12" x14ac:dyDescent="0.3">
      <c r="L762" s="7" t="str">
        <f t="shared" ca="1" si="28"/>
        <v/>
      </c>
    </row>
    <row r="763" spans="12:12" x14ac:dyDescent="0.3">
      <c r="L763" s="7" t="str">
        <f t="shared" ca="1" si="28"/>
        <v/>
      </c>
    </row>
    <row r="764" spans="12:12" x14ac:dyDescent="0.3">
      <c r="L764" s="7" t="str">
        <f t="shared" ca="1" si="28"/>
        <v/>
      </c>
    </row>
    <row r="765" spans="12:12" x14ac:dyDescent="0.3">
      <c r="L765" s="7" t="str">
        <f t="shared" ca="1" si="28"/>
        <v/>
      </c>
    </row>
    <row r="766" spans="12:12" x14ac:dyDescent="0.3">
      <c r="L766" s="7" t="str">
        <f t="shared" ca="1" si="28"/>
        <v/>
      </c>
    </row>
    <row r="767" spans="12:12" x14ac:dyDescent="0.3">
      <c r="L767" s="7" t="str">
        <f t="shared" ca="1" si="28"/>
        <v/>
      </c>
    </row>
    <row r="768" spans="12:12" x14ac:dyDescent="0.3">
      <c r="L768" s="7" t="str">
        <f t="shared" ca="1" si="28"/>
        <v/>
      </c>
    </row>
    <row r="769" spans="12:12" x14ac:dyDescent="0.3">
      <c r="L769" s="7" t="str">
        <f t="shared" ca="1" si="28"/>
        <v/>
      </c>
    </row>
    <row r="770" spans="12:12" x14ac:dyDescent="0.3">
      <c r="L770" s="7" t="str">
        <f t="shared" ca="1" si="28"/>
        <v/>
      </c>
    </row>
    <row r="771" spans="12:12" x14ac:dyDescent="0.3">
      <c r="L771" s="7" t="str">
        <f t="shared" ca="1" si="28"/>
        <v/>
      </c>
    </row>
    <row r="772" spans="12:12" x14ac:dyDescent="0.3">
      <c r="L772" s="7" t="str">
        <f t="shared" ca="1" si="28"/>
        <v/>
      </c>
    </row>
    <row r="773" spans="12:12" x14ac:dyDescent="0.3">
      <c r="L773" s="7" t="str">
        <f t="shared" ca="1" si="28"/>
        <v/>
      </c>
    </row>
    <row r="774" spans="12:12" x14ac:dyDescent="0.3">
      <c r="L774" s="7" t="str">
        <f t="shared" ca="1" si="28"/>
        <v/>
      </c>
    </row>
    <row r="775" spans="12:12" x14ac:dyDescent="0.3">
      <c r="L775" s="7" t="str">
        <f t="shared" ca="1" si="28"/>
        <v/>
      </c>
    </row>
    <row r="776" spans="12:12" x14ac:dyDescent="0.3">
      <c r="L776" s="7" t="str">
        <f t="shared" ca="1" si="28"/>
        <v/>
      </c>
    </row>
    <row r="777" spans="12:12" x14ac:dyDescent="0.3">
      <c r="L777" s="7" t="str">
        <f t="shared" ref="L777:L840" ca="1" si="29">IF(I777="Completed",0,IF(H777="","",H777-TODAY()))</f>
        <v/>
      </c>
    </row>
    <row r="778" spans="12:12" x14ac:dyDescent="0.3">
      <c r="L778" s="7" t="str">
        <f t="shared" ca="1" si="29"/>
        <v/>
      </c>
    </row>
    <row r="779" spans="12:12" x14ac:dyDescent="0.3">
      <c r="L779" s="7" t="str">
        <f t="shared" ca="1" si="29"/>
        <v/>
      </c>
    </row>
    <row r="780" spans="12:12" x14ac:dyDescent="0.3">
      <c r="L780" s="7" t="str">
        <f t="shared" ca="1" si="29"/>
        <v/>
      </c>
    </row>
    <row r="781" spans="12:12" x14ac:dyDescent="0.3">
      <c r="L781" s="7" t="str">
        <f t="shared" ca="1" si="29"/>
        <v/>
      </c>
    </row>
    <row r="782" spans="12:12" x14ac:dyDescent="0.3">
      <c r="L782" s="7" t="str">
        <f t="shared" ca="1" si="29"/>
        <v/>
      </c>
    </row>
    <row r="783" spans="12:12" x14ac:dyDescent="0.3">
      <c r="L783" s="7" t="str">
        <f t="shared" ca="1" si="29"/>
        <v/>
      </c>
    </row>
    <row r="784" spans="12:12" x14ac:dyDescent="0.3">
      <c r="L784" s="7" t="str">
        <f t="shared" ca="1" si="29"/>
        <v/>
      </c>
    </row>
    <row r="785" spans="12:12" x14ac:dyDescent="0.3">
      <c r="L785" s="7" t="str">
        <f t="shared" ca="1" si="29"/>
        <v/>
      </c>
    </row>
    <row r="786" spans="12:12" x14ac:dyDescent="0.3">
      <c r="L786" s="7" t="str">
        <f t="shared" ca="1" si="29"/>
        <v/>
      </c>
    </row>
    <row r="787" spans="12:12" x14ac:dyDescent="0.3">
      <c r="L787" s="7" t="str">
        <f t="shared" ca="1" si="29"/>
        <v/>
      </c>
    </row>
    <row r="788" spans="12:12" x14ac:dyDescent="0.3">
      <c r="L788" s="7" t="str">
        <f t="shared" ca="1" si="29"/>
        <v/>
      </c>
    </row>
    <row r="789" spans="12:12" x14ac:dyDescent="0.3">
      <c r="L789" s="7" t="str">
        <f t="shared" ca="1" si="29"/>
        <v/>
      </c>
    </row>
    <row r="790" spans="12:12" x14ac:dyDescent="0.3">
      <c r="L790" s="7" t="str">
        <f t="shared" ca="1" si="29"/>
        <v/>
      </c>
    </row>
    <row r="791" spans="12:12" x14ac:dyDescent="0.3">
      <c r="L791" s="7" t="str">
        <f t="shared" ca="1" si="29"/>
        <v/>
      </c>
    </row>
    <row r="792" spans="12:12" x14ac:dyDescent="0.3">
      <c r="L792" s="7" t="str">
        <f t="shared" ca="1" si="29"/>
        <v/>
      </c>
    </row>
    <row r="793" spans="12:12" x14ac:dyDescent="0.3">
      <c r="L793" s="7" t="str">
        <f t="shared" ca="1" si="29"/>
        <v/>
      </c>
    </row>
    <row r="794" spans="12:12" x14ac:dyDescent="0.3">
      <c r="L794" s="7" t="str">
        <f t="shared" ca="1" si="29"/>
        <v/>
      </c>
    </row>
    <row r="795" spans="12:12" x14ac:dyDescent="0.3">
      <c r="L795" s="7" t="str">
        <f t="shared" ca="1" si="29"/>
        <v/>
      </c>
    </row>
    <row r="796" spans="12:12" x14ac:dyDescent="0.3">
      <c r="L796" s="7" t="str">
        <f t="shared" ca="1" si="29"/>
        <v/>
      </c>
    </row>
    <row r="797" spans="12:12" x14ac:dyDescent="0.3">
      <c r="L797" s="7" t="str">
        <f t="shared" ca="1" si="29"/>
        <v/>
      </c>
    </row>
    <row r="798" spans="12:12" x14ac:dyDescent="0.3">
      <c r="L798" s="7" t="str">
        <f t="shared" ca="1" si="29"/>
        <v/>
      </c>
    </row>
    <row r="799" spans="12:12" x14ac:dyDescent="0.3">
      <c r="L799" s="7" t="str">
        <f t="shared" ca="1" si="29"/>
        <v/>
      </c>
    </row>
    <row r="800" spans="12:12" x14ac:dyDescent="0.3">
      <c r="L800" s="7" t="str">
        <f t="shared" ca="1" si="29"/>
        <v/>
      </c>
    </row>
    <row r="801" spans="12:12" x14ac:dyDescent="0.3">
      <c r="L801" s="7" t="str">
        <f t="shared" ca="1" si="29"/>
        <v/>
      </c>
    </row>
    <row r="802" spans="12:12" x14ac:dyDescent="0.3">
      <c r="L802" s="7" t="str">
        <f t="shared" ca="1" si="29"/>
        <v/>
      </c>
    </row>
    <row r="803" spans="12:12" x14ac:dyDescent="0.3">
      <c r="L803" s="7" t="str">
        <f t="shared" ca="1" si="29"/>
        <v/>
      </c>
    </row>
    <row r="804" spans="12:12" x14ac:dyDescent="0.3">
      <c r="L804" s="7" t="str">
        <f t="shared" ca="1" si="29"/>
        <v/>
      </c>
    </row>
    <row r="805" spans="12:12" x14ac:dyDescent="0.3">
      <c r="L805" s="7" t="str">
        <f t="shared" ca="1" si="29"/>
        <v/>
      </c>
    </row>
    <row r="806" spans="12:12" x14ac:dyDescent="0.3">
      <c r="L806" s="7" t="str">
        <f t="shared" ca="1" si="29"/>
        <v/>
      </c>
    </row>
    <row r="807" spans="12:12" x14ac:dyDescent="0.3">
      <c r="L807" s="7" t="str">
        <f t="shared" ca="1" si="29"/>
        <v/>
      </c>
    </row>
    <row r="808" spans="12:12" x14ac:dyDescent="0.3">
      <c r="L808" s="7" t="str">
        <f t="shared" ca="1" si="29"/>
        <v/>
      </c>
    </row>
    <row r="809" spans="12:12" x14ac:dyDescent="0.3">
      <c r="L809" s="7" t="str">
        <f t="shared" ca="1" si="29"/>
        <v/>
      </c>
    </row>
    <row r="810" spans="12:12" x14ac:dyDescent="0.3">
      <c r="L810" s="7" t="str">
        <f t="shared" ca="1" si="29"/>
        <v/>
      </c>
    </row>
    <row r="811" spans="12:12" x14ac:dyDescent="0.3">
      <c r="L811" s="7" t="str">
        <f t="shared" ca="1" si="29"/>
        <v/>
      </c>
    </row>
    <row r="812" spans="12:12" x14ac:dyDescent="0.3">
      <c r="L812" s="7" t="str">
        <f t="shared" ca="1" si="29"/>
        <v/>
      </c>
    </row>
    <row r="813" spans="12:12" x14ac:dyDescent="0.3">
      <c r="L813" s="7" t="str">
        <f t="shared" ca="1" si="29"/>
        <v/>
      </c>
    </row>
    <row r="814" spans="12:12" x14ac:dyDescent="0.3">
      <c r="L814" s="7" t="str">
        <f t="shared" ca="1" si="29"/>
        <v/>
      </c>
    </row>
    <row r="815" spans="12:12" x14ac:dyDescent="0.3">
      <c r="L815" s="7" t="str">
        <f t="shared" ca="1" si="29"/>
        <v/>
      </c>
    </row>
    <row r="816" spans="12:12" x14ac:dyDescent="0.3">
      <c r="L816" s="7" t="str">
        <f t="shared" ca="1" si="29"/>
        <v/>
      </c>
    </row>
    <row r="817" spans="12:12" x14ac:dyDescent="0.3">
      <c r="L817" s="7" t="str">
        <f t="shared" ca="1" si="29"/>
        <v/>
      </c>
    </row>
    <row r="818" spans="12:12" x14ac:dyDescent="0.3">
      <c r="L818" s="7" t="str">
        <f t="shared" ca="1" si="29"/>
        <v/>
      </c>
    </row>
    <row r="819" spans="12:12" x14ac:dyDescent="0.3">
      <c r="L819" s="7" t="str">
        <f t="shared" ca="1" si="29"/>
        <v/>
      </c>
    </row>
    <row r="820" spans="12:12" x14ac:dyDescent="0.3">
      <c r="L820" s="7" t="str">
        <f t="shared" ca="1" si="29"/>
        <v/>
      </c>
    </row>
    <row r="821" spans="12:12" x14ac:dyDescent="0.3">
      <c r="L821" s="7" t="str">
        <f t="shared" ca="1" si="29"/>
        <v/>
      </c>
    </row>
    <row r="822" spans="12:12" x14ac:dyDescent="0.3">
      <c r="L822" s="7" t="str">
        <f t="shared" ca="1" si="29"/>
        <v/>
      </c>
    </row>
    <row r="823" spans="12:12" x14ac:dyDescent="0.3">
      <c r="L823" s="7" t="str">
        <f t="shared" ca="1" si="29"/>
        <v/>
      </c>
    </row>
    <row r="824" spans="12:12" x14ac:dyDescent="0.3">
      <c r="L824" s="7" t="str">
        <f t="shared" ca="1" si="29"/>
        <v/>
      </c>
    </row>
    <row r="825" spans="12:12" x14ac:dyDescent="0.3">
      <c r="L825" s="7" t="str">
        <f t="shared" ca="1" si="29"/>
        <v/>
      </c>
    </row>
    <row r="826" spans="12:12" x14ac:dyDescent="0.3">
      <c r="L826" s="7" t="str">
        <f t="shared" ca="1" si="29"/>
        <v/>
      </c>
    </row>
    <row r="827" spans="12:12" x14ac:dyDescent="0.3">
      <c r="L827" s="7" t="str">
        <f t="shared" ca="1" si="29"/>
        <v/>
      </c>
    </row>
    <row r="828" spans="12:12" x14ac:dyDescent="0.3">
      <c r="L828" s="7" t="str">
        <f t="shared" ca="1" si="29"/>
        <v/>
      </c>
    </row>
    <row r="829" spans="12:12" x14ac:dyDescent="0.3">
      <c r="L829" s="7" t="str">
        <f t="shared" ca="1" si="29"/>
        <v/>
      </c>
    </row>
    <row r="830" spans="12:12" x14ac:dyDescent="0.3">
      <c r="L830" s="7" t="str">
        <f t="shared" ca="1" si="29"/>
        <v/>
      </c>
    </row>
    <row r="831" spans="12:12" x14ac:dyDescent="0.3">
      <c r="L831" s="7" t="str">
        <f t="shared" ca="1" si="29"/>
        <v/>
      </c>
    </row>
    <row r="832" spans="12:12" x14ac:dyDescent="0.3">
      <c r="L832" s="7" t="str">
        <f t="shared" ca="1" si="29"/>
        <v/>
      </c>
    </row>
    <row r="833" spans="12:12" x14ac:dyDescent="0.3">
      <c r="L833" s="7" t="str">
        <f t="shared" ca="1" si="29"/>
        <v/>
      </c>
    </row>
    <row r="834" spans="12:12" x14ac:dyDescent="0.3">
      <c r="L834" s="7" t="str">
        <f t="shared" ca="1" si="29"/>
        <v/>
      </c>
    </row>
    <row r="835" spans="12:12" x14ac:dyDescent="0.3">
      <c r="L835" s="7" t="str">
        <f t="shared" ca="1" si="29"/>
        <v/>
      </c>
    </row>
    <row r="836" spans="12:12" x14ac:dyDescent="0.3">
      <c r="L836" s="7" t="str">
        <f t="shared" ca="1" si="29"/>
        <v/>
      </c>
    </row>
    <row r="837" spans="12:12" x14ac:dyDescent="0.3">
      <c r="L837" s="7" t="str">
        <f t="shared" ca="1" si="29"/>
        <v/>
      </c>
    </row>
    <row r="838" spans="12:12" x14ac:dyDescent="0.3">
      <c r="L838" s="7" t="str">
        <f t="shared" ca="1" si="29"/>
        <v/>
      </c>
    </row>
    <row r="839" spans="12:12" x14ac:dyDescent="0.3">
      <c r="L839" s="7" t="str">
        <f t="shared" ca="1" si="29"/>
        <v/>
      </c>
    </row>
    <row r="840" spans="12:12" x14ac:dyDescent="0.3">
      <c r="L840" s="7" t="str">
        <f t="shared" ca="1" si="29"/>
        <v/>
      </c>
    </row>
    <row r="841" spans="12:12" x14ac:dyDescent="0.3">
      <c r="L841" s="7" t="str">
        <f t="shared" ref="L841:L904" ca="1" si="30">IF(I841="Completed",0,IF(H841="","",H841-TODAY()))</f>
        <v/>
      </c>
    </row>
    <row r="842" spans="12:12" x14ac:dyDescent="0.3">
      <c r="L842" s="7" t="str">
        <f t="shared" ca="1" si="30"/>
        <v/>
      </c>
    </row>
    <row r="843" spans="12:12" x14ac:dyDescent="0.3">
      <c r="L843" s="7" t="str">
        <f t="shared" ca="1" si="30"/>
        <v/>
      </c>
    </row>
    <row r="844" spans="12:12" x14ac:dyDescent="0.3">
      <c r="L844" s="7" t="str">
        <f t="shared" ca="1" si="30"/>
        <v/>
      </c>
    </row>
    <row r="845" spans="12:12" x14ac:dyDescent="0.3">
      <c r="L845" s="7" t="str">
        <f t="shared" ca="1" si="30"/>
        <v/>
      </c>
    </row>
    <row r="846" spans="12:12" x14ac:dyDescent="0.3">
      <c r="L846" s="7" t="str">
        <f t="shared" ca="1" si="30"/>
        <v/>
      </c>
    </row>
    <row r="847" spans="12:12" x14ac:dyDescent="0.3">
      <c r="L847" s="7" t="str">
        <f t="shared" ca="1" si="30"/>
        <v/>
      </c>
    </row>
    <row r="848" spans="12:12" x14ac:dyDescent="0.3">
      <c r="L848" s="7" t="str">
        <f t="shared" ca="1" si="30"/>
        <v/>
      </c>
    </row>
    <row r="849" spans="12:12" x14ac:dyDescent="0.3">
      <c r="L849" s="7" t="str">
        <f t="shared" ca="1" si="30"/>
        <v/>
      </c>
    </row>
    <row r="850" spans="12:12" x14ac:dyDescent="0.3">
      <c r="L850" s="7" t="str">
        <f t="shared" ca="1" si="30"/>
        <v/>
      </c>
    </row>
    <row r="851" spans="12:12" x14ac:dyDescent="0.3">
      <c r="L851" s="7" t="str">
        <f t="shared" ca="1" si="30"/>
        <v/>
      </c>
    </row>
    <row r="852" spans="12:12" x14ac:dyDescent="0.3">
      <c r="L852" s="7" t="str">
        <f t="shared" ca="1" si="30"/>
        <v/>
      </c>
    </row>
    <row r="853" spans="12:12" x14ac:dyDescent="0.3">
      <c r="L853" s="7" t="str">
        <f t="shared" ca="1" si="30"/>
        <v/>
      </c>
    </row>
    <row r="854" spans="12:12" x14ac:dyDescent="0.3">
      <c r="L854" s="7" t="str">
        <f t="shared" ca="1" si="30"/>
        <v/>
      </c>
    </row>
    <row r="855" spans="12:12" x14ac:dyDescent="0.3">
      <c r="L855" s="7" t="str">
        <f t="shared" ca="1" si="30"/>
        <v/>
      </c>
    </row>
    <row r="856" spans="12:12" x14ac:dyDescent="0.3">
      <c r="L856" s="7" t="str">
        <f t="shared" ca="1" si="30"/>
        <v/>
      </c>
    </row>
    <row r="857" spans="12:12" x14ac:dyDescent="0.3">
      <c r="L857" s="7" t="str">
        <f t="shared" ca="1" si="30"/>
        <v/>
      </c>
    </row>
    <row r="858" spans="12:12" x14ac:dyDescent="0.3">
      <c r="L858" s="7" t="str">
        <f t="shared" ca="1" si="30"/>
        <v/>
      </c>
    </row>
    <row r="859" spans="12:12" x14ac:dyDescent="0.3">
      <c r="L859" s="7" t="str">
        <f t="shared" ca="1" si="30"/>
        <v/>
      </c>
    </row>
    <row r="860" spans="12:12" x14ac:dyDescent="0.3">
      <c r="L860" s="7" t="str">
        <f t="shared" ca="1" si="30"/>
        <v/>
      </c>
    </row>
    <row r="861" spans="12:12" x14ac:dyDescent="0.3">
      <c r="L861" s="7" t="str">
        <f t="shared" ca="1" si="30"/>
        <v/>
      </c>
    </row>
    <row r="862" spans="12:12" x14ac:dyDescent="0.3">
      <c r="L862" s="7" t="str">
        <f t="shared" ca="1" si="30"/>
        <v/>
      </c>
    </row>
    <row r="863" spans="12:12" x14ac:dyDescent="0.3">
      <c r="L863" s="7" t="str">
        <f t="shared" ca="1" si="30"/>
        <v/>
      </c>
    </row>
    <row r="864" spans="12:12" x14ac:dyDescent="0.3">
      <c r="L864" s="7" t="str">
        <f t="shared" ca="1" si="30"/>
        <v/>
      </c>
    </row>
    <row r="865" spans="12:12" x14ac:dyDescent="0.3">
      <c r="L865" s="7" t="str">
        <f t="shared" ca="1" si="30"/>
        <v/>
      </c>
    </row>
    <row r="866" spans="12:12" x14ac:dyDescent="0.3">
      <c r="L866" s="7" t="str">
        <f t="shared" ca="1" si="30"/>
        <v/>
      </c>
    </row>
    <row r="867" spans="12:12" x14ac:dyDescent="0.3">
      <c r="L867" s="7" t="str">
        <f t="shared" ca="1" si="30"/>
        <v/>
      </c>
    </row>
    <row r="868" spans="12:12" x14ac:dyDescent="0.3">
      <c r="L868" s="7" t="str">
        <f t="shared" ca="1" si="30"/>
        <v/>
      </c>
    </row>
    <row r="869" spans="12:12" x14ac:dyDescent="0.3">
      <c r="L869" s="7" t="str">
        <f t="shared" ca="1" si="30"/>
        <v/>
      </c>
    </row>
    <row r="870" spans="12:12" x14ac:dyDescent="0.3">
      <c r="L870" s="7" t="str">
        <f t="shared" ca="1" si="30"/>
        <v/>
      </c>
    </row>
    <row r="871" spans="12:12" x14ac:dyDescent="0.3">
      <c r="L871" s="7" t="str">
        <f t="shared" ca="1" si="30"/>
        <v/>
      </c>
    </row>
    <row r="872" spans="12:12" x14ac:dyDescent="0.3">
      <c r="L872" s="7" t="str">
        <f t="shared" ca="1" si="30"/>
        <v/>
      </c>
    </row>
    <row r="873" spans="12:12" x14ac:dyDescent="0.3">
      <c r="L873" s="7" t="str">
        <f t="shared" ca="1" si="30"/>
        <v/>
      </c>
    </row>
    <row r="874" spans="12:12" x14ac:dyDescent="0.3">
      <c r="L874" s="7" t="str">
        <f t="shared" ca="1" si="30"/>
        <v/>
      </c>
    </row>
    <row r="875" spans="12:12" x14ac:dyDescent="0.3">
      <c r="L875" s="7" t="str">
        <f t="shared" ca="1" si="30"/>
        <v/>
      </c>
    </row>
    <row r="876" spans="12:12" x14ac:dyDescent="0.3">
      <c r="L876" s="7" t="str">
        <f t="shared" ca="1" si="30"/>
        <v/>
      </c>
    </row>
    <row r="877" spans="12:12" x14ac:dyDescent="0.3">
      <c r="L877" s="7" t="str">
        <f t="shared" ca="1" si="30"/>
        <v/>
      </c>
    </row>
    <row r="878" spans="12:12" x14ac:dyDescent="0.3">
      <c r="L878" s="7" t="str">
        <f t="shared" ca="1" si="30"/>
        <v/>
      </c>
    </row>
    <row r="879" spans="12:12" x14ac:dyDescent="0.3">
      <c r="L879" s="7" t="str">
        <f t="shared" ca="1" si="30"/>
        <v/>
      </c>
    </row>
    <row r="880" spans="12:12" x14ac:dyDescent="0.3">
      <c r="L880" s="7" t="str">
        <f t="shared" ca="1" si="30"/>
        <v/>
      </c>
    </row>
    <row r="881" spans="12:12" x14ac:dyDescent="0.3">
      <c r="L881" s="7" t="str">
        <f t="shared" ca="1" si="30"/>
        <v/>
      </c>
    </row>
    <row r="882" spans="12:12" x14ac:dyDescent="0.3">
      <c r="L882" s="7" t="str">
        <f t="shared" ca="1" si="30"/>
        <v/>
      </c>
    </row>
    <row r="883" spans="12:12" x14ac:dyDescent="0.3">
      <c r="L883" s="7" t="str">
        <f t="shared" ca="1" si="30"/>
        <v/>
      </c>
    </row>
    <row r="884" spans="12:12" x14ac:dyDescent="0.3">
      <c r="L884" s="7" t="str">
        <f t="shared" ca="1" si="30"/>
        <v/>
      </c>
    </row>
    <row r="885" spans="12:12" x14ac:dyDescent="0.3">
      <c r="L885" s="7" t="str">
        <f t="shared" ca="1" si="30"/>
        <v/>
      </c>
    </row>
    <row r="886" spans="12:12" x14ac:dyDescent="0.3">
      <c r="L886" s="7" t="str">
        <f t="shared" ca="1" si="30"/>
        <v/>
      </c>
    </row>
    <row r="887" spans="12:12" x14ac:dyDescent="0.3">
      <c r="L887" s="7" t="str">
        <f t="shared" ca="1" si="30"/>
        <v/>
      </c>
    </row>
    <row r="888" spans="12:12" x14ac:dyDescent="0.3">
      <c r="L888" s="7" t="str">
        <f t="shared" ca="1" si="30"/>
        <v/>
      </c>
    </row>
    <row r="889" spans="12:12" x14ac:dyDescent="0.3">
      <c r="L889" s="7" t="str">
        <f t="shared" ca="1" si="30"/>
        <v/>
      </c>
    </row>
    <row r="890" spans="12:12" x14ac:dyDescent="0.3">
      <c r="L890" s="7" t="str">
        <f t="shared" ca="1" si="30"/>
        <v/>
      </c>
    </row>
    <row r="891" spans="12:12" x14ac:dyDescent="0.3">
      <c r="L891" s="7" t="str">
        <f t="shared" ca="1" si="30"/>
        <v/>
      </c>
    </row>
    <row r="892" spans="12:12" x14ac:dyDescent="0.3">
      <c r="L892" s="7" t="str">
        <f t="shared" ca="1" si="30"/>
        <v/>
      </c>
    </row>
    <row r="893" spans="12:12" x14ac:dyDescent="0.3">
      <c r="L893" s="7" t="str">
        <f t="shared" ca="1" si="30"/>
        <v/>
      </c>
    </row>
    <row r="894" spans="12:12" x14ac:dyDescent="0.3">
      <c r="L894" s="7" t="str">
        <f t="shared" ca="1" si="30"/>
        <v/>
      </c>
    </row>
    <row r="895" spans="12:12" x14ac:dyDescent="0.3">
      <c r="L895" s="7" t="str">
        <f t="shared" ca="1" si="30"/>
        <v/>
      </c>
    </row>
    <row r="896" spans="12:12" x14ac:dyDescent="0.3">
      <c r="L896" s="7" t="str">
        <f t="shared" ca="1" si="30"/>
        <v/>
      </c>
    </row>
    <row r="897" spans="12:12" x14ac:dyDescent="0.3">
      <c r="L897" s="7" t="str">
        <f t="shared" ca="1" si="30"/>
        <v/>
      </c>
    </row>
    <row r="898" spans="12:12" x14ac:dyDescent="0.3">
      <c r="L898" s="7" t="str">
        <f t="shared" ca="1" si="30"/>
        <v/>
      </c>
    </row>
    <row r="899" spans="12:12" x14ac:dyDescent="0.3">
      <c r="L899" s="7" t="str">
        <f t="shared" ca="1" si="30"/>
        <v/>
      </c>
    </row>
    <row r="900" spans="12:12" x14ac:dyDescent="0.3">
      <c r="L900" s="7" t="str">
        <f t="shared" ca="1" si="30"/>
        <v/>
      </c>
    </row>
    <row r="901" spans="12:12" x14ac:dyDescent="0.3">
      <c r="L901" s="7" t="str">
        <f t="shared" ca="1" si="30"/>
        <v/>
      </c>
    </row>
    <row r="902" spans="12:12" x14ac:dyDescent="0.3">
      <c r="L902" s="7" t="str">
        <f t="shared" ca="1" si="30"/>
        <v/>
      </c>
    </row>
    <row r="903" spans="12:12" x14ac:dyDescent="0.3">
      <c r="L903" s="7" t="str">
        <f t="shared" ca="1" si="30"/>
        <v/>
      </c>
    </row>
    <row r="904" spans="12:12" x14ac:dyDescent="0.3">
      <c r="L904" s="7" t="str">
        <f t="shared" ca="1" si="30"/>
        <v/>
      </c>
    </row>
    <row r="905" spans="12:12" x14ac:dyDescent="0.3">
      <c r="L905" s="7" t="str">
        <f t="shared" ref="L905:L968" ca="1" si="31">IF(I905="Completed",0,IF(H905="","",H905-TODAY()))</f>
        <v/>
      </c>
    </row>
    <row r="906" spans="12:12" x14ac:dyDescent="0.3">
      <c r="L906" s="7" t="str">
        <f t="shared" ca="1" si="31"/>
        <v/>
      </c>
    </row>
    <row r="907" spans="12:12" x14ac:dyDescent="0.3">
      <c r="L907" s="7" t="str">
        <f t="shared" ca="1" si="31"/>
        <v/>
      </c>
    </row>
    <row r="908" spans="12:12" x14ac:dyDescent="0.3">
      <c r="L908" s="7" t="str">
        <f t="shared" ca="1" si="31"/>
        <v/>
      </c>
    </row>
    <row r="909" spans="12:12" x14ac:dyDescent="0.3">
      <c r="L909" s="7" t="str">
        <f t="shared" ca="1" si="31"/>
        <v/>
      </c>
    </row>
    <row r="910" spans="12:12" x14ac:dyDescent="0.3">
      <c r="L910" s="7" t="str">
        <f t="shared" ca="1" si="31"/>
        <v/>
      </c>
    </row>
    <row r="911" spans="12:12" x14ac:dyDescent="0.3">
      <c r="L911" s="7" t="str">
        <f t="shared" ca="1" si="31"/>
        <v/>
      </c>
    </row>
    <row r="912" spans="12:12" x14ac:dyDescent="0.3">
      <c r="L912" s="7" t="str">
        <f t="shared" ca="1" si="31"/>
        <v/>
      </c>
    </row>
    <row r="913" spans="12:12" x14ac:dyDescent="0.3">
      <c r="L913" s="7" t="str">
        <f t="shared" ca="1" si="31"/>
        <v/>
      </c>
    </row>
    <row r="914" spans="12:12" x14ac:dyDescent="0.3">
      <c r="L914" s="7" t="str">
        <f t="shared" ca="1" si="31"/>
        <v/>
      </c>
    </row>
    <row r="915" spans="12:12" x14ac:dyDescent="0.3">
      <c r="L915" s="7" t="str">
        <f t="shared" ca="1" si="31"/>
        <v/>
      </c>
    </row>
    <row r="916" spans="12:12" x14ac:dyDescent="0.3">
      <c r="L916" s="7" t="str">
        <f t="shared" ca="1" si="31"/>
        <v/>
      </c>
    </row>
    <row r="917" spans="12:12" x14ac:dyDescent="0.3">
      <c r="L917" s="7" t="str">
        <f t="shared" ca="1" si="31"/>
        <v/>
      </c>
    </row>
    <row r="918" spans="12:12" x14ac:dyDescent="0.3">
      <c r="L918" s="7" t="str">
        <f t="shared" ca="1" si="31"/>
        <v/>
      </c>
    </row>
    <row r="919" spans="12:12" x14ac:dyDescent="0.3">
      <c r="L919" s="7" t="str">
        <f t="shared" ca="1" si="31"/>
        <v/>
      </c>
    </row>
    <row r="920" spans="12:12" x14ac:dyDescent="0.3">
      <c r="L920" s="7" t="str">
        <f t="shared" ca="1" si="31"/>
        <v/>
      </c>
    </row>
    <row r="921" spans="12:12" x14ac:dyDescent="0.3">
      <c r="L921" s="7" t="str">
        <f t="shared" ca="1" si="31"/>
        <v/>
      </c>
    </row>
    <row r="922" spans="12:12" x14ac:dyDescent="0.3">
      <c r="L922" s="7" t="str">
        <f t="shared" ca="1" si="31"/>
        <v/>
      </c>
    </row>
    <row r="923" spans="12:12" x14ac:dyDescent="0.3">
      <c r="L923" s="7" t="str">
        <f t="shared" ca="1" si="31"/>
        <v/>
      </c>
    </row>
    <row r="924" spans="12:12" x14ac:dyDescent="0.3">
      <c r="L924" s="7" t="str">
        <f t="shared" ca="1" si="31"/>
        <v/>
      </c>
    </row>
    <row r="925" spans="12:12" x14ac:dyDescent="0.3">
      <c r="L925" s="7" t="str">
        <f t="shared" ca="1" si="31"/>
        <v/>
      </c>
    </row>
    <row r="926" spans="12:12" x14ac:dyDescent="0.3">
      <c r="L926" s="7" t="str">
        <f t="shared" ca="1" si="31"/>
        <v/>
      </c>
    </row>
    <row r="927" spans="12:12" x14ac:dyDescent="0.3">
      <c r="L927" s="7" t="str">
        <f t="shared" ca="1" si="31"/>
        <v/>
      </c>
    </row>
    <row r="928" spans="12:12" x14ac:dyDescent="0.3">
      <c r="L928" s="7" t="str">
        <f t="shared" ca="1" si="31"/>
        <v/>
      </c>
    </row>
    <row r="929" spans="12:12" x14ac:dyDescent="0.3">
      <c r="L929" s="7" t="str">
        <f t="shared" ca="1" si="31"/>
        <v/>
      </c>
    </row>
    <row r="930" spans="12:12" x14ac:dyDescent="0.3">
      <c r="L930" s="7" t="str">
        <f t="shared" ca="1" si="31"/>
        <v/>
      </c>
    </row>
    <row r="931" spans="12:12" x14ac:dyDescent="0.3">
      <c r="L931" s="7" t="str">
        <f t="shared" ca="1" si="31"/>
        <v/>
      </c>
    </row>
    <row r="932" spans="12:12" x14ac:dyDescent="0.3">
      <c r="L932" s="7" t="str">
        <f t="shared" ca="1" si="31"/>
        <v/>
      </c>
    </row>
    <row r="933" spans="12:12" x14ac:dyDescent="0.3">
      <c r="L933" s="7" t="str">
        <f t="shared" ca="1" si="31"/>
        <v/>
      </c>
    </row>
    <row r="934" spans="12:12" x14ac:dyDescent="0.3">
      <c r="L934" s="7" t="str">
        <f t="shared" ca="1" si="31"/>
        <v/>
      </c>
    </row>
    <row r="935" spans="12:12" x14ac:dyDescent="0.3">
      <c r="L935" s="7" t="str">
        <f t="shared" ca="1" si="31"/>
        <v/>
      </c>
    </row>
    <row r="936" spans="12:12" x14ac:dyDescent="0.3">
      <c r="L936" s="7" t="str">
        <f t="shared" ca="1" si="31"/>
        <v/>
      </c>
    </row>
    <row r="937" spans="12:12" x14ac:dyDescent="0.3">
      <c r="L937" s="7" t="str">
        <f t="shared" ca="1" si="31"/>
        <v/>
      </c>
    </row>
    <row r="938" spans="12:12" x14ac:dyDescent="0.3">
      <c r="L938" s="7" t="str">
        <f t="shared" ca="1" si="31"/>
        <v/>
      </c>
    </row>
    <row r="939" spans="12:12" x14ac:dyDescent="0.3">
      <c r="L939" s="7" t="str">
        <f t="shared" ca="1" si="31"/>
        <v/>
      </c>
    </row>
    <row r="940" spans="12:12" x14ac:dyDescent="0.3">
      <c r="L940" s="7" t="str">
        <f t="shared" ca="1" si="31"/>
        <v/>
      </c>
    </row>
    <row r="941" spans="12:12" x14ac:dyDescent="0.3">
      <c r="L941" s="7" t="str">
        <f t="shared" ca="1" si="31"/>
        <v/>
      </c>
    </row>
    <row r="942" spans="12:12" x14ac:dyDescent="0.3">
      <c r="L942" s="7" t="str">
        <f t="shared" ca="1" si="31"/>
        <v/>
      </c>
    </row>
    <row r="943" spans="12:12" x14ac:dyDescent="0.3">
      <c r="L943" s="7" t="str">
        <f t="shared" ca="1" si="31"/>
        <v/>
      </c>
    </row>
    <row r="944" spans="12:12" x14ac:dyDescent="0.3">
      <c r="L944" s="7" t="str">
        <f t="shared" ca="1" si="31"/>
        <v/>
      </c>
    </row>
    <row r="945" spans="12:12" x14ac:dyDescent="0.3">
      <c r="L945" s="7" t="str">
        <f t="shared" ca="1" si="31"/>
        <v/>
      </c>
    </row>
    <row r="946" spans="12:12" x14ac:dyDescent="0.3">
      <c r="L946" s="7" t="str">
        <f t="shared" ca="1" si="31"/>
        <v/>
      </c>
    </row>
    <row r="947" spans="12:12" x14ac:dyDescent="0.3">
      <c r="L947" s="7" t="str">
        <f t="shared" ca="1" si="31"/>
        <v/>
      </c>
    </row>
    <row r="948" spans="12:12" x14ac:dyDescent="0.3">
      <c r="L948" s="7" t="str">
        <f t="shared" ca="1" si="31"/>
        <v/>
      </c>
    </row>
    <row r="949" spans="12:12" x14ac:dyDescent="0.3">
      <c r="L949" s="7" t="str">
        <f t="shared" ca="1" si="31"/>
        <v/>
      </c>
    </row>
    <row r="950" spans="12:12" x14ac:dyDescent="0.3">
      <c r="L950" s="7" t="str">
        <f t="shared" ca="1" si="31"/>
        <v/>
      </c>
    </row>
    <row r="951" spans="12:12" x14ac:dyDescent="0.3">
      <c r="L951" s="7" t="str">
        <f t="shared" ca="1" si="31"/>
        <v/>
      </c>
    </row>
    <row r="952" spans="12:12" x14ac:dyDescent="0.3">
      <c r="L952" s="7" t="str">
        <f t="shared" ca="1" si="31"/>
        <v/>
      </c>
    </row>
    <row r="953" spans="12:12" x14ac:dyDescent="0.3">
      <c r="L953" s="7" t="str">
        <f t="shared" ca="1" si="31"/>
        <v/>
      </c>
    </row>
    <row r="954" spans="12:12" x14ac:dyDescent="0.3">
      <c r="L954" s="7" t="str">
        <f t="shared" ca="1" si="31"/>
        <v/>
      </c>
    </row>
    <row r="955" spans="12:12" x14ac:dyDescent="0.3">
      <c r="L955" s="7" t="str">
        <f t="shared" ca="1" si="31"/>
        <v/>
      </c>
    </row>
    <row r="956" spans="12:12" x14ac:dyDescent="0.3">
      <c r="L956" s="7" t="str">
        <f t="shared" ca="1" si="31"/>
        <v/>
      </c>
    </row>
    <row r="957" spans="12:12" x14ac:dyDescent="0.3">
      <c r="L957" s="7" t="str">
        <f t="shared" ca="1" si="31"/>
        <v/>
      </c>
    </row>
    <row r="958" spans="12:12" x14ac:dyDescent="0.3">
      <c r="L958" s="7" t="str">
        <f t="shared" ca="1" si="31"/>
        <v/>
      </c>
    </row>
    <row r="959" spans="12:12" x14ac:dyDescent="0.3">
      <c r="L959" s="7" t="str">
        <f t="shared" ca="1" si="31"/>
        <v/>
      </c>
    </row>
    <row r="960" spans="12:12" x14ac:dyDescent="0.3">
      <c r="L960" s="7" t="str">
        <f t="shared" ca="1" si="31"/>
        <v/>
      </c>
    </row>
    <row r="961" spans="12:12" x14ac:dyDescent="0.3">
      <c r="L961" s="7" t="str">
        <f t="shared" ca="1" si="31"/>
        <v/>
      </c>
    </row>
    <row r="962" spans="12:12" x14ac:dyDescent="0.3">
      <c r="L962" s="7" t="str">
        <f t="shared" ca="1" si="31"/>
        <v/>
      </c>
    </row>
    <row r="963" spans="12:12" x14ac:dyDescent="0.3">
      <c r="L963" s="7" t="str">
        <f t="shared" ca="1" si="31"/>
        <v/>
      </c>
    </row>
    <row r="964" spans="12:12" x14ac:dyDescent="0.3">
      <c r="L964" s="7" t="str">
        <f t="shared" ca="1" si="31"/>
        <v/>
      </c>
    </row>
    <row r="965" spans="12:12" x14ac:dyDescent="0.3">
      <c r="L965" s="7" t="str">
        <f t="shared" ca="1" si="31"/>
        <v/>
      </c>
    </row>
    <row r="966" spans="12:12" x14ac:dyDescent="0.3">
      <c r="L966" s="7" t="str">
        <f t="shared" ca="1" si="31"/>
        <v/>
      </c>
    </row>
    <row r="967" spans="12:12" x14ac:dyDescent="0.3">
      <c r="L967" s="7" t="str">
        <f t="shared" ca="1" si="31"/>
        <v/>
      </c>
    </row>
    <row r="968" spans="12:12" x14ac:dyDescent="0.3">
      <c r="L968" s="7" t="str">
        <f t="shared" ca="1" si="31"/>
        <v/>
      </c>
    </row>
    <row r="969" spans="12:12" x14ac:dyDescent="0.3">
      <c r="L969" s="7" t="str">
        <f t="shared" ref="L969:L1032" ca="1" si="32">IF(I969="Completed",0,IF(H969="","",H969-TODAY()))</f>
        <v/>
      </c>
    </row>
    <row r="970" spans="12:12" x14ac:dyDescent="0.3">
      <c r="L970" s="7" t="str">
        <f t="shared" ca="1" si="32"/>
        <v/>
      </c>
    </row>
    <row r="971" spans="12:12" x14ac:dyDescent="0.3">
      <c r="L971" s="7" t="str">
        <f t="shared" ca="1" si="32"/>
        <v/>
      </c>
    </row>
    <row r="972" spans="12:12" x14ac:dyDescent="0.3">
      <c r="L972" s="7" t="str">
        <f t="shared" ca="1" si="32"/>
        <v/>
      </c>
    </row>
    <row r="973" spans="12:12" x14ac:dyDescent="0.3">
      <c r="L973" s="7" t="str">
        <f t="shared" ca="1" si="32"/>
        <v/>
      </c>
    </row>
    <row r="974" spans="12:12" x14ac:dyDescent="0.3">
      <c r="L974" s="7" t="str">
        <f t="shared" ca="1" si="32"/>
        <v/>
      </c>
    </row>
    <row r="975" spans="12:12" x14ac:dyDescent="0.3">
      <c r="L975" s="7" t="str">
        <f t="shared" ca="1" si="32"/>
        <v/>
      </c>
    </row>
    <row r="976" spans="12:12" x14ac:dyDescent="0.3">
      <c r="L976" s="7" t="str">
        <f t="shared" ca="1" si="32"/>
        <v/>
      </c>
    </row>
    <row r="977" spans="12:12" x14ac:dyDescent="0.3">
      <c r="L977" s="7" t="str">
        <f t="shared" ca="1" si="32"/>
        <v/>
      </c>
    </row>
    <row r="978" spans="12:12" x14ac:dyDescent="0.3">
      <c r="L978" s="7" t="str">
        <f t="shared" ca="1" si="32"/>
        <v/>
      </c>
    </row>
    <row r="979" spans="12:12" x14ac:dyDescent="0.3">
      <c r="L979" s="7" t="str">
        <f t="shared" ca="1" si="32"/>
        <v/>
      </c>
    </row>
    <row r="980" spans="12:12" x14ac:dyDescent="0.3">
      <c r="L980" s="7" t="str">
        <f t="shared" ca="1" si="32"/>
        <v/>
      </c>
    </row>
    <row r="981" spans="12:12" x14ac:dyDescent="0.3">
      <c r="L981" s="7" t="str">
        <f t="shared" ca="1" si="32"/>
        <v/>
      </c>
    </row>
    <row r="982" spans="12:12" x14ac:dyDescent="0.3">
      <c r="L982" s="7" t="str">
        <f t="shared" ca="1" si="32"/>
        <v/>
      </c>
    </row>
    <row r="983" spans="12:12" x14ac:dyDescent="0.3">
      <c r="L983" s="7" t="str">
        <f t="shared" ca="1" si="32"/>
        <v/>
      </c>
    </row>
    <row r="984" spans="12:12" x14ac:dyDescent="0.3">
      <c r="L984" s="7" t="str">
        <f t="shared" ca="1" si="32"/>
        <v/>
      </c>
    </row>
    <row r="985" spans="12:12" x14ac:dyDescent="0.3">
      <c r="L985" s="7" t="str">
        <f t="shared" ca="1" si="32"/>
        <v/>
      </c>
    </row>
    <row r="986" spans="12:12" x14ac:dyDescent="0.3">
      <c r="L986" s="7" t="str">
        <f t="shared" ca="1" si="32"/>
        <v/>
      </c>
    </row>
    <row r="987" spans="12:12" x14ac:dyDescent="0.3">
      <c r="L987" s="7" t="str">
        <f t="shared" ca="1" si="32"/>
        <v/>
      </c>
    </row>
    <row r="988" spans="12:12" x14ac:dyDescent="0.3">
      <c r="L988" s="7" t="str">
        <f t="shared" ca="1" si="32"/>
        <v/>
      </c>
    </row>
    <row r="989" spans="12:12" x14ac:dyDescent="0.3">
      <c r="L989" s="7" t="str">
        <f t="shared" ca="1" si="32"/>
        <v/>
      </c>
    </row>
    <row r="990" spans="12:12" x14ac:dyDescent="0.3">
      <c r="L990" s="7" t="str">
        <f t="shared" ca="1" si="32"/>
        <v/>
      </c>
    </row>
    <row r="991" spans="12:12" x14ac:dyDescent="0.3">
      <c r="L991" s="7" t="str">
        <f t="shared" ca="1" si="32"/>
        <v/>
      </c>
    </row>
    <row r="992" spans="12:12" x14ac:dyDescent="0.3">
      <c r="L992" s="7" t="str">
        <f t="shared" ca="1" si="32"/>
        <v/>
      </c>
    </row>
    <row r="993" spans="12:12" x14ac:dyDescent="0.3">
      <c r="L993" s="7" t="str">
        <f t="shared" ca="1" si="32"/>
        <v/>
      </c>
    </row>
    <row r="994" spans="12:12" x14ac:dyDescent="0.3">
      <c r="L994" s="7" t="str">
        <f t="shared" ca="1" si="32"/>
        <v/>
      </c>
    </row>
    <row r="995" spans="12:12" x14ac:dyDescent="0.3">
      <c r="L995" s="7" t="str">
        <f t="shared" ca="1" si="32"/>
        <v/>
      </c>
    </row>
    <row r="996" spans="12:12" x14ac:dyDescent="0.3">
      <c r="L996" s="7" t="str">
        <f t="shared" ca="1" si="32"/>
        <v/>
      </c>
    </row>
    <row r="997" spans="12:12" x14ac:dyDescent="0.3">
      <c r="L997" s="7" t="str">
        <f t="shared" ca="1" si="32"/>
        <v/>
      </c>
    </row>
    <row r="998" spans="12:12" x14ac:dyDescent="0.3">
      <c r="L998" s="7" t="str">
        <f t="shared" ca="1" si="32"/>
        <v/>
      </c>
    </row>
    <row r="999" spans="12:12" x14ac:dyDescent="0.3">
      <c r="L999" s="7" t="str">
        <f t="shared" ca="1" si="32"/>
        <v/>
      </c>
    </row>
    <row r="1000" spans="12:12" x14ac:dyDescent="0.3">
      <c r="L1000" s="7" t="str">
        <f t="shared" ca="1" si="32"/>
        <v/>
      </c>
    </row>
    <row r="1001" spans="12:12" x14ac:dyDescent="0.3">
      <c r="L1001" s="7" t="str">
        <f t="shared" ca="1" si="32"/>
        <v/>
      </c>
    </row>
    <row r="1002" spans="12:12" x14ac:dyDescent="0.3">
      <c r="L1002" s="7" t="str">
        <f t="shared" ca="1" si="32"/>
        <v/>
      </c>
    </row>
    <row r="1003" spans="12:12" x14ac:dyDescent="0.3">
      <c r="L1003" s="7" t="str">
        <f t="shared" ca="1" si="32"/>
        <v/>
      </c>
    </row>
    <row r="1004" spans="12:12" x14ac:dyDescent="0.3">
      <c r="L1004" s="7" t="str">
        <f t="shared" ca="1" si="32"/>
        <v/>
      </c>
    </row>
    <row r="1005" spans="12:12" x14ac:dyDescent="0.3">
      <c r="L1005" s="7" t="str">
        <f t="shared" ca="1" si="32"/>
        <v/>
      </c>
    </row>
    <row r="1006" spans="12:12" x14ac:dyDescent="0.3">
      <c r="L1006" s="7" t="str">
        <f t="shared" ca="1" si="32"/>
        <v/>
      </c>
    </row>
    <row r="1007" spans="12:12" x14ac:dyDescent="0.3">
      <c r="L1007" s="7" t="str">
        <f t="shared" ca="1" si="32"/>
        <v/>
      </c>
    </row>
    <row r="1008" spans="12:12" x14ac:dyDescent="0.3">
      <c r="L1008" s="7" t="str">
        <f t="shared" ca="1" si="32"/>
        <v/>
      </c>
    </row>
    <row r="1009" spans="12:12" x14ac:dyDescent="0.3">
      <c r="L1009" s="7" t="str">
        <f t="shared" ca="1" si="32"/>
        <v/>
      </c>
    </row>
    <row r="1010" spans="12:12" x14ac:dyDescent="0.3">
      <c r="L1010" s="7" t="str">
        <f t="shared" ca="1" si="32"/>
        <v/>
      </c>
    </row>
    <row r="1011" spans="12:12" x14ac:dyDescent="0.3">
      <c r="L1011" s="7" t="str">
        <f t="shared" ca="1" si="32"/>
        <v/>
      </c>
    </row>
    <row r="1012" spans="12:12" x14ac:dyDescent="0.3">
      <c r="L1012" s="7" t="str">
        <f t="shared" ca="1" si="32"/>
        <v/>
      </c>
    </row>
    <row r="1013" spans="12:12" x14ac:dyDescent="0.3">
      <c r="L1013" s="7" t="str">
        <f t="shared" ca="1" si="32"/>
        <v/>
      </c>
    </row>
    <row r="1014" spans="12:12" x14ac:dyDescent="0.3">
      <c r="L1014" s="7" t="str">
        <f t="shared" ca="1" si="32"/>
        <v/>
      </c>
    </row>
    <row r="1015" spans="12:12" x14ac:dyDescent="0.3">
      <c r="L1015" s="7" t="str">
        <f t="shared" ca="1" si="32"/>
        <v/>
      </c>
    </row>
    <row r="1016" spans="12:12" x14ac:dyDescent="0.3">
      <c r="L1016" s="7" t="str">
        <f t="shared" ca="1" si="32"/>
        <v/>
      </c>
    </row>
    <row r="1017" spans="12:12" x14ac:dyDescent="0.3">
      <c r="L1017" s="7" t="str">
        <f t="shared" ca="1" si="32"/>
        <v/>
      </c>
    </row>
    <row r="1018" spans="12:12" x14ac:dyDescent="0.3">
      <c r="L1018" s="7" t="str">
        <f t="shared" ca="1" si="32"/>
        <v/>
      </c>
    </row>
    <row r="1019" spans="12:12" x14ac:dyDescent="0.3">
      <c r="L1019" s="7" t="str">
        <f t="shared" ca="1" si="32"/>
        <v/>
      </c>
    </row>
    <row r="1020" spans="12:12" x14ac:dyDescent="0.3">
      <c r="L1020" s="7" t="str">
        <f t="shared" ca="1" si="32"/>
        <v/>
      </c>
    </row>
    <row r="1021" spans="12:12" x14ac:dyDescent="0.3">
      <c r="L1021" s="7" t="str">
        <f t="shared" ca="1" si="32"/>
        <v/>
      </c>
    </row>
    <row r="1022" spans="12:12" x14ac:dyDescent="0.3">
      <c r="L1022" s="7" t="str">
        <f t="shared" ca="1" si="32"/>
        <v/>
      </c>
    </row>
    <row r="1023" spans="12:12" x14ac:dyDescent="0.3">
      <c r="L1023" s="7" t="str">
        <f t="shared" ca="1" si="32"/>
        <v/>
      </c>
    </row>
    <row r="1024" spans="12:12" x14ac:dyDescent="0.3">
      <c r="L1024" s="7" t="str">
        <f t="shared" ca="1" si="32"/>
        <v/>
      </c>
    </row>
    <row r="1025" spans="12:12" x14ac:dyDescent="0.3">
      <c r="L1025" s="7" t="str">
        <f t="shared" ca="1" si="32"/>
        <v/>
      </c>
    </row>
    <row r="1026" spans="12:12" x14ac:dyDescent="0.3">
      <c r="L1026" s="7" t="str">
        <f t="shared" ca="1" si="32"/>
        <v/>
      </c>
    </row>
    <row r="1027" spans="12:12" x14ac:dyDescent="0.3">
      <c r="L1027" s="7" t="str">
        <f t="shared" ca="1" si="32"/>
        <v/>
      </c>
    </row>
    <row r="1028" spans="12:12" x14ac:dyDescent="0.3">
      <c r="L1028" s="7" t="str">
        <f t="shared" ca="1" si="32"/>
        <v/>
      </c>
    </row>
    <row r="1029" spans="12:12" x14ac:dyDescent="0.3">
      <c r="L1029" s="7" t="str">
        <f t="shared" ca="1" si="32"/>
        <v/>
      </c>
    </row>
    <row r="1030" spans="12:12" x14ac:dyDescent="0.3">
      <c r="L1030" s="7" t="str">
        <f t="shared" ca="1" si="32"/>
        <v/>
      </c>
    </row>
    <row r="1031" spans="12:12" x14ac:dyDescent="0.3">
      <c r="L1031" s="7" t="str">
        <f t="shared" ca="1" si="32"/>
        <v/>
      </c>
    </row>
    <row r="1032" spans="12:12" x14ac:dyDescent="0.3">
      <c r="L1032" s="7" t="str">
        <f t="shared" ca="1" si="32"/>
        <v/>
      </c>
    </row>
    <row r="1033" spans="12:12" x14ac:dyDescent="0.3">
      <c r="L1033" s="7" t="str">
        <f t="shared" ref="L1033:L1096" ca="1" si="33">IF(I1033="Completed",0,IF(H1033="","",H1033-TODAY()))</f>
        <v/>
      </c>
    </row>
    <row r="1034" spans="12:12" x14ac:dyDescent="0.3">
      <c r="L1034" s="7" t="str">
        <f t="shared" ca="1" si="33"/>
        <v/>
      </c>
    </row>
    <row r="1035" spans="12:12" x14ac:dyDescent="0.3">
      <c r="L1035" s="7" t="str">
        <f t="shared" ca="1" si="33"/>
        <v/>
      </c>
    </row>
    <row r="1036" spans="12:12" x14ac:dyDescent="0.3">
      <c r="L1036" s="7" t="str">
        <f t="shared" ca="1" si="33"/>
        <v/>
      </c>
    </row>
    <row r="1037" spans="12:12" x14ac:dyDescent="0.3">
      <c r="L1037" s="7" t="str">
        <f t="shared" ca="1" si="33"/>
        <v/>
      </c>
    </row>
    <row r="1038" spans="12:12" x14ac:dyDescent="0.3">
      <c r="L1038" s="7" t="str">
        <f t="shared" ca="1" si="33"/>
        <v/>
      </c>
    </row>
    <row r="1039" spans="12:12" x14ac:dyDescent="0.3">
      <c r="L1039" s="7" t="str">
        <f t="shared" ca="1" si="33"/>
        <v/>
      </c>
    </row>
    <row r="1040" spans="12:12" x14ac:dyDescent="0.3">
      <c r="L1040" s="7" t="str">
        <f t="shared" ca="1" si="33"/>
        <v/>
      </c>
    </row>
    <row r="1041" spans="12:12" x14ac:dyDescent="0.3">
      <c r="L1041" s="7" t="str">
        <f t="shared" ca="1" si="33"/>
        <v/>
      </c>
    </row>
    <row r="1042" spans="12:12" x14ac:dyDescent="0.3">
      <c r="L1042" s="7" t="str">
        <f t="shared" ca="1" si="33"/>
        <v/>
      </c>
    </row>
    <row r="1043" spans="12:12" x14ac:dyDescent="0.3">
      <c r="L1043" s="7" t="str">
        <f t="shared" ca="1" si="33"/>
        <v/>
      </c>
    </row>
    <row r="1044" spans="12:12" x14ac:dyDescent="0.3">
      <c r="L1044" s="7" t="str">
        <f t="shared" ca="1" si="33"/>
        <v/>
      </c>
    </row>
    <row r="1045" spans="12:12" x14ac:dyDescent="0.3">
      <c r="L1045" s="7" t="str">
        <f t="shared" ca="1" si="33"/>
        <v/>
      </c>
    </row>
    <row r="1046" spans="12:12" x14ac:dyDescent="0.3">
      <c r="L1046" s="7" t="str">
        <f t="shared" ca="1" si="33"/>
        <v/>
      </c>
    </row>
    <row r="1047" spans="12:12" x14ac:dyDescent="0.3">
      <c r="L1047" s="7" t="str">
        <f t="shared" ca="1" si="33"/>
        <v/>
      </c>
    </row>
    <row r="1048" spans="12:12" x14ac:dyDescent="0.3">
      <c r="L1048" s="7" t="str">
        <f t="shared" ca="1" si="33"/>
        <v/>
      </c>
    </row>
    <row r="1049" spans="12:12" x14ac:dyDescent="0.3">
      <c r="L1049" s="7" t="str">
        <f t="shared" ca="1" si="33"/>
        <v/>
      </c>
    </row>
    <row r="1050" spans="12:12" x14ac:dyDescent="0.3">
      <c r="L1050" s="7" t="str">
        <f t="shared" ca="1" si="33"/>
        <v/>
      </c>
    </row>
    <row r="1051" spans="12:12" x14ac:dyDescent="0.3">
      <c r="L1051" s="7" t="str">
        <f t="shared" ca="1" si="33"/>
        <v/>
      </c>
    </row>
    <row r="1052" spans="12:12" x14ac:dyDescent="0.3">
      <c r="L1052" s="7" t="str">
        <f t="shared" ca="1" si="33"/>
        <v/>
      </c>
    </row>
    <row r="1053" spans="12:12" x14ac:dyDescent="0.3">
      <c r="L1053" s="7" t="str">
        <f t="shared" ca="1" si="33"/>
        <v/>
      </c>
    </row>
    <row r="1054" spans="12:12" x14ac:dyDescent="0.3">
      <c r="L1054" s="7" t="str">
        <f t="shared" ca="1" si="33"/>
        <v/>
      </c>
    </row>
    <row r="1055" spans="12:12" x14ac:dyDescent="0.3">
      <c r="L1055" s="7" t="str">
        <f t="shared" ca="1" si="33"/>
        <v/>
      </c>
    </row>
    <row r="1056" spans="12:12" x14ac:dyDescent="0.3">
      <c r="L1056" s="7" t="str">
        <f t="shared" ca="1" si="33"/>
        <v/>
      </c>
    </row>
    <row r="1057" spans="12:12" x14ac:dyDescent="0.3">
      <c r="L1057" s="7" t="str">
        <f t="shared" ca="1" si="33"/>
        <v/>
      </c>
    </row>
    <row r="1058" spans="12:12" x14ac:dyDescent="0.3">
      <c r="L1058" s="7" t="str">
        <f t="shared" ca="1" si="33"/>
        <v/>
      </c>
    </row>
    <row r="1059" spans="12:12" x14ac:dyDescent="0.3">
      <c r="L1059" s="7" t="str">
        <f t="shared" ca="1" si="33"/>
        <v/>
      </c>
    </row>
    <row r="1060" spans="12:12" x14ac:dyDescent="0.3">
      <c r="L1060" s="7" t="str">
        <f t="shared" ca="1" si="33"/>
        <v/>
      </c>
    </row>
    <row r="1061" spans="12:12" x14ac:dyDescent="0.3">
      <c r="L1061" s="7" t="str">
        <f t="shared" ca="1" si="33"/>
        <v/>
      </c>
    </row>
    <row r="1062" spans="12:12" x14ac:dyDescent="0.3">
      <c r="L1062" s="7" t="str">
        <f t="shared" ca="1" si="33"/>
        <v/>
      </c>
    </row>
    <row r="1063" spans="12:12" x14ac:dyDescent="0.3">
      <c r="L1063" s="7" t="str">
        <f t="shared" ca="1" si="33"/>
        <v/>
      </c>
    </row>
    <row r="1064" spans="12:12" x14ac:dyDescent="0.3">
      <c r="L1064" s="7" t="str">
        <f t="shared" ca="1" si="33"/>
        <v/>
      </c>
    </row>
    <row r="1065" spans="12:12" x14ac:dyDescent="0.3">
      <c r="L1065" s="7" t="str">
        <f t="shared" ca="1" si="33"/>
        <v/>
      </c>
    </row>
    <row r="1066" spans="12:12" x14ac:dyDescent="0.3">
      <c r="L1066" s="7" t="str">
        <f t="shared" ca="1" si="33"/>
        <v/>
      </c>
    </row>
    <row r="1067" spans="12:12" x14ac:dyDescent="0.3">
      <c r="L1067" s="7" t="str">
        <f t="shared" ca="1" si="33"/>
        <v/>
      </c>
    </row>
    <row r="1068" spans="12:12" x14ac:dyDescent="0.3">
      <c r="L1068" s="7" t="str">
        <f t="shared" ca="1" si="33"/>
        <v/>
      </c>
    </row>
    <row r="1069" spans="12:12" x14ac:dyDescent="0.3">
      <c r="L1069" s="7" t="str">
        <f t="shared" ca="1" si="33"/>
        <v/>
      </c>
    </row>
    <row r="1070" spans="12:12" x14ac:dyDescent="0.3">
      <c r="L1070" s="7" t="str">
        <f t="shared" ca="1" si="33"/>
        <v/>
      </c>
    </row>
    <row r="1071" spans="12:12" x14ac:dyDescent="0.3">
      <c r="L1071" s="7" t="str">
        <f t="shared" ca="1" si="33"/>
        <v/>
      </c>
    </row>
    <row r="1072" spans="12:12" x14ac:dyDescent="0.3">
      <c r="L1072" s="7" t="str">
        <f t="shared" ca="1" si="33"/>
        <v/>
      </c>
    </row>
    <row r="1073" spans="12:12" x14ac:dyDescent="0.3">
      <c r="L1073" s="7" t="str">
        <f t="shared" ca="1" si="33"/>
        <v/>
      </c>
    </row>
    <row r="1074" spans="12:12" x14ac:dyDescent="0.3">
      <c r="L1074" s="7" t="str">
        <f t="shared" ca="1" si="33"/>
        <v/>
      </c>
    </row>
    <row r="1075" spans="12:12" x14ac:dyDescent="0.3">
      <c r="L1075" s="7" t="str">
        <f t="shared" ca="1" si="33"/>
        <v/>
      </c>
    </row>
    <row r="1076" spans="12:12" x14ac:dyDescent="0.3">
      <c r="L1076" s="7" t="str">
        <f t="shared" ca="1" si="33"/>
        <v/>
      </c>
    </row>
    <row r="1077" spans="12:12" x14ac:dyDescent="0.3">
      <c r="L1077" s="7" t="str">
        <f t="shared" ca="1" si="33"/>
        <v/>
      </c>
    </row>
    <row r="1078" spans="12:12" x14ac:dyDescent="0.3">
      <c r="L1078" s="7" t="str">
        <f t="shared" ca="1" si="33"/>
        <v/>
      </c>
    </row>
    <row r="1079" spans="12:12" x14ac:dyDescent="0.3">
      <c r="L1079" s="7" t="str">
        <f t="shared" ca="1" si="33"/>
        <v/>
      </c>
    </row>
    <row r="1080" spans="12:12" x14ac:dyDescent="0.3">
      <c r="L1080" s="7" t="str">
        <f t="shared" ca="1" si="33"/>
        <v/>
      </c>
    </row>
    <row r="1081" spans="12:12" x14ac:dyDescent="0.3">
      <c r="L1081" s="7" t="str">
        <f t="shared" ca="1" si="33"/>
        <v/>
      </c>
    </row>
    <row r="1082" spans="12:12" x14ac:dyDescent="0.3">
      <c r="L1082" s="7" t="str">
        <f t="shared" ca="1" si="33"/>
        <v/>
      </c>
    </row>
    <row r="1083" spans="12:12" x14ac:dyDescent="0.3">
      <c r="L1083" s="7" t="str">
        <f t="shared" ca="1" si="33"/>
        <v/>
      </c>
    </row>
    <row r="1084" spans="12:12" x14ac:dyDescent="0.3">
      <c r="L1084" s="7" t="str">
        <f t="shared" ca="1" si="33"/>
        <v/>
      </c>
    </row>
    <row r="1085" spans="12:12" x14ac:dyDescent="0.3">
      <c r="L1085" s="7" t="str">
        <f t="shared" ca="1" si="33"/>
        <v/>
      </c>
    </row>
    <row r="1086" spans="12:12" x14ac:dyDescent="0.3">
      <c r="L1086" s="7" t="str">
        <f t="shared" ca="1" si="33"/>
        <v/>
      </c>
    </row>
    <row r="1087" spans="12:12" x14ac:dyDescent="0.3">
      <c r="L1087" s="7" t="str">
        <f t="shared" ca="1" si="33"/>
        <v/>
      </c>
    </row>
    <row r="1088" spans="12:12" x14ac:dyDescent="0.3">
      <c r="L1088" s="7" t="str">
        <f t="shared" ca="1" si="33"/>
        <v/>
      </c>
    </row>
    <row r="1089" spans="12:12" x14ac:dyDescent="0.3">
      <c r="L1089" s="7" t="str">
        <f t="shared" ca="1" si="33"/>
        <v/>
      </c>
    </row>
    <row r="1090" spans="12:12" x14ac:dyDescent="0.3">
      <c r="L1090" s="7" t="str">
        <f t="shared" ca="1" si="33"/>
        <v/>
      </c>
    </row>
    <row r="1091" spans="12:12" x14ac:dyDescent="0.3">
      <c r="L1091" s="7" t="str">
        <f t="shared" ca="1" si="33"/>
        <v/>
      </c>
    </row>
    <row r="1092" spans="12:12" x14ac:dyDescent="0.3">
      <c r="L1092" s="7" t="str">
        <f t="shared" ca="1" si="33"/>
        <v/>
      </c>
    </row>
    <row r="1093" spans="12:12" x14ac:dyDescent="0.3">
      <c r="L1093" s="7" t="str">
        <f t="shared" ca="1" si="33"/>
        <v/>
      </c>
    </row>
    <row r="1094" spans="12:12" x14ac:dyDescent="0.3">
      <c r="L1094" s="7" t="str">
        <f t="shared" ca="1" si="33"/>
        <v/>
      </c>
    </row>
    <row r="1095" spans="12:12" x14ac:dyDescent="0.3">
      <c r="L1095" s="7" t="str">
        <f t="shared" ca="1" si="33"/>
        <v/>
      </c>
    </row>
    <row r="1096" spans="12:12" x14ac:dyDescent="0.3">
      <c r="L1096" s="7" t="str">
        <f t="shared" ca="1" si="33"/>
        <v/>
      </c>
    </row>
    <row r="1097" spans="12:12" x14ac:dyDescent="0.3">
      <c r="L1097" s="7" t="str">
        <f t="shared" ref="L1097:L1113" ca="1" si="34">IF(I1097="Completed",0,IF(H1097="","",H1097-TODAY()))</f>
        <v/>
      </c>
    </row>
    <row r="1098" spans="12:12" x14ac:dyDescent="0.3">
      <c r="L1098" s="7" t="str">
        <f t="shared" ca="1" si="34"/>
        <v/>
      </c>
    </row>
    <row r="1099" spans="12:12" x14ac:dyDescent="0.3">
      <c r="L1099" s="7" t="str">
        <f t="shared" ca="1" si="34"/>
        <v/>
      </c>
    </row>
    <row r="1100" spans="12:12" x14ac:dyDescent="0.3">
      <c r="L1100" s="7" t="str">
        <f t="shared" ca="1" si="34"/>
        <v/>
      </c>
    </row>
    <row r="1101" spans="12:12" x14ac:dyDescent="0.3">
      <c r="L1101" s="7" t="str">
        <f t="shared" ca="1" si="34"/>
        <v/>
      </c>
    </row>
    <row r="1102" spans="12:12" x14ac:dyDescent="0.3">
      <c r="L1102" s="7" t="str">
        <f t="shared" ca="1" si="34"/>
        <v/>
      </c>
    </row>
    <row r="1103" spans="12:12" x14ac:dyDescent="0.3">
      <c r="L1103" s="7" t="str">
        <f t="shared" ca="1" si="34"/>
        <v/>
      </c>
    </row>
    <row r="1104" spans="12:12" x14ac:dyDescent="0.3">
      <c r="L1104" s="7" t="str">
        <f t="shared" ca="1" si="34"/>
        <v/>
      </c>
    </row>
    <row r="1105" spans="12:12" x14ac:dyDescent="0.3">
      <c r="L1105" s="7" t="str">
        <f t="shared" ca="1" si="34"/>
        <v/>
      </c>
    </row>
    <row r="1106" spans="12:12" x14ac:dyDescent="0.3">
      <c r="L1106" s="7" t="str">
        <f t="shared" ca="1" si="34"/>
        <v/>
      </c>
    </row>
    <row r="1107" spans="12:12" x14ac:dyDescent="0.3">
      <c r="L1107" s="7" t="str">
        <f t="shared" ca="1" si="34"/>
        <v/>
      </c>
    </row>
    <row r="1108" spans="12:12" x14ac:dyDescent="0.3">
      <c r="L1108" s="7" t="str">
        <f t="shared" ca="1" si="34"/>
        <v/>
      </c>
    </row>
    <row r="1109" spans="12:12" x14ac:dyDescent="0.3">
      <c r="L1109" s="7" t="str">
        <f t="shared" ca="1" si="34"/>
        <v/>
      </c>
    </row>
    <row r="1110" spans="12:12" x14ac:dyDescent="0.3">
      <c r="L1110" s="7" t="str">
        <f t="shared" ca="1" si="34"/>
        <v/>
      </c>
    </row>
    <row r="1111" spans="12:12" x14ac:dyDescent="0.3">
      <c r="L1111" s="7" t="str">
        <f t="shared" ca="1" si="34"/>
        <v/>
      </c>
    </row>
    <row r="1112" spans="12:12" x14ac:dyDescent="0.3">
      <c r="L1112" s="7" t="str">
        <f t="shared" ca="1" si="34"/>
        <v/>
      </c>
    </row>
    <row r="1113" spans="12:12" x14ac:dyDescent="0.3">
      <c r="L1113" s="7" t="str">
        <f t="shared" ca="1" si="34"/>
        <v/>
      </c>
    </row>
  </sheetData>
  <autoFilter ref="A3:N339" xr:uid="{00000000-0001-0000-0700-000000000000}">
    <filterColumn colId="1">
      <filters>
        <filter val="Landscape"/>
      </filters>
    </filterColumn>
  </autoFilter>
  <mergeCells count="1">
    <mergeCell ref="A2:N2"/>
  </mergeCells>
  <conditionalFormatting sqref="M4:M312">
    <cfRule type="cellIs" dxfId="297" priority="29" operator="equal">
      <formula>"Green"</formula>
    </cfRule>
    <cfRule type="cellIs" dxfId="296" priority="30" operator="equal">
      <formula>"Amber"</formula>
    </cfRule>
    <cfRule type="cellIs" dxfId="295" priority="31" operator="equal">
      <formula>"Red"</formula>
    </cfRule>
  </conditionalFormatting>
  <conditionalFormatting sqref="I4:I1420">
    <cfRule type="expression" dxfId="294" priority="12">
      <formula>EXACT($I4,"Inprogress")</formula>
    </cfRule>
    <cfRule type="expression" dxfId="293" priority="32">
      <formula>EXACT($I4,"Not Started")</formula>
    </cfRule>
    <cfRule type="expression" dxfId="292" priority="33">
      <formula>EXACT($I4,"Overdue")</formula>
    </cfRule>
  </conditionalFormatting>
  <conditionalFormatting sqref="K4:K243">
    <cfRule type="expression" dxfId="291" priority="7">
      <formula>EXACT($K4,"No")</formula>
    </cfRule>
  </conditionalFormatting>
  <conditionalFormatting sqref="K4:K243">
    <cfRule type="expression" dxfId="290" priority="8">
      <formula>EXACT($K4,"Yes")</formula>
    </cfRule>
  </conditionalFormatting>
  <conditionalFormatting sqref="K4:K243">
    <cfRule type="expression" dxfId="289" priority="36">
      <formula>EXACT($K4,"-")</formula>
    </cfRule>
  </conditionalFormatting>
  <conditionalFormatting sqref="A4:A2000">
    <cfRule type="expression" dxfId="288" priority="26" stopIfTrue="1">
      <formula>A4=""</formula>
    </cfRule>
    <cfRule type="expression" dxfId="287" priority="28">
      <formula>C4=""</formula>
    </cfRule>
  </conditionalFormatting>
  <conditionalFormatting sqref="B4:B2000">
    <cfRule type="expression" dxfId="286" priority="23" stopIfTrue="1">
      <formula>$A4=""</formula>
    </cfRule>
    <cfRule type="expression" dxfId="285" priority="24">
      <formula>$C4=""</formula>
    </cfRule>
  </conditionalFormatting>
  <conditionalFormatting sqref="C4:C2000">
    <cfRule type="expression" dxfId="284" priority="25" stopIfTrue="1">
      <formula>$A4=""</formula>
    </cfRule>
    <cfRule type="expression" dxfId="283" priority="27">
      <formula>$C4=""</formula>
    </cfRule>
  </conditionalFormatting>
  <conditionalFormatting sqref="D4:D2000">
    <cfRule type="expression" dxfId="282" priority="21" stopIfTrue="1">
      <formula>$A4=""</formula>
    </cfRule>
    <cfRule type="expression" dxfId="281" priority="22">
      <formula>$C4=""</formula>
    </cfRule>
  </conditionalFormatting>
  <conditionalFormatting sqref="E4:E2000">
    <cfRule type="expression" dxfId="280" priority="19" stopIfTrue="1">
      <formula>$A4=""</formula>
    </cfRule>
    <cfRule type="expression" dxfId="279" priority="20">
      <formula>$C4=""</formula>
    </cfRule>
  </conditionalFormatting>
  <conditionalFormatting sqref="F4:F2000">
    <cfRule type="expression" dxfId="278" priority="17" stopIfTrue="1">
      <formula>$A4=""</formula>
    </cfRule>
    <cfRule type="expression" dxfId="277" priority="18">
      <formula>$C4=""</formula>
    </cfRule>
  </conditionalFormatting>
  <conditionalFormatting sqref="G4:G2000">
    <cfRule type="expression" dxfId="276" priority="15" stopIfTrue="1">
      <formula>$A4=""</formula>
    </cfRule>
    <cfRule type="expression" dxfId="275" priority="16">
      <formula>$C4=""</formula>
    </cfRule>
  </conditionalFormatting>
  <conditionalFormatting sqref="H4:H2000">
    <cfRule type="expression" dxfId="274" priority="13" stopIfTrue="1">
      <formula>$A4=""</formula>
    </cfRule>
    <cfRule type="expression" dxfId="273" priority="14">
      <formula>$C4=""</formula>
    </cfRule>
  </conditionalFormatting>
  <conditionalFormatting sqref="I4:I2000">
    <cfRule type="expression" dxfId="272" priority="34" stopIfTrue="1">
      <formula>$A4=""</formula>
    </cfRule>
    <cfRule type="expression" dxfId="271" priority="35">
      <formula>$C4=""</formula>
    </cfRule>
    <cfRule type="expression" dxfId="270" priority="11">
      <formula>EXACT($I4,"Completed")</formula>
    </cfRule>
  </conditionalFormatting>
  <conditionalFormatting sqref="J4:J2000">
    <cfRule type="expression" dxfId="269" priority="9" stopIfTrue="1">
      <formula>$A4=""</formula>
    </cfRule>
    <cfRule type="expression" dxfId="268" priority="10">
      <formula>$C4=""</formula>
    </cfRule>
  </conditionalFormatting>
  <conditionalFormatting sqref="K4:K2000">
    <cfRule type="expression" dxfId="267" priority="37" stopIfTrue="1">
      <formula>$A4=""</formula>
    </cfRule>
    <cfRule type="expression" dxfId="266" priority="38">
      <formula>$C4=""</formula>
    </cfRule>
  </conditionalFormatting>
  <conditionalFormatting sqref="L4:L7 L1114:L2000">
    <cfRule type="expression" dxfId="265" priority="5" stopIfTrue="1">
      <formula>$A4=""</formula>
    </cfRule>
    <cfRule type="expression" dxfId="264" priority="6">
      <formula>$C4=""</formula>
    </cfRule>
  </conditionalFormatting>
  <conditionalFormatting sqref="L8:L1113">
    <cfRule type="expression" dxfId="263" priority="1" stopIfTrue="1">
      <formula>$A8=""</formula>
    </cfRule>
    <cfRule type="expression" dxfId="262" priority="2">
      <formula>$C8=""</formula>
    </cfRule>
  </conditionalFormatting>
  <dataValidations count="1">
    <dataValidation type="list" allowBlank="1" sqref="I4:I312" xr:uid="{C86551A5-5A16-4D04-9012-51D3962DB8FD}">
      <formula1>"Not Started,In Progress,Complete"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FD677-C2A0-4552-A26C-BB394DE7241E}">
  <sheetPr codeName="Sheet7">
    <tabColor rgb="FF777777"/>
  </sheetPr>
  <dimension ref="A1:R1109"/>
  <sheetViews>
    <sheetView showGridLines="0" zoomScaleNormal="10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L4" sqref="L4:L1109"/>
    </sheetView>
  </sheetViews>
  <sheetFormatPr defaultColWidth="8.6640625" defaultRowHeight="14.4" x14ac:dyDescent="0.3"/>
  <cols>
    <col min="1" max="1" width="20" customWidth="1"/>
    <col min="2" max="2" width="17" customWidth="1"/>
    <col min="3" max="3" width="34" customWidth="1"/>
    <col min="4" max="4" width="30" customWidth="1"/>
    <col min="5" max="5" width="12" customWidth="1"/>
    <col min="6" max="6" width="11" customWidth="1"/>
    <col min="7" max="7" width="14.77734375" bestFit="1" customWidth="1"/>
    <col min="8" max="8" width="16.77734375" customWidth="1"/>
    <col min="9" max="9" width="12" customWidth="1"/>
    <col min="10" max="11" width="8" customWidth="1"/>
    <col min="12" max="13" width="7" customWidth="1"/>
    <col min="14" max="14" width="26" customWidth="1"/>
    <col min="15" max="18" width="3" hidden="1" customWidth="1"/>
  </cols>
  <sheetData>
    <row r="1" spans="1:18" ht="24" customHeight="1" x14ac:dyDescent="0.3">
      <c r="A1" s="10" t="s">
        <v>404</v>
      </c>
      <c r="B1" s="10"/>
      <c r="C1" s="10"/>
      <c r="D1" s="10"/>
      <c r="E1" s="10"/>
      <c r="F1" s="10"/>
      <c r="G1" s="11">
        <f>+MAX(G4:G2000)</f>
        <v>46463.1</v>
      </c>
      <c r="H1" s="11">
        <f>+MAX(H4:H2000)</f>
        <v>46566</v>
      </c>
      <c r="I1" s="10"/>
      <c r="J1" s="12">
        <f t="shared" ref="J1" si="0">IF(OR($G1="",$H1=""),"",$H1-$G1)</f>
        <v>102.90000000000146</v>
      </c>
      <c r="K1" s="10"/>
      <c r="L1" s="10"/>
      <c r="M1" s="10"/>
      <c r="N1" s="10"/>
    </row>
    <row r="2" spans="1:18" ht="14.25" customHeight="1" x14ac:dyDescent="0.3">
      <c r="A2" s="17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8" ht="30" customHeight="1" x14ac:dyDescent="0.3">
      <c r="A3" s="1" t="s">
        <v>0</v>
      </c>
      <c r="B3" s="1" t="s">
        <v>24</v>
      </c>
      <c r="C3" s="1" t="s">
        <v>25</v>
      </c>
      <c r="D3" s="1" t="s">
        <v>26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59</v>
      </c>
      <c r="M3" s="1" t="s">
        <v>8</v>
      </c>
      <c r="N3" s="1" t="s">
        <v>9</v>
      </c>
      <c r="O3" s="1" t="s">
        <v>10</v>
      </c>
      <c r="P3" s="1" t="s">
        <v>11</v>
      </c>
      <c r="Q3" s="1" t="s">
        <v>12</v>
      </c>
      <c r="R3" s="1" t="s">
        <v>13</v>
      </c>
    </row>
    <row r="4" spans="1:18" ht="33.75" customHeight="1" x14ac:dyDescent="0.3">
      <c r="A4" s="2" t="s">
        <v>464</v>
      </c>
      <c r="B4" s="2" t="s">
        <v>49</v>
      </c>
      <c r="C4" s="3"/>
      <c r="D4" s="3"/>
      <c r="E4" s="2"/>
      <c r="F4" s="2"/>
      <c r="G4" s="5">
        <v>45986</v>
      </c>
      <c r="H4" s="5">
        <v>46022</v>
      </c>
      <c r="I4" s="2"/>
      <c r="J4" s="6">
        <f t="shared" ref="J4:J67" si="1">IF(OR($G4="",$H4=""),"",$H4-$G4)</f>
        <v>36</v>
      </c>
      <c r="K4" s="4" t="str">
        <f t="shared" ref="K4:K67" ca="1" si="2">IF(C4="","",IF(H4="","",IF($I4="completed","-",IF($H4&gt;TODAY(),"No","Yes"))))</f>
        <v/>
      </c>
      <c r="L4" s="7">
        <f ca="1">IF(I4="Completed",0,IF(H4="","",H4-TODAY()))</f>
        <v>-186</v>
      </c>
      <c r="M4" s="4" t="str">
        <f>IF($I4="Complete","Green",IF($H4="","Amber",IF($H4&lt;'[2]Read Me'!$B$4,"Red",IF($H4-'[2]Read Me'!$B$4&lt;=21,"Amber","Green"))))</f>
        <v>Red</v>
      </c>
      <c r="N4" s="3"/>
      <c r="O4" t="e">
        <f>IF($I4&lt;&gt;"Complete",IF(COUNTIFS(#REF!,$A4,#REF!,$B4,#REF!,"&lt;&gt;Complete")=0,$A4&amp;"|"&amp;$B4,""),"")</f>
        <v>#REF!</v>
      </c>
      <c r="P4" t="str">
        <f ca="1">IF($K4="Yes",COUNTIFS($K$4:$K4,"Yes"),"")</f>
        <v/>
      </c>
      <c r="Q4">
        <f t="shared" ref="Q4:Q67" ca="1" si="3">IF(OR($I4="In Progress",$K4="Yes"),1,0)</f>
        <v>0</v>
      </c>
      <c r="R4" t="str">
        <f ca="1">IF($Q4=1,SUM($Q$4:$Q4),"")</f>
        <v/>
      </c>
    </row>
    <row r="5" spans="1:18" ht="33.75" customHeight="1" x14ac:dyDescent="0.3">
      <c r="A5" s="2" t="s">
        <v>464</v>
      </c>
      <c r="B5" s="2" t="s">
        <v>49</v>
      </c>
      <c r="C5" s="3"/>
      <c r="D5" s="3"/>
      <c r="E5" s="2"/>
      <c r="F5" s="2"/>
      <c r="G5" s="5">
        <v>45986</v>
      </c>
      <c r="H5" s="5">
        <v>46022</v>
      </c>
      <c r="I5" s="2"/>
      <c r="J5" s="6">
        <f t="shared" si="1"/>
        <v>36</v>
      </c>
      <c r="K5" s="4" t="str">
        <f t="shared" ca="1" si="2"/>
        <v/>
      </c>
      <c r="L5" s="7">
        <f t="shared" ref="L5:L68" ca="1" si="4">IF(I5="Completed",0,IF(H5="","",H5-TODAY()))</f>
        <v>-186</v>
      </c>
      <c r="M5" s="4" t="str">
        <f>IF($I5="Complete","Green",IF($H5="","Amber",IF($H5&lt;'[2]Read Me'!$B$4,"Red",IF($H5-'[2]Read Me'!$B$4&lt;=21,"Amber","Green"))))</f>
        <v>Red</v>
      </c>
      <c r="N5" s="3"/>
      <c r="O5" t="str">
        <f>IF($I5&lt;&gt;"Complete",IF(COUNTIFS($A$4:$A4,$A5,$B$4:$B4,$B5,$I$4:$I4,"&lt;&gt;Complete")=0,$A5&amp;"|"&amp;$B5,""),"")</f>
        <v/>
      </c>
      <c r="P5" t="str">
        <f ca="1">IF($K5="Yes",COUNTIFS($K$4:$K5,"Yes"),"")</f>
        <v/>
      </c>
      <c r="Q5">
        <f t="shared" ca="1" si="3"/>
        <v>0</v>
      </c>
      <c r="R5" t="str">
        <f ca="1">IF($Q5=1,SUM($Q$4:$Q5),"")</f>
        <v/>
      </c>
    </row>
    <row r="6" spans="1:18" ht="33.75" customHeight="1" x14ac:dyDescent="0.3">
      <c r="A6" s="2" t="s">
        <v>464</v>
      </c>
      <c r="B6" s="2" t="s">
        <v>49</v>
      </c>
      <c r="C6" s="3" t="s">
        <v>465</v>
      </c>
      <c r="D6" s="3" t="s">
        <v>287</v>
      </c>
      <c r="E6" s="2"/>
      <c r="F6" s="2"/>
      <c r="G6" s="5">
        <v>45803.541666666664</v>
      </c>
      <c r="H6" s="5">
        <v>45859.541666666664</v>
      </c>
      <c r="I6" s="2" t="s">
        <v>31</v>
      </c>
      <c r="J6" s="6">
        <f t="shared" si="1"/>
        <v>56</v>
      </c>
      <c r="K6" s="4" t="str">
        <f t="shared" ca="1" si="2"/>
        <v>-</v>
      </c>
      <c r="L6" s="7">
        <f t="shared" ca="1" si="4"/>
        <v>0</v>
      </c>
      <c r="M6" s="4" t="str">
        <f>IF($I6="Complete","Green",IF($H6="","Amber",IF($H6&lt;'[2]Read Me'!$B$4,"Red",IF($H6-'[2]Read Me'!$B$4&lt;=21,"Amber","Green"))))</f>
        <v>Red</v>
      </c>
      <c r="N6" s="3"/>
      <c r="O6" t="str">
        <f>IF($I6&lt;&gt;"Complete",IF(COUNTIFS($A$4:$A5,$A6,$B$4:$B5,$B6,$I$4:$I5,"&lt;&gt;Complete")=0,$A6&amp;"|"&amp;$B6,""),"")</f>
        <v/>
      </c>
      <c r="P6" t="str">
        <f ca="1">IF($K6="Yes",COUNTIFS($K$4:$K6,"Yes"),"")</f>
        <v/>
      </c>
      <c r="Q6">
        <f t="shared" ca="1" si="3"/>
        <v>0</v>
      </c>
      <c r="R6" t="str">
        <f ca="1">IF($Q6=1,SUM($Q$4:$Q6),"")</f>
        <v/>
      </c>
    </row>
    <row r="7" spans="1:18" ht="33.75" customHeight="1" x14ac:dyDescent="0.3">
      <c r="A7" s="2" t="s">
        <v>464</v>
      </c>
      <c r="B7" s="2" t="s">
        <v>49</v>
      </c>
      <c r="C7" s="3" t="s">
        <v>465</v>
      </c>
      <c r="D7" s="3" t="s">
        <v>288</v>
      </c>
      <c r="E7" s="2"/>
      <c r="F7" s="2"/>
      <c r="G7" s="5">
        <v>45845.541666666664</v>
      </c>
      <c r="H7" s="5">
        <v>45901.541666666664</v>
      </c>
      <c r="I7" s="2" t="s">
        <v>31</v>
      </c>
      <c r="J7" s="6">
        <f t="shared" si="1"/>
        <v>56</v>
      </c>
      <c r="K7" s="4" t="str">
        <f t="shared" ca="1" si="2"/>
        <v>-</v>
      </c>
      <c r="L7" s="7">
        <f t="shared" ca="1" si="4"/>
        <v>0</v>
      </c>
      <c r="M7" s="4" t="str">
        <f>IF($I7="Complete","Green",IF($H7="","Amber",IF($H7&lt;'[2]Read Me'!$B$4,"Red",IF($H7-'[2]Read Me'!$B$4&lt;=21,"Amber","Green"))))</f>
        <v>Red</v>
      </c>
      <c r="N7" s="3"/>
      <c r="O7" t="str">
        <f>IF($I7&lt;&gt;"Complete",IF(COUNTIFS($A$4:$A6,$A7,$B$4:$B6,$B7,$I$4:$I6,"&lt;&gt;Complete")=0,$A7&amp;"|"&amp;$B7,""),"")</f>
        <v/>
      </c>
      <c r="P7" t="str">
        <f ca="1">IF($K7="Yes",COUNTIFS($K$4:$K7,"Yes"),"")</f>
        <v/>
      </c>
      <c r="Q7">
        <f t="shared" ca="1" si="3"/>
        <v>0</v>
      </c>
      <c r="R7" t="str">
        <f ca="1">IF($Q7=1,SUM($Q$4:$Q7),"")</f>
        <v/>
      </c>
    </row>
    <row r="8" spans="1:18" ht="33.75" customHeight="1" x14ac:dyDescent="0.3">
      <c r="A8" s="2" t="s">
        <v>464</v>
      </c>
      <c r="B8" s="2" t="s">
        <v>49</v>
      </c>
      <c r="C8" s="3" t="s">
        <v>465</v>
      </c>
      <c r="D8" s="3" t="s">
        <v>51</v>
      </c>
      <c r="E8" s="2"/>
      <c r="F8" s="2"/>
      <c r="G8" s="5">
        <v>45887.541666666664</v>
      </c>
      <c r="H8" s="5">
        <v>45924</v>
      </c>
      <c r="I8" s="2" t="s">
        <v>31</v>
      </c>
      <c r="J8" s="6">
        <f t="shared" si="1"/>
        <v>36.458333333335759</v>
      </c>
      <c r="K8" s="4" t="str">
        <f t="shared" ca="1" si="2"/>
        <v>-</v>
      </c>
      <c r="L8" s="7">
        <f t="shared" ca="1" si="4"/>
        <v>0</v>
      </c>
      <c r="M8" s="4" t="str">
        <f>IF($I8="Complete","Green",IF($H8="","Amber",IF($H8&lt;'[2]Read Me'!$B$4,"Red",IF($H8-'[2]Read Me'!$B$4&lt;=21,"Amber","Green"))))</f>
        <v>Red</v>
      </c>
      <c r="N8" s="3"/>
      <c r="O8" t="str">
        <f>IF($I8&lt;&gt;"Complete",IF(COUNTIFS($A$4:$A7,$A8,$B$4:$B7,$B8,$I$4:$I7,"&lt;&gt;Complete")=0,$A8&amp;"|"&amp;$B8,""),"")</f>
        <v/>
      </c>
      <c r="P8" t="str">
        <f ca="1">IF($K8="Yes",COUNTIFS($K$4:$K8,"Yes"),"")</f>
        <v/>
      </c>
      <c r="Q8">
        <f t="shared" ca="1" si="3"/>
        <v>0</v>
      </c>
      <c r="R8" t="str">
        <f ca="1">IF($Q8=1,SUM($Q$4:$Q8),"")</f>
        <v/>
      </c>
    </row>
    <row r="9" spans="1:18" ht="33.75" customHeight="1" x14ac:dyDescent="0.3">
      <c r="A9" s="2" t="s">
        <v>464</v>
      </c>
      <c r="B9" s="2" t="s">
        <v>49</v>
      </c>
      <c r="C9" s="3" t="s">
        <v>465</v>
      </c>
      <c r="D9" s="3" t="s">
        <v>413</v>
      </c>
      <c r="E9" s="2"/>
      <c r="F9" s="2"/>
      <c r="G9" s="5">
        <v>45986</v>
      </c>
      <c r="H9" s="5">
        <v>45992</v>
      </c>
      <c r="I9" s="2" t="s">
        <v>31</v>
      </c>
      <c r="J9" s="6">
        <f t="shared" si="1"/>
        <v>6</v>
      </c>
      <c r="K9" s="4" t="str">
        <f t="shared" ca="1" si="2"/>
        <v>-</v>
      </c>
      <c r="L9" s="7">
        <f t="shared" ca="1" si="4"/>
        <v>0</v>
      </c>
      <c r="M9" s="4" t="str">
        <f>IF($I9="Complete","Green",IF($H9="","Amber",IF($H9&lt;'[2]Read Me'!$B$4,"Red",IF($H9-'[2]Read Me'!$B$4&lt;=21,"Amber","Green"))))</f>
        <v>Red</v>
      </c>
      <c r="N9" s="3"/>
      <c r="O9" t="str">
        <f>IF($I9&lt;&gt;"Complete",IF(COUNTIFS($A$4:$A8,$A9,$B$4:$B8,$B9,$I$4:$I8,"&lt;&gt;Complete")=0,$A9&amp;"|"&amp;$B9,""),"")</f>
        <v/>
      </c>
      <c r="P9" t="str">
        <f ca="1">IF($K9="Yes",COUNTIFS($K$4:$K9,"Yes"),"")</f>
        <v/>
      </c>
      <c r="Q9">
        <f t="shared" ca="1" si="3"/>
        <v>0</v>
      </c>
      <c r="R9" t="str">
        <f ca="1">IF($Q9=1,SUM($Q$4:$Q9),"")</f>
        <v/>
      </c>
    </row>
    <row r="10" spans="1:18" ht="33.75" customHeight="1" x14ac:dyDescent="0.3">
      <c r="A10" s="2" t="s">
        <v>464</v>
      </c>
      <c r="B10" s="2" t="s">
        <v>49</v>
      </c>
      <c r="C10" s="3" t="s">
        <v>465</v>
      </c>
      <c r="D10" s="3" t="s">
        <v>414</v>
      </c>
      <c r="E10" s="2"/>
      <c r="F10" s="2"/>
      <c r="G10" s="5">
        <v>45986</v>
      </c>
      <c r="H10" s="5">
        <v>46022</v>
      </c>
      <c r="I10" s="2" t="s">
        <v>31</v>
      </c>
      <c r="J10" s="6">
        <f t="shared" si="1"/>
        <v>36</v>
      </c>
      <c r="K10" s="4" t="str">
        <f t="shared" ca="1" si="2"/>
        <v>-</v>
      </c>
      <c r="L10" s="7">
        <f t="shared" ca="1" si="4"/>
        <v>0</v>
      </c>
      <c r="M10" s="4" t="str">
        <f>IF($I10="Complete","Green",IF($H10="","Amber",IF($H10&lt;'[2]Read Me'!$B$4,"Red",IF($H10-'[2]Read Me'!$B$4&lt;=21,"Amber","Green"))))</f>
        <v>Red</v>
      </c>
      <c r="N10" s="3"/>
      <c r="O10" t="str">
        <f>IF($I10&lt;&gt;"Complete",IF(COUNTIFS($A$4:$A9,$A10,$B$4:$B9,$B10,$I$4:$I9,"&lt;&gt;Complete")=0,$A10&amp;"|"&amp;$B10,""),"")</f>
        <v/>
      </c>
      <c r="P10" t="str">
        <f ca="1">IF($K10="Yes",COUNTIFS($K$4:$K10,"Yes"),"")</f>
        <v/>
      </c>
      <c r="Q10">
        <f t="shared" ca="1" si="3"/>
        <v>0</v>
      </c>
      <c r="R10" t="str">
        <f ca="1">IF($Q10=1,SUM($Q$4:$Q10),"")</f>
        <v/>
      </c>
    </row>
    <row r="11" spans="1:18" ht="33.75" customHeight="1" x14ac:dyDescent="0.3">
      <c r="A11" s="2" t="s">
        <v>464</v>
      </c>
      <c r="B11" s="2" t="s">
        <v>49</v>
      </c>
      <c r="C11" s="3" t="s">
        <v>465</v>
      </c>
      <c r="D11" s="3" t="s">
        <v>415</v>
      </c>
      <c r="E11" s="2"/>
      <c r="F11" s="2"/>
      <c r="G11" s="5"/>
      <c r="H11" s="5"/>
      <c r="I11" s="2" t="s">
        <v>17</v>
      </c>
      <c r="J11" s="6" t="str">
        <f t="shared" si="1"/>
        <v/>
      </c>
      <c r="K11" s="4" t="str">
        <f t="shared" ca="1" si="2"/>
        <v/>
      </c>
      <c r="L11" s="7" t="str">
        <f t="shared" ca="1" si="4"/>
        <v/>
      </c>
      <c r="M11" s="4" t="str">
        <f>IF($I11="Complete","Green",IF($H11="","Amber",IF($H11&lt;'[2]Read Me'!$B$4,"Red",IF($H11-'[2]Read Me'!$B$4&lt;=21,"Amber","Green"))))</f>
        <v>Amber</v>
      </c>
      <c r="N11" s="3"/>
      <c r="O11" t="str">
        <f>IF($I11&lt;&gt;"Complete",IF(COUNTIFS($A$4:$A10,$A11,$B$4:$B10,$B11,$I$4:$I10,"&lt;&gt;Complete")=0,$A11&amp;"|"&amp;$B11,""),"")</f>
        <v/>
      </c>
      <c r="P11" t="str">
        <f ca="1">IF($K11="Yes",COUNTIFS($K$4:$K11,"Yes"),"")</f>
        <v/>
      </c>
      <c r="Q11">
        <f t="shared" ca="1" si="3"/>
        <v>0</v>
      </c>
      <c r="R11" t="str">
        <f ca="1">IF($Q11=1,SUM($Q$4:$Q11),"")</f>
        <v/>
      </c>
    </row>
    <row r="12" spans="1:18" ht="33.75" customHeight="1" x14ac:dyDescent="0.3">
      <c r="A12" s="2" t="s">
        <v>464</v>
      </c>
      <c r="B12" s="2" t="s">
        <v>140</v>
      </c>
      <c r="C12" s="3"/>
      <c r="D12" s="3"/>
      <c r="E12" s="2"/>
      <c r="F12" s="2"/>
      <c r="G12" s="5">
        <v>45691.541666666664</v>
      </c>
      <c r="H12" s="5">
        <v>45691.541666666664</v>
      </c>
      <c r="I12" s="2"/>
      <c r="J12" s="6">
        <f t="shared" si="1"/>
        <v>0</v>
      </c>
      <c r="K12" s="4" t="str">
        <f t="shared" ca="1" si="2"/>
        <v/>
      </c>
      <c r="L12" s="7">
        <f t="shared" ca="1" si="4"/>
        <v>-516.45833333333576</v>
      </c>
      <c r="M12" s="4" t="str">
        <f>IF($I12="Complete","Green",IF($H12="","Amber",IF($H12&lt;'[2]Read Me'!$B$4,"Red",IF($H12-'[2]Read Me'!$B$4&lt;=21,"Amber","Green"))))</f>
        <v>Red</v>
      </c>
      <c r="N12" s="3"/>
      <c r="O12" t="str">
        <f>IF($I12&lt;&gt;"Complete",IF(COUNTIFS($A$4:$A11,$A12,$B$4:$B11,$B12,$I$4:$I11,"&lt;&gt;Complete")=0,$A12&amp;"|"&amp;$B12,""),"")</f>
        <v>Park 226|Masterplan</v>
      </c>
      <c r="P12" t="str">
        <f ca="1">IF($K12="Yes",COUNTIFS($K$4:$K12,"Yes"),"")</f>
        <v/>
      </c>
      <c r="Q12">
        <f t="shared" ca="1" si="3"/>
        <v>0</v>
      </c>
      <c r="R12" t="str">
        <f ca="1">IF($Q12=1,SUM($Q$4:$Q12),"")</f>
        <v/>
      </c>
    </row>
    <row r="13" spans="1:18" ht="33.75" customHeight="1" x14ac:dyDescent="0.3">
      <c r="A13" s="2" t="s">
        <v>464</v>
      </c>
      <c r="B13" s="2" t="s">
        <v>140</v>
      </c>
      <c r="C13" s="3" t="s">
        <v>466</v>
      </c>
      <c r="D13" s="3" t="s">
        <v>467</v>
      </c>
      <c r="E13" s="2"/>
      <c r="F13" s="2"/>
      <c r="G13" s="5" t="s">
        <v>468</v>
      </c>
      <c r="H13" s="5"/>
      <c r="I13" s="2" t="s">
        <v>17</v>
      </c>
      <c r="J13" s="6" t="str">
        <f t="shared" si="1"/>
        <v/>
      </c>
      <c r="K13" s="4" t="str">
        <f t="shared" ca="1" si="2"/>
        <v/>
      </c>
      <c r="L13" s="7" t="str">
        <f t="shared" ca="1" si="4"/>
        <v/>
      </c>
      <c r="M13" s="4" t="str">
        <f>IF($I13="Complete","Green",IF($H13="","Amber",IF($H13&lt;'[2]Read Me'!$B$4,"Red",IF($H13-'[2]Read Me'!$B$4&lt;=21,"Amber","Green"))))</f>
        <v>Amber</v>
      </c>
      <c r="N13" s="3"/>
      <c r="O13" t="str">
        <f>IF($I13&lt;&gt;"Complete",IF(COUNTIFS($A$4:$A12,$A13,$B$4:$B12,$B13,$I$4:$I12,"&lt;&gt;Complete")=0,$A13&amp;"|"&amp;$B13,""),"")</f>
        <v/>
      </c>
      <c r="P13" t="str">
        <f ca="1">IF($K13="Yes",COUNTIFS($K$4:$K13,"Yes"),"")</f>
        <v/>
      </c>
      <c r="Q13">
        <f t="shared" ca="1" si="3"/>
        <v>0</v>
      </c>
      <c r="R13" t="str">
        <f ca="1">IF($Q13=1,SUM($Q$4:$Q13),"")</f>
        <v/>
      </c>
    </row>
    <row r="14" spans="1:18" ht="33.75" customHeight="1" x14ac:dyDescent="0.3">
      <c r="A14" s="2" t="s">
        <v>464</v>
      </c>
      <c r="B14" s="2" t="s">
        <v>140</v>
      </c>
      <c r="C14" s="3" t="s">
        <v>466</v>
      </c>
      <c r="D14" s="3" t="s">
        <v>58</v>
      </c>
      <c r="E14" s="2"/>
      <c r="F14" s="2"/>
      <c r="G14" s="5" t="s">
        <v>468</v>
      </c>
      <c r="H14" s="5"/>
      <c r="I14" s="2" t="s">
        <v>17</v>
      </c>
      <c r="J14" s="6" t="str">
        <f t="shared" si="1"/>
        <v/>
      </c>
      <c r="K14" s="4" t="str">
        <f t="shared" ca="1" si="2"/>
        <v/>
      </c>
      <c r="L14" s="7" t="str">
        <f t="shared" ca="1" si="4"/>
        <v/>
      </c>
      <c r="M14" s="4" t="str">
        <f>IF($I14="Complete","Green",IF($H14="","Amber",IF($H14&lt;'[2]Read Me'!$B$4,"Red",IF($H14-'[2]Read Me'!$B$4&lt;=21,"Amber","Green"))))</f>
        <v>Amber</v>
      </c>
      <c r="N14" s="3"/>
      <c r="O14" t="str">
        <f>IF($I14&lt;&gt;"Complete",IF(COUNTIFS($A$4:$A13,$A14,$B$4:$B13,$B14,$I$4:$I13,"&lt;&gt;Complete")=0,$A14&amp;"|"&amp;$B14,""),"")</f>
        <v/>
      </c>
      <c r="P14" t="str">
        <f ca="1">IF($K14="Yes",COUNTIFS($K$4:$K14,"Yes"),"")</f>
        <v/>
      </c>
      <c r="Q14">
        <f t="shared" ca="1" si="3"/>
        <v>0</v>
      </c>
      <c r="R14" t="str">
        <f ca="1">IF($Q14=1,SUM($Q$4:$Q14),"")</f>
        <v/>
      </c>
    </row>
    <row r="15" spans="1:18" ht="33.75" customHeight="1" x14ac:dyDescent="0.3">
      <c r="A15" s="2" t="s">
        <v>464</v>
      </c>
      <c r="B15" s="2" t="s">
        <v>140</v>
      </c>
      <c r="C15" s="3" t="s">
        <v>466</v>
      </c>
      <c r="D15" s="3" t="s">
        <v>469</v>
      </c>
      <c r="E15" s="2"/>
      <c r="F15" s="2"/>
      <c r="G15" s="5">
        <v>45117</v>
      </c>
      <c r="H15" s="5">
        <v>45117</v>
      </c>
      <c r="I15" s="2" t="s">
        <v>31</v>
      </c>
      <c r="J15" s="6">
        <f t="shared" si="1"/>
        <v>0</v>
      </c>
      <c r="K15" s="4" t="str">
        <f t="shared" ca="1" si="2"/>
        <v>-</v>
      </c>
      <c r="L15" s="7">
        <f t="shared" ca="1" si="4"/>
        <v>0</v>
      </c>
      <c r="M15" s="4" t="str">
        <f>IF($I15="Complete","Green",IF($H15="","Amber",IF($H15&lt;'[2]Read Me'!$B$4,"Red",IF($H15-'[2]Read Me'!$B$4&lt;=21,"Amber","Green"))))</f>
        <v>Red</v>
      </c>
      <c r="N15" s="3"/>
      <c r="O15" t="str">
        <f>IF($I15&lt;&gt;"Complete",IF(COUNTIFS($A$4:$A14,$A15,$B$4:$B14,$B15,$I$4:$I14,"&lt;&gt;Complete")=0,$A15&amp;"|"&amp;$B15,""),"")</f>
        <v/>
      </c>
      <c r="P15" t="str">
        <f ca="1">IF($K15="Yes",COUNTIFS($K$4:$K15,"Yes"),"")</f>
        <v/>
      </c>
      <c r="Q15">
        <f t="shared" ca="1" si="3"/>
        <v>0</v>
      </c>
      <c r="R15" t="str">
        <f ca="1">IF($Q15=1,SUM($Q$4:$Q15),"")</f>
        <v/>
      </c>
    </row>
    <row r="16" spans="1:18" ht="33.75" customHeight="1" x14ac:dyDescent="0.3">
      <c r="A16" s="2" t="s">
        <v>464</v>
      </c>
      <c r="B16" s="2" t="s">
        <v>140</v>
      </c>
      <c r="C16" s="3" t="s">
        <v>466</v>
      </c>
      <c r="D16" s="3" t="s">
        <v>470</v>
      </c>
      <c r="E16" s="2"/>
      <c r="F16" s="2"/>
      <c r="G16" s="5">
        <v>44804</v>
      </c>
      <c r="H16" s="5">
        <v>44804</v>
      </c>
      <c r="I16" s="2" t="s">
        <v>31</v>
      </c>
      <c r="J16" s="6">
        <f t="shared" si="1"/>
        <v>0</v>
      </c>
      <c r="K16" s="4" t="str">
        <f t="shared" ca="1" si="2"/>
        <v>-</v>
      </c>
      <c r="L16" s="7">
        <f t="shared" ca="1" si="4"/>
        <v>0</v>
      </c>
      <c r="M16" s="4" t="str">
        <f>IF($I16="Complete","Green",IF($H16="","Amber",IF($H16&lt;'[2]Read Me'!$B$4,"Red",IF($H16-'[2]Read Me'!$B$4&lt;=21,"Amber","Green"))))</f>
        <v>Red</v>
      </c>
      <c r="N16" s="3"/>
      <c r="O16" t="str">
        <f>IF($I16&lt;&gt;"Complete",IF(COUNTIFS($A$4:$A15,$A16,$B$4:$B15,$B16,$I$4:$I15,"&lt;&gt;Complete")=0,$A16&amp;"|"&amp;$B16,""),"")</f>
        <v/>
      </c>
      <c r="P16" t="str">
        <f ca="1">IF($K16="Yes",COUNTIFS($K$4:$K16,"Yes"),"")</f>
        <v/>
      </c>
      <c r="Q16">
        <f t="shared" ca="1" si="3"/>
        <v>0</v>
      </c>
      <c r="R16" t="str">
        <f ca="1">IF($Q16=1,SUM($Q$4:$Q16),"")</f>
        <v/>
      </c>
    </row>
    <row r="17" spans="1:18" ht="33.75" customHeight="1" x14ac:dyDescent="0.3">
      <c r="A17" s="2" t="s">
        <v>464</v>
      </c>
      <c r="B17" s="2" t="s">
        <v>140</v>
      </c>
      <c r="C17" s="3" t="s">
        <v>466</v>
      </c>
      <c r="D17" s="3" t="s">
        <v>58</v>
      </c>
      <c r="E17" s="2"/>
      <c r="F17" s="2"/>
      <c r="G17" s="5">
        <v>44824</v>
      </c>
      <c r="H17" s="5">
        <v>44824</v>
      </c>
      <c r="I17" s="2" t="s">
        <v>31</v>
      </c>
      <c r="J17" s="6">
        <f t="shared" si="1"/>
        <v>0</v>
      </c>
      <c r="K17" s="4" t="str">
        <f t="shared" ca="1" si="2"/>
        <v>-</v>
      </c>
      <c r="L17" s="7">
        <f t="shared" ca="1" si="4"/>
        <v>0</v>
      </c>
      <c r="M17" s="4" t="str">
        <f>IF($I17="Complete","Green",IF($H17="","Amber",IF($H17&lt;'[2]Read Me'!$B$4,"Red",IF($H17-'[2]Read Me'!$B$4&lt;=21,"Amber","Green"))))</f>
        <v>Red</v>
      </c>
      <c r="N17" s="3"/>
      <c r="O17" t="str">
        <f>IF($I17&lt;&gt;"Complete",IF(COUNTIFS($A$4:$A16,$A17,$B$4:$B16,$B17,$I$4:$I16,"&lt;&gt;Complete")=0,$A17&amp;"|"&amp;$B17,""),"")</f>
        <v/>
      </c>
      <c r="P17" t="str">
        <f ca="1">IF($K17="Yes",COUNTIFS($K$4:$K17,"Yes"),"")</f>
        <v/>
      </c>
      <c r="Q17">
        <f t="shared" ca="1" si="3"/>
        <v>0</v>
      </c>
      <c r="R17" t="str">
        <f ca="1">IF($Q17=1,SUM($Q$4:$Q17),"")</f>
        <v/>
      </c>
    </row>
    <row r="18" spans="1:18" ht="33.75" customHeight="1" x14ac:dyDescent="0.3">
      <c r="A18" s="2" t="s">
        <v>464</v>
      </c>
      <c r="B18" s="2" t="s">
        <v>140</v>
      </c>
      <c r="C18" s="3" t="s">
        <v>466</v>
      </c>
      <c r="D18" s="3" t="s">
        <v>471</v>
      </c>
      <c r="E18" s="2"/>
      <c r="F18" s="2"/>
      <c r="G18" s="5">
        <v>44958</v>
      </c>
      <c r="H18" s="5">
        <v>44958</v>
      </c>
      <c r="I18" s="2" t="s">
        <v>31</v>
      </c>
      <c r="J18" s="6">
        <f t="shared" si="1"/>
        <v>0</v>
      </c>
      <c r="K18" s="4" t="str">
        <f t="shared" ca="1" si="2"/>
        <v>-</v>
      </c>
      <c r="L18" s="7">
        <f t="shared" ca="1" si="4"/>
        <v>0</v>
      </c>
      <c r="M18" s="4" t="str">
        <f>IF($I18="Complete","Green",IF($H18="","Amber",IF($H18&lt;'[2]Read Me'!$B$4,"Red",IF($H18-'[2]Read Me'!$B$4&lt;=21,"Amber","Green"))))</f>
        <v>Red</v>
      </c>
      <c r="N18" s="3"/>
      <c r="O18" t="str">
        <f>IF($I18&lt;&gt;"Complete",IF(COUNTIFS($A$4:$A17,$A18,$B$4:$B17,$B18,$I$4:$I17,"&lt;&gt;Complete")=0,$A18&amp;"|"&amp;$B18,""),"")</f>
        <v/>
      </c>
      <c r="P18" t="str">
        <f ca="1">IF($K18="Yes",COUNTIFS($K$4:$K18,"Yes"),"")</f>
        <v/>
      </c>
      <c r="Q18">
        <f t="shared" ca="1" si="3"/>
        <v>0</v>
      </c>
      <c r="R18" t="str">
        <f ca="1">IF($Q18=1,SUM($Q$4:$Q18),"")</f>
        <v/>
      </c>
    </row>
    <row r="19" spans="1:18" ht="33.75" customHeight="1" x14ac:dyDescent="0.3">
      <c r="A19" s="2" t="s">
        <v>464</v>
      </c>
      <c r="B19" s="2" t="s">
        <v>140</v>
      </c>
      <c r="C19" s="3" t="s">
        <v>466</v>
      </c>
      <c r="D19" s="3" t="s">
        <v>58</v>
      </c>
      <c r="E19" s="2"/>
      <c r="F19" s="2"/>
      <c r="G19" s="5">
        <v>44966</v>
      </c>
      <c r="H19" s="5">
        <v>44966</v>
      </c>
      <c r="I19" s="2" t="s">
        <v>31</v>
      </c>
      <c r="J19" s="6">
        <f t="shared" si="1"/>
        <v>0</v>
      </c>
      <c r="K19" s="4" t="str">
        <f t="shared" ca="1" si="2"/>
        <v>-</v>
      </c>
      <c r="L19" s="7">
        <f t="shared" ca="1" si="4"/>
        <v>0</v>
      </c>
      <c r="M19" s="4" t="str">
        <f>IF($I19="Complete","Green",IF($H19="","Amber",IF($H19&lt;'[2]Read Me'!$B$4,"Red",IF($H19-'[2]Read Me'!$B$4&lt;=21,"Amber","Green"))))</f>
        <v>Red</v>
      </c>
      <c r="N19" s="3"/>
      <c r="O19" t="str">
        <f>IF($I19&lt;&gt;"Complete",IF(COUNTIFS($A$4:$A18,$A19,$B$4:$B18,$B19,$I$4:$I18,"&lt;&gt;Complete")=0,$A19&amp;"|"&amp;$B19,""),"")</f>
        <v/>
      </c>
      <c r="P19" t="str">
        <f ca="1">IF($K19="Yes",COUNTIFS($K$4:$K19,"Yes"),"")</f>
        <v/>
      </c>
      <c r="Q19">
        <f t="shared" ca="1" si="3"/>
        <v>0</v>
      </c>
      <c r="R19" t="str">
        <f ca="1">IF($Q19=1,SUM($Q$4:$Q19),"")</f>
        <v/>
      </c>
    </row>
    <row r="20" spans="1:18" ht="33.75" customHeight="1" x14ac:dyDescent="0.3">
      <c r="A20" s="2" t="s">
        <v>464</v>
      </c>
      <c r="B20" s="2" t="s">
        <v>140</v>
      </c>
      <c r="C20" s="3" t="s">
        <v>466</v>
      </c>
      <c r="D20" s="3" t="s">
        <v>472</v>
      </c>
      <c r="E20" s="2"/>
      <c r="F20" s="2"/>
      <c r="G20" s="5">
        <v>44977</v>
      </c>
      <c r="H20" s="5">
        <v>44977</v>
      </c>
      <c r="I20" s="2" t="s">
        <v>31</v>
      </c>
      <c r="J20" s="6">
        <f t="shared" si="1"/>
        <v>0</v>
      </c>
      <c r="K20" s="4" t="str">
        <f t="shared" ca="1" si="2"/>
        <v>-</v>
      </c>
      <c r="L20" s="7">
        <f t="shared" ca="1" si="4"/>
        <v>0</v>
      </c>
      <c r="M20" s="4" t="str">
        <f>IF($I20="Complete","Green",IF($H20="","Amber",IF($H20&lt;'[2]Read Me'!$B$4,"Red",IF($H20-'[2]Read Me'!$B$4&lt;=21,"Amber","Green"))))</f>
        <v>Red</v>
      </c>
      <c r="N20" s="3"/>
      <c r="O20" t="str">
        <f>IF($I20&lt;&gt;"Complete",IF(COUNTIFS($A$4:$A19,$A20,$B$4:$B19,$B20,$I$4:$I19,"&lt;&gt;Complete")=0,$A20&amp;"|"&amp;$B20,""),"")</f>
        <v/>
      </c>
      <c r="P20" t="str">
        <f ca="1">IF($K20="Yes",COUNTIFS($K$4:$K20,"Yes"),"")</f>
        <v/>
      </c>
      <c r="Q20">
        <f t="shared" ca="1" si="3"/>
        <v>0</v>
      </c>
      <c r="R20" t="str">
        <f ca="1">IF($Q20=1,SUM($Q$4:$Q20),"")</f>
        <v/>
      </c>
    </row>
    <row r="21" spans="1:18" ht="33.75" customHeight="1" x14ac:dyDescent="0.3">
      <c r="A21" s="2" t="s">
        <v>464</v>
      </c>
      <c r="B21" s="2" t="s">
        <v>140</v>
      </c>
      <c r="C21" s="3" t="s">
        <v>466</v>
      </c>
      <c r="D21" s="3" t="s">
        <v>469</v>
      </c>
      <c r="E21" s="2"/>
      <c r="F21" s="2"/>
      <c r="G21" s="5">
        <v>45092.666666666664</v>
      </c>
      <c r="H21" s="5">
        <v>45092.666666666664</v>
      </c>
      <c r="I21" s="2" t="s">
        <v>31</v>
      </c>
      <c r="J21" s="6">
        <f t="shared" si="1"/>
        <v>0</v>
      </c>
      <c r="K21" s="4" t="str">
        <f t="shared" ca="1" si="2"/>
        <v>-</v>
      </c>
      <c r="L21" s="7">
        <f t="shared" ca="1" si="4"/>
        <v>0</v>
      </c>
      <c r="M21" s="4" t="str">
        <f>IF($I21="Complete","Green",IF($H21="","Amber",IF($H21&lt;'[2]Read Me'!$B$4,"Red",IF($H21-'[2]Read Me'!$B$4&lt;=21,"Amber","Green"))))</f>
        <v>Red</v>
      </c>
      <c r="N21" s="3"/>
      <c r="O21" t="str">
        <f>IF($I21&lt;&gt;"Complete",IF(COUNTIFS($A$4:$A20,$A21,$B$4:$B20,$B21,$I$4:$I20,"&lt;&gt;Complete")=0,$A21&amp;"|"&amp;$B21,""),"")</f>
        <v/>
      </c>
      <c r="P21" t="str">
        <f ca="1">IF($K21="Yes",COUNTIFS($K$4:$K21,"Yes"),"")</f>
        <v/>
      </c>
      <c r="Q21">
        <f t="shared" ca="1" si="3"/>
        <v>0</v>
      </c>
      <c r="R21" t="str">
        <f ca="1">IF($Q21=1,SUM($Q$4:$Q21),"")</f>
        <v/>
      </c>
    </row>
    <row r="22" spans="1:18" ht="33.75" customHeight="1" x14ac:dyDescent="0.3">
      <c r="A22" s="2" t="s">
        <v>464</v>
      </c>
      <c r="B22" s="2" t="s">
        <v>140</v>
      </c>
      <c r="C22" s="3" t="s">
        <v>466</v>
      </c>
      <c r="D22" s="3" t="s">
        <v>471</v>
      </c>
      <c r="E22" s="2"/>
      <c r="F22" s="2"/>
      <c r="G22" s="5">
        <v>45246</v>
      </c>
      <c r="H22" s="5">
        <v>45246</v>
      </c>
      <c r="I22" s="2" t="s">
        <v>31</v>
      </c>
      <c r="J22" s="6">
        <f t="shared" si="1"/>
        <v>0</v>
      </c>
      <c r="K22" s="4" t="str">
        <f t="shared" ca="1" si="2"/>
        <v>-</v>
      </c>
      <c r="L22" s="7">
        <f t="shared" ca="1" si="4"/>
        <v>0</v>
      </c>
      <c r="M22" s="4" t="str">
        <f>IF($I22="Complete","Green",IF($H22="","Amber",IF($H22&lt;'[2]Read Me'!$B$4,"Red",IF($H22-'[2]Read Me'!$B$4&lt;=21,"Amber","Green"))))</f>
        <v>Red</v>
      </c>
      <c r="N22" s="3"/>
      <c r="O22" t="str">
        <f>IF($I22&lt;&gt;"Complete",IF(COUNTIFS($A$4:$A21,$A22,$B$4:$B21,$B22,$I$4:$I21,"&lt;&gt;Complete")=0,$A22&amp;"|"&amp;$B22,""),"")</f>
        <v/>
      </c>
      <c r="P22" t="str">
        <f ca="1">IF($K22="Yes",COUNTIFS($K$4:$K22,"Yes"),"")</f>
        <v/>
      </c>
      <c r="Q22">
        <f t="shared" ca="1" si="3"/>
        <v>0</v>
      </c>
      <c r="R22" t="str">
        <f ca="1">IF($Q22=1,SUM($Q$4:$Q22),"")</f>
        <v/>
      </c>
    </row>
    <row r="23" spans="1:18" ht="33.75" customHeight="1" x14ac:dyDescent="0.3">
      <c r="A23" s="2" t="s">
        <v>464</v>
      </c>
      <c r="B23" s="2" t="s">
        <v>140</v>
      </c>
      <c r="C23" s="3" t="s">
        <v>466</v>
      </c>
      <c r="D23" s="3" t="s">
        <v>58</v>
      </c>
      <c r="E23" s="2"/>
      <c r="F23" s="2"/>
      <c r="G23" s="5">
        <v>45260</v>
      </c>
      <c r="H23" s="5">
        <v>45260</v>
      </c>
      <c r="I23" s="2" t="s">
        <v>31</v>
      </c>
      <c r="J23" s="6">
        <f t="shared" si="1"/>
        <v>0</v>
      </c>
      <c r="K23" s="4" t="str">
        <f t="shared" ca="1" si="2"/>
        <v>-</v>
      </c>
      <c r="L23" s="7">
        <f t="shared" ca="1" si="4"/>
        <v>0</v>
      </c>
      <c r="M23" s="4" t="str">
        <f>IF($I23="Complete","Green",IF($H23="","Amber",IF($H23&lt;'[2]Read Me'!$B$4,"Red",IF($H23-'[2]Read Me'!$B$4&lt;=21,"Amber","Green"))))</f>
        <v>Red</v>
      </c>
      <c r="N23" s="3"/>
      <c r="O23" t="str">
        <f>IF($I23&lt;&gt;"Complete",IF(COUNTIFS($A$4:$A22,$A23,$B$4:$B22,$B23,$I$4:$I22,"&lt;&gt;Complete")=0,$A23&amp;"|"&amp;$B23,""),"")</f>
        <v/>
      </c>
      <c r="P23" t="str">
        <f ca="1">IF($K23="Yes",COUNTIFS($K$4:$K23,"Yes"),"")</f>
        <v/>
      </c>
      <c r="Q23">
        <f t="shared" ca="1" si="3"/>
        <v>0</v>
      </c>
      <c r="R23" t="str">
        <f ca="1">IF($Q23=1,SUM($Q$4:$Q23),"")</f>
        <v/>
      </c>
    </row>
    <row r="24" spans="1:18" ht="33.75" customHeight="1" x14ac:dyDescent="0.3">
      <c r="A24" s="2" t="s">
        <v>464</v>
      </c>
      <c r="B24" s="2" t="s">
        <v>140</v>
      </c>
      <c r="C24" s="3" t="s">
        <v>466</v>
      </c>
      <c r="D24" s="3" t="s">
        <v>472</v>
      </c>
      <c r="E24" s="2"/>
      <c r="F24" s="2"/>
      <c r="G24" s="5">
        <v>45400</v>
      </c>
      <c r="H24" s="5">
        <v>45400</v>
      </c>
      <c r="I24" s="2" t="s">
        <v>31</v>
      </c>
      <c r="J24" s="6">
        <f t="shared" si="1"/>
        <v>0</v>
      </c>
      <c r="K24" s="4" t="str">
        <f t="shared" ca="1" si="2"/>
        <v>-</v>
      </c>
      <c r="L24" s="7">
        <f t="shared" ca="1" si="4"/>
        <v>0</v>
      </c>
      <c r="M24" s="4" t="str">
        <f>IF($I24="Complete","Green",IF($H24="","Amber",IF($H24&lt;'[2]Read Me'!$B$4,"Red",IF($H24-'[2]Read Me'!$B$4&lt;=21,"Amber","Green"))))</f>
        <v>Red</v>
      </c>
      <c r="N24" s="3"/>
      <c r="O24" t="str">
        <f>IF($I24&lt;&gt;"Complete",IF(COUNTIFS($A$4:$A23,$A24,$B$4:$B23,$B24,$I$4:$I23,"&lt;&gt;Complete")=0,$A24&amp;"|"&amp;$B24,""),"")</f>
        <v/>
      </c>
      <c r="P24" t="str">
        <f ca="1">IF($K24="Yes",COUNTIFS($K$4:$K24,"Yes"),"")</f>
        <v/>
      </c>
      <c r="Q24">
        <f t="shared" ca="1" si="3"/>
        <v>0</v>
      </c>
      <c r="R24" t="str">
        <f ca="1">IF($Q24=1,SUM($Q$4:$Q24),"")</f>
        <v/>
      </c>
    </row>
    <row r="25" spans="1:18" ht="33.75" customHeight="1" x14ac:dyDescent="0.3">
      <c r="A25" s="2" t="s">
        <v>464</v>
      </c>
      <c r="B25" s="2" t="s">
        <v>140</v>
      </c>
      <c r="C25" s="3" t="s">
        <v>466</v>
      </c>
      <c r="D25" s="3" t="s">
        <v>473</v>
      </c>
      <c r="E25" s="2"/>
      <c r="F25" s="2"/>
      <c r="G25" s="5">
        <v>45433</v>
      </c>
      <c r="H25" s="5">
        <v>45433</v>
      </c>
      <c r="I25" s="2" t="s">
        <v>31</v>
      </c>
      <c r="J25" s="6">
        <f t="shared" si="1"/>
        <v>0</v>
      </c>
      <c r="K25" s="4" t="str">
        <f t="shared" ca="1" si="2"/>
        <v>-</v>
      </c>
      <c r="L25" s="7">
        <f t="shared" ca="1" si="4"/>
        <v>0</v>
      </c>
      <c r="M25" s="4" t="str">
        <f>IF($I25="Complete","Green",IF($H25="","Amber",IF($H25&lt;'[2]Read Me'!$B$4,"Red",IF($H25-'[2]Read Me'!$B$4&lt;=21,"Amber","Green"))))</f>
        <v>Red</v>
      </c>
      <c r="N25" s="3"/>
      <c r="O25" t="str">
        <f>IF($I25&lt;&gt;"Complete",IF(COUNTIFS($A$4:$A24,$A25,$B$4:$B24,$B25,$I$4:$I24,"&lt;&gt;Complete")=0,$A25&amp;"|"&amp;$B25,""),"")</f>
        <v/>
      </c>
      <c r="P25" t="str">
        <f ca="1">IF($K25="Yes",COUNTIFS($K$4:$K25,"Yes"),"")</f>
        <v/>
      </c>
      <c r="Q25">
        <f t="shared" ca="1" si="3"/>
        <v>0</v>
      </c>
      <c r="R25" t="str">
        <f ca="1">IF($Q25=1,SUM($Q$4:$Q25),"")</f>
        <v/>
      </c>
    </row>
    <row r="26" spans="1:18" ht="33.75" customHeight="1" x14ac:dyDescent="0.3">
      <c r="A26" s="2" t="s">
        <v>464</v>
      </c>
      <c r="B26" s="2" t="s">
        <v>140</v>
      </c>
      <c r="C26" s="3" t="s">
        <v>466</v>
      </c>
      <c r="D26" s="3" t="s">
        <v>474</v>
      </c>
      <c r="E26" s="2"/>
      <c r="F26" s="2"/>
      <c r="G26" s="5">
        <v>45691.541666666664</v>
      </c>
      <c r="H26" s="5">
        <v>45691.541666666664</v>
      </c>
      <c r="I26" s="2" t="s">
        <v>31</v>
      </c>
      <c r="J26" s="6">
        <f t="shared" si="1"/>
        <v>0</v>
      </c>
      <c r="K26" s="4" t="str">
        <f t="shared" ca="1" si="2"/>
        <v>-</v>
      </c>
      <c r="L26" s="7">
        <f t="shared" ca="1" si="4"/>
        <v>0</v>
      </c>
      <c r="M26" s="4" t="str">
        <f>IF($I26="Complete","Green",IF($H26="","Amber",IF($H26&lt;'[2]Read Me'!$B$4,"Red",IF($H26-'[2]Read Me'!$B$4&lt;=21,"Amber","Green"))))</f>
        <v>Red</v>
      </c>
      <c r="N26" s="3"/>
      <c r="O26" t="str">
        <f>IF($I26&lt;&gt;"Complete",IF(COUNTIFS($A$4:$A25,$A26,$B$4:$B25,$B26,$I$4:$I25,"&lt;&gt;Complete")=0,$A26&amp;"|"&amp;$B26,""),"")</f>
        <v/>
      </c>
      <c r="P26" t="str">
        <f ca="1">IF($K26="Yes",COUNTIFS($K$4:$K26,"Yes"),"")</f>
        <v/>
      </c>
      <c r="Q26">
        <f t="shared" ca="1" si="3"/>
        <v>0</v>
      </c>
      <c r="R26" t="str">
        <f ca="1">IF($Q26=1,SUM($Q$4:$Q26),"")</f>
        <v/>
      </c>
    </row>
    <row r="27" spans="1:18" ht="33.75" customHeight="1" x14ac:dyDescent="0.3">
      <c r="A27" s="2" t="s">
        <v>464</v>
      </c>
      <c r="B27" s="2" t="s">
        <v>171</v>
      </c>
      <c r="C27" s="3"/>
      <c r="D27" s="3"/>
      <c r="E27" s="2"/>
      <c r="F27" s="2"/>
      <c r="G27" s="5">
        <v>46008</v>
      </c>
      <c r="H27" s="5">
        <v>46006</v>
      </c>
      <c r="I27" s="2"/>
      <c r="J27" s="6">
        <f t="shared" si="1"/>
        <v>-2</v>
      </c>
      <c r="K27" s="4" t="str">
        <f t="shared" ca="1" si="2"/>
        <v/>
      </c>
      <c r="L27" s="7">
        <f t="shared" ca="1" si="4"/>
        <v>-202</v>
      </c>
      <c r="M27" s="4" t="str">
        <f>IF($I27="Complete","Green",IF($H27="","Amber",IF($H27&lt;'[2]Read Me'!$B$4,"Red",IF($H27-'[2]Read Me'!$B$4&lt;=21,"Amber","Green"))))</f>
        <v>Red</v>
      </c>
      <c r="N27" s="3"/>
      <c r="O27" t="str">
        <f>IF($I27&lt;&gt;"Complete",IF(COUNTIFS($A$4:$A26,$A27,$B$4:$B26,$B27,$I$4:$I26,"&lt;&gt;Complete")=0,$A27&amp;"|"&amp;$B27,""),"")</f>
        <v>Park 226|Infrastructure</v>
      </c>
      <c r="P27" t="str">
        <f ca="1">IF($K27="Yes",COUNTIFS($K$4:$K27,"Yes"),"")</f>
        <v/>
      </c>
      <c r="Q27">
        <f t="shared" ca="1" si="3"/>
        <v>0</v>
      </c>
      <c r="R27" t="str">
        <f ca="1">IF($Q27=1,SUM($Q$4:$Q27),"")</f>
        <v/>
      </c>
    </row>
    <row r="28" spans="1:18" ht="33.75" customHeight="1" x14ac:dyDescent="0.3">
      <c r="A28" s="2" t="s">
        <v>464</v>
      </c>
      <c r="B28" s="2" t="s">
        <v>171</v>
      </c>
      <c r="C28" s="3" t="s">
        <v>475</v>
      </c>
      <c r="D28" s="3" t="s">
        <v>78</v>
      </c>
      <c r="E28" s="2"/>
      <c r="F28" s="2"/>
      <c r="G28" s="5" t="s">
        <v>468</v>
      </c>
      <c r="H28" s="5"/>
      <c r="I28" s="2" t="s">
        <v>17</v>
      </c>
      <c r="J28" s="6" t="str">
        <f t="shared" si="1"/>
        <v/>
      </c>
      <c r="K28" s="4" t="str">
        <f t="shared" ca="1" si="2"/>
        <v/>
      </c>
      <c r="L28" s="7" t="str">
        <f t="shared" ca="1" si="4"/>
        <v/>
      </c>
      <c r="M28" s="4" t="str">
        <f>IF($I28="Complete","Green",IF($H28="","Amber",IF($H28&lt;'[2]Read Me'!$B$4,"Red",IF($H28-'[2]Read Me'!$B$4&lt;=21,"Amber","Green"))))</f>
        <v>Amber</v>
      </c>
      <c r="N28" s="3"/>
      <c r="O28" t="str">
        <f>IF($I28&lt;&gt;"Complete",IF(COUNTIFS($A$4:$A27,$A28,$B$4:$B27,$B28,$I$4:$I27,"&lt;&gt;Complete")=0,$A28&amp;"|"&amp;$B28,""),"")</f>
        <v/>
      </c>
      <c r="P28" t="str">
        <f ca="1">IF($K28="Yes",COUNTIFS($K$4:$K28,"Yes"),"")</f>
        <v/>
      </c>
      <c r="Q28">
        <f t="shared" ca="1" si="3"/>
        <v>0</v>
      </c>
      <c r="R28" t="str">
        <f ca="1">IF($Q28=1,SUM($Q$4:$Q28),"")</f>
        <v/>
      </c>
    </row>
    <row r="29" spans="1:18" ht="33.75" customHeight="1" x14ac:dyDescent="0.3">
      <c r="A29" s="2" t="s">
        <v>464</v>
      </c>
      <c r="B29" s="2" t="s">
        <v>171</v>
      </c>
      <c r="C29" s="3" t="s">
        <v>475</v>
      </c>
      <c r="D29" s="3" t="s">
        <v>408</v>
      </c>
      <c r="E29" s="2"/>
      <c r="F29" s="2"/>
      <c r="G29" s="5">
        <v>44770</v>
      </c>
      <c r="H29" s="5">
        <v>44770</v>
      </c>
      <c r="I29" s="2" t="s">
        <v>31</v>
      </c>
      <c r="J29" s="6">
        <f t="shared" si="1"/>
        <v>0</v>
      </c>
      <c r="K29" s="4" t="str">
        <f t="shared" ca="1" si="2"/>
        <v>-</v>
      </c>
      <c r="L29" s="7">
        <f t="shared" ca="1" si="4"/>
        <v>0</v>
      </c>
      <c r="M29" s="4" t="str">
        <f>IF($I29="Complete","Green",IF($H29="","Amber",IF($H29&lt;'[2]Read Me'!$B$4,"Red",IF($H29-'[2]Read Me'!$B$4&lt;=21,"Amber","Green"))))</f>
        <v>Red</v>
      </c>
      <c r="N29" s="3"/>
      <c r="O29" t="str">
        <f>IF($I29&lt;&gt;"Complete",IF(COUNTIFS($A$4:$A28,$A29,$B$4:$B28,$B29,$I$4:$I28,"&lt;&gt;Complete")=0,$A29&amp;"|"&amp;$B29,""),"")</f>
        <v/>
      </c>
      <c r="P29" t="str">
        <f ca="1">IF($K29="Yes",COUNTIFS($K$4:$K29,"Yes"),"")</f>
        <v/>
      </c>
      <c r="Q29">
        <f t="shared" ca="1" si="3"/>
        <v>0</v>
      </c>
      <c r="R29" t="str">
        <f ca="1">IF($Q29=1,SUM($Q$4:$Q29),"")</f>
        <v/>
      </c>
    </row>
    <row r="30" spans="1:18" ht="33.75" customHeight="1" x14ac:dyDescent="0.3">
      <c r="A30" s="2" t="s">
        <v>464</v>
      </c>
      <c r="B30" s="2" t="s">
        <v>171</v>
      </c>
      <c r="C30" s="3" t="s">
        <v>475</v>
      </c>
      <c r="D30" s="3" t="s">
        <v>58</v>
      </c>
      <c r="E30" s="2"/>
      <c r="F30" s="2"/>
      <c r="G30" s="5">
        <v>44784</v>
      </c>
      <c r="H30" s="5">
        <v>44784</v>
      </c>
      <c r="I30" s="2" t="s">
        <v>31</v>
      </c>
      <c r="J30" s="6">
        <f t="shared" si="1"/>
        <v>0</v>
      </c>
      <c r="K30" s="4" t="str">
        <f t="shared" ca="1" si="2"/>
        <v>-</v>
      </c>
      <c r="L30" s="7">
        <f t="shared" ca="1" si="4"/>
        <v>0</v>
      </c>
      <c r="M30" s="4" t="str">
        <f>IF($I30="Complete","Green",IF($H30="","Amber",IF($H30&lt;'[2]Read Me'!$B$4,"Red",IF($H30-'[2]Read Me'!$B$4&lt;=21,"Amber","Green"))))</f>
        <v>Red</v>
      </c>
      <c r="N30" s="3"/>
      <c r="O30" t="str">
        <f>IF($I30&lt;&gt;"Complete",IF(COUNTIFS($A$4:$A29,$A30,$B$4:$B29,$B30,$I$4:$I29,"&lt;&gt;Complete")=0,$A30&amp;"|"&amp;$B30,""),"")</f>
        <v/>
      </c>
      <c r="P30" t="str">
        <f ca="1">IF($K30="Yes",COUNTIFS($K$4:$K30,"Yes"),"")</f>
        <v/>
      </c>
      <c r="Q30">
        <f t="shared" ca="1" si="3"/>
        <v>0</v>
      </c>
      <c r="R30" t="str">
        <f ca="1">IF($Q30=1,SUM($Q$4:$Q30),"")</f>
        <v/>
      </c>
    </row>
    <row r="31" spans="1:18" ht="14.25" customHeight="1" x14ac:dyDescent="0.3">
      <c r="A31" s="2" t="s">
        <v>464</v>
      </c>
      <c r="B31" s="2" t="s">
        <v>171</v>
      </c>
      <c r="C31" s="3" t="s">
        <v>475</v>
      </c>
      <c r="D31" s="3" t="s">
        <v>397</v>
      </c>
      <c r="E31" s="2"/>
      <c r="F31" s="2"/>
      <c r="G31" s="5">
        <v>45187</v>
      </c>
      <c r="H31" s="5">
        <v>45187</v>
      </c>
      <c r="I31" s="2" t="s">
        <v>31</v>
      </c>
      <c r="J31" s="6">
        <f t="shared" si="1"/>
        <v>0</v>
      </c>
      <c r="K31" s="4" t="str">
        <f t="shared" ca="1" si="2"/>
        <v>-</v>
      </c>
      <c r="L31" s="7">
        <f t="shared" ca="1" si="4"/>
        <v>0</v>
      </c>
      <c r="M31" s="4" t="str">
        <f>IF($I31="Complete","Green",IF($H31="","Amber",IF($H31&lt;'[2]Read Me'!$B$4,"Red",IF($H31-'[2]Read Me'!$B$4&lt;=21,"Amber","Green"))))</f>
        <v>Red</v>
      </c>
      <c r="N31" s="3"/>
      <c r="O31" t="str">
        <f>IF($I31&lt;&gt;"Complete",IF(COUNTIFS($A$4:$A30,$A31,$B$4:$B30,$B31,$I$4:$I30,"&lt;&gt;Complete")=0,$A31&amp;"|"&amp;$B31,""),"")</f>
        <v/>
      </c>
      <c r="P31" t="str">
        <f ca="1">IF($K31="Yes",COUNTIFS($K$4:$K31,"Yes"),"")</f>
        <v/>
      </c>
      <c r="Q31">
        <f t="shared" ca="1" si="3"/>
        <v>0</v>
      </c>
      <c r="R31" t="str">
        <f ca="1">IF($Q31=1,SUM($Q$4:$Q31),"")</f>
        <v/>
      </c>
    </row>
    <row r="32" spans="1:18" ht="14.25" customHeight="1" x14ac:dyDescent="0.3">
      <c r="A32" s="2" t="s">
        <v>464</v>
      </c>
      <c r="B32" s="2" t="s">
        <v>171</v>
      </c>
      <c r="C32" s="3" t="s">
        <v>475</v>
      </c>
      <c r="D32" s="3" t="s">
        <v>58</v>
      </c>
      <c r="E32" s="2"/>
      <c r="F32" s="2"/>
      <c r="G32" s="5">
        <v>45194</v>
      </c>
      <c r="H32" s="5">
        <v>45194</v>
      </c>
      <c r="I32" s="2" t="s">
        <v>31</v>
      </c>
      <c r="J32" s="6">
        <f t="shared" si="1"/>
        <v>0</v>
      </c>
      <c r="K32" s="4" t="str">
        <f t="shared" ca="1" si="2"/>
        <v>-</v>
      </c>
      <c r="L32" s="7">
        <f t="shared" ca="1" si="4"/>
        <v>0</v>
      </c>
      <c r="M32" s="4" t="str">
        <f>IF($I32="Complete","Green",IF($H32="","Amber",IF($H32&lt;'[2]Read Me'!$B$4,"Red",IF($H32-'[2]Read Me'!$B$4&lt;=21,"Amber","Green"))))</f>
        <v>Red</v>
      </c>
      <c r="N32" s="3"/>
      <c r="O32" t="str">
        <f>IF($I32&lt;&gt;"Complete",IF(COUNTIFS($A$4:$A31,$A32,$B$4:$B31,$B32,$I$4:$I31,"&lt;&gt;Complete")=0,$A32&amp;"|"&amp;$B32,""),"")</f>
        <v/>
      </c>
      <c r="P32" t="str">
        <f ca="1">IF($K32="Yes",COUNTIFS($K$4:$K32,"Yes"),"")</f>
        <v/>
      </c>
      <c r="Q32">
        <f t="shared" ca="1" si="3"/>
        <v>0</v>
      </c>
      <c r="R32" t="str">
        <f ca="1">IF($Q32=1,SUM($Q$4:$Q32),"")</f>
        <v/>
      </c>
    </row>
    <row r="33" spans="1:18" ht="14.25" customHeight="1" x14ac:dyDescent="0.3">
      <c r="A33" s="2" t="s">
        <v>464</v>
      </c>
      <c r="B33" s="2" t="s">
        <v>171</v>
      </c>
      <c r="C33" s="3" t="s">
        <v>475</v>
      </c>
      <c r="D33" s="3" t="s">
        <v>476</v>
      </c>
      <c r="E33" s="2"/>
      <c r="F33" s="2"/>
      <c r="G33" s="5">
        <v>45288</v>
      </c>
      <c r="H33" s="5">
        <v>45288</v>
      </c>
      <c r="I33" s="2" t="s">
        <v>31</v>
      </c>
      <c r="J33" s="6">
        <f t="shared" si="1"/>
        <v>0</v>
      </c>
      <c r="K33" s="4" t="str">
        <f t="shared" ca="1" si="2"/>
        <v>-</v>
      </c>
      <c r="L33" s="7">
        <f t="shared" ca="1" si="4"/>
        <v>0</v>
      </c>
      <c r="M33" s="4" t="str">
        <f>IF($I33="Complete","Green",IF($H33="","Amber",IF($H33&lt;'[2]Read Me'!$B$4,"Red",IF($H33-'[2]Read Me'!$B$4&lt;=21,"Amber","Green"))))</f>
        <v>Red</v>
      </c>
      <c r="N33" s="3"/>
      <c r="O33" t="str">
        <f>IF($I33&lt;&gt;"Complete",IF(COUNTIFS($A$4:$A32,$A33,$B$4:$B32,$B33,$I$4:$I32,"&lt;&gt;Complete")=0,$A33&amp;"|"&amp;$B33,""),"")</f>
        <v/>
      </c>
      <c r="P33" t="str">
        <f ca="1">IF($K33="Yes",COUNTIFS($K$4:$K33,"Yes"),"")</f>
        <v/>
      </c>
      <c r="Q33">
        <f t="shared" ca="1" si="3"/>
        <v>0</v>
      </c>
      <c r="R33" t="str">
        <f ca="1">IF($Q33=1,SUM($Q$4:$Q33),"")</f>
        <v/>
      </c>
    </row>
    <row r="34" spans="1:18" ht="14.25" customHeight="1" x14ac:dyDescent="0.3">
      <c r="A34" s="2" t="s">
        <v>464</v>
      </c>
      <c r="B34" s="2" t="s">
        <v>171</v>
      </c>
      <c r="C34" s="3" t="s">
        <v>475</v>
      </c>
      <c r="D34" s="3" t="s">
        <v>58</v>
      </c>
      <c r="E34" s="2"/>
      <c r="F34" s="2"/>
      <c r="G34" s="5">
        <v>45295</v>
      </c>
      <c r="H34" s="5">
        <v>45295</v>
      </c>
      <c r="I34" s="2" t="s">
        <v>31</v>
      </c>
      <c r="J34" s="6">
        <f t="shared" si="1"/>
        <v>0</v>
      </c>
      <c r="K34" s="4" t="str">
        <f t="shared" ca="1" si="2"/>
        <v>-</v>
      </c>
      <c r="L34" s="7">
        <f t="shared" ca="1" si="4"/>
        <v>0</v>
      </c>
      <c r="M34" s="4" t="str">
        <f>IF($I34="Complete","Green",IF($H34="","Amber",IF($H34&lt;'[2]Read Me'!$B$4,"Red",IF($H34-'[2]Read Me'!$B$4&lt;=21,"Amber","Green"))))</f>
        <v>Red</v>
      </c>
      <c r="N34" s="3"/>
      <c r="O34" t="str">
        <f>IF($I34&lt;&gt;"Complete",IF(COUNTIFS($A$4:$A33,$A34,$B$4:$B33,$B34,$I$4:$I33,"&lt;&gt;Complete")=0,$A34&amp;"|"&amp;$B34,""),"")</f>
        <v/>
      </c>
      <c r="P34" t="str">
        <f ca="1">IF($K34="Yes",COUNTIFS($K$4:$K34,"Yes"),"")</f>
        <v/>
      </c>
      <c r="Q34">
        <f t="shared" ca="1" si="3"/>
        <v>0</v>
      </c>
      <c r="R34" t="str">
        <f ca="1">IF($Q34=1,SUM($Q$4:$Q34),"")</f>
        <v/>
      </c>
    </row>
    <row r="35" spans="1:18" ht="14.25" customHeight="1" x14ac:dyDescent="0.3">
      <c r="A35" s="2" t="s">
        <v>464</v>
      </c>
      <c r="B35" s="2" t="s">
        <v>171</v>
      </c>
      <c r="C35" s="3" t="s">
        <v>475</v>
      </c>
      <c r="D35" s="3" t="s">
        <v>477</v>
      </c>
      <c r="E35" s="2"/>
      <c r="F35" s="2"/>
      <c r="G35" s="5">
        <v>45734.791666666664</v>
      </c>
      <c r="H35" s="5">
        <v>45734.791666666664</v>
      </c>
      <c r="I35" s="2" t="s">
        <v>31</v>
      </c>
      <c r="J35" s="6">
        <f t="shared" si="1"/>
        <v>0</v>
      </c>
      <c r="K35" s="4" t="str">
        <f t="shared" ca="1" si="2"/>
        <v>-</v>
      </c>
      <c r="L35" s="7">
        <f t="shared" ca="1" si="4"/>
        <v>0</v>
      </c>
      <c r="M35" s="4" t="str">
        <f>IF($I35="Complete","Green",IF($H35="","Amber",IF($H35&lt;'[2]Read Me'!$B$4,"Red",IF($H35-'[2]Read Me'!$B$4&lt;=21,"Amber","Green"))))</f>
        <v>Red</v>
      </c>
      <c r="N35" s="3"/>
      <c r="O35" t="str">
        <f>IF($I35&lt;&gt;"Complete",IF(COUNTIFS($A$4:$A34,$A35,$B$4:$B34,$B35,$I$4:$I34,"&lt;&gt;Complete")=0,$A35&amp;"|"&amp;$B35,""),"")</f>
        <v/>
      </c>
      <c r="P35" t="str">
        <f ca="1">IF($K35="Yes",COUNTIFS($K$4:$K35,"Yes"),"")</f>
        <v/>
      </c>
      <c r="Q35">
        <f t="shared" ca="1" si="3"/>
        <v>0</v>
      </c>
      <c r="R35" t="str">
        <f ca="1">IF($Q35=1,SUM($Q$4:$Q35),"")</f>
        <v/>
      </c>
    </row>
    <row r="36" spans="1:18" ht="14.25" customHeight="1" x14ac:dyDescent="0.3">
      <c r="A36" s="2" t="s">
        <v>464</v>
      </c>
      <c r="B36" s="2" t="s">
        <v>171</v>
      </c>
      <c r="C36" s="3" t="s">
        <v>475</v>
      </c>
      <c r="D36" s="3" t="s">
        <v>431</v>
      </c>
      <c r="E36" s="2"/>
      <c r="F36" s="2"/>
      <c r="G36" s="5">
        <v>45932</v>
      </c>
      <c r="H36" s="5">
        <v>45986</v>
      </c>
      <c r="I36" s="2" t="s">
        <v>31</v>
      </c>
      <c r="J36" s="6">
        <f t="shared" si="1"/>
        <v>54</v>
      </c>
      <c r="K36" s="4" t="str">
        <f t="shared" ca="1" si="2"/>
        <v>-</v>
      </c>
      <c r="L36" s="7">
        <f t="shared" ca="1" si="4"/>
        <v>0</v>
      </c>
      <c r="M36" s="4" t="str">
        <f>IF($I36="Complete","Green",IF($H36="","Amber",IF($H36&lt;'[2]Read Me'!$B$4,"Red",IF($H36-'[2]Read Me'!$B$4&lt;=21,"Amber","Green"))))</f>
        <v>Red</v>
      </c>
      <c r="N36" s="3"/>
      <c r="O36" t="str">
        <f>IF($I36&lt;&gt;"Complete",IF(COUNTIFS($A$4:$A35,$A36,$B$4:$B35,$B36,$I$4:$I35,"&lt;&gt;Complete")=0,$A36&amp;"|"&amp;$B36,""),"")</f>
        <v/>
      </c>
      <c r="P36" t="str">
        <f ca="1">IF($K36="Yes",COUNTIFS($K$4:$K36,"Yes"),"")</f>
        <v/>
      </c>
      <c r="Q36">
        <f t="shared" ca="1" si="3"/>
        <v>0</v>
      </c>
      <c r="R36" t="str">
        <f ca="1">IF($Q36=1,SUM($Q$4:$Q36),"")</f>
        <v/>
      </c>
    </row>
    <row r="37" spans="1:18" ht="14.25" customHeight="1" x14ac:dyDescent="0.3">
      <c r="A37" s="2" t="s">
        <v>464</v>
      </c>
      <c r="B37" s="2" t="s">
        <v>171</v>
      </c>
      <c r="C37" s="3" t="s">
        <v>475</v>
      </c>
      <c r="D37" s="3" t="s">
        <v>478</v>
      </c>
      <c r="E37" s="2"/>
      <c r="F37" s="2"/>
      <c r="G37" s="5"/>
      <c r="H37" s="5">
        <v>46006</v>
      </c>
      <c r="I37" s="2" t="s">
        <v>31</v>
      </c>
      <c r="J37" s="6" t="str">
        <f t="shared" si="1"/>
        <v/>
      </c>
      <c r="K37" s="4" t="str">
        <f t="shared" ca="1" si="2"/>
        <v>-</v>
      </c>
      <c r="L37" s="7">
        <f t="shared" ca="1" si="4"/>
        <v>0</v>
      </c>
      <c r="M37" s="4" t="str">
        <f>IF($I37="Complete","Green",IF($H37="","Amber",IF($H37&lt;'[2]Read Me'!$B$4,"Red",IF($H37-'[2]Read Me'!$B$4&lt;=21,"Amber","Green"))))</f>
        <v>Red</v>
      </c>
      <c r="N37" s="3"/>
      <c r="O37" t="str">
        <f>IF($I37&lt;&gt;"Complete",IF(COUNTIFS($A$4:$A36,$A37,$B$4:$B36,$B37,$I$4:$I36,"&lt;&gt;Complete")=0,$A37&amp;"|"&amp;$B37,""),"")</f>
        <v/>
      </c>
      <c r="P37" t="str">
        <f ca="1">IF($K37="Yes",COUNTIFS($K$4:$K37,"Yes"),"")</f>
        <v/>
      </c>
      <c r="Q37">
        <f t="shared" ca="1" si="3"/>
        <v>0</v>
      </c>
      <c r="R37" t="str">
        <f ca="1">IF($Q37=1,SUM($Q$4:$Q37),"")</f>
        <v/>
      </c>
    </row>
    <row r="38" spans="1:18" ht="14.25" customHeight="1" x14ac:dyDescent="0.3">
      <c r="A38" s="2" t="s">
        <v>464</v>
      </c>
      <c r="B38" s="2" t="s">
        <v>171</v>
      </c>
      <c r="C38" s="3" t="s">
        <v>475</v>
      </c>
      <c r="D38" s="3" t="s">
        <v>479</v>
      </c>
      <c r="E38" s="2"/>
      <c r="F38" s="2"/>
      <c r="G38" s="5">
        <v>45963</v>
      </c>
      <c r="H38" s="5">
        <v>45960</v>
      </c>
      <c r="I38" s="2" t="s">
        <v>31</v>
      </c>
      <c r="J38" s="6">
        <f t="shared" si="1"/>
        <v>-3</v>
      </c>
      <c r="K38" s="4" t="str">
        <f t="shared" ca="1" si="2"/>
        <v>-</v>
      </c>
      <c r="L38" s="7">
        <f t="shared" ca="1" si="4"/>
        <v>0</v>
      </c>
      <c r="M38" s="4" t="str">
        <f>IF($I38="Complete","Green",IF($H38="","Amber",IF($H38&lt;'[2]Read Me'!$B$4,"Red",IF($H38-'[2]Read Me'!$B$4&lt;=21,"Amber","Green"))))</f>
        <v>Red</v>
      </c>
      <c r="N38" s="3"/>
      <c r="O38" t="str">
        <f>IF($I38&lt;&gt;"Complete",IF(COUNTIFS($A$4:$A37,$A38,$B$4:$B37,$B38,$I$4:$I37,"&lt;&gt;Complete")=0,$A38&amp;"|"&amp;$B38,""),"")</f>
        <v/>
      </c>
      <c r="P38" t="str">
        <f ca="1">IF($K38="Yes",COUNTIFS($K$4:$K38,"Yes"),"")</f>
        <v/>
      </c>
      <c r="Q38">
        <f t="shared" ca="1" si="3"/>
        <v>0</v>
      </c>
      <c r="R38" t="str">
        <f ca="1">IF($Q38=1,SUM($Q$4:$Q38),"")</f>
        <v/>
      </c>
    </row>
    <row r="39" spans="1:18" ht="14.25" customHeight="1" x14ac:dyDescent="0.3">
      <c r="A39" s="2" t="s">
        <v>464</v>
      </c>
      <c r="B39" s="2" t="s">
        <v>171</v>
      </c>
      <c r="C39" s="3" t="s">
        <v>475</v>
      </c>
      <c r="D39" s="3" t="s">
        <v>58</v>
      </c>
      <c r="E39" s="2"/>
      <c r="F39" s="2"/>
      <c r="G39" s="5">
        <v>45978</v>
      </c>
      <c r="H39" s="5">
        <v>46001</v>
      </c>
      <c r="I39" s="2" t="s">
        <v>31</v>
      </c>
      <c r="J39" s="6">
        <f t="shared" si="1"/>
        <v>23</v>
      </c>
      <c r="K39" s="4" t="str">
        <f t="shared" ca="1" si="2"/>
        <v>-</v>
      </c>
      <c r="L39" s="7">
        <f t="shared" ca="1" si="4"/>
        <v>0</v>
      </c>
      <c r="M39" s="4" t="str">
        <f>IF($I39="Complete","Green",IF($H39="","Amber",IF($H39&lt;'[2]Read Me'!$B$4,"Red",IF($H39-'[2]Read Me'!$B$4&lt;=21,"Amber","Green"))))</f>
        <v>Red</v>
      </c>
      <c r="N39" s="3"/>
      <c r="O39" t="str">
        <f>IF($I39&lt;&gt;"Complete",IF(COUNTIFS($A$4:$A38,$A39,$B$4:$B38,$B39,$I$4:$I38,"&lt;&gt;Complete")=0,$A39&amp;"|"&amp;$B39,""),"")</f>
        <v/>
      </c>
      <c r="P39" t="str">
        <f ca="1">IF($K39="Yes",COUNTIFS($K$4:$K39,"Yes"),"")</f>
        <v/>
      </c>
      <c r="Q39">
        <f t="shared" ca="1" si="3"/>
        <v>0</v>
      </c>
      <c r="R39" t="str">
        <f ca="1">IF($Q39=1,SUM($Q$4:$Q39),"")</f>
        <v/>
      </c>
    </row>
    <row r="40" spans="1:18" ht="14.25" customHeight="1" x14ac:dyDescent="0.3">
      <c r="A40" s="2"/>
      <c r="B40" s="2"/>
      <c r="C40" s="3"/>
      <c r="D40" s="3"/>
      <c r="E40" s="2"/>
      <c r="F40" s="2"/>
      <c r="G40" s="5">
        <v>46047</v>
      </c>
      <c r="H40" s="5">
        <v>46210</v>
      </c>
      <c r="I40" s="2"/>
      <c r="J40" s="6">
        <f t="shared" si="1"/>
        <v>163</v>
      </c>
      <c r="K40" s="4" t="str">
        <f t="shared" ca="1" si="2"/>
        <v/>
      </c>
      <c r="L40" s="7">
        <f t="shared" ca="1" si="4"/>
        <v>2</v>
      </c>
      <c r="M40" s="4" t="str">
        <f>IF($I40="Complete","Green",IF($H40="","Amber",IF($H40&lt;'[2]Read Me'!$B$4,"Red",IF($H40-'[2]Read Me'!$B$4&lt;=21,"Amber","Green"))))</f>
        <v>Green</v>
      </c>
      <c r="N40" s="3"/>
      <c r="O40" t="str">
        <f>IF($I40&lt;&gt;"Complete",IF(COUNTIFS($A$4:$A39,$A40,$B$4:$B39,$B40,$I$4:$I39,"&lt;&gt;Complete")=0,$A40&amp;"|"&amp;$B40,""),"")</f>
        <v>|</v>
      </c>
      <c r="P40" t="str">
        <f ca="1">IF($K40="Yes",COUNTIFS($K$4:$K40,"Yes"),"")</f>
        <v/>
      </c>
      <c r="Q40">
        <f t="shared" ca="1" si="3"/>
        <v>0</v>
      </c>
      <c r="R40" t="str">
        <f ca="1">IF($Q40=1,SUM($Q$4:$Q40),"")</f>
        <v/>
      </c>
    </row>
    <row r="41" spans="1:18" ht="14.25" customHeight="1" x14ac:dyDescent="0.3">
      <c r="A41" s="2" t="s">
        <v>464</v>
      </c>
      <c r="B41" s="2" t="s">
        <v>21</v>
      </c>
      <c r="C41" s="3" t="s">
        <v>480</v>
      </c>
      <c r="D41" s="3" t="s">
        <v>481</v>
      </c>
      <c r="E41" s="2"/>
      <c r="F41" s="2"/>
      <c r="G41" s="5">
        <v>45784</v>
      </c>
      <c r="H41" s="5">
        <v>45784</v>
      </c>
      <c r="I41" s="2" t="s">
        <v>31</v>
      </c>
      <c r="J41" s="6">
        <f t="shared" si="1"/>
        <v>0</v>
      </c>
      <c r="K41" s="4" t="str">
        <f t="shared" ca="1" si="2"/>
        <v>-</v>
      </c>
      <c r="L41" s="7">
        <f t="shared" ca="1" si="4"/>
        <v>0</v>
      </c>
      <c r="M41" s="4" t="str">
        <f>IF($I41="Complete","Green",IF($H41="","Amber",IF($H41&lt;'[2]Read Me'!$B$4,"Red",IF($H41-'[2]Read Me'!$B$4&lt;=21,"Amber","Green"))))</f>
        <v>Red</v>
      </c>
      <c r="N41" s="3"/>
      <c r="O41" t="str">
        <f>IF($I41&lt;&gt;"Complete",IF(COUNTIFS($A$4:$A40,$A41,$B$4:$B40,$B41,$I$4:$I40,"&lt;&gt;Complete")=0,$A41&amp;"|"&amp;$B41,""),"")</f>
        <v>Park 226|Landscape</v>
      </c>
      <c r="P41" t="str">
        <f ca="1">IF($K41="Yes",COUNTIFS($K$4:$K41,"Yes"),"")</f>
        <v/>
      </c>
      <c r="Q41">
        <f t="shared" ca="1" si="3"/>
        <v>0</v>
      </c>
      <c r="R41" t="str">
        <f ca="1">IF($Q41=1,SUM($Q$4:$Q41),"")</f>
        <v/>
      </c>
    </row>
    <row r="42" spans="1:18" ht="22.5" customHeight="1" x14ac:dyDescent="0.3">
      <c r="A42" s="2" t="s">
        <v>464</v>
      </c>
      <c r="B42" s="2" t="s">
        <v>21</v>
      </c>
      <c r="C42" s="3" t="s">
        <v>480</v>
      </c>
      <c r="D42" s="3" t="s">
        <v>58</v>
      </c>
      <c r="E42" s="2"/>
      <c r="F42" s="2"/>
      <c r="G42" s="5">
        <v>45798</v>
      </c>
      <c r="H42" s="5">
        <v>45798</v>
      </c>
      <c r="I42" s="2" t="s">
        <v>31</v>
      </c>
      <c r="J42" s="6">
        <f t="shared" si="1"/>
        <v>0</v>
      </c>
      <c r="K42" s="4" t="str">
        <f t="shared" ca="1" si="2"/>
        <v>-</v>
      </c>
      <c r="L42" s="7">
        <f t="shared" ca="1" si="4"/>
        <v>0</v>
      </c>
      <c r="M42" s="4" t="str">
        <f>IF($I42="Complete","Green",IF($H42="","Amber",IF($H42&lt;'[2]Read Me'!$B$4,"Red",IF($H42-'[2]Read Me'!$B$4&lt;=21,"Amber","Green"))))</f>
        <v>Red</v>
      </c>
      <c r="N42" s="3"/>
      <c r="O42" t="str">
        <f>IF($I42&lt;&gt;"Complete",IF(COUNTIFS($A$4:$A41,$A42,$B$4:$B41,$B42,$I$4:$I41,"&lt;&gt;Complete")=0,$A42&amp;"|"&amp;$B42,""),"")</f>
        <v/>
      </c>
      <c r="P42" t="str">
        <f ca="1">IF($K42="Yes",COUNTIFS($K$4:$K42,"Yes"),"")</f>
        <v/>
      </c>
      <c r="Q42">
        <f t="shared" ca="1" si="3"/>
        <v>0</v>
      </c>
      <c r="R42" t="str">
        <f ca="1">IF($Q42=1,SUM($Q$4:$Q42),"")</f>
        <v/>
      </c>
    </row>
    <row r="43" spans="1:18" ht="22.5" customHeight="1" x14ac:dyDescent="0.3">
      <c r="A43" s="2" t="s">
        <v>464</v>
      </c>
      <c r="B43" s="2" t="s">
        <v>21</v>
      </c>
      <c r="C43" s="3" t="s">
        <v>480</v>
      </c>
      <c r="D43" s="3" t="s">
        <v>282</v>
      </c>
      <c r="E43" s="2"/>
      <c r="F43" s="2"/>
      <c r="G43" s="5">
        <v>45798</v>
      </c>
      <c r="H43" s="5">
        <v>45798</v>
      </c>
      <c r="I43" s="2" t="s">
        <v>31</v>
      </c>
      <c r="J43" s="6">
        <f t="shared" si="1"/>
        <v>0</v>
      </c>
      <c r="K43" s="4" t="str">
        <f t="shared" ca="1" si="2"/>
        <v>-</v>
      </c>
      <c r="L43" s="7">
        <f t="shared" ca="1" si="4"/>
        <v>0</v>
      </c>
      <c r="M43" s="4" t="str">
        <f>IF($I43="Complete","Green",IF($H43="","Amber",IF($H43&lt;'[2]Read Me'!$B$4,"Red",IF($H43-'[2]Read Me'!$B$4&lt;=21,"Amber","Green"))))</f>
        <v>Red</v>
      </c>
      <c r="N43" s="3"/>
      <c r="O43" t="str">
        <f>IF($I43&lt;&gt;"Complete",IF(COUNTIFS($A$4:$A42,$A43,$B$4:$B42,$B43,$I$4:$I42,"&lt;&gt;Complete")=0,$A43&amp;"|"&amp;$B43,""),"")</f>
        <v/>
      </c>
      <c r="P43" t="str">
        <f ca="1">IF($K43="Yes",COUNTIFS($K$4:$K43,"Yes"),"")</f>
        <v/>
      </c>
      <c r="Q43">
        <f t="shared" ca="1" si="3"/>
        <v>0</v>
      </c>
      <c r="R43" t="str">
        <f ca="1">IF($Q43=1,SUM($Q$4:$Q43),"")</f>
        <v/>
      </c>
    </row>
    <row r="44" spans="1:18" ht="14.25" customHeight="1" x14ac:dyDescent="0.3">
      <c r="A44" s="2" t="s">
        <v>464</v>
      </c>
      <c r="B44" s="2" t="s">
        <v>21</v>
      </c>
      <c r="C44" s="3" t="s">
        <v>480</v>
      </c>
      <c r="D44" s="3" t="s">
        <v>281</v>
      </c>
      <c r="E44" s="2"/>
      <c r="F44" s="2"/>
      <c r="G44" s="5">
        <v>45812</v>
      </c>
      <c r="H44" s="5">
        <v>45812</v>
      </c>
      <c r="I44" s="4" t="s">
        <v>31</v>
      </c>
      <c r="J44" s="6">
        <f t="shared" si="1"/>
        <v>0</v>
      </c>
      <c r="K44" s="4" t="str">
        <f t="shared" ca="1" si="2"/>
        <v>-</v>
      </c>
      <c r="L44" s="7">
        <f t="shared" ca="1" si="4"/>
        <v>0</v>
      </c>
      <c r="M44" s="4" t="str">
        <f>IF($I44="Complete","Green",IF($H44="","Amber",IF($H44&lt;'[2]Read Me'!$B$4,"Red",IF($H44-'[2]Read Me'!$B$4&lt;=21,"Amber","Green"))))</f>
        <v>Red</v>
      </c>
      <c r="N44" s="3"/>
      <c r="O44" t="str">
        <f>IF($I44&lt;&gt;"Complete",IF(COUNTIFS($A$4:$A43,$A44,$B$4:$B43,$B44,$I$4:$I43,"&lt;&gt;Complete")=0,$A44&amp;"|"&amp;$B44,""),"")</f>
        <v/>
      </c>
      <c r="P44" t="str">
        <f ca="1">IF($K44="Yes",COUNTIFS($K$4:$K44,"Yes"),"")</f>
        <v/>
      </c>
      <c r="Q44">
        <f t="shared" ca="1" si="3"/>
        <v>0</v>
      </c>
      <c r="R44" t="str">
        <f ca="1">IF($Q44=1,SUM($Q$4:$Q44),"")</f>
        <v/>
      </c>
    </row>
    <row r="45" spans="1:18" ht="14.25" customHeight="1" x14ac:dyDescent="0.3">
      <c r="A45" s="2" t="s">
        <v>464</v>
      </c>
      <c r="B45" s="2" t="s">
        <v>21</v>
      </c>
      <c r="C45" s="3" t="s">
        <v>480</v>
      </c>
      <c r="D45" s="3" t="s">
        <v>58</v>
      </c>
      <c r="E45" s="2"/>
      <c r="F45" s="2"/>
      <c r="G45" s="5">
        <v>45826</v>
      </c>
      <c r="H45" s="5">
        <v>45826</v>
      </c>
      <c r="I45" s="4" t="s">
        <v>31</v>
      </c>
      <c r="J45" s="6">
        <f t="shared" si="1"/>
        <v>0</v>
      </c>
      <c r="K45" s="4" t="str">
        <f t="shared" ca="1" si="2"/>
        <v>-</v>
      </c>
      <c r="L45" s="7">
        <f t="shared" ca="1" si="4"/>
        <v>0</v>
      </c>
      <c r="M45" s="4" t="str">
        <f>IF($I45="Complete","Green",IF($H45="","Amber",IF($H45&lt;'[2]Read Me'!$B$4,"Red",IF($H45-'[2]Read Me'!$B$4&lt;=21,"Amber","Green"))))</f>
        <v>Red</v>
      </c>
      <c r="N45" s="3"/>
      <c r="O45" t="str">
        <f>IF($I45&lt;&gt;"Complete",IF(COUNTIFS($A$4:$A44,$A45,$B$4:$B44,$B45,$I$4:$I44,"&lt;&gt;Complete")=0,$A45&amp;"|"&amp;$B45,""),"")</f>
        <v/>
      </c>
      <c r="P45" t="str">
        <f ca="1">IF($K45="Yes",COUNTIFS($K$4:$K45,"Yes"),"")</f>
        <v/>
      </c>
      <c r="Q45">
        <f t="shared" ca="1" si="3"/>
        <v>0</v>
      </c>
      <c r="R45" t="str">
        <f ca="1">IF($Q45=1,SUM($Q$4:$Q45),"")</f>
        <v/>
      </c>
    </row>
    <row r="46" spans="1:18" ht="22.5" customHeight="1" x14ac:dyDescent="0.3">
      <c r="A46" s="2" t="s">
        <v>464</v>
      </c>
      <c r="B46" s="2" t="s">
        <v>21</v>
      </c>
      <c r="C46" s="3" t="s">
        <v>480</v>
      </c>
      <c r="D46" s="3" t="s">
        <v>282</v>
      </c>
      <c r="E46" s="2"/>
      <c r="F46" s="2"/>
      <c r="G46" s="5">
        <v>45833</v>
      </c>
      <c r="H46" s="5">
        <v>45833</v>
      </c>
      <c r="I46" s="4" t="s">
        <v>31</v>
      </c>
      <c r="J46" s="6">
        <f t="shared" si="1"/>
        <v>0</v>
      </c>
      <c r="K46" s="4" t="str">
        <f t="shared" ca="1" si="2"/>
        <v>-</v>
      </c>
      <c r="L46" s="7">
        <f t="shared" ca="1" si="4"/>
        <v>0</v>
      </c>
      <c r="M46" s="4" t="str">
        <f>IF($I46="Complete","Green",IF($H46="","Amber",IF($H46&lt;'[2]Read Me'!$B$4,"Red",IF($H46-'[2]Read Me'!$B$4&lt;=21,"Amber","Green"))))</f>
        <v>Red</v>
      </c>
      <c r="N46" s="3"/>
      <c r="O46" t="str">
        <f>IF($I46&lt;&gt;"Complete",IF(COUNTIFS($A$4:$A45,$A46,$B$4:$B45,$B46,$I$4:$I45,"&lt;&gt;Complete")=0,$A46&amp;"|"&amp;$B46,""),"")</f>
        <v/>
      </c>
      <c r="P46" t="str">
        <f ca="1">IF($K46="Yes",COUNTIFS($K$4:$K46,"Yes"),"")</f>
        <v/>
      </c>
      <c r="Q46">
        <f t="shared" ca="1" si="3"/>
        <v>0</v>
      </c>
      <c r="R46" t="str">
        <f ca="1">IF($Q46=1,SUM($Q$4:$Q46),"")</f>
        <v/>
      </c>
    </row>
    <row r="47" spans="1:18" ht="14.25" customHeight="1" x14ac:dyDescent="0.3">
      <c r="A47" s="2" t="s">
        <v>464</v>
      </c>
      <c r="B47" s="2" t="s">
        <v>21</v>
      </c>
      <c r="C47" s="3" t="s">
        <v>480</v>
      </c>
      <c r="D47" s="3" t="s">
        <v>410</v>
      </c>
      <c r="E47" s="2"/>
      <c r="F47" s="2"/>
      <c r="G47" s="5">
        <v>45861</v>
      </c>
      <c r="H47" s="5">
        <v>45861</v>
      </c>
      <c r="I47" s="4" t="s">
        <v>31</v>
      </c>
      <c r="J47" s="6">
        <f t="shared" si="1"/>
        <v>0</v>
      </c>
      <c r="K47" s="4" t="str">
        <f t="shared" ca="1" si="2"/>
        <v>-</v>
      </c>
      <c r="L47" s="7">
        <f t="shared" ca="1" si="4"/>
        <v>0</v>
      </c>
      <c r="M47" s="4" t="str">
        <f>IF($I47="Complete","Green",IF($H47="","Amber",IF($H47&lt;'[2]Read Me'!$B$4,"Red",IF($H47-'[2]Read Me'!$B$4&lt;=21,"Amber","Green"))))</f>
        <v>Red</v>
      </c>
      <c r="N47" s="3"/>
      <c r="O47" t="str">
        <f>IF($I47&lt;&gt;"Complete",IF(COUNTIFS($A$4:$A46,$A47,$B$4:$B46,$B47,$I$4:$I46,"&lt;&gt;Complete")=0,$A47&amp;"|"&amp;$B47,""),"")</f>
        <v/>
      </c>
      <c r="P47" t="str">
        <f ca="1">IF($K47="Yes",COUNTIFS($K$4:$K47,"Yes"),"")</f>
        <v/>
      </c>
      <c r="Q47">
        <f t="shared" ca="1" si="3"/>
        <v>0</v>
      </c>
      <c r="R47" t="str">
        <f ca="1">IF($Q47=1,SUM($Q$4:$Q47),"")</f>
        <v/>
      </c>
    </row>
    <row r="48" spans="1:18" ht="14.25" customHeight="1" x14ac:dyDescent="0.3">
      <c r="A48" s="2" t="s">
        <v>464</v>
      </c>
      <c r="B48" s="2" t="s">
        <v>21</v>
      </c>
      <c r="C48" s="3" t="s">
        <v>480</v>
      </c>
      <c r="D48" s="3" t="s">
        <v>58</v>
      </c>
      <c r="E48" s="2"/>
      <c r="F48" s="2"/>
      <c r="G48" s="5">
        <v>45930</v>
      </c>
      <c r="H48" s="5">
        <v>45931</v>
      </c>
      <c r="I48" s="4" t="s">
        <v>31</v>
      </c>
      <c r="J48" s="6">
        <f t="shared" si="1"/>
        <v>1</v>
      </c>
      <c r="K48" s="4" t="str">
        <f t="shared" ca="1" si="2"/>
        <v>-</v>
      </c>
      <c r="L48" s="7">
        <f t="shared" ca="1" si="4"/>
        <v>0</v>
      </c>
      <c r="M48" s="4" t="str">
        <f>IF($I48="Complete","Green",IF($H48="","Amber",IF($H48&lt;'[2]Read Me'!$B$4,"Red",IF($H48-'[2]Read Me'!$B$4&lt;=21,"Amber","Green"))))</f>
        <v>Red</v>
      </c>
      <c r="N48" s="3"/>
      <c r="O48" t="str">
        <f>IF($I48&lt;&gt;"Complete",IF(COUNTIFS($A$4:$A47,$A48,$B$4:$B47,$B48,$I$4:$I47,"&lt;&gt;Complete")=0,$A48&amp;"|"&amp;$B48,""),"")</f>
        <v/>
      </c>
      <c r="P48" t="str">
        <f ca="1">IF($K48="Yes",COUNTIFS($K$4:$K48,"Yes"),"")</f>
        <v/>
      </c>
      <c r="Q48">
        <f t="shared" ca="1" si="3"/>
        <v>0</v>
      </c>
      <c r="R48" t="str">
        <f ca="1">IF($Q48=1,SUM($Q$4:$Q48),"")</f>
        <v/>
      </c>
    </row>
    <row r="49" spans="1:18" ht="14.25" customHeight="1" x14ac:dyDescent="0.3">
      <c r="A49" s="2" t="s">
        <v>464</v>
      </c>
      <c r="B49" s="2" t="s">
        <v>21</v>
      </c>
      <c r="C49" s="3" t="s">
        <v>480</v>
      </c>
      <c r="D49" s="3" t="s">
        <v>411</v>
      </c>
      <c r="E49" s="2"/>
      <c r="F49" s="2"/>
      <c r="G49" s="5">
        <v>45959</v>
      </c>
      <c r="H49" s="5">
        <v>45946</v>
      </c>
      <c r="I49" s="4" t="s">
        <v>31</v>
      </c>
      <c r="J49" s="6">
        <f t="shared" si="1"/>
        <v>-13</v>
      </c>
      <c r="K49" s="4" t="str">
        <f t="shared" ca="1" si="2"/>
        <v>-</v>
      </c>
      <c r="L49" s="7">
        <f t="shared" ca="1" si="4"/>
        <v>0</v>
      </c>
      <c r="M49" s="4" t="str">
        <f>IF($I49="Complete","Green",IF($H49="","Amber",IF($H49&lt;'[2]Read Me'!$B$4,"Red",IF($H49-'[2]Read Me'!$B$4&lt;=21,"Amber","Green"))))</f>
        <v>Red</v>
      </c>
      <c r="N49" s="3"/>
      <c r="O49" t="str">
        <f>IF($I49&lt;&gt;"Complete",IF(COUNTIFS($A$4:$A48,$A49,$B$4:$B48,$B49,$I$4:$I48,"&lt;&gt;Complete")=0,$A49&amp;"|"&amp;$B49,""),"")</f>
        <v/>
      </c>
      <c r="P49" t="str">
        <f ca="1">IF($K49="Yes",COUNTIFS($K$4:$K49,"Yes"),"")</f>
        <v/>
      </c>
      <c r="Q49">
        <f t="shared" ca="1" si="3"/>
        <v>0</v>
      </c>
      <c r="R49" t="str">
        <f ca="1">IF($Q49=1,SUM($Q$4:$Q49),"")</f>
        <v/>
      </c>
    </row>
    <row r="50" spans="1:18" ht="14.25" customHeight="1" x14ac:dyDescent="0.3">
      <c r="A50" s="2" t="s">
        <v>464</v>
      </c>
      <c r="B50" s="2" t="s">
        <v>21</v>
      </c>
      <c r="C50" s="3" t="s">
        <v>480</v>
      </c>
      <c r="D50" s="3" t="s">
        <v>58</v>
      </c>
      <c r="E50" s="2"/>
      <c r="F50" s="2"/>
      <c r="G50" s="5">
        <v>45974</v>
      </c>
      <c r="H50" s="5">
        <v>45965</v>
      </c>
      <c r="I50" s="4" t="s">
        <v>31</v>
      </c>
      <c r="J50" s="6">
        <f t="shared" si="1"/>
        <v>-9</v>
      </c>
      <c r="K50" s="4" t="str">
        <f t="shared" ca="1" si="2"/>
        <v>-</v>
      </c>
      <c r="L50" s="7">
        <f t="shared" ca="1" si="4"/>
        <v>0</v>
      </c>
      <c r="M50" s="4" t="str">
        <f>IF($I50="Complete","Green",IF($H50="","Amber",IF($H50&lt;'[2]Read Me'!$B$4,"Red",IF($H50-'[2]Read Me'!$B$4&lt;=21,"Amber","Green"))))</f>
        <v>Red</v>
      </c>
      <c r="N50" s="3"/>
      <c r="O50" t="str">
        <f>IF($I50&lt;&gt;"Complete",IF(COUNTIFS($A$4:$A49,$A50,$B$4:$B49,$B50,$I$4:$I49,"&lt;&gt;Complete")=0,$A50&amp;"|"&amp;$B50,""),"")</f>
        <v/>
      </c>
      <c r="P50" t="str">
        <f ca="1">IF($K50="Yes",COUNTIFS($K$4:$K50,"Yes"),"")</f>
        <v/>
      </c>
      <c r="Q50">
        <f t="shared" ca="1" si="3"/>
        <v>0</v>
      </c>
      <c r="R50" t="str">
        <f ca="1">IF($Q50=1,SUM($Q$4:$Q50),"")</f>
        <v/>
      </c>
    </row>
    <row r="51" spans="1:18" ht="22.5" customHeight="1" x14ac:dyDescent="0.3">
      <c r="A51" s="2" t="s">
        <v>464</v>
      </c>
      <c r="B51" s="2" t="s">
        <v>21</v>
      </c>
      <c r="C51" s="3" t="s">
        <v>480</v>
      </c>
      <c r="D51" s="3" t="s">
        <v>285</v>
      </c>
      <c r="E51" s="2" t="s">
        <v>395</v>
      </c>
      <c r="F51" s="2" t="s">
        <v>182</v>
      </c>
      <c r="G51" s="5">
        <v>46002</v>
      </c>
      <c r="H51" s="5">
        <v>46203</v>
      </c>
      <c r="I51" s="4" t="s">
        <v>46</v>
      </c>
      <c r="J51" s="6">
        <f t="shared" si="1"/>
        <v>201</v>
      </c>
      <c r="K51" s="4" t="str">
        <f t="shared" ca="1" si="2"/>
        <v>Yes</v>
      </c>
      <c r="L51" s="7">
        <f t="shared" ca="1" si="4"/>
        <v>-5</v>
      </c>
      <c r="M51" s="4" t="str">
        <f>IF($I51="Complete","Green",IF($H51="","Amber",IF($H51&lt;'[2]Read Me'!$B$4,"Red",IF($H51-'[2]Read Me'!$B$4&lt;=21,"Amber","Green"))))</f>
        <v>Amber</v>
      </c>
      <c r="N51" s="3"/>
      <c r="O51" t="str">
        <f>IF($I51&lt;&gt;"Complete",IF(COUNTIFS($A$4:$A50,$A51,$B$4:$B50,$B51,$I$4:$I50,"&lt;&gt;Complete")=0,$A51&amp;"|"&amp;$B51,""),"")</f>
        <v/>
      </c>
      <c r="P51">
        <f ca="1">IF($K51="Yes",COUNTIFS($K$4:$K51,"Yes"),"")</f>
        <v>1</v>
      </c>
      <c r="Q51">
        <f t="shared" ca="1" si="3"/>
        <v>1</v>
      </c>
      <c r="R51">
        <f ca="1">IF($Q51=1,SUM($Q$4:$Q51),"")</f>
        <v>1</v>
      </c>
    </row>
    <row r="52" spans="1:18" ht="33.75" customHeight="1" x14ac:dyDescent="0.3">
      <c r="A52" s="2" t="s">
        <v>464</v>
      </c>
      <c r="B52" s="2" t="s">
        <v>21</v>
      </c>
      <c r="C52" s="3" t="s">
        <v>480</v>
      </c>
      <c r="D52" s="3" t="s">
        <v>58</v>
      </c>
      <c r="E52" s="2" t="s">
        <v>395</v>
      </c>
      <c r="F52" s="2"/>
      <c r="G52" s="5">
        <v>46018</v>
      </c>
      <c r="H52" s="5">
        <v>46210</v>
      </c>
      <c r="I52" s="4" t="s">
        <v>17</v>
      </c>
      <c r="J52" s="6">
        <f t="shared" si="1"/>
        <v>192</v>
      </c>
      <c r="K52" s="4" t="str">
        <f t="shared" ca="1" si="2"/>
        <v>No</v>
      </c>
      <c r="L52" s="7">
        <f t="shared" ca="1" si="4"/>
        <v>2</v>
      </c>
      <c r="M52" s="4" t="str">
        <f>IF($I52="Complete","Green",IF($H52="","Amber",IF($H52&lt;'[2]Read Me'!$B$4,"Red",IF($H52-'[2]Read Me'!$B$4&lt;=21,"Amber","Green"))))</f>
        <v>Green</v>
      </c>
      <c r="N52" s="3"/>
      <c r="O52" t="str">
        <f>IF($I52&lt;&gt;"Complete",IF(COUNTIFS($A$4:$A51,$A52,$B$4:$B51,$B52,$I$4:$I51,"&lt;&gt;Complete")=0,$A52&amp;"|"&amp;$B52,""),"")</f>
        <v/>
      </c>
      <c r="P52" t="str">
        <f ca="1">IF($K52="Yes",COUNTIFS($K$4:$K52,"Yes"),"")</f>
        <v/>
      </c>
      <c r="Q52">
        <f t="shared" ca="1" si="3"/>
        <v>0</v>
      </c>
      <c r="R52" t="str">
        <f ca="1">IF($Q52=1,SUM($Q$4:$Q52),"")</f>
        <v/>
      </c>
    </row>
    <row r="53" spans="1:18" ht="14.25" customHeight="1" x14ac:dyDescent="0.3">
      <c r="A53" s="2" t="s">
        <v>482</v>
      </c>
      <c r="B53" s="2" t="s">
        <v>21</v>
      </c>
      <c r="C53" s="3"/>
      <c r="D53" s="3"/>
      <c r="E53" s="2"/>
      <c r="F53" s="2"/>
      <c r="G53" s="5">
        <v>46034</v>
      </c>
      <c r="H53" s="5">
        <v>46078</v>
      </c>
      <c r="I53" s="4"/>
      <c r="J53" s="6">
        <f t="shared" si="1"/>
        <v>44</v>
      </c>
      <c r="K53" s="4" t="str">
        <f t="shared" ca="1" si="2"/>
        <v/>
      </c>
      <c r="L53" s="7">
        <f t="shared" ca="1" si="4"/>
        <v>-130</v>
      </c>
      <c r="M53" s="4" t="str">
        <f>IF($I53="Complete","Green",IF($H53="","Amber",IF($H53&lt;'[2]Read Me'!$B$4,"Red",IF($H53-'[2]Read Me'!$B$4&lt;=21,"Amber","Green"))))</f>
        <v>Red</v>
      </c>
      <c r="N53" s="3"/>
      <c r="O53" t="str">
        <f>IF($I53&lt;&gt;"Complete",IF(COUNTIFS($A$4:$A52,$A53,$B$4:$B52,$B53,$I$4:$I52,"&lt;&gt;Complete")=0,$A53&amp;"|"&amp;$B53,""),"")</f>
        <v>Linear Park|Landscape</v>
      </c>
      <c r="P53" t="str">
        <f ca="1">IF($K53="Yes",COUNTIFS($K$4:$K53,"Yes"),"")</f>
        <v/>
      </c>
      <c r="Q53">
        <f t="shared" ca="1" si="3"/>
        <v>0</v>
      </c>
      <c r="R53" t="str">
        <f ca="1">IF($Q53=1,SUM($Q$4:$Q53),"")</f>
        <v/>
      </c>
    </row>
    <row r="54" spans="1:18" ht="14.25" customHeight="1" x14ac:dyDescent="0.3">
      <c r="A54" s="2" t="s">
        <v>482</v>
      </c>
      <c r="B54" s="2" t="s">
        <v>21</v>
      </c>
      <c r="C54" s="3" t="s">
        <v>483</v>
      </c>
      <c r="D54" s="3" t="s">
        <v>437</v>
      </c>
      <c r="E54" s="2"/>
      <c r="F54" s="2"/>
      <c r="G54" s="5">
        <v>45770</v>
      </c>
      <c r="H54" s="5"/>
      <c r="I54" s="4" t="s">
        <v>17</v>
      </c>
      <c r="J54" s="6" t="str">
        <f t="shared" si="1"/>
        <v/>
      </c>
      <c r="K54" s="4" t="str">
        <f t="shared" ca="1" si="2"/>
        <v/>
      </c>
      <c r="L54" s="7" t="str">
        <f t="shared" ca="1" si="4"/>
        <v/>
      </c>
      <c r="M54" s="4" t="str">
        <f>IF($I54="Complete","Green",IF($H54="","Amber",IF($H54&lt;'[2]Read Me'!$B$4,"Red",IF($H54-'[2]Read Me'!$B$4&lt;=21,"Amber","Green"))))</f>
        <v>Amber</v>
      </c>
      <c r="N54" s="3"/>
      <c r="O54" t="str">
        <f>IF($I54&lt;&gt;"Complete",IF(COUNTIFS($A$4:$A53,$A54,$B$4:$B53,$B54,$I$4:$I53,"&lt;&gt;Complete")=0,$A54&amp;"|"&amp;$B54,""),"")</f>
        <v/>
      </c>
      <c r="P54" t="str">
        <f ca="1">IF($K54="Yes",COUNTIFS($K$4:$K54,"Yes"),"")</f>
        <v/>
      </c>
      <c r="Q54">
        <f t="shared" ca="1" si="3"/>
        <v>0</v>
      </c>
      <c r="R54" t="str">
        <f ca="1">IF($Q54=1,SUM($Q$4:$Q54),"")</f>
        <v/>
      </c>
    </row>
    <row r="55" spans="1:18" ht="14.25" customHeight="1" x14ac:dyDescent="0.3">
      <c r="A55" s="2" t="s">
        <v>482</v>
      </c>
      <c r="B55" s="2" t="s">
        <v>21</v>
      </c>
      <c r="C55" s="3" t="s">
        <v>483</v>
      </c>
      <c r="D55" s="3" t="s">
        <v>481</v>
      </c>
      <c r="E55" s="2"/>
      <c r="F55" s="2"/>
      <c r="G55" s="5">
        <v>45784</v>
      </c>
      <c r="H55" s="5">
        <v>45784</v>
      </c>
      <c r="I55" s="4" t="s">
        <v>31</v>
      </c>
      <c r="J55" s="6">
        <f t="shared" si="1"/>
        <v>0</v>
      </c>
      <c r="K55" s="4" t="str">
        <f t="shared" ca="1" si="2"/>
        <v>-</v>
      </c>
      <c r="L55" s="7">
        <f t="shared" ca="1" si="4"/>
        <v>0</v>
      </c>
      <c r="M55" s="4" t="str">
        <f>IF($I55="Complete","Green",IF($H55="","Amber",IF($H55&lt;'[2]Read Me'!$B$4,"Red",IF($H55-'[2]Read Me'!$B$4&lt;=21,"Amber","Green"))))</f>
        <v>Red</v>
      </c>
      <c r="N55" s="3"/>
      <c r="O55" t="str">
        <f>IF($I55&lt;&gt;"Complete",IF(COUNTIFS($A$4:$A54,$A55,$B$4:$B54,$B55,$I$4:$I54,"&lt;&gt;Complete")=0,$A55&amp;"|"&amp;$B55,""),"")</f>
        <v/>
      </c>
      <c r="P55" t="str">
        <f ca="1">IF($K55="Yes",COUNTIFS($K$4:$K55,"Yes"),"")</f>
        <v/>
      </c>
      <c r="Q55">
        <f t="shared" ca="1" si="3"/>
        <v>0</v>
      </c>
      <c r="R55" t="str">
        <f ca="1">IF($Q55=1,SUM($Q$4:$Q55),"")</f>
        <v/>
      </c>
    </row>
    <row r="56" spans="1:18" ht="14.25" customHeight="1" x14ac:dyDescent="0.3">
      <c r="A56" s="2" t="s">
        <v>482</v>
      </c>
      <c r="B56" s="2" t="s">
        <v>21</v>
      </c>
      <c r="C56" s="3" t="s">
        <v>483</v>
      </c>
      <c r="D56" s="3" t="s">
        <v>47</v>
      </c>
      <c r="E56" s="2"/>
      <c r="F56" s="2"/>
      <c r="G56" s="5">
        <v>45798</v>
      </c>
      <c r="H56" s="5">
        <v>45798</v>
      </c>
      <c r="I56" s="4" t="s">
        <v>31</v>
      </c>
      <c r="J56" s="6">
        <f t="shared" si="1"/>
        <v>0</v>
      </c>
      <c r="K56" s="4" t="str">
        <f t="shared" ca="1" si="2"/>
        <v>-</v>
      </c>
      <c r="L56" s="7">
        <f t="shared" ca="1" si="4"/>
        <v>0</v>
      </c>
      <c r="M56" s="4" t="str">
        <f>IF($I56="Complete","Green",IF($H56="","Amber",IF($H56&lt;'[2]Read Me'!$B$4,"Red",IF($H56-'[2]Read Me'!$B$4&lt;=21,"Amber","Green"))))</f>
        <v>Red</v>
      </c>
      <c r="N56" s="3"/>
      <c r="O56" t="str">
        <f>IF($I56&lt;&gt;"Complete",IF(COUNTIFS($A$4:$A55,$A56,$B$4:$B55,$B56,$I$4:$I55,"&lt;&gt;Complete")=0,$A56&amp;"|"&amp;$B56,""),"")</f>
        <v/>
      </c>
      <c r="P56" t="str">
        <f ca="1">IF($K56="Yes",COUNTIFS($K$4:$K56,"Yes"),"")</f>
        <v/>
      </c>
      <c r="Q56">
        <f t="shared" ca="1" si="3"/>
        <v>0</v>
      </c>
      <c r="R56" t="str">
        <f ca="1">IF($Q56=1,SUM($Q$4:$Q56),"")</f>
        <v/>
      </c>
    </row>
    <row r="57" spans="1:18" ht="14.25" customHeight="1" x14ac:dyDescent="0.3">
      <c r="A57" s="2" t="s">
        <v>482</v>
      </c>
      <c r="B57" s="2" t="s">
        <v>21</v>
      </c>
      <c r="C57" s="3" t="s">
        <v>483</v>
      </c>
      <c r="D57" s="3" t="s">
        <v>132</v>
      </c>
      <c r="E57" s="2"/>
      <c r="F57" s="2"/>
      <c r="G57" s="5">
        <v>45798</v>
      </c>
      <c r="H57" s="5">
        <v>45798</v>
      </c>
      <c r="I57" s="4" t="s">
        <v>31</v>
      </c>
      <c r="J57" s="6">
        <f t="shared" si="1"/>
        <v>0</v>
      </c>
      <c r="K57" s="4" t="str">
        <f t="shared" ca="1" si="2"/>
        <v>-</v>
      </c>
      <c r="L57" s="7">
        <f t="shared" ca="1" si="4"/>
        <v>0</v>
      </c>
      <c r="M57" s="4" t="str">
        <f>IF($I57="Complete","Green",IF($H57="","Amber",IF($H57&lt;'[2]Read Me'!$B$4,"Red",IF($H57-'[2]Read Me'!$B$4&lt;=21,"Amber","Green"))))</f>
        <v>Red</v>
      </c>
      <c r="N57" s="3"/>
      <c r="O57" t="str">
        <f>IF($I57&lt;&gt;"Complete",IF(COUNTIFS($A$4:$A56,$A57,$B$4:$B56,$B57,$I$4:$I56,"&lt;&gt;Complete")=0,$A57&amp;"|"&amp;$B57,""),"")</f>
        <v/>
      </c>
      <c r="P57" t="str">
        <f ca="1">IF($K57="Yes",COUNTIFS($K$4:$K57,"Yes"),"")</f>
        <v/>
      </c>
      <c r="Q57">
        <f t="shared" ca="1" si="3"/>
        <v>0</v>
      </c>
      <c r="R57" t="str">
        <f ca="1">IF($Q57=1,SUM($Q$4:$Q57),"")</f>
        <v/>
      </c>
    </row>
    <row r="58" spans="1:18" ht="14.25" customHeight="1" x14ac:dyDescent="0.3">
      <c r="A58" s="2" t="s">
        <v>482</v>
      </c>
      <c r="B58" s="2" t="s">
        <v>21</v>
      </c>
      <c r="C58" s="3" t="s">
        <v>483</v>
      </c>
      <c r="D58" s="3" t="s">
        <v>281</v>
      </c>
      <c r="E58" s="2"/>
      <c r="F58" s="2" t="s">
        <v>189</v>
      </c>
      <c r="G58" s="5">
        <v>45812</v>
      </c>
      <c r="H58" s="5">
        <v>45812</v>
      </c>
      <c r="I58" s="4" t="s">
        <v>31</v>
      </c>
      <c r="J58" s="6">
        <f t="shared" si="1"/>
        <v>0</v>
      </c>
      <c r="K58" s="4" t="str">
        <f t="shared" ca="1" si="2"/>
        <v>-</v>
      </c>
      <c r="L58" s="7">
        <f t="shared" ca="1" si="4"/>
        <v>0</v>
      </c>
      <c r="M58" s="4" t="str">
        <f>IF($I58="Complete","Green",IF($H58="","Amber",IF($H58&lt;'[2]Read Me'!$B$4,"Red",IF($H58-'[2]Read Me'!$B$4&lt;=21,"Amber","Green"))))</f>
        <v>Red</v>
      </c>
      <c r="N58" s="3"/>
      <c r="O58" t="str">
        <f>IF($I58&lt;&gt;"Complete",IF(COUNTIFS($A$4:$A57,$A58,$B$4:$B57,$B58,$I$4:$I57,"&lt;&gt;Complete")=0,$A58&amp;"|"&amp;$B58,""),"")</f>
        <v/>
      </c>
      <c r="P58" t="str">
        <f ca="1">IF($K58="Yes",COUNTIFS($K$4:$K58,"Yes"),"")</f>
        <v/>
      </c>
      <c r="Q58">
        <f t="shared" ca="1" si="3"/>
        <v>0</v>
      </c>
      <c r="R58" t="str">
        <f ca="1">IF($Q58=1,SUM($Q$4:$Q58),"")</f>
        <v/>
      </c>
    </row>
    <row r="59" spans="1:18" ht="14.25" customHeight="1" x14ac:dyDescent="0.3">
      <c r="A59" s="2" t="s">
        <v>482</v>
      </c>
      <c r="B59" s="2" t="s">
        <v>21</v>
      </c>
      <c r="C59" s="3" t="s">
        <v>483</v>
      </c>
      <c r="D59" s="3" t="s">
        <v>32</v>
      </c>
      <c r="E59" s="2"/>
      <c r="F59" s="2"/>
      <c r="G59" s="5">
        <v>45826</v>
      </c>
      <c r="H59" s="5">
        <v>45826</v>
      </c>
      <c r="I59" s="4" t="s">
        <v>31</v>
      </c>
      <c r="J59" s="6">
        <f t="shared" si="1"/>
        <v>0</v>
      </c>
      <c r="K59" s="4" t="str">
        <f t="shared" ca="1" si="2"/>
        <v>-</v>
      </c>
      <c r="L59" s="7">
        <f t="shared" ca="1" si="4"/>
        <v>0</v>
      </c>
      <c r="M59" s="4" t="str">
        <f>IF($I59="Complete","Green",IF($H59="","Amber",IF($H59&lt;'[2]Read Me'!$B$4,"Red",IF($H59-'[2]Read Me'!$B$4&lt;=21,"Amber","Green"))))</f>
        <v>Red</v>
      </c>
      <c r="N59" s="3"/>
      <c r="O59" t="str">
        <f>IF($I59&lt;&gt;"Complete",IF(COUNTIFS($A$4:$A58,$A59,$B$4:$B58,$B59,$I$4:$I58,"&lt;&gt;Complete")=0,$A59&amp;"|"&amp;$B59,""),"")</f>
        <v/>
      </c>
      <c r="P59" t="str">
        <f ca="1">IF($K59="Yes",COUNTIFS($K$4:$K59,"Yes"),"")</f>
        <v/>
      </c>
      <c r="Q59">
        <f t="shared" ca="1" si="3"/>
        <v>0</v>
      </c>
      <c r="R59" t="str">
        <f ca="1">IF($Q59=1,SUM($Q$4:$Q59),"")</f>
        <v/>
      </c>
    </row>
    <row r="60" spans="1:18" ht="14.25" customHeight="1" x14ac:dyDescent="0.3">
      <c r="A60" s="2" t="s">
        <v>482</v>
      </c>
      <c r="B60" s="2" t="s">
        <v>21</v>
      </c>
      <c r="C60" s="3" t="s">
        <v>483</v>
      </c>
      <c r="D60" s="3" t="s">
        <v>19</v>
      </c>
      <c r="E60" s="2"/>
      <c r="F60" s="2"/>
      <c r="G60" s="5">
        <v>45833</v>
      </c>
      <c r="H60" s="5">
        <v>45833</v>
      </c>
      <c r="I60" s="4" t="s">
        <v>31</v>
      </c>
      <c r="J60" s="6">
        <f t="shared" si="1"/>
        <v>0</v>
      </c>
      <c r="K60" s="4" t="str">
        <f t="shared" ca="1" si="2"/>
        <v>-</v>
      </c>
      <c r="L60" s="7">
        <f t="shared" ca="1" si="4"/>
        <v>0</v>
      </c>
      <c r="M60" s="4" t="str">
        <f>IF($I60="Complete","Green",IF($H60="","Amber",IF($H60&lt;'[2]Read Me'!$B$4,"Red",IF($H60-'[2]Read Me'!$B$4&lt;=21,"Amber","Green"))))</f>
        <v>Red</v>
      </c>
      <c r="N60" s="3"/>
      <c r="O60" t="str">
        <f>IF($I60&lt;&gt;"Complete",IF(COUNTIFS($A$4:$A59,$A60,$B$4:$B59,$B60,$I$4:$I59,"&lt;&gt;Complete")=0,$A60&amp;"|"&amp;$B60,""),"")</f>
        <v/>
      </c>
      <c r="P60" t="str">
        <f ca="1">IF($K60="Yes",COUNTIFS($K$4:$K60,"Yes"),"")</f>
        <v/>
      </c>
      <c r="Q60">
        <f t="shared" ca="1" si="3"/>
        <v>0</v>
      </c>
      <c r="R60" t="str">
        <f ca="1">IF($Q60=1,SUM($Q$4:$Q60),"")</f>
        <v/>
      </c>
    </row>
    <row r="61" spans="1:18" ht="14.25" customHeight="1" x14ac:dyDescent="0.3">
      <c r="A61" s="2" t="s">
        <v>482</v>
      </c>
      <c r="B61" s="2" t="s">
        <v>21</v>
      </c>
      <c r="C61" s="3" t="s">
        <v>483</v>
      </c>
      <c r="D61" s="3" t="s">
        <v>14</v>
      </c>
      <c r="E61" s="2"/>
      <c r="F61" s="2" t="s">
        <v>189</v>
      </c>
      <c r="G61" s="5">
        <v>45861</v>
      </c>
      <c r="H61" s="5">
        <v>45861</v>
      </c>
      <c r="I61" s="4" t="s">
        <v>31</v>
      </c>
      <c r="J61" s="6">
        <f t="shared" si="1"/>
        <v>0</v>
      </c>
      <c r="K61" s="4" t="str">
        <f t="shared" ca="1" si="2"/>
        <v>-</v>
      </c>
      <c r="L61" s="7">
        <f t="shared" ca="1" si="4"/>
        <v>0</v>
      </c>
      <c r="M61" s="4" t="str">
        <f>IF($I61="Complete","Green",IF($H61="","Amber",IF($H61&lt;'[2]Read Me'!$B$4,"Red",IF($H61-'[2]Read Me'!$B$4&lt;=21,"Amber","Green"))))</f>
        <v>Red</v>
      </c>
      <c r="N61" s="3"/>
      <c r="O61" t="str">
        <f>IF($I61&lt;&gt;"Complete",IF(COUNTIFS($A$4:$A60,$A61,$B$4:$B60,$B61,$I$4:$I60,"&lt;&gt;Complete")=0,$A61&amp;"|"&amp;$B61,""),"")</f>
        <v/>
      </c>
      <c r="P61" t="str">
        <f ca="1">IF($K61="Yes",COUNTIFS($K$4:$K61,"Yes"),"")</f>
        <v/>
      </c>
      <c r="Q61">
        <f t="shared" ca="1" si="3"/>
        <v>0</v>
      </c>
      <c r="R61" t="str">
        <f ca="1">IF($Q61=1,SUM($Q$4:$Q61),"")</f>
        <v/>
      </c>
    </row>
    <row r="62" spans="1:18" ht="14.25" customHeight="1" x14ac:dyDescent="0.3">
      <c r="A62" s="2" t="s">
        <v>482</v>
      </c>
      <c r="B62" s="2" t="s">
        <v>21</v>
      </c>
      <c r="C62" s="3" t="s">
        <v>483</v>
      </c>
      <c r="D62" s="3" t="s">
        <v>34</v>
      </c>
      <c r="E62" s="2"/>
      <c r="F62" s="2"/>
      <c r="G62" s="5">
        <v>45875</v>
      </c>
      <c r="H62" s="5">
        <v>45875</v>
      </c>
      <c r="I62" s="4" t="s">
        <v>31</v>
      </c>
      <c r="J62" s="6">
        <f t="shared" si="1"/>
        <v>0</v>
      </c>
      <c r="K62" s="4" t="str">
        <f t="shared" ca="1" si="2"/>
        <v>-</v>
      </c>
      <c r="L62" s="7">
        <f t="shared" ca="1" si="4"/>
        <v>0</v>
      </c>
      <c r="M62" s="4" t="str">
        <f>IF($I62="Complete","Green",IF($H62="","Amber",IF($H62&lt;'[2]Read Me'!$B$4,"Red",IF($H62-'[2]Read Me'!$B$4&lt;=21,"Amber","Green"))))</f>
        <v>Red</v>
      </c>
      <c r="N62" s="3"/>
      <c r="O62" t="str">
        <f>IF($I62&lt;&gt;"Complete",IF(COUNTIFS($A$4:$A61,$A62,$B$4:$B61,$B62,$I$4:$I61,"&lt;&gt;Complete")=0,$A62&amp;"|"&amp;$B62,""),"")</f>
        <v/>
      </c>
      <c r="P62" t="str">
        <f ca="1">IF($K62="Yes",COUNTIFS($K$4:$K62,"Yes"),"")</f>
        <v/>
      </c>
      <c r="Q62">
        <f t="shared" ca="1" si="3"/>
        <v>0</v>
      </c>
      <c r="R62" t="str">
        <f ca="1">IF($Q62=1,SUM($Q$4:$Q62),"")</f>
        <v/>
      </c>
    </row>
    <row r="63" spans="1:18" ht="22.5" customHeight="1" x14ac:dyDescent="0.3">
      <c r="A63" s="2" t="s">
        <v>482</v>
      </c>
      <c r="B63" s="2" t="s">
        <v>21</v>
      </c>
      <c r="C63" s="3" t="s">
        <v>483</v>
      </c>
      <c r="D63" s="3" t="s">
        <v>15</v>
      </c>
      <c r="E63" s="2"/>
      <c r="F63" s="2" t="s">
        <v>189</v>
      </c>
      <c r="G63" s="5">
        <v>45942</v>
      </c>
      <c r="H63" s="5">
        <v>45942</v>
      </c>
      <c r="I63" s="4" t="s">
        <v>31</v>
      </c>
      <c r="J63" s="6">
        <f t="shared" si="1"/>
        <v>0</v>
      </c>
      <c r="K63" s="4" t="str">
        <f t="shared" ca="1" si="2"/>
        <v>-</v>
      </c>
      <c r="L63" s="7">
        <f t="shared" ca="1" si="4"/>
        <v>0</v>
      </c>
      <c r="M63" s="4" t="str">
        <f>IF($I63="Complete","Green",IF($H63="","Amber",IF($H63&lt;'[2]Read Me'!$B$4,"Red",IF($H63-'[2]Read Me'!$B$4&lt;=21,"Amber","Green"))))</f>
        <v>Red</v>
      </c>
      <c r="N63" s="3"/>
      <c r="O63" t="str">
        <f>IF($I63&lt;&gt;"Complete",IF(COUNTIFS($A$4:$A62,$A63,$B$4:$B62,$B63,$I$4:$I62,"&lt;&gt;Complete")=0,$A63&amp;"|"&amp;$B63,""),"")</f>
        <v/>
      </c>
      <c r="P63" t="str">
        <f ca="1">IF($K63="Yes",COUNTIFS($K$4:$K63,"Yes"),"")</f>
        <v/>
      </c>
      <c r="Q63">
        <f t="shared" ca="1" si="3"/>
        <v>0</v>
      </c>
      <c r="R63" t="str">
        <f ca="1">IF($Q63=1,SUM($Q$4:$Q63),"")</f>
        <v/>
      </c>
    </row>
    <row r="64" spans="1:18" ht="22.5" customHeight="1" x14ac:dyDescent="0.3">
      <c r="A64" s="2" t="s">
        <v>482</v>
      </c>
      <c r="B64" s="2" t="s">
        <v>21</v>
      </c>
      <c r="C64" s="3" t="s">
        <v>483</v>
      </c>
      <c r="D64" s="3" t="s">
        <v>35</v>
      </c>
      <c r="E64" s="2"/>
      <c r="F64" s="2"/>
      <c r="G64" s="5">
        <v>45957</v>
      </c>
      <c r="H64" s="5">
        <v>45957</v>
      </c>
      <c r="I64" s="4" t="s">
        <v>31</v>
      </c>
      <c r="J64" s="6">
        <f t="shared" si="1"/>
        <v>0</v>
      </c>
      <c r="K64" s="4" t="str">
        <f t="shared" ca="1" si="2"/>
        <v>-</v>
      </c>
      <c r="L64" s="7">
        <f t="shared" ca="1" si="4"/>
        <v>0</v>
      </c>
      <c r="M64" s="4" t="str">
        <f>IF($I64="Complete","Green",IF($H64="","Amber",IF($H64&lt;'[2]Read Me'!$B$4,"Red",IF($H64-'[2]Read Me'!$B$4&lt;=21,"Amber","Green"))))</f>
        <v>Red</v>
      </c>
      <c r="N64" s="3"/>
      <c r="O64" t="str">
        <f>IF($I64&lt;&gt;"Complete",IF(COUNTIFS($A$4:$A63,$A64,$B$4:$B63,$B64,$I$4:$I63,"&lt;&gt;Complete")=0,$A64&amp;"|"&amp;$B64,""),"")</f>
        <v/>
      </c>
      <c r="P64" t="str">
        <f ca="1">IF($K64="Yes",COUNTIFS($K$4:$K64,"Yes"),"")</f>
        <v/>
      </c>
      <c r="Q64">
        <f t="shared" ca="1" si="3"/>
        <v>0</v>
      </c>
      <c r="R64" t="str">
        <f ca="1">IF($Q64=1,SUM($Q$4:$Q64),"")</f>
        <v/>
      </c>
    </row>
    <row r="65" spans="1:18" ht="22.5" customHeight="1" x14ac:dyDescent="0.3">
      <c r="A65" s="2" t="s">
        <v>482</v>
      </c>
      <c r="B65" s="2" t="s">
        <v>21</v>
      </c>
      <c r="C65" s="3" t="s">
        <v>483</v>
      </c>
      <c r="D65" s="3" t="s">
        <v>484</v>
      </c>
      <c r="E65" s="2"/>
      <c r="F65" s="2" t="s">
        <v>189</v>
      </c>
      <c r="G65" s="5">
        <v>45984</v>
      </c>
      <c r="H65" s="5">
        <v>45991</v>
      </c>
      <c r="I65" s="4" t="s">
        <v>31</v>
      </c>
      <c r="J65" s="6">
        <f t="shared" si="1"/>
        <v>7</v>
      </c>
      <c r="K65" s="4" t="str">
        <f t="shared" ca="1" si="2"/>
        <v>-</v>
      </c>
      <c r="L65" s="7">
        <f t="shared" ca="1" si="4"/>
        <v>0</v>
      </c>
      <c r="M65" s="4" t="str">
        <f>IF($I65="Complete","Green",IF($H65="","Amber",IF($H65&lt;'[2]Read Me'!$B$4,"Red",IF($H65-'[2]Read Me'!$B$4&lt;=21,"Amber","Green"))))</f>
        <v>Red</v>
      </c>
      <c r="N65" s="3"/>
      <c r="O65" t="str">
        <f>IF($I65&lt;&gt;"Complete",IF(COUNTIFS($A$4:$A64,$A65,$B$4:$B64,$B65,$I$4:$I64,"&lt;&gt;Complete")=0,$A65&amp;"|"&amp;$B65,""),"")</f>
        <v/>
      </c>
      <c r="P65" t="str">
        <f ca="1">IF($K65="Yes",COUNTIFS($K$4:$K65,"Yes"),"")</f>
        <v/>
      </c>
      <c r="Q65">
        <f t="shared" ca="1" si="3"/>
        <v>0</v>
      </c>
      <c r="R65" t="str">
        <f ca="1">IF($Q65=1,SUM($Q$4:$Q65),"")</f>
        <v/>
      </c>
    </row>
    <row r="66" spans="1:18" ht="22.5" customHeight="1" x14ac:dyDescent="0.3">
      <c r="A66" s="2" t="s">
        <v>482</v>
      </c>
      <c r="B66" s="2" t="s">
        <v>21</v>
      </c>
      <c r="C66" s="3" t="s">
        <v>483</v>
      </c>
      <c r="D66" s="3" t="s">
        <v>485</v>
      </c>
      <c r="E66" s="2"/>
      <c r="F66" s="2"/>
      <c r="G66" s="5">
        <v>45999</v>
      </c>
      <c r="H66" s="5">
        <v>46001</v>
      </c>
      <c r="I66" s="4" t="s">
        <v>31</v>
      </c>
      <c r="J66" s="6">
        <f t="shared" si="1"/>
        <v>2</v>
      </c>
      <c r="K66" s="4" t="str">
        <f t="shared" ca="1" si="2"/>
        <v>-</v>
      </c>
      <c r="L66" s="7">
        <f t="shared" ca="1" si="4"/>
        <v>0</v>
      </c>
      <c r="M66" s="4" t="str">
        <f>IF($I66="Complete","Green",IF($H66="","Amber",IF($H66&lt;'[2]Read Me'!$B$4,"Red",IF($H66-'[2]Read Me'!$B$4&lt;=21,"Amber","Green"))))</f>
        <v>Red</v>
      </c>
      <c r="N66" s="3"/>
      <c r="O66" t="str">
        <f>IF($I66&lt;&gt;"Complete",IF(COUNTIFS($A$4:$A65,$A66,$B$4:$B65,$B66,$I$4:$I65,"&lt;&gt;Complete")=0,$A66&amp;"|"&amp;$B66,""),"")</f>
        <v/>
      </c>
      <c r="P66" t="str">
        <f ca="1">IF($K66="Yes",COUNTIFS($K$4:$K66,"Yes"),"")</f>
        <v/>
      </c>
      <c r="Q66">
        <f t="shared" ca="1" si="3"/>
        <v>0</v>
      </c>
      <c r="R66" t="str">
        <f ca="1">IF($Q66=1,SUM($Q$4:$Q66),"")</f>
        <v/>
      </c>
    </row>
    <row r="67" spans="1:18" ht="22.5" customHeight="1" x14ac:dyDescent="0.3">
      <c r="A67" s="2" t="s">
        <v>482</v>
      </c>
      <c r="B67" s="2" t="s">
        <v>21</v>
      </c>
      <c r="C67" s="3" t="s">
        <v>483</v>
      </c>
      <c r="D67" s="3" t="s">
        <v>486</v>
      </c>
      <c r="E67" s="2"/>
      <c r="F67" s="2" t="s">
        <v>189</v>
      </c>
      <c r="G67" s="5">
        <v>46026</v>
      </c>
      <c r="H67" s="5">
        <v>46071</v>
      </c>
      <c r="I67" s="4" t="s">
        <v>31</v>
      </c>
      <c r="J67" s="6">
        <f t="shared" si="1"/>
        <v>45</v>
      </c>
      <c r="K67" s="4" t="str">
        <f t="shared" ca="1" si="2"/>
        <v>-</v>
      </c>
      <c r="L67" s="7">
        <f t="shared" ca="1" si="4"/>
        <v>0</v>
      </c>
      <c r="M67" s="4" t="str">
        <f>IF($I67="Complete","Green",IF($H67="","Amber",IF($H67&lt;'[2]Read Me'!$B$4,"Red",IF($H67-'[2]Read Me'!$B$4&lt;=21,"Amber","Green"))))</f>
        <v>Red</v>
      </c>
      <c r="N67" s="3"/>
      <c r="O67" t="str">
        <f>IF($I67&lt;&gt;"Complete",IF(COUNTIFS($A$4:$A66,$A67,$B$4:$B66,$B67,$I$4:$I66,"&lt;&gt;Complete")=0,$A67&amp;"|"&amp;$B67,""),"")</f>
        <v/>
      </c>
      <c r="P67" t="str">
        <f ca="1">IF($K67="Yes",COUNTIFS($K$4:$K67,"Yes"),"")</f>
        <v/>
      </c>
      <c r="Q67">
        <f t="shared" ca="1" si="3"/>
        <v>0</v>
      </c>
      <c r="R67" t="str">
        <f ca="1">IF($Q67=1,SUM($Q$4:$Q67),"")</f>
        <v/>
      </c>
    </row>
    <row r="68" spans="1:18" ht="22.5" customHeight="1" x14ac:dyDescent="0.3">
      <c r="A68" s="2" t="s">
        <v>482</v>
      </c>
      <c r="B68" s="2" t="s">
        <v>21</v>
      </c>
      <c r="C68" s="3" t="s">
        <v>483</v>
      </c>
      <c r="D68" s="3" t="s">
        <v>487</v>
      </c>
      <c r="E68" s="2"/>
      <c r="F68" s="2"/>
      <c r="G68" s="5">
        <v>46034</v>
      </c>
      <c r="H68" s="5">
        <v>46078</v>
      </c>
      <c r="I68" s="4" t="s">
        <v>31</v>
      </c>
      <c r="J68" s="6">
        <f t="shared" ref="J68:J131" si="5">IF(OR($G68="",$H68=""),"",$H68-$G68)</f>
        <v>44</v>
      </c>
      <c r="K68" s="4" t="str">
        <f t="shared" ref="K68:K131" ca="1" si="6">IF(C68="","",IF(H68="","",IF($I68="completed","-",IF($H68&gt;TODAY(),"No","Yes"))))</f>
        <v>-</v>
      </c>
      <c r="L68" s="7">
        <f t="shared" ca="1" si="4"/>
        <v>0</v>
      </c>
      <c r="M68" s="4" t="str">
        <f>IF($I68="Complete","Green",IF($H68="","Amber",IF($H68&lt;'[2]Read Me'!$B$4,"Red",IF($H68-'[2]Read Me'!$B$4&lt;=21,"Amber","Green"))))</f>
        <v>Red</v>
      </c>
      <c r="N68" s="3"/>
      <c r="O68" t="str">
        <f>IF($I68&lt;&gt;"Complete",IF(COUNTIFS($A$4:$A67,$A68,$B$4:$B67,$B68,$I$4:$I67,"&lt;&gt;Complete")=0,$A68&amp;"|"&amp;$B68,""),"")</f>
        <v/>
      </c>
      <c r="P68" t="str">
        <f ca="1">IF($K68="Yes",COUNTIFS($K$4:$K68,"Yes"),"")</f>
        <v/>
      </c>
      <c r="Q68">
        <f t="shared" ref="Q68:Q131" ca="1" si="7">IF(OR($I68="In Progress",$K68="Yes"),1,0)</f>
        <v>0</v>
      </c>
      <c r="R68" t="str">
        <f ca="1">IF($Q68=1,SUM($Q$4:$Q68),"")</f>
        <v/>
      </c>
    </row>
    <row r="69" spans="1:18" ht="22.5" customHeight="1" x14ac:dyDescent="0.3">
      <c r="A69" s="2" t="s">
        <v>488</v>
      </c>
      <c r="B69" s="2" t="s">
        <v>148</v>
      </c>
      <c r="C69" s="3"/>
      <c r="D69" s="3"/>
      <c r="E69" s="2"/>
      <c r="F69" s="2"/>
      <c r="G69" s="5">
        <v>46352</v>
      </c>
      <c r="H69" s="5">
        <v>46390</v>
      </c>
      <c r="I69" s="4"/>
      <c r="J69" s="6">
        <f t="shared" si="5"/>
        <v>38</v>
      </c>
      <c r="K69" s="4" t="str">
        <f t="shared" ca="1" si="6"/>
        <v/>
      </c>
      <c r="L69" s="7">
        <f t="shared" ref="L69:L132" ca="1" si="8">IF(I69="Completed",0,IF(H69="","",H69-TODAY()))</f>
        <v>182</v>
      </c>
      <c r="M69" s="4" t="str">
        <f>IF($I69="Complete","Green",IF($H69="","Amber",IF($H69&lt;'[2]Read Me'!$B$4,"Red",IF($H69-'[2]Read Me'!$B$4&lt;=21,"Amber","Green"))))</f>
        <v>Green</v>
      </c>
      <c r="N69" s="3"/>
      <c r="O69" t="str">
        <f>IF($I69&lt;&gt;"Complete",IF(COUNTIFS($A$4:$A68,$A69,$B$4:$B68,$B69,$I$4:$I68,"&lt;&gt;Complete")=0,$A69&amp;"|"&amp;$B69,""),"")</f>
        <v>Community Club|General</v>
      </c>
      <c r="P69" t="str">
        <f ca="1">IF($K69="Yes",COUNTIFS($K$4:$K69,"Yes"),"")</f>
        <v/>
      </c>
      <c r="Q69">
        <f t="shared" ca="1" si="7"/>
        <v>0</v>
      </c>
      <c r="R69" t="str">
        <f ca="1">IF($Q69=1,SUM($Q$4:$Q69),"")</f>
        <v/>
      </c>
    </row>
    <row r="70" spans="1:18" ht="22.5" customHeight="1" x14ac:dyDescent="0.3">
      <c r="A70" s="2" t="s">
        <v>488</v>
      </c>
      <c r="B70" s="2" t="s">
        <v>148</v>
      </c>
      <c r="C70" s="3" t="s">
        <v>489</v>
      </c>
      <c r="D70" s="3" t="s">
        <v>98</v>
      </c>
      <c r="E70" s="2"/>
      <c r="F70" s="2"/>
      <c r="G70" s="5">
        <v>45854</v>
      </c>
      <c r="H70" s="5">
        <v>45854</v>
      </c>
      <c r="I70" s="4" t="s">
        <v>31</v>
      </c>
      <c r="J70" s="6">
        <f t="shared" si="5"/>
        <v>0</v>
      </c>
      <c r="K70" s="4" t="str">
        <f t="shared" ca="1" si="6"/>
        <v>-</v>
      </c>
      <c r="L70" s="7">
        <f t="shared" ca="1" si="8"/>
        <v>0</v>
      </c>
      <c r="M70" s="4" t="str">
        <f>IF($I70="Complete","Green",IF($H70="","Amber",IF($H70&lt;'[2]Read Me'!$B$4,"Red",IF($H70-'[2]Read Me'!$B$4&lt;=21,"Amber","Green"))))</f>
        <v>Red</v>
      </c>
      <c r="N70" s="3"/>
      <c r="O70" t="str">
        <f>IF($I70&lt;&gt;"Complete",IF(COUNTIFS($A$4:$A69,$A70,$B$4:$B69,$B70,$I$4:$I69,"&lt;&gt;Complete")=0,$A70&amp;"|"&amp;$B70,""),"")</f>
        <v/>
      </c>
      <c r="P70" t="str">
        <f ca="1">IF($K70="Yes",COUNTIFS($K$4:$K70,"Yes"),"")</f>
        <v/>
      </c>
      <c r="Q70">
        <f t="shared" ca="1" si="7"/>
        <v>0</v>
      </c>
      <c r="R70" t="str">
        <f ca="1">IF($Q70=1,SUM($Q$4:$Q70),"")</f>
        <v/>
      </c>
    </row>
    <row r="71" spans="1:18" ht="22.5" customHeight="1" x14ac:dyDescent="0.3">
      <c r="A71" s="2" t="s">
        <v>488</v>
      </c>
      <c r="B71" s="2" t="s">
        <v>148</v>
      </c>
      <c r="C71" s="3" t="s">
        <v>489</v>
      </c>
      <c r="D71" s="3" t="s">
        <v>47</v>
      </c>
      <c r="E71" s="2"/>
      <c r="F71" s="2"/>
      <c r="G71" s="5">
        <v>45861</v>
      </c>
      <c r="H71" s="5">
        <v>45861</v>
      </c>
      <c r="I71" s="4" t="s">
        <v>31</v>
      </c>
      <c r="J71" s="6">
        <f t="shared" si="5"/>
        <v>0</v>
      </c>
      <c r="K71" s="4" t="str">
        <f t="shared" ca="1" si="6"/>
        <v>-</v>
      </c>
      <c r="L71" s="7">
        <f t="shared" ca="1" si="8"/>
        <v>0</v>
      </c>
      <c r="M71" s="4" t="str">
        <f>IF($I71="Complete","Green",IF($H71="","Amber",IF($H71&lt;'[2]Read Me'!$B$4,"Red",IF($H71-'[2]Read Me'!$B$4&lt;=21,"Amber","Green"))))</f>
        <v>Red</v>
      </c>
      <c r="N71" s="3"/>
      <c r="O71" t="str">
        <f>IF($I71&lt;&gt;"Complete",IF(COUNTIFS($A$4:$A70,$A71,$B$4:$B70,$B71,$I$4:$I70,"&lt;&gt;Complete")=0,$A71&amp;"|"&amp;$B71,""),"")</f>
        <v/>
      </c>
      <c r="P71" t="str">
        <f ca="1">IF($K71="Yes",COUNTIFS($K$4:$K71,"Yes"),"")</f>
        <v/>
      </c>
      <c r="Q71">
        <f t="shared" ca="1" si="7"/>
        <v>0</v>
      </c>
      <c r="R71" t="str">
        <f ca="1">IF($Q71=1,SUM($Q$4:$Q71),"")</f>
        <v/>
      </c>
    </row>
    <row r="72" spans="1:18" ht="33.75" customHeight="1" x14ac:dyDescent="0.3">
      <c r="A72" s="2" t="s">
        <v>488</v>
      </c>
      <c r="B72" s="2" t="s">
        <v>148</v>
      </c>
      <c r="C72" s="3" t="s">
        <v>489</v>
      </c>
      <c r="D72" s="3" t="s">
        <v>18</v>
      </c>
      <c r="E72" s="2"/>
      <c r="F72" s="2"/>
      <c r="G72" s="5">
        <v>45938</v>
      </c>
      <c r="H72" s="5">
        <v>45938</v>
      </c>
      <c r="I72" s="4" t="s">
        <v>31</v>
      </c>
      <c r="J72" s="6">
        <f t="shared" si="5"/>
        <v>0</v>
      </c>
      <c r="K72" s="4" t="str">
        <f t="shared" ca="1" si="6"/>
        <v>-</v>
      </c>
      <c r="L72" s="7">
        <f t="shared" ca="1" si="8"/>
        <v>0</v>
      </c>
      <c r="M72" s="4" t="str">
        <f>IF($I72="Complete","Green",IF($H72="","Amber",IF($H72&lt;'[2]Read Me'!$B$4,"Red",IF($H72-'[2]Read Me'!$B$4&lt;=21,"Amber","Green"))))</f>
        <v>Red</v>
      </c>
      <c r="N72" s="3"/>
      <c r="O72" t="str">
        <f>IF($I72&lt;&gt;"Complete",IF(COUNTIFS($A$4:$A71,$A72,$B$4:$B71,$B72,$I$4:$I71,"&lt;&gt;Complete")=0,$A72&amp;"|"&amp;$B72,""),"")</f>
        <v/>
      </c>
      <c r="P72" t="str">
        <f ca="1">IF($K72="Yes",COUNTIFS($K$4:$K72,"Yes"),"")</f>
        <v/>
      </c>
      <c r="Q72">
        <f t="shared" ca="1" si="7"/>
        <v>0</v>
      </c>
      <c r="R72" t="str">
        <f ca="1">IF($Q72=1,SUM($Q$4:$Q72),"")</f>
        <v/>
      </c>
    </row>
    <row r="73" spans="1:18" ht="33.75" customHeight="1" x14ac:dyDescent="0.3">
      <c r="A73" s="2" t="s">
        <v>488</v>
      </c>
      <c r="B73" s="2" t="s">
        <v>148</v>
      </c>
      <c r="C73" s="3" t="s">
        <v>489</v>
      </c>
      <c r="D73" s="3" t="s">
        <v>32</v>
      </c>
      <c r="E73" s="2"/>
      <c r="F73" s="2"/>
      <c r="G73" s="5">
        <v>45945</v>
      </c>
      <c r="H73" s="5">
        <v>45951</v>
      </c>
      <c r="I73" s="4" t="s">
        <v>31</v>
      </c>
      <c r="J73" s="6">
        <f t="shared" si="5"/>
        <v>6</v>
      </c>
      <c r="K73" s="4" t="str">
        <f t="shared" ca="1" si="6"/>
        <v>-</v>
      </c>
      <c r="L73" s="7">
        <f t="shared" ca="1" si="8"/>
        <v>0</v>
      </c>
      <c r="M73" s="4" t="str">
        <f>IF($I73="Complete","Green",IF($H73="","Amber",IF($H73&lt;'[2]Read Me'!$B$4,"Red",IF($H73-'[2]Read Me'!$B$4&lt;=21,"Amber","Green"))))</f>
        <v>Red</v>
      </c>
      <c r="N73" s="3"/>
      <c r="O73" t="str">
        <f>IF($I73&lt;&gt;"Complete",IF(COUNTIFS($A$4:$A72,$A73,$B$4:$B72,$B73,$I$4:$I72,"&lt;&gt;Complete")=0,$A73&amp;"|"&amp;$B73,""),"")</f>
        <v/>
      </c>
      <c r="P73" t="str">
        <f ca="1">IF($K73="Yes",COUNTIFS($K$4:$K73,"Yes"),"")</f>
        <v/>
      </c>
      <c r="Q73">
        <f t="shared" ca="1" si="7"/>
        <v>0</v>
      </c>
      <c r="R73" t="str">
        <f ca="1">IF($Q73=1,SUM($Q$4:$Q73),"")</f>
        <v/>
      </c>
    </row>
    <row r="74" spans="1:18" ht="33.75" customHeight="1" x14ac:dyDescent="0.3">
      <c r="A74" s="2" t="s">
        <v>488</v>
      </c>
      <c r="B74" s="2" t="s">
        <v>148</v>
      </c>
      <c r="C74" s="3" t="s">
        <v>489</v>
      </c>
      <c r="D74" s="3" t="s">
        <v>19</v>
      </c>
      <c r="E74" s="2"/>
      <c r="F74" s="2"/>
      <c r="G74" s="5">
        <v>45952</v>
      </c>
      <c r="H74" s="5">
        <v>45985</v>
      </c>
      <c r="I74" s="4" t="s">
        <v>31</v>
      </c>
      <c r="J74" s="6">
        <f t="shared" si="5"/>
        <v>33</v>
      </c>
      <c r="K74" s="4" t="str">
        <f t="shared" ca="1" si="6"/>
        <v>-</v>
      </c>
      <c r="L74" s="7">
        <f t="shared" ca="1" si="8"/>
        <v>0</v>
      </c>
      <c r="M74" s="4" t="str">
        <f>IF($I74="Complete","Green",IF($H74="","Amber",IF($H74&lt;'[2]Read Me'!$B$4,"Red",IF($H74-'[2]Read Me'!$B$4&lt;=21,"Amber","Green"))))</f>
        <v>Red</v>
      </c>
      <c r="N74" s="3"/>
      <c r="O74" t="str">
        <f>IF($I74&lt;&gt;"Complete",IF(COUNTIFS($A$4:$A73,$A74,$B$4:$B73,$B74,$I$4:$I73,"&lt;&gt;Complete")=0,$A74&amp;"|"&amp;$B74,""),"")</f>
        <v/>
      </c>
      <c r="P74" t="str">
        <f ca="1">IF($K74="Yes",COUNTIFS($K$4:$K74,"Yes"),"")</f>
        <v/>
      </c>
      <c r="Q74">
        <f t="shared" ca="1" si="7"/>
        <v>0</v>
      </c>
      <c r="R74" t="str">
        <f ca="1">IF($Q74=1,SUM($Q$4:$Q74),"")</f>
        <v/>
      </c>
    </row>
    <row r="75" spans="1:18" ht="14.25" customHeight="1" x14ac:dyDescent="0.3">
      <c r="A75" s="2" t="s">
        <v>490</v>
      </c>
      <c r="B75" s="2" t="s">
        <v>148</v>
      </c>
      <c r="C75" s="3"/>
      <c r="D75" s="3"/>
      <c r="E75" s="2"/>
      <c r="F75" s="2"/>
      <c r="G75" s="5">
        <v>46022</v>
      </c>
      <c r="H75" s="5">
        <v>46215</v>
      </c>
      <c r="I75" s="4"/>
      <c r="J75" s="6">
        <f t="shared" si="5"/>
        <v>193</v>
      </c>
      <c r="K75" s="4" t="str">
        <f t="shared" ca="1" si="6"/>
        <v/>
      </c>
      <c r="L75" s="7">
        <f t="shared" ca="1" si="8"/>
        <v>7</v>
      </c>
      <c r="M75" s="4" t="str">
        <f>IF($I75="Complete","Green",IF($H75="","Amber",IF($H75&lt;'[2]Read Me'!$B$4,"Red",IF($H75-'[2]Read Me'!$B$4&lt;=21,"Amber","Green"))))</f>
        <v>Green</v>
      </c>
      <c r="N75" s="3"/>
      <c r="O75" t="str">
        <f>IF($I75&lt;&gt;"Complete",IF(COUNTIFS($A$4:$A74,$A75,$B$4:$B74,$B75,$I$4:$I74,"&lt;&gt;Complete")=0,$A75&amp;"|"&amp;$B75,""),"")</f>
        <v>Ph.01 Community Club|General</v>
      </c>
      <c r="P75" t="str">
        <f ca="1">IF($K75="Yes",COUNTIFS($K$4:$K75,"Yes"),"")</f>
        <v/>
      </c>
      <c r="Q75">
        <f t="shared" ca="1" si="7"/>
        <v>0</v>
      </c>
      <c r="R75" t="str">
        <f ca="1">IF($Q75=1,SUM($Q$4:$Q75),"")</f>
        <v/>
      </c>
    </row>
    <row r="76" spans="1:18" ht="14.25" customHeight="1" x14ac:dyDescent="0.3">
      <c r="A76" s="2" t="s">
        <v>490</v>
      </c>
      <c r="B76" s="2" t="s">
        <v>148</v>
      </c>
      <c r="C76" s="3" t="s">
        <v>491</v>
      </c>
      <c r="D76" s="3" t="s">
        <v>492</v>
      </c>
      <c r="E76" s="2"/>
      <c r="F76" s="2" t="s">
        <v>30</v>
      </c>
      <c r="G76" s="5">
        <v>45966</v>
      </c>
      <c r="H76" s="5">
        <v>45986</v>
      </c>
      <c r="I76" s="4" t="s">
        <v>31</v>
      </c>
      <c r="J76" s="6">
        <f t="shared" si="5"/>
        <v>20</v>
      </c>
      <c r="K76" s="4" t="str">
        <f t="shared" ca="1" si="6"/>
        <v>-</v>
      </c>
      <c r="L76" s="7">
        <f t="shared" ca="1" si="8"/>
        <v>0</v>
      </c>
      <c r="M76" s="4" t="str">
        <f>IF($I76="Complete","Green",IF($H76="","Amber",IF($H76&lt;'[2]Read Me'!$B$4,"Red",IF($H76-'[2]Read Me'!$B$4&lt;=21,"Amber","Green"))))</f>
        <v>Red</v>
      </c>
      <c r="N76" s="3"/>
      <c r="O76" t="str">
        <f>IF($I76&lt;&gt;"Complete",IF(COUNTIFS($A$4:$A75,$A76,$B$4:$B75,$B76,$I$4:$I75,"&lt;&gt;Complete")=0,$A76&amp;"|"&amp;$B76,""),"")</f>
        <v/>
      </c>
      <c r="P76" t="str">
        <f ca="1">IF($K76="Yes",COUNTIFS($K$4:$K76,"Yes"),"")</f>
        <v/>
      </c>
      <c r="Q76">
        <f t="shared" ca="1" si="7"/>
        <v>0</v>
      </c>
      <c r="R76" t="str">
        <f ca="1">IF($Q76=1,SUM($Q$4:$Q76),"")</f>
        <v/>
      </c>
    </row>
    <row r="77" spans="1:18" ht="22.5" customHeight="1" x14ac:dyDescent="0.3">
      <c r="A77" s="2" t="s">
        <v>490</v>
      </c>
      <c r="B77" s="2" t="s">
        <v>148</v>
      </c>
      <c r="C77" s="3" t="s">
        <v>491</v>
      </c>
      <c r="D77" s="3" t="s">
        <v>14</v>
      </c>
      <c r="E77" s="2"/>
      <c r="F77" s="2" t="s">
        <v>30</v>
      </c>
      <c r="G77" s="5">
        <v>45980</v>
      </c>
      <c r="H77" s="5">
        <v>45971</v>
      </c>
      <c r="I77" s="4" t="s">
        <v>31</v>
      </c>
      <c r="J77" s="6">
        <f t="shared" si="5"/>
        <v>-9</v>
      </c>
      <c r="K77" s="4" t="str">
        <f t="shared" ca="1" si="6"/>
        <v>-</v>
      </c>
      <c r="L77" s="7">
        <f t="shared" ca="1" si="8"/>
        <v>0</v>
      </c>
      <c r="M77" s="4" t="str">
        <f>IF($I77="Complete","Green",IF($H77="","Amber",IF($H77&lt;'[2]Read Me'!$B$4,"Red",IF($H77-'[2]Read Me'!$B$4&lt;=21,"Amber","Green"))))</f>
        <v>Red</v>
      </c>
      <c r="N77" s="3"/>
      <c r="O77" t="str">
        <f>IF($I77&lt;&gt;"Complete",IF(COUNTIFS($A$4:$A76,$A77,$B$4:$B76,$B77,$I$4:$I76,"&lt;&gt;Complete")=0,$A77&amp;"|"&amp;$B77,""),"")</f>
        <v/>
      </c>
      <c r="P77" t="str">
        <f ca="1">IF($K77="Yes",COUNTIFS($K$4:$K77,"Yes"),"")</f>
        <v/>
      </c>
      <c r="Q77">
        <f t="shared" ca="1" si="7"/>
        <v>0</v>
      </c>
      <c r="R77" t="str">
        <f ca="1">IF($Q77=1,SUM($Q$4:$Q77),"")</f>
        <v/>
      </c>
    </row>
    <row r="78" spans="1:18" ht="14.25" customHeight="1" x14ac:dyDescent="0.3">
      <c r="A78" s="2" t="s">
        <v>490</v>
      </c>
      <c r="B78" s="2" t="s">
        <v>148</v>
      </c>
      <c r="C78" s="3" t="s">
        <v>491</v>
      </c>
      <c r="D78" s="3" t="s">
        <v>34</v>
      </c>
      <c r="E78" s="2"/>
      <c r="F78" s="2"/>
      <c r="G78" s="5">
        <v>45987</v>
      </c>
      <c r="H78" s="5">
        <v>45971</v>
      </c>
      <c r="I78" s="4" t="s">
        <v>31</v>
      </c>
      <c r="J78" s="6">
        <f t="shared" si="5"/>
        <v>-16</v>
      </c>
      <c r="K78" s="4" t="str">
        <f t="shared" ca="1" si="6"/>
        <v>-</v>
      </c>
      <c r="L78" s="7">
        <f t="shared" ca="1" si="8"/>
        <v>0</v>
      </c>
      <c r="M78" s="4" t="str">
        <f>IF($I78="Complete","Green",IF($H78="","Amber",IF($H78&lt;'[2]Read Me'!$B$4,"Red",IF($H78-'[2]Read Me'!$B$4&lt;=21,"Amber","Green"))))</f>
        <v>Red</v>
      </c>
      <c r="N78" s="3"/>
      <c r="O78" t="str">
        <f>IF($I78&lt;&gt;"Complete",IF(COUNTIFS($A$4:$A77,$A78,$B$4:$B77,$B78,$I$4:$I77,"&lt;&gt;Complete")=0,$A78&amp;"|"&amp;$B78,""),"")</f>
        <v/>
      </c>
      <c r="P78" t="str">
        <f ca="1">IF($K78="Yes",COUNTIFS($K$4:$K78,"Yes"),"")</f>
        <v/>
      </c>
      <c r="Q78">
        <f t="shared" ca="1" si="7"/>
        <v>0</v>
      </c>
      <c r="R78" t="str">
        <f ca="1">IF($Q78=1,SUM($Q$4:$Q78),"")</f>
        <v/>
      </c>
    </row>
    <row r="79" spans="1:18" ht="33.75" customHeight="1" x14ac:dyDescent="0.3">
      <c r="A79" s="2" t="s">
        <v>490</v>
      </c>
      <c r="B79" s="2" t="s">
        <v>148</v>
      </c>
      <c r="C79" s="3" t="s">
        <v>491</v>
      </c>
      <c r="D79" s="3" t="s">
        <v>15</v>
      </c>
      <c r="E79" s="2"/>
      <c r="F79" s="2" t="s">
        <v>30</v>
      </c>
      <c r="G79" s="5">
        <v>46001</v>
      </c>
      <c r="H79" s="5">
        <v>46043</v>
      </c>
      <c r="I79" s="4" t="s">
        <v>31</v>
      </c>
      <c r="J79" s="6">
        <f t="shared" si="5"/>
        <v>42</v>
      </c>
      <c r="K79" s="4" t="str">
        <f t="shared" ca="1" si="6"/>
        <v>-</v>
      </c>
      <c r="L79" s="7">
        <f t="shared" ca="1" si="8"/>
        <v>0</v>
      </c>
      <c r="M79" s="4" t="str">
        <f>IF($I79="Complete","Green",IF($H79="","Amber",IF($H79&lt;'[2]Read Me'!$B$4,"Red",IF($H79-'[2]Read Me'!$B$4&lt;=21,"Amber","Green"))))</f>
        <v>Red</v>
      </c>
      <c r="N79" s="3"/>
      <c r="O79" t="str">
        <f>IF($I79&lt;&gt;"Complete",IF(COUNTIFS($A$4:$A78,$A79,$B$4:$B78,$B79,$I$4:$I78,"&lt;&gt;Complete")=0,$A79&amp;"|"&amp;$B79,""),"")</f>
        <v/>
      </c>
      <c r="P79" t="str">
        <f ca="1">IF($K79="Yes",COUNTIFS($K$4:$K79,"Yes"),"")</f>
        <v/>
      </c>
      <c r="Q79">
        <f t="shared" ca="1" si="7"/>
        <v>0</v>
      </c>
      <c r="R79" t="str">
        <f ca="1">IF($Q79=1,SUM($Q$4:$Q79),"")</f>
        <v/>
      </c>
    </row>
    <row r="80" spans="1:18" ht="33.75" customHeight="1" x14ac:dyDescent="0.3">
      <c r="A80" s="2" t="s">
        <v>490</v>
      </c>
      <c r="B80" s="2" t="s">
        <v>148</v>
      </c>
      <c r="C80" s="3" t="s">
        <v>491</v>
      </c>
      <c r="D80" s="3" t="s">
        <v>83</v>
      </c>
      <c r="E80" s="2"/>
      <c r="F80" s="2" t="s">
        <v>30</v>
      </c>
      <c r="G80" s="5">
        <v>46001</v>
      </c>
      <c r="H80" s="5">
        <v>46028</v>
      </c>
      <c r="I80" s="4" t="s">
        <v>31</v>
      </c>
      <c r="J80" s="6">
        <f t="shared" si="5"/>
        <v>27</v>
      </c>
      <c r="K80" s="4" t="str">
        <f t="shared" ca="1" si="6"/>
        <v>-</v>
      </c>
      <c r="L80" s="7">
        <f t="shared" ca="1" si="8"/>
        <v>0</v>
      </c>
      <c r="M80" s="4" t="str">
        <f>IF($I80="Complete","Green",IF($H80="","Amber",IF($H80&lt;'[2]Read Me'!$B$4,"Red",IF($H80-'[2]Read Me'!$B$4&lt;=21,"Amber","Green"))))</f>
        <v>Red</v>
      </c>
      <c r="N80" s="3"/>
      <c r="O80" t="str">
        <f>IF($I80&lt;&gt;"Complete",IF(COUNTIFS($A$4:$A79,$A80,$B$4:$B79,$B80,$I$4:$I79,"&lt;&gt;Complete")=0,$A80&amp;"|"&amp;$B80,""),"")</f>
        <v/>
      </c>
      <c r="P80" t="str">
        <f ca="1">IF($K80="Yes",COUNTIFS($K$4:$K80,"Yes"),"")</f>
        <v/>
      </c>
      <c r="Q80">
        <f t="shared" ca="1" si="7"/>
        <v>0</v>
      </c>
      <c r="R80" t="str">
        <f ca="1">IF($Q80=1,SUM($Q$4:$Q80),"")</f>
        <v/>
      </c>
    </row>
    <row r="81" spans="1:18" ht="33.75" customHeight="1" x14ac:dyDescent="0.3">
      <c r="A81" s="2" t="s">
        <v>490</v>
      </c>
      <c r="B81" s="2" t="s">
        <v>148</v>
      </c>
      <c r="C81" s="3" t="s">
        <v>491</v>
      </c>
      <c r="D81" s="3" t="s">
        <v>35</v>
      </c>
      <c r="E81" s="2"/>
      <c r="F81" s="2"/>
      <c r="G81" s="5">
        <v>46008</v>
      </c>
      <c r="H81" s="5">
        <v>46054</v>
      </c>
      <c r="I81" s="4" t="s">
        <v>31</v>
      </c>
      <c r="J81" s="6">
        <f t="shared" si="5"/>
        <v>46</v>
      </c>
      <c r="K81" s="4" t="str">
        <f t="shared" ca="1" si="6"/>
        <v>-</v>
      </c>
      <c r="L81" s="7">
        <f t="shared" ca="1" si="8"/>
        <v>0</v>
      </c>
      <c r="M81" s="4" t="str">
        <f>IF($I81="Complete","Green",IF($H81="","Amber",IF($H81&lt;'[2]Read Me'!$B$4,"Red",IF($H81-'[2]Read Me'!$B$4&lt;=21,"Amber","Green"))))</f>
        <v>Red</v>
      </c>
      <c r="N81" s="3"/>
      <c r="O81" t="str">
        <f>IF($I81&lt;&gt;"Complete",IF(COUNTIFS($A$4:$A80,$A81,$B$4:$B80,$B81,$I$4:$I80,"&lt;&gt;Complete")=0,$A81&amp;"|"&amp;$B81,""),"")</f>
        <v/>
      </c>
      <c r="P81" t="str">
        <f ca="1">IF($K81="Yes",COUNTIFS($K$4:$K81,"Yes"),"")</f>
        <v/>
      </c>
      <c r="Q81">
        <f t="shared" ca="1" si="7"/>
        <v>0</v>
      </c>
      <c r="R81" t="str">
        <f ca="1">IF($Q81=1,SUM($Q$4:$Q81),"")</f>
        <v/>
      </c>
    </row>
    <row r="82" spans="1:18" ht="33.75" customHeight="1" x14ac:dyDescent="0.3">
      <c r="A82" s="2" t="s">
        <v>490</v>
      </c>
      <c r="B82" s="2" t="s">
        <v>148</v>
      </c>
      <c r="C82" s="3" t="s">
        <v>491</v>
      </c>
      <c r="D82" s="3" t="s">
        <v>20</v>
      </c>
      <c r="E82" s="2" t="s">
        <v>184</v>
      </c>
      <c r="F82" s="2"/>
      <c r="G82" s="5">
        <v>46015</v>
      </c>
      <c r="H82" s="5">
        <v>46215</v>
      </c>
      <c r="I82" s="4" t="s">
        <v>46</v>
      </c>
      <c r="J82" s="6">
        <f t="shared" si="5"/>
        <v>200</v>
      </c>
      <c r="K82" s="4" t="str">
        <f t="shared" ca="1" si="6"/>
        <v>No</v>
      </c>
      <c r="L82" s="7">
        <f t="shared" ca="1" si="8"/>
        <v>7</v>
      </c>
      <c r="M82" s="4" t="str">
        <f>IF($I82="Complete","Green",IF($H82="","Amber",IF($H82&lt;'[2]Read Me'!$B$4,"Red",IF($H82-'[2]Read Me'!$B$4&lt;=21,"Amber","Green"))))</f>
        <v>Green</v>
      </c>
      <c r="N82" s="3"/>
      <c r="O82" t="str">
        <f>IF($I82&lt;&gt;"Complete",IF(COUNTIFS($A$4:$A81,$A82,$B$4:$B81,$B82,$I$4:$I81,"&lt;&gt;Complete")=0,$A82&amp;"|"&amp;$B82,""),"")</f>
        <v/>
      </c>
      <c r="P82" t="str">
        <f ca="1">IF($K82="Yes",COUNTIFS($K$4:$K82,"Yes"),"")</f>
        <v/>
      </c>
      <c r="Q82">
        <f t="shared" ca="1" si="7"/>
        <v>0</v>
      </c>
      <c r="R82" t="str">
        <f ca="1">IF($Q82=1,SUM($Q$4:$Q82),"")</f>
        <v/>
      </c>
    </row>
    <row r="83" spans="1:18" ht="33.75" customHeight="1" x14ac:dyDescent="0.3">
      <c r="A83" s="2" t="s">
        <v>490</v>
      </c>
      <c r="B83" s="2" t="s">
        <v>148</v>
      </c>
      <c r="C83" s="3" t="s">
        <v>491</v>
      </c>
      <c r="D83" s="3" t="s">
        <v>16</v>
      </c>
      <c r="E83" s="2"/>
      <c r="F83" s="2" t="s">
        <v>30</v>
      </c>
      <c r="G83" s="5">
        <v>46015</v>
      </c>
      <c r="H83" s="5">
        <v>46099</v>
      </c>
      <c r="I83" s="4" t="s">
        <v>31</v>
      </c>
      <c r="J83" s="6">
        <f t="shared" si="5"/>
        <v>84</v>
      </c>
      <c r="K83" s="4" t="str">
        <f t="shared" ca="1" si="6"/>
        <v>-</v>
      </c>
      <c r="L83" s="7">
        <f t="shared" ca="1" si="8"/>
        <v>0</v>
      </c>
      <c r="M83" s="4" t="str">
        <f>IF($I83="Complete","Green",IF($H83="","Amber",IF($H83&lt;'[2]Read Me'!$B$4,"Red",IF($H83-'[2]Read Me'!$B$4&lt;=21,"Amber","Green"))))</f>
        <v>Red</v>
      </c>
      <c r="N83" s="3"/>
      <c r="O83" t="str">
        <f>IF($I83&lt;&gt;"Complete",IF(COUNTIFS($A$4:$A82,$A83,$B$4:$B82,$B83,$I$4:$I82,"&lt;&gt;Complete")=0,$A83&amp;"|"&amp;$B83,""),"")</f>
        <v/>
      </c>
      <c r="P83" t="str">
        <f ca="1">IF($K83="Yes",COUNTIFS($K$4:$K83,"Yes"),"")</f>
        <v/>
      </c>
      <c r="Q83">
        <f t="shared" ca="1" si="7"/>
        <v>0</v>
      </c>
      <c r="R83" t="str">
        <f ca="1">IF($Q83=1,SUM($Q$4:$Q83),"")</f>
        <v/>
      </c>
    </row>
    <row r="84" spans="1:18" ht="33.75" customHeight="1" x14ac:dyDescent="0.3">
      <c r="A84" s="2" t="s">
        <v>490</v>
      </c>
      <c r="B84" s="2" t="s">
        <v>148</v>
      </c>
      <c r="C84" s="3" t="s">
        <v>491</v>
      </c>
      <c r="D84" s="3" t="s">
        <v>37</v>
      </c>
      <c r="E84" s="2"/>
      <c r="F84" s="2"/>
      <c r="G84" s="5">
        <v>46022</v>
      </c>
      <c r="H84" s="5">
        <v>46120</v>
      </c>
      <c r="I84" s="4" t="s">
        <v>31</v>
      </c>
      <c r="J84" s="6">
        <f t="shared" si="5"/>
        <v>98</v>
      </c>
      <c r="K84" s="4" t="str">
        <f t="shared" ca="1" si="6"/>
        <v>-</v>
      </c>
      <c r="L84" s="7">
        <f t="shared" ca="1" si="8"/>
        <v>0</v>
      </c>
      <c r="M84" s="4" t="str">
        <f>IF($I84="Complete","Green",IF($H84="","Amber",IF($H84&lt;'[2]Read Me'!$B$4,"Red",IF($H84-'[2]Read Me'!$B$4&lt;=21,"Amber","Green"))))</f>
        <v>Red</v>
      </c>
      <c r="N84" s="3"/>
      <c r="O84" t="str">
        <f>IF($I84&lt;&gt;"Complete",IF(COUNTIFS($A$4:$A83,$A84,$B$4:$B83,$B84,$I$4:$I83,"&lt;&gt;Complete")=0,$A84&amp;"|"&amp;$B84,""),"")</f>
        <v/>
      </c>
      <c r="P84" t="str">
        <f ca="1">IF($K84="Yes",COUNTIFS($K$4:$K84,"Yes"),"")</f>
        <v/>
      </c>
      <c r="Q84">
        <f t="shared" ca="1" si="7"/>
        <v>0</v>
      </c>
      <c r="R84" t="str">
        <f ca="1">IF($Q84=1,SUM($Q$4:$Q84),"")</f>
        <v/>
      </c>
    </row>
    <row r="85" spans="1:18" ht="33.75" customHeight="1" x14ac:dyDescent="0.3">
      <c r="A85" s="2" t="s">
        <v>490</v>
      </c>
      <c r="B85" s="2" t="s">
        <v>49</v>
      </c>
      <c r="C85" s="3"/>
      <c r="D85" s="3"/>
      <c r="E85" s="2"/>
      <c r="F85" s="2"/>
      <c r="G85" s="5">
        <v>46113</v>
      </c>
      <c r="H85" s="5">
        <v>46225</v>
      </c>
      <c r="I85" s="4"/>
      <c r="J85" s="6">
        <f t="shared" si="5"/>
        <v>112</v>
      </c>
      <c r="K85" s="4" t="str">
        <f t="shared" ca="1" si="6"/>
        <v/>
      </c>
      <c r="L85" s="7">
        <f t="shared" ca="1" si="8"/>
        <v>17</v>
      </c>
      <c r="M85" s="4" t="str">
        <f>IF($I85="Complete","Green",IF($H85="","Amber",IF($H85&lt;'[2]Read Me'!$B$4,"Red",IF($H85-'[2]Read Me'!$B$4&lt;=21,"Amber","Green"))))</f>
        <v>Green</v>
      </c>
      <c r="N85" s="3"/>
      <c r="O85" t="str">
        <f>IF($I85&lt;&gt;"Complete",IF(COUNTIFS($A$4:$A84,$A85,$B$4:$B84,$B85,$I$4:$I84,"&lt;&gt;Complete")=0,$A85&amp;"|"&amp;$B85,""),"")</f>
        <v>Ph.01 Community Club|Authorities</v>
      </c>
      <c r="P85" t="str">
        <f ca="1">IF($K85="Yes",COUNTIFS($K$4:$K85,"Yes"),"")</f>
        <v/>
      </c>
      <c r="Q85">
        <f t="shared" ca="1" si="7"/>
        <v>0</v>
      </c>
      <c r="R85" t="str">
        <f ca="1">IF($Q85=1,SUM($Q$4:$Q85),"")</f>
        <v/>
      </c>
    </row>
    <row r="86" spans="1:18" ht="33.75" customHeight="1" x14ac:dyDescent="0.3">
      <c r="A86" s="2" t="s">
        <v>490</v>
      </c>
      <c r="B86" s="2" t="s">
        <v>49</v>
      </c>
      <c r="C86" s="3" t="s">
        <v>493</v>
      </c>
      <c r="D86" s="3" t="s">
        <v>494</v>
      </c>
      <c r="E86" s="2" t="s">
        <v>104</v>
      </c>
      <c r="F86" s="2"/>
      <c r="G86" s="5"/>
      <c r="H86" s="5">
        <v>46111</v>
      </c>
      <c r="I86" s="4" t="s">
        <v>31</v>
      </c>
      <c r="J86" s="6" t="str">
        <f t="shared" si="5"/>
        <v/>
      </c>
      <c r="K86" s="4" t="str">
        <f t="shared" ca="1" si="6"/>
        <v>-</v>
      </c>
      <c r="L86" s="7">
        <f t="shared" ca="1" si="8"/>
        <v>0</v>
      </c>
      <c r="M86" s="4" t="str">
        <f>IF($I86="Complete","Green",IF($H86="","Amber",IF($H86&lt;'[2]Read Me'!$B$4,"Red",IF($H86-'[2]Read Me'!$B$4&lt;=21,"Amber","Green"))))</f>
        <v>Red</v>
      </c>
      <c r="N86" s="3"/>
      <c r="O86" t="str">
        <f>IF($I86&lt;&gt;"Complete",IF(COUNTIFS($A$4:$A85,$A86,$B$4:$B85,$B86,$I$4:$I85,"&lt;&gt;Complete")=0,$A86&amp;"|"&amp;$B86,""),"")</f>
        <v/>
      </c>
      <c r="P86" t="str">
        <f ca="1">IF($K86="Yes",COUNTIFS($K$4:$K86,"Yes"),"")</f>
        <v/>
      </c>
      <c r="Q86">
        <f t="shared" ca="1" si="7"/>
        <v>0</v>
      </c>
      <c r="R86" t="str">
        <f ca="1">IF($Q86=1,SUM($Q$4:$Q86),"")</f>
        <v/>
      </c>
    </row>
    <row r="87" spans="1:18" ht="33.75" customHeight="1" x14ac:dyDescent="0.3">
      <c r="A87" s="2" t="s">
        <v>490</v>
      </c>
      <c r="B87" s="2" t="s">
        <v>49</v>
      </c>
      <c r="C87" s="3" t="s">
        <v>493</v>
      </c>
      <c r="D87" s="3" t="s">
        <v>51</v>
      </c>
      <c r="E87" s="2" t="s">
        <v>104</v>
      </c>
      <c r="F87" s="2"/>
      <c r="G87" s="5">
        <v>46029</v>
      </c>
      <c r="H87" s="5">
        <v>46141</v>
      </c>
      <c r="I87" s="4" t="s">
        <v>31</v>
      </c>
      <c r="J87" s="6">
        <f t="shared" si="5"/>
        <v>112</v>
      </c>
      <c r="K87" s="4" t="str">
        <f t="shared" ca="1" si="6"/>
        <v>-</v>
      </c>
      <c r="L87" s="7">
        <f t="shared" ca="1" si="8"/>
        <v>0</v>
      </c>
      <c r="M87" s="4" t="str">
        <f>IF($I87="Complete","Green",IF($H87="","Amber",IF($H87&lt;'[2]Read Me'!$B$4,"Red",IF($H87-'[2]Read Me'!$B$4&lt;=21,"Amber","Green"))))</f>
        <v>Red</v>
      </c>
      <c r="N87" s="3"/>
      <c r="O87" t="str">
        <f>IF($I87&lt;&gt;"Complete",IF(COUNTIFS($A$4:$A86,$A87,$B$4:$B86,$B87,$I$4:$I86,"&lt;&gt;Complete")=0,$A87&amp;"|"&amp;$B87,""),"")</f>
        <v/>
      </c>
      <c r="P87" t="str">
        <f ca="1">IF($K87="Yes",COUNTIFS($K$4:$K87,"Yes"),"")</f>
        <v/>
      </c>
      <c r="Q87">
        <f t="shared" ca="1" si="7"/>
        <v>0</v>
      </c>
      <c r="R87" t="str">
        <f ca="1">IF($Q87=1,SUM($Q$4:$Q87),"")</f>
        <v/>
      </c>
    </row>
    <row r="88" spans="1:18" ht="33.75" customHeight="1" x14ac:dyDescent="0.3">
      <c r="A88" s="2" t="s">
        <v>495</v>
      </c>
      <c r="B88" s="2" t="s">
        <v>148</v>
      </c>
      <c r="C88" s="3" t="s">
        <v>493</v>
      </c>
      <c r="D88" s="3" t="s">
        <v>413</v>
      </c>
      <c r="E88" s="2" t="s">
        <v>104</v>
      </c>
      <c r="F88" s="2"/>
      <c r="G88" s="5">
        <v>46113</v>
      </c>
      <c r="H88" s="5">
        <v>46225</v>
      </c>
      <c r="I88" s="4" t="s">
        <v>46</v>
      </c>
      <c r="J88" s="6">
        <f t="shared" si="5"/>
        <v>112</v>
      </c>
      <c r="K88" s="4" t="str">
        <f t="shared" ca="1" si="6"/>
        <v>No</v>
      </c>
      <c r="L88" s="7">
        <f t="shared" ca="1" si="8"/>
        <v>17</v>
      </c>
      <c r="M88" s="4" t="str">
        <f>IF($I88="Complete","Green",IF($H88="","Amber",IF($H88&lt;'[2]Read Me'!$B$4,"Red",IF($H88-'[2]Read Me'!$B$4&lt;=21,"Amber","Green"))))</f>
        <v>Green</v>
      </c>
      <c r="N88" s="3"/>
      <c r="O88" t="str">
        <f>IF($I88&lt;&gt;"Complete",IF(COUNTIFS($A$4:$A87,$A88,$B$4:$B87,$B88,$I$4:$I87,"&lt;&gt;Complete")=0,$A88&amp;"|"&amp;$B88,""),"")</f>
        <v>Ph.02 Community Club|General</v>
      </c>
      <c r="P88" t="str">
        <f ca="1">IF($K88="Yes",COUNTIFS($K$4:$K88,"Yes"),"")</f>
        <v/>
      </c>
      <c r="Q88">
        <f t="shared" ca="1" si="7"/>
        <v>0</v>
      </c>
      <c r="R88" t="str">
        <f ca="1">IF($Q88=1,SUM($Q$4:$Q88),"")</f>
        <v/>
      </c>
    </row>
    <row r="89" spans="1:18" ht="33.75" customHeight="1" x14ac:dyDescent="0.3">
      <c r="A89" s="2" t="s">
        <v>495</v>
      </c>
      <c r="B89" s="2" t="s">
        <v>148</v>
      </c>
      <c r="C89" s="3"/>
      <c r="D89" s="3"/>
      <c r="E89" s="2"/>
      <c r="F89" s="2"/>
      <c r="G89" s="5">
        <v>46121</v>
      </c>
      <c r="H89" s="5">
        <v>46250</v>
      </c>
      <c r="I89" s="4"/>
      <c r="J89" s="6">
        <f t="shared" si="5"/>
        <v>129</v>
      </c>
      <c r="K89" s="4" t="str">
        <f t="shared" ca="1" si="6"/>
        <v/>
      </c>
      <c r="L89" s="7">
        <f t="shared" ca="1" si="8"/>
        <v>42</v>
      </c>
      <c r="M89" s="4" t="str">
        <f>IF($I89="Complete","Green",IF($H89="","Amber",IF($H89&lt;'[2]Read Me'!$B$4,"Red",IF($H89-'[2]Read Me'!$B$4&lt;=21,"Amber","Green"))))</f>
        <v>Green</v>
      </c>
      <c r="N89" s="3"/>
      <c r="O89" t="str">
        <f>IF($I89&lt;&gt;"Complete",IF(COUNTIFS($A$4:$A88,$A89,$B$4:$B88,$B89,$I$4:$I88,"&lt;&gt;Complete")=0,$A89&amp;"|"&amp;$B89,""),"")</f>
        <v/>
      </c>
      <c r="P89" t="str">
        <f ca="1">IF($K89="Yes",COUNTIFS($K$4:$K89,"Yes"),"")</f>
        <v/>
      </c>
      <c r="Q89">
        <f t="shared" ca="1" si="7"/>
        <v>0</v>
      </c>
      <c r="R89" t="str">
        <f ca="1">IF($Q89=1,SUM($Q$4:$Q89),"")</f>
        <v/>
      </c>
    </row>
    <row r="90" spans="1:18" ht="33.75" customHeight="1" x14ac:dyDescent="0.3">
      <c r="A90" s="2" t="s">
        <v>495</v>
      </c>
      <c r="B90" s="2" t="s">
        <v>148</v>
      </c>
      <c r="C90" s="3" t="s">
        <v>496</v>
      </c>
      <c r="D90" s="3" t="s">
        <v>497</v>
      </c>
      <c r="E90" s="2" t="s">
        <v>498</v>
      </c>
      <c r="F90" s="2" t="s">
        <v>453</v>
      </c>
      <c r="G90" s="5">
        <v>46051</v>
      </c>
      <c r="H90" s="5">
        <v>46033</v>
      </c>
      <c r="I90" s="4" t="s">
        <v>31</v>
      </c>
      <c r="J90" s="6">
        <f t="shared" si="5"/>
        <v>-18</v>
      </c>
      <c r="K90" s="4" t="str">
        <f t="shared" ca="1" si="6"/>
        <v>-</v>
      </c>
      <c r="L90" s="7">
        <f t="shared" ca="1" si="8"/>
        <v>0</v>
      </c>
      <c r="M90" s="4" t="str">
        <f>IF($I90="Complete","Green",IF($H90="","Amber",IF($H90&lt;'[2]Read Me'!$B$4,"Red",IF($H90-'[2]Read Me'!$B$4&lt;=21,"Amber","Green"))))</f>
        <v>Red</v>
      </c>
      <c r="N90" s="3"/>
      <c r="O90" t="str">
        <f>IF($I90&lt;&gt;"Complete",IF(COUNTIFS($A$4:$A89,$A90,$B$4:$B89,$B90,$I$4:$I89,"&lt;&gt;Complete")=0,$A90&amp;"|"&amp;$B90,""),"")</f>
        <v/>
      </c>
      <c r="P90" t="str">
        <f ca="1">IF($K90="Yes",COUNTIFS($K$4:$K90,"Yes"),"")</f>
        <v/>
      </c>
      <c r="Q90">
        <f t="shared" ca="1" si="7"/>
        <v>0</v>
      </c>
      <c r="R90" t="str">
        <f ca="1">IF($Q90=1,SUM($Q$4:$Q90),"")</f>
        <v/>
      </c>
    </row>
    <row r="91" spans="1:18" ht="33.75" customHeight="1" x14ac:dyDescent="0.3">
      <c r="A91" s="2" t="s">
        <v>495</v>
      </c>
      <c r="B91" s="2" t="s">
        <v>148</v>
      </c>
      <c r="C91" s="3" t="s">
        <v>496</v>
      </c>
      <c r="D91" s="3" t="s">
        <v>499</v>
      </c>
      <c r="E91" s="2" t="s">
        <v>498</v>
      </c>
      <c r="F91" s="2"/>
      <c r="G91" s="5">
        <v>46058</v>
      </c>
      <c r="H91" s="5">
        <v>46049</v>
      </c>
      <c r="I91" s="4" t="s">
        <v>31</v>
      </c>
      <c r="J91" s="6">
        <f t="shared" si="5"/>
        <v>-9</v>
      </c>
      <c r="K91" s="4" t="str">
        <f t="shared" ca="1" si="6"/>
        <v>-</v>
      </c>
      <c r="L91" s="7">
        <f t="shared" ca="1" si="8"/>
        <v>0</v>
      </c>
      <c r="M91" s="4" t="str">
        <f>IF($I91="Complete","Green",IF($H91="","Amber",IF($H91&lt;'[2]Read Me'!$B$4,"Red",IF($H91-'[2]Read Me'!$B$4&lt;=21,"Amber","Green"))))</f>
        <v>Red</v>
      </c>
      <c r="N91" s="3"/>
      <c r="O91" t="str">
        <f>IF($I91&lt;&gt;"Complete",IF(COUNTIFS($A$4:$A90,$A91,$B$4:$B90,$B91,$I$4:$I90,"&lt;&gt;Complete")=0,$A91&amp;"|"&amp;$B91,""),"")</f>
        <v/>
      </c>
      <c r="P91" t="str">
        <f ca="1">IF($K91="Yes",COUNTIFS($K$4:$K91,"Yes"),"")</f>
        <v/>
      </c>
      <c r="Q91">
        <f t="shared" ca="1" si="7"/>
        <v>0</v>
      </c>
      <c r="R91" t="str">
        <f ca="1">IF($Q91=1,SUM($Q$4:$Q91),"")</f>
        <v/>
      </c>
    </row>
    <row r="92" spans="1:18" ht="33.75" customHeight="1" x14ac:dyDescent="0.3">
      <c r="A92" s="2" t="s">
        <v>495</v>
      </c>
      <c r="B92" s="2" t="s">
        <v>148</v>
      </c>
      <c r="C92" s="3" t="s">
        <v>496</v>
      </c>
      <c r="D92" s="3" t="s">
        <v>500</v>
      </c>
      <c r="E92" s="2" t="s">
        <v>498</v>
      </c>
      <c r="F92" s="2" t="s">
        <v>453</v>
      </c>
      <c r="G92" s="5">
        <v>46051</v>
      </c>
      <c r="H92" s="5">
        <v>46166</v>
      </c>
      <c r="I92" s="4" t="s">
        <v>31</v>
      </c>
      <c r="J92" s="6">
        <f t="shared" si="5"/>
        <v>115</v>
      </c>
      <c r="K92" s="4" t="str">
        <f t="shared" ca="1" si="6"/>
        <v>-</v>
      </c>
      <c r="L92" s="7">
        <f t="shared" ca="1" si="8"/>
        <v>0</v>
      </c>
      <c r="M92" s="4" t="str">
        <f>IF($I92="Complete","Green",IF($H92="","Amber",IF($H92&lt;'[2]Read Me'!$B$4,"Red",IF($H92-'[2]Read Me'!$B$4&lt;=21,"Amber","Green"))))</f>
        <v>Red</v>
      </c>
      <c r="N92" s="3"/>
      <c r="O92" t="str">
        <f>IF($I92&lt;&gt;"Complete",IF(COUNTIFS($A$4:$A91,$A92,$B$4:$B91,$B92,$I$4:$I91,"&lt;&gt;Complete")=0,$A92&amp;"|"&amp;$B92,""),"")</f>
        <v/>
      </c>
      <c r="P92" t="str">
        <f ca="1">IF($K92="Yes",COUNTIFS($K$4:$K92,"Yes"),"")</f>
        <v/>
      </c>
      <c r="Q92">
        <f t="shared" ca="1" si="7"/>
        <v>0</v>
      </c>
      <c r="R92" t="str">
        <f ca="1">IF($Q92=1,SUM($Q$4:$Q92),"")</f>
        <v/>
      </c>
    </row>
    <row r="93" spans="1:18" ht="33.75" customHeight="1" x14ac:dyDescent="0.3">
      <c r="A93" s="2" t="s">
        <v>495</v>
      </c>
      <c r="B93" s="2" t="s">
        <v>148</v>
      </c>
      <c r="C93" s="3" t="s">
        <v>496</v>
      </c>
      <c r="D93" s="3" t="s">
        <v>501</v>
      </c>
      <c r="E93" s="2" t="s">
        <v>498</v>
      </c>
      <c r="F93" s="2"/>
      <c r="G93" s="5">
        <v>46058</v>
      </c>
      <c r="H93" s="5">
        <v>46167</v>
      </c>
      <c r="I93" s="4" t="s">
        <v>31</v>
      </c>
      <c r="J93" s="6">
        <f t="shared" si="5"/>
        <v>109</v>
      </c>
      <c r="K93" s="4" t="str">
        <f t="shared" ca="1" si="6"/>
        <v>-</v>
      </c>
      <c r="L93" s="7">
        <f t="shared" ca="1" si="8"/>
        <v>0</v>
      </c>
      <c r="M93" s="4" t="str">
        <f>IF($I93="Complete","Green",IF($H93="","Amber",IF($H93&lt;'[2]Read Me'!$B$4,"Red",IF($H93-'[2]Read Me'!$B$4&lt;=21,"Amber","Green"))))</f>
        <v>Red</v>
      </c>
      <c r="N93" s="3"/>
      <c r="O93" t="str">
        <f>IF($I93&lt;&gt;"Complete",IF(COUNTIFS($A$4:$A92,$A93,$B$4:$B92,$B93,$I$4:$I92,"&lt;&gt;Complete")=0,$A93&amp;"|"&amp;$B93,""),"")</f>
        <v/>
      </c>
      <c r="P93" t="str">
        <f ca="1">IF($K93="Yes",COUNTIFS($K$4:$K93,"Yes"),"")</f>
        <v/>
      </c>
      <c r="Q93">
        <f t="shared" ca="1" si="7"/>
        <v>0</v>
      </c>
      <c r="R93" t="str">
        <f ca="1">IF($Q93=1,SUM($Q$4:$Q93),"")</f>
        <v/>
      </c>
    </row>
    <row r="94" spans="1:18" ht="33.75" customHeight="1" x14ac:dyDescent="0.3">
      <c r="A94" s="2" t="s">
        <v>495</v>
      </c>
      <c r="B94" s="2" t="s">
        <v>148</v>
      </c>
      <c r="C94" s="3" t="s">
        <v>496</v>
      </c>
      <c r="D94" s="3" t="s">
        <v>14</v>
      </c>
      <c r="E94" s="2" t="s">
        <v>498</v>
      </c>
      <c r="F94" s="2" t="s">
        <v>30</v>
      </c>
      <c r="G94" s="5">
        <v>46051</v>
      </c>
      <c r="H94" s="5">
        <v>46142</v>
      </c>
      <c r="I94" s="4" t="s">
        <v>31</v>
      </c>
      <c r="J94" s="6">
        <f t="shared" si="5"/>
        <v>91</v>
      </c>
      <c r="K94" s="4" t="str">
        <f t="shared" ca="1" si="6"/>
        <v>-</v>
      </c>
      <c r="L94" s="7">
        <f t="shared" ca="1" si="8"/>
        <v>0</v>
      </c>
      <c r="M94" s="4" t="str">
        <f>IF($I94="Complete","Green",IF($H94="","Amber",IF($H94&lt;'[2]Read Me'!$B$4,"Red",IF($H94-'[2]Read Me'!$B$4&lt;=21,"Amber","Green"))))</f>
        <v>Red</v>
      </c>
      <c r="N94" s="3"/>
      <c r="O94" t="str">
        <f>IF($I94&lt;&gt;"Complete",IF(COUNTIFS($A$4:$A93,$A94,$B$4:$B93,$B94,$I$4:$I93,"&lt;&gt;Complete")=0,$A94&amp;"|"&amp;$B94,""),"")</f>
        <v/>
      </c>
      <c r="P94" t="str">
        <f ca="1">IF($K94="Yes",COUNTIFS($K$4:$K94,"Yes"),"")</f>
        <v/>
      </c>
      <c r="Q94">
        <f t="shared" ca="1" si="7"/>
        <v>0</v>
      </c>
      <c r="R94" t="str">
        <f ca="1">IF($Q94=1,SUM($Q$4:$Q94),"")</f>
        <v/>
      </c>
    </row>
    <row r="95" spans="1:18" ht="33.75" customHeight="1" x14ac:dyDescent="0.3">
      <c r="A95" s="2" t="s">
        <v>495</v>
      </c>
      <c r="B95" s="2" t="s">
        <v>148</v>
      </c>
      <c r="C95" s="3" t="s">
        <v>496</v>
      </c>
      <c r="D95" s="3" t="s">
        <v>34</v>
      </c>
      <c r="E95" s="2" t="s">
        <v>498</v>
      </c>
      <c r="F95" s="2"/>
      <c r="G95" s="5">
        <v>46058</v>
      </c>
      <c r="H95" s="5">
        <v>46161</v>
      </c>
      <c r="I95" s="4" t="s">
        <v>31</v>
      </c>
      <c r="J95" s="6">
        <f t="shared" si="5"/>
        <v>103</v>
      </c>
      <c r="K95" s="4" t="str">
        <f t="shared" ca="1" si="6"/>
        <v>-</v>
      </c>
      <c r="L95" s="7">
        <f t="shared" ca="1" si="8"/>
        <v>0</v>
      </c>
      <c r="M95" s="4" t="str">
        <f>IF($I95="Complete","Green",IF($H95="","Amber",IF($H95&lt;'[2]Read Me'!$B$4,"Red",IF($H95-'[2]Read Me'!$B$4&lt;=21,"Amber","Green"))))</f>
        <v>Red</v>
      </c>
      <c r="N95" s="3"/>
      <c r="O95" t="str">
        <f>IF($I95&lt;&gt;"Complete",IF(COUNTIFS($A$4:$A94,$A95,$B$4:$B94,$B95,$I$4:$I94,"&lt;&gt;Complete")=0,$A95&amp;"|"&amp;$B95,""),"")</f>
        <v/>
      </c>
      <c r="P95" t="str">
        <f ca="1">IF($K95="Yes",COUNTIFS($K$4:$K95,"Yes"),"")</f>
        <v/>
      </c>
      <c r="Q95">
        <f t="shared" ca="1" si="7"/>
        <v>0</v>
      </c>
      <c r="R95" t="str">
        <f ca="1">IF($Q95=1,SUM($Q$4:$Q95),"")</f>
        <v/>
      </c>
    </row>
    <row r="96" spans="1:18" ht="33.75" customHeight="1" x14ac:dyDescent="0.3">
      <c r="A96" s="2" t="s">
        <v>495</v>
      </c>
      <c r="B96" s="2" t="s">
        <v>148</v>
      </c>
      <c r="C96" s="3" t="s">
        <v>496</v>
      </c>
      <c r="D96" s="3" t="s">
        <v>15</v>
      </c>
      <c r="E96" s="2" t="s">
        <v>498</v>
      </c>
      <c r="F96" s="2" t="s">
        <v>30</v>
      </c>
      <c r="G96" s="5">
        <v>46079</v>
      </c>
      <c r="H96" s="5">
        <v>46208</v>
      </c>
      <c r="I96" s="4" t="s">
        <v>46</v>
      </c>
      <c r="J96" s="6">
        <f t="shared" si="5"/>
        <v>129</v>
      </c>
      <c r="K96" s="4" t="str">
        <f t="shared" ca="1" si="6"/>
        <v>Yes</v>
      </c>
      <c r="L96" s="7">
        <f t="shared" ca="1" si="8"/>
        <v>0</v>
      </c>
      <c r="M96" s="4" t="str">
        <f>IF($I96="Complete","Green",IF($H96="","Amber",IF($H96&lt;'[2]Read Me'!$B$4,"Red",IF($H96-'[2]Read Me'!$B$4&lt;=21,"Amber","Green"))))</f>
        <v>Amber</v>
      </c>
      <c r="N96" s="3"/>
      <c r="O96" t="str">
        <f>IF($I96&lt;&gt;"Complete",IF(COUNTIFS($A$4:$A95,$A96,$B$4:$B95,$B96,$I$4:$I95,"&lt;&gt;Complete")=0,$A96&amp;"|"&amp;$B96,""),"")</f>
        <v/>
      </c>
      <c r="P96">
        <f ca="1">IF($K96="Yes",COUNTIFS($K$4:$K96,"Yes"),"")</f>
        <v>2</v>
      </c>
      <c r="Q96">
        <f t="shared" ca="1" si="7"/>
        <v>1</v>
      </c>
      <c r="R96">
        <f ca="1">IF($Q96=1,SUM($Q$4:$Q96),"")</f>
        <v>2</v>
      </c>
    </row>
    <row r="97" spans="1:18" ht="33.75" customHeight="1" x14ac:dyDescent="0.3">
      <c r="A97" s="2" t="s">
        <v>495</v>
      </c>
      <c r="B97" s="2" t="s">
        <v>148</v>
      </c>
      <c r="C97" s="3" t="s">
        <v>496</v>
      </c>
      <c r="D97" s="3" t="s">
        <v>35</v>
      </c>
      <c r="E97" s="2" t="s">
        <v>498</v>
      </c>
      <c r="F97" s="2"/>
      <c r="G97" s="5">
        <v>46086</v>
      </c>
      <c r="H97" s="5">
        <v>46222</v>
      </c>
      <c r="I97" s="4" t="s">
        <v>17</v>
      </c>
      <c r="J97" s="6">
        <f t="shared" si="5"/>
        <v>136</v>
      </c>
      <c r="K97" s="4" t="str">
        <f t="shared" ca="1" si="6"/>
        <v>No</v>
      </c>
      <c r="L97" s="7">
        <f t="shared" ca="1" si="8"/>
        <v>14</v>
      </c>
      <c r="M97" s="4" t="str">
        <f>IF($I97="Complete","Green",IF($H97="","Amber",IF($H97&lt;'[2]Read Me'!$B$4,"Red",IF($H97-'[2]Read Me'!$B$4&lt;=21,"Amber","Green"))))</f>
        <v>Green</v>
      </c>
      <c r="N97" s="3"/>
      <c r="O97" t="str">
        <f>IF($I97&lt;&gt;"Complete",IF(COUNTIFS($A$4:$A96,$A97,$B$4:$B96,$B97,$I$4:$I96,"&lt;&gt;Complete")=0,$A97&amp;"|"&amp;$B97,""),"")</f>
        <v/>
      </c>
      <c r="P97" t="str">
        <f ca="1">IF($K97="Yes",COUNTIFS($K$4:$K97,"Yes"),"")</f>
        <v/>
      </c>
      <c r="Q97">
        <f t="shared" ca="1" si="7"/>
        <v>0</v>
      </c>
      <c r="R97" t="str">
        <f ca="1">IF($Q97=1,SUM($Q$4:$Q97),"")</f>
        <v/>
      </c>
    </row>
    <row r="98" spans="1:18" ht="33.75" customHeight="1" x14ac:dyDescent="0.3">
      <c r="A98" s="2" t="s">
        <v>495</v>
      </c>
      <c r="B98" s="2" t="s">
        <v>148</v>
      </c>
      <c r="C98" s="3" t="s">
        <v>496</v>
      </c>
      <c r="D98" s="3" t="s">
        <v>20</v>
      </c>
      <c r="E98" s="2" t="s">
        <v>498</v>
      </c>
      <c r="F98" s="2"/>
      <c r="G98" s="5">
        <v>46093</v>
      </c>
      <c r="H98" s="5">
        <v>46229</v>
      </c>
      <c r="I98" s="4" t="s">
        <v>17</v>
      </c>
      <c r="J98" s="6">
        <f t="shared" si="5"/>
        <v>136</v>
      </c>
      <c r="K98" s="4" t="str">
        <f t="shared" ca="1" si="6"/>
        <v>No</v>
      </c>
      <c r="L98" s="7">
        <f t="shared" ca="1" si="8"/>
        <v>21</v>
      </c>
      <c r="M98" s="4" t="str">
        <f>IF($I98="Complete","Green",IF($H98="","Amber",IF($H98&lt;'[2]Read Me'!$B$4,"Red",IF($H98-'[2]Read Me'!$B$4&lt;=21,"Amber","Green"))))</f>
        <v>Green</v>
      </c>
      <c r="N98" s="3"/>
      <c r="O98" t="str">
        <f>IF($I98&lt;&gt;"Complete",IF(COUNTIFS($A$4:$A97,$A98,$B$4:$B97,$B98,$I$4:$I97,"&lt;&gt;Complete")=0,$A98&amp;"|"&amp;$B98,""),"")</f>
        <v/>
      </c>
      <c r="P98" t="str">
        <f ca="1">IF($K98="Yes",COUNTIFS($K$4:$K98,"Yes"),"")</f>
        <v/>
      </c>
      <c r="Q98">
        <f t="shared" ca="1" si="7"/>
        <v>0</v>
      </c>
      <c r="R98" t="str">
        <f ca="1">IF($Q98=1,SUM($Q$4:$Q98),"")</f>
        <v/>
      </c>
    </row>
    <row r="99" spans="1:18" ht="33.75" customHeight="1" x14ac:dyDescent="0.3">
      <c r="A99" s="2" t="s">
        <v>495</v>
      </c>
      <c r="B99" s="2" t="s">
        <v>148</v>
      </c>
      <c r="C99" s="3" t="s">
        <v>496</v>
      </c>
      <c r="D99" s="3" t="s">
        <v>83</v>
      </c>
      <c r="E99" s="2" t="s">
        <v>498</v>
      </c>
      <c r="F99" s="2" t="s">
        <v>30</v>
      </c>
      <c r="G99" s="5">
        <v>46100</v>
      </c>
      <c r="H99" s="5">
        <v>46236</v>
      </c>
      <c r="I99" s="4" t="s">
        <v>17</v>
      </c>
      <c r="J99" s="6">
        <f t="shared" si="5"/>
        <v>136</v>
      </c>
      <c r="K99" s="4" t="str">
        <f t="shared" ca="1" si="6"/>
        <v>No</v>
      </c>
      <c r="L99" s="7">
        <f t="shared" ca="1" si="8"/>
        <v>28</v>
      </c>
      <c r="M99" s="4" t="str">
        <f>IF($I99="Complete","Green",IF($H99="","Amber",IF($H99&lt;'[2]Read Me'!$B$4,"Red",IF($H99-'[2]Read Me'!$B$4&lt;=21,"Amber","Green"))))</f>
        <v>Green</v>
      </c>
      <c r="N99" s="3"/>
      <c r="O99" t="str">
        <f>IF($I99&lt;&gt;"Complete",IF(COUNTIFS($A$4:$A98,$A99,$B$4:$B98,$B99,$I$4:$I98,"&lt;&gt;Complete")=0,$A99&amp;"|"&amp;$B99,""),"")</f>
        <v/>
      </c>
      <c r="P99" t="str">
        <f ca="1">IF($K99="Yes",COUNTIFS($K$4:$K99,"Yes"),"")</f>
        <v/>
      </c>
      <c r="Q99">
        <f t="shared" ca="1" si="7"/>
        <v>0</v>
      </c>
      <c r="R99" t="str">
        <f ca="1">IF($Q99=1,SUM($Q$4:$Q99),"")</f>
        <v/>
      </c>
    </row>
    <row r="100" spans="1:18" ht="33.75" customHeight="1" x14ac:dyDescent="0.3">
      <c r="A100" s="2" t="s">
        <v>495</v>
      </c>
      <c r="B100" s="2" t="s">
        <v>148</v>
      </c>
      <c r="C100" s="3" t="s">
        <v>496</v>
      </c>
      <c r="D100" s="3" t="s">
        <v>16</v>
      </c>
      <c r="E100" s="2" t="s">
        <v>498</v>
      </c>
      <c r="F100" s="2" t="s">
        <v>30</v>
      </c>
      <c r="G100" s="5">
        <v>46100</v>
      </c>
      <c r="H100" s="5">
        <v>46236</v>
      </c>
      <c r="I100" s="4" t="s">
        <v>17</v>
      </c>
      <c r="J100" s="6">
        <f t="shared" si="5"/>
        <v>136</v>
      </c>
      <c r="K100" s="4" t="str">
        <f t="shared" ca="1" si="6"/>
        <v>No</v>
      </c>
      <c r="L100" s="7">
        <f t="shared" ca="1" si="8"/>
        <v>28</v>
      </c>
      <c r="M100" s="4" t="str">
        <f>IF($I100="Complete","Green",IF($H100="","Amber",IF($H100&lt;'[2]Read Me'!$B$4,"Red",IF($H100-'[2]Read Me'!$B$4&lt;=21,"Amber","Green"))))</f>
        <v>Green</v>
      </c>
      <c r="N100" s="3"/>
      <c r="O100" t="str">
        <f>IF($I100&lt;&gt;"Complete",IF(COUNTIFS($A$4:$A99,$A100,$B$4:$B99,$B100,$I$4:$I99,"&lt;&gt;Complete")=0,$A100&amp;"|"&amp;$B100,""),"")</f>
        <v/>
      </c>
      <c r="P100" t="str">
        <f ca="1">IF($K100="Yes",COUNTIFS($K$4:$K100,"Yes"),"")</f>
        <v/>
      </c>
      <c r="Q100">
        <f t="shared" ca="1" si="7"/>
        <v>0</v>
      </c>
      <c r="R100" t="str">
        <f ca="1">IF($Q100=1,SUM($Q$4:$Q100),"")</f>
        <v/>
      </c>
    </row>
    <row r="101" spans="1:18" ht="33.75" customHeight="1" x14ac:dyDescent="0.3">
      <c r="A101" s="2" t="s">
        <v>495</v>
      </c>
      <c r="B101" s="2" t="s">
        <v>148</v>
      </c>
      <c r="C101" s="3" t="s">
        <v>496</v>
      </c>
      <c r="D101" s="3" t="s">
        <v>37</v>
      </c>
      <c r="E101" s="2" t="s">
        <v>498</v>
      </c>
      <c r="F101" s="2"/>
      <c r="G101" s="5">
        <v>46107</v>
      </c>
      <c r="H101" s="5">
        <v>46250</v>
      </c>
      <c r="I101" s="4" t="s">
        <v>17</v>
      </c>
      <c r="J101" s="6">
        <f t="shared" si="5"/>
        <v>143</v>
      </c>
      <c r="K101" s="4" t="str">
        <f t="shared" ca="1" si="6"/>
        <v>No</v>
      </c>
      <c r="L101" s="7">
        <f t="shared" ca="1" si="8"/>
        <v>42</v>
      </c>
      <c r="M101" s="4" t="str">
        <f>IF($I101="Complete","Green",IF($H101="","Amber",IF($H101&lt;'[2]Read Me'!$B$4,"Red",IF($H101-'[2]Read Me'!$B$4&lt;=21,"Amber","Green"))))</f>
        <v>Green</v>
      </c>
      <c r="N101" s="3"/>
      <c r="O101" t="str">
        <f>IF($I101&lt;&gt;"Complete",IF(COUNTIFS($A$4:$A100,$A101,$B$4:$B100,$B101,$I$4:$I100,"&lt;&gt;Complete")=0,$A101&amp;"|"&amp;$B101,""),"")</f>
        <v/>
      </c>
      <c r="P101" t="str">
        <f ca="1">IF($K101="Yes",COUNTIFS($K$4:$K101,"Yes"),"")</f>
        <v/>
      </c>
      <c r="Q101">
        <f t="shared" ca="1" si="7"/>
        <v>0</v>
      </c>
      <c r="R101" t="str">
        <f ca="1">IF($Q101=1,SUM($Q$4:$Q101),"")</f>
        <v/>
      </c>
    </row>
    <row r="102" spans="1:18" ht="33.75" customHeight="1" x14ac:dyDescent="0.3">
      <c r="A102" s="2" t="s">
        <v>495</v>
      </c>
      <c r="B102" s="2" t="s">
        <v>49</v>
      </c>
      <c r="C102" s="3"/>
      <c r="D102" s="3"/>
      <c r="E102" s="2"/>
      <c r="F102" s="2"/>
      <c r="G102" s="5">
        <v>46352</v>
      </c>
      <c r="H102" s="5">
        <v>46390</v>
      </c>
      <c r="I102" s="4"/>
      <c r="J102" s="6">
        <f t="shared" si="5"/>
        <v>38</v>
      </c>
      <c r="K102" s="4" t="str">
        <f t="shared" ca="1" si="6"/>
        <v/>
      </c>
      <c r="L102" s="7">
        <f t="shared" ca="1" si="8"/>
        <v>182</v>
      </c>
      <c r="M102" s="4" t="str">
        <f>IF($I102="Complete","Green",IF($H102="","Amber",IF($H102&lt;'[2]Read Me'!$B$4,"Red",IF($H102-'[2]Read Me'!$B$4&lt;=21,"Amber","Green"))))</f>
        <v>Green</v>
      </c>
      <c r="N102" s="3"/>
      <c r="O102" t="str">
        <f>IF($I102&lt;&gt;"Complete",IF(COUNTIFS($A$4:$A101,$A102,$B$4:$B101,$B102,$I$4:$I101,"&lt;&gt;Complete")=0,$A102&amp;"|"&amp;$B102,""),"")</f>
        <v>Ph.02 Community Club|Authorities</v>
      </c>
      <c r="P102" t="str">
        <f ca="1">IF($K102="Yes",COUNTIFS($K$4:$K102,"Yes"),"")</f>
        <v/>
      </c>
      <c r="Q102">
        <f t="shared" ca="1" si="7"/>
        <v>0</v>
      </c>
      <c r="R102" t="str">
        <f ca="1">IF($Q102=1,SUM($Q$4:$Q102),"")</f>
        <v/>
      </c>
    </row>
    <row r="103" spans="1:18" ht="33.75" customHeight="1" x14ac:dyDescent="0.3">
      <c r="A103" s="2" t="s">
        <v>495</v>
      </c>
      <c r="B103" s="2" t="s">
        <v>49</v>
      </c>
      <c r="C103" s="3" t="s">
        <v>502</v>
      </c>
      <c r="D103" s="3" t="s">
        <v>503</v>
      </c>
      <c r="E103" s="2" t="s">
        <v>104</v>
      </c>
      <c r="F103" s="2"/>
      <c r="G103" s="5">
        <v>46212</v>
      </c>
      <c r="H103" s="5">
        <v>46111</v>
      </c>
      <c r="I103" s="4" t="s">
        <v>31</v>
      </c>
      <c r="J103" s="6">
        <f t="shared" si="5"/>
        <v>-101</v>
      </c>
      <c r="K103" s="4" t="str">
        <f t="shared" ca="1" si="6"/>
        <v>-</v>
      </c>
      <c r="L103" s="7">
        <f t="shared" ca="1" si="8"/>
        <v>0</v>
      </c>
      <c r="M103" s="4" t="str">
        <f>IF($I103="Complete","Green",IF($H103="","Amber",IF($H103&lt;'[2]Read Me'!$B$4,"Red",IF($H103-'[2]Read Me'!$B$4&lt;=21,"Amber","Green"))))</f>
        <v>Red</v>
      </c>
      <c r="N103" s="3"/>
      <c r="O103" t="str">
        <f>IF($I103&lt;&gt;"Complete",IF(COUNTIFS($A$4:$A102,$A103,$B$4:$B102,$B103,$I$4:$I102,"&lt;&gt;Complete")=0,$A103&amp;"|"&amp;$B103,""),"")</f>
        <v/>
      </c>
      <c r="P103" t="str">
        <f ca="1">IF($K103="Yes",COUNTIFS($K$4:$K103,"Yes"),"")</f>
        <v/>
      </c>
      <c r="Q103">
        <f t="shared" ca="1" si="7"/>
        <v>0</v>
      </c>
      <c r="R103" t="str">
        <f ca="1">IF($Q103=1,SUM($Q$4:$Q103),"")</f>
        <v/>
      </c>
    </row>
    <row r="104" spans="1:18" ht="33.75" customHeight="1" x14ac:dyDescent="0.3">
      <c r="A104" s="2" t="s">
        <v>495</v>
      </c>
      <c r="B104" s="2" t="s">
        <v>49</v>
      </c>
      <c r="C104" s="3" t="s">
        <v>502</v>
      </c>
      <c r="D104" s="3" t="s">
        <v>288</v>
      </c>
      <c r="E104" s="2" t="s">
        <v>104</v>
      </c>
      <c r="F104" s="2"/>
      <c r="G104" s="5">
        <v>46240</v>
      </c>
      <c r="H104" s="5">
        <v>46278</v>
      </c>
      <c r="I104" s="4" t="s">
        <v>17</v>
      </c>
      <c r="J104" s="6">
        <f t="shared" si="5"/>
        <v>38</v>
      </c>
      <c r="K104" s="4" t="str">
        <f t="shared" ca="1" si="6"/>
        <v>No</v>
      </c>
      <c r="L104" s="7">
        <f t="shared" ca="1" si="8"/>
        <v>70</v>
      </c>
      <c r="M104" s="4" t="str">
        <f>IF($I104="Complete","Green",IF($H104="","Amber",IF($H104&lt;'[2]Read Me'!$B$4,"Red",IF($H104-'[2]Read Me'!$B$4&lt;=21,"Amber","Green"))))</f>
        <v>Green</v>
      </c>
      <c r="N104" s="3"/>
      <c r="O104" t="str">
        <f>IF($I104&lt;&gt;"Complete",IF(COUNTIFS($A$4:$A103,$A104,$B$4:$B103,$B104,$I$4:$I103,"&lt;&gt;Complete")=0,$A104&amp;"|"&amp;$B104,""),"")</f>
        <v/>
      </c>
      <c r="P104" t="str">
        <f ca="1">IF($K104="Yes",COUNTIFS($K$4:$K104,"Yes"),"")</f>
        <v/>
      </c>
      <c r="Q104">
        <f t="shared" ca="1" si="7"/>
        <v>0</v>
      </c>
      <c r="R104" t="str">
        <f ca="1">IF($Q104=1,SUM($Q$4:$Q104),"")</f>
        <v/>
      </c>
    </row>
    <row r="105" spans="1:18" ht="33.75" customHeight="1" x14ac:dyDescent="0.3">
      <c r="A105" s="2" t="s">
        <v>495</v>
      </c>
      <c r="B105" s="2" t="s">
        <v>49</v>
      </c>
      <c r="C105" s="3" t="s">
        <v>502</v>
      </c>
      <c r="D105" s="3" t="s">
        <v>51</v>
      </c>
      <c r="E105" s="2" t="s">
        <v>104</v>
      </c>
      <c r="F105" s="2"/>
      <c r="G105" s="5">
        <v>46268</v>
      </c>
      <c r="H105" s="5">
        <v>46306</v>
      </c>
      <c r="I105" s="4" t="s">
        <v>17</v>
      </c>
      <c r="J105" s="6">
        <f t="shared" si="5"/>
        <v>38</v>
      </c>
      <c r="K105" s="4" t="str">
        <f t="shared" ca="1" si="6"/>
        <v>No</v>
      </c>
      <c r="L105" s="7">
        <f t="shared" ca="1" si="8"/>
        <v>98</v>
      </c>
      <c r="M105" s="4" t="str">
        <f>IF($I105="Complete","Green",IF($H105="","Amber",IF($H105&lt;'[2]Read Me'!$B$4,"Red",IF($H105-'[2]Read Me'!$B$4&lt;=21,"Amber","Green"))))</f>
        <v>Green</v>
      </c>
      <c r="N105" s="3"/>
      <c r="O105" t="str">
        <f>IF($I105&lt;&gt;"Complete",IF(COUNTIFS($A$4:$A104,$A105,$B$4:$B104,$B105,$I$4:$I104,"&lt;&gt;Complete")=0,$A105&amp;"|"&amp;$B105,""),"")</f>
        <v/>
      </c>
      <c r="P105" t="str">
        <f ca="1">IF($K105="Yes",COUNTIFS($K$4:$K105,"Yes"),"")</f>
        <v/>
      </c>
      <c r="Q105">
        <f t="shared" ca="1" si="7"/>
        <v>0</v>
      </c>
      <c r="R105" t="str">
        <f ca="1">IF($Q105=1,SUM($Q$4:$Q105),"")</f>
        <v/>
      </c>
    </row>
    <row r="106" spans="1:18" ht="22.5" customHeight="1" x14ac:dyDescent="0.3">
      <c r="A106" s="2" t="s">
        <v>495</v>
      </c>
      <c r="B106" s="2" t="s">
        <v>49</v>
      </c>
      <c r="C106" s="3" t="s">
        <v>502</v>
      </c>
      <c r="D106" s="3" t="s">
        <v>413</v>
      </c>
      <c r="E106" s="2" t="s">
        <v>104</v>
      </c>
      <c r="F106" s="2"/>
      <c r="G106" s="5">
        <v>46352</v>
      </c>
      <c r="H106" s="5">
        <v>46390</v>
      </c>
      <c r="I106" s="4" t="s">
        <v>17</v>
      </c>
      <c r="J106" s="6">
        <f t="shared" si="5"/>
        <v>38</v>
      </c>
      <c r="K106" s="4" t="str">
        <f t="shared" ca="1" si="6"/>
        <v>No</v>
      </c>
      <c r="L106" s="7">
        <f t="shared" ca="1" si="8"/>
        <v>182</v>
      </c>
      <c r="M106" s="4" t="str">
        <f>IF($I106="Complete","Green",IF($H106="","Amber",IF($H106&lt;'[2]Read Me'!$B$4,"Red",IF($H106-'[2]Read Me'!$B$4&lt;=21,"Amber","Green"))))</f>
        <v>Green</v>
      </c>
      <c r="N106" s="3"/>
      <c r="O106" t="str">
        <f>IF($I106&lt;&gt;"Complete",IF(COUNTIFS($A$4:$A105,$A106,$B$4:$B105,$B106,$I$4:$I105,"&lt;&gt;Complete")=0,$A106&amp;"|"&amp;$B106,""),"")</f>
        <v/>
      </c>
      <c r="P106" t="str">
        <f ca="1">IF($K106="Yes",COUNTIFS($K$4:$K106,"Yes"),"")</f>
        <v/>
      </c>
      <c r="Q106">
        <f t="shared" ca="1" si="7"/>
        <v>0</v>
      </c>
      <c r="R106" t="str">
        <f ca="1">IF($Q106=1,SUM($Q$4:$Q106),"")</f>
        <v/>
      </c>
    </row>
    <row r="107" spans="1:18" ht="22.5" customHeight="1" x14ac:dyDescent="0.3">
      <c r="A107" s="2" t="s">
        <v>504</v>
      </c>
      <c r="B107" s="2" t="s">
        <v>62</v>
      </c>
      <c r="C107" s="3"/>
      <c r="D107" s="3"/>
      <c r="E107" s="2"/>
      <c r="F107" s="2"/>
      <c r="G107" s="5">
        <v>46302.1</v>
      </c>
      <c r="H107" s="5">
        <v>46398</v>
      </c>
      <c r="I107" s="4"/>
      <c r="J107" s="6">
        <f t="shared" si="5"/>
        <v>95.900000000001455</v>
      </c>
      <c r="K107" s="4" t="str">
        <f t="shared" ca="1" si="6"/>
        <v/>
      </c>
      <c r="L107" s="7">
        <f t="shared" ca="1" si="8"/>
        <v>190</v>
      </c>
      <c r="M107" s="4" t="str">
        <f>IF($I107="Complete","Green",IF($H107="","Amber",IF($H107&lt;'[2]Read Me'!$B$4,"Red",IF($H107-'[2]Read Me'!$B$4&lt;=21,"Amber","Green"))))</f>
        <v>Green</v>
      </c>
      <c r="N107" s="3"/>
      <c r="O107" t="str">
        <f>IF($I107&lt;&gt;"Complete",IF(COUNTIFS($A$4:$A106,$A107,$B$4:$B106,$B107,$I$4:$I106,"&lt;&gt;Complete")=0,$A107&amp;"|"&amp;$B107,""),"")</f>
        <v>Commercial|Buildings</v>
      </c>
      <c r="P107" t="str">
        <f ca="1">IF($K107="Yes",COUNTIFS($K$4:$K107,"Yes"),"")</f>
        <v/>
      </c>
      <c r="Q107">
        <f t="shared" ca="1" si="7"/>
        <v>0</v>
      </c>
      <c r="R107" t="str">
        <f ca="1">IF($Q107=1,SUM($Q$4:$Q107),"")</f>
        <v/>
      </c>
    </row>
    <row r="108" spans="1:18" ht="22.5" customHeight="1" x14ac:dyDescent="0.3">
      <c r="A108" s="2" t="s">
        <v>504</v>
      </c>
      <c r="B108" s="2" t="s">
        <v>62</v>
      </c>
      <c r="C108" s="3" t="s">
        <v>505</v>
      </c>
      <c r="D108" s="3" t="s">
        <v>151</v>
      </c>
      <c r="E108" s="2" t="s">
        <v>506</v>
      </c>
      <c r="F108" s="2"/>
      <c r="G108" s="5">
        <v>45978</v>
      </c>
      <c r="H108" s="5">
        <v>45978</v>
      </c>
      <c r="I108" s="4" t="s">
        <v>31</v>
      </c>
      <c r="J108" s="6">
        <f t="shared" si="5"/>
        <v>0</v>
      </c>
      <c r="K108" s="4" t="str">
        <f t="shared" ca="1" si="6"/>
        <v>-</v>
      </c>
      <c r="L108" s="7">
        <f t="shared" ca="1" si="8"/>
        <v>0</v>
      </c>
      <c r="M108" s="4" t="str">
        <f>IF($I108="Complete","Green",IF($H108="","Amber",IF($H108&lt;'[2]Read Me'!$B$4,"Red",IF($H108-'[2]Read Me'!$B$4&lt;=21,"Amber","Green"))))</f>
        <v>Red</v>
      </c>
      <c r="N108" s="3"/>
      <c r="O108" t="str">
        <f>IF($I108&lt;&gt;"Complete",IF(COUNTIFS($A$4:$A107,$A108,$B$4:$B107,$B108,$I$4:$I107,"&lt;&gt;Complete")=0,$A108&amp;"|"&amp;$B108,""),"")</f>
        <v/>
      </c>
      <c r="P108" t="str">
        <f ca="1">IF($K108="Yes",COUNTIFS($K$4:$K108,"Yes"),"")</f>
        <v/>
      </c>
      <c r="Q108">
        <f t="shared" ca="1" si="7"/>
        <v>0</v>
      </c>
      <c r="R108" t="str">
        <f ca="1">IF($Q108=1,SUM($Q$4:$Q108),"")</f>
        <v/>
      </c>
    </row>
    <row r="109" spans="1:18" ht="22.5" customHeight="1" x14ac:dyDescent="0.3">
      <c r="A109" s="2" t="s">
        <v>504</v>
      </c>
      <c r="B109" s="2" t="s">
        <v>62</v>
      </c>
      <c r="C109" s="3" t="s">
        <v>505</v>
      </c>
      <c r="D109" s="3" t="s">
        <v>507</v>
      </c>
      <c r="E109" s="2" t="s">
        <v>506</v>
      </c>
      <c r="F109" s="2"/>
      <c r="G109" s="5">
        <v>46015.1</v>
      </c>
      <c r="H109" s="5">
        <v>46015.1</v>
      </c>
      <c r="I109" s="4" t="s">
        <v>31</v>
      </c>
      <c r="J109" s="6">
        <f t="shared" si="5"/>
        <v>0</v>
      </c>
      <c r="K109" s="4" t="str">
        <f t="shared" ca="1" si="6"/>
        <v>-</v>
      </c>
      <c r="L109" s="7">
        <f t="shared" ca="1" si="8"/>
        <v>0</v>
      </c>
      <c r="M109" s="4" t="str">
        <f>IF($I109="Complete","Green",IF($H109="","Amber",IF($H109&lt;'[2]Read Me'!$B$4,"Red",IF($H109-'[2]Read Me'!$B$4&lt;=21,"Amber","Green"))))</f>
        <v>Red</v>
      </c>
      <c r="N109" s="3"/>
      <c r="O109" t="str">
        <f>IF($I109&lt;&gt;"Complete",IF(COUNTIFS($A$4:$A108,$A109,$B$4:$B108,$B109,$I$4:$I108,"&lt;&gt;Complete")=0,$A109&amp;"|"&amp;$B109,""),"")</f>
        <v/>
      </c>
      <c r="P109" t="str">
        <f ca="1">IF($K109="Yes",COUNTIFS($K$4:$K109,"Yes"),"")</f>
        <v/>
      </c>
      <c r="Q109">
        <f t="shared" ca="1" si="7"/>
        <v>0</v>
      </c>
      <c r="R109" t="str">
        <f ca="1">IF($Q109=1,SUM($Q$4:$Q109),"")</f>
        <v/>
      </c>
    </row>
    <row r="110" spans="1:18" ht="22.5" customHeight="1" x14ac:dyDescent="0.3">
      <c r="A110" s="2" t="s">
        <v>504</v>
      </c>
      <c r="B110" s="2" t="s">
        <v>62</v>
      </c>
      <c r="C110" s="3" t="s">
        <v>505</v>
      </c>
      <c r="D110" s="3" t="s">
        <v>508</v>
      </c>
      <c r="E110" s="2" t="s">
        <v>506</v>
      </c>
      <c r="F110" s="2"/>
      <c r="G110" s="5">
        <v>46015.1</v>
      </c>
      <c r="H110" s="5">
        <v>46015.1</v>
      </c>
      <c r="I110" s="4" t="s">
        <v>31</v>
      </c>
      <c r="J110" s="6">
        <f t="shared" si="5"/>
        <v>0</v>
      </c>
      <c r="K110" s="4" t="str">
        <f t="shared" ca="1" si="6"/>
        <v>-</v>
      </c>
      <c r="L110" s="7">
        <f t="shared" ca="1" si="8"/>
        <v>0</v>
      </c>
      <c r="M110" s="4" t="str">
        <f>IF($I110="Complete","Green",IF($H110="","Amber",IF($H110&lt;'[2]Read Me'!$B$4,"Red",IF($H110-'[2]Read Me'!$B$4&lt;=21,"Amber","Green"))))</f>
        <v>Red</v>
      </c>
      <c r="N110" s="3"/>
      <c r="O110" t="str">
        <f>IF($I110&lt;&gt;"Complete",IF(COUNTIFS($A$4:$A109,$A110,$B$4:$B109,$B110,$I$4:$I109,"&lt;&gt;Complete")=0,$A110&amp;"|"&amp;$B110,""),"")</f>
        <v/>
      </c>
      <c r="P110" t="str">
        <f ca="1">IF($K110="Yes",COUNTIFS($K$4:$K110,"Yes"),"")</f>
        <v/>
      </c>
      <c r="Q110">
        <f t="shared" ca="1" si="7"/>
        <v>0</v>
      </c>
      <c r="R110" t="str">
        <f ca="1">IF($Q110=1,SUM($Q$4:$Q110),"")</f>
        <v/>
      </c>
    </row>
    <row r="111" spans="1:18" ht="22.5" customHeight="1" x14ac:dyDescent="0.3">
      <c r="A111" s="2" t="s">
        <v>504</v>
      </c>
      <c r="B111" s="2" t="s">
        <v>62</v>
      </c>
      <c r="C111" s="3" t="s">
        <v>505</v>
      </c>
      <c r="D111" s="3" t="s">
        <v>509</v>
      </c>
      <c r="E111" s="2" t="s">
        <v>506</v>
      </c>
      <c r="F111" s="2" t="s">
        <v>510</v>
      </c>
      <c r="G111" s="5">
        <v>46036.1</v>
      </c>
      <c r="H111" s="5">
        <v>46036.1</v>
      </c>
      <c r="I111" s="4" t="s">
        <v>31</v>
      </c>
      <c r="J111" s="6">
        <f t="shared" si="5"/>
        <v>0</v>
      </c>
      <c r="K111" s="4" t="str">
        <f t="shared" ca="1" si="6"/>
        <v>-</v>
      </c>
      <c r="L111" s="7">
        <f t="shared" ca="1" si="8"/>
        <v>0</v>
      </c>
      <c r="M111" s="4" t="str">
        <f>IF($I111="Complete","Green",IF($H111="","Amber",IF($H111&lt;'[2]Read Me'!$B$4,"Red",IF($H111-'[2]Read Me'!$B$4&lt;=21,"Amber","Green"))))</f>
        <v>Red</v>
      </c>
      <c r="N111" s="3"/>
      <c r="O111" t="str">
        <f>IF($I111&lt;&gt;"Complete",IF(COUNTIFS($A$4:$A110,$A111,$B$4:$B110,$B111,$I$4:$I110,"&lt;&gt;Complete")=0,$A111&amp;"|"&amp;$B111,""),"")</f>
        <v/>
      </c>
      <c r="P111" t="str">
        <f ca="1">IF($K111="Yes",COUNTIFS($K$4:$K111,"Yes"),"")</f>
        <v/>
      </c>
      <c r="Q111">
        <f t="shared" ca="1" si="7"/>
        <v>0</v>
      </c>
      <c r="R111" t="str">
        <f ca="1">IF($Q111=1,SUM($Q$4:$Q111),"")</f>
        <v/>
      </c>
    </row>
    <row r="112" spans="1:18" ht="22.5" customHeight="1" x14ac:dyDescent="0.3">
      <c r="A112" s="2" t="s">
        <v>504</v>
      </c>
      <c r="B112" s="2" t="s">
        <v>62</v>
      </c>
      <c r="C112" s="3" t="s">
        <v>505</v>
      </c>
      <c r="D112" s="3" t="s">
        <v>235</v>
      </c>
      <c r="E112" s="2" t="s">
        <v>506</v>
      </c>
      <c r="F112" s="2"/>
      <c r="G112" s="5">
        <v>46050.1</v>
      </c>
      <c r="H112" s="5">
        <v>46068</v>
      </c>
      <c r="I112" s="4" t="s">
        <v>31</v>
      </c>
      <c r="J112" s="6">
        <f t="shared" si="5"/>
        <v>17.900000000001455</v>
      </c>
      <c r="K112" s="4" t="str">
        <f t="shared" ca="1" si="6"/>
        <v>-</v>
      </c>
      <c r="L112" s="7">
        <f t="shared" ca="1" si="8"/>
        <v>0</v>
      </c>
      <c r="M112" s="4" t="str">
        <f>IF($I112="Complete","Green",IF($H112="","Amber",IF($H112&lt;'[2]Read Me'!$B$4,"Red",IF($H112-'[2]Read Me'!$B$4&lt;=21,"Amber","Green"))))</f>
        <v>Red</v>
      </c>
      <c r="N112" s="3"/>
      <c r="O112" t="str">
        <f>IF($I112&lt;&gt;"Complete",IF(COUNTIFS($A$4:$A111,$A112,$B$4:$B111,$B112,$I$4:$I111,"&lt;&gt;Complete")=0,$A112&amp;"|"&amp;$B112,""),"")</f>
        <v/>
      </c>
      <c r="P112" t="str">
        <f ca="1">IF($K112="Yes",COUNTIFS($K$4:$K112,"Yes"),"")</f>
        <v/>
      </c>
      <c r="Q112">
        <f t="shared" ca="1" si="7"/>
        <v>0</v>
      </c>
      <c r="R112" t="str">
        <f ca="1">IF($Q112=1,SUM($Q$4:$Q112),"")</f>
        <v/>
      </c>
    </row>
    <row r="113" spans="1:18" ht="22.5" customHeight="1" x14ac:dyDescent="0.3">
      <c r="A113" s="2" t="s">
        <v>504</v>
      </c>
      <c r="B113" s="2" t="s">
        <v>62</v>
      </c>
      <c r="C113" s="3" t="s">
        <v>505</v>
      </c>
      <c r="D113" s="3" t="s">
        <v>97</v>
      </c>
      <c r="E113" s="2" t="s">
        <v>506</v>
      </c>
      <c r="F113" s="2" t="s">
        <v>510</v>
      </c>
      <c r="G113" s="5">
        <v>46071.1</v>
      </c>
      <c r="H113" s="5">
        <v>46119</v>
      </c>
      <c r="I113" s="4" t="s">
        <v>31</v>
      </c>
      <c r="J113" s="6">
        <f t="shared" si="5"/>
        <v>47.900000000001455</v>
      </c>
      <c r="K113" s="4" t="str">
        <f t="shared" ca="1" si="6"/>
        <v>-</v>
      </c>
      <c r="L113" s="7">
        <f t="shared" ca="1" si="8"/>
        <v>0</v>
      </c>
      <c r="M113" s="4" t="str">
        <f>IF($I113="Complete","Green",IF($H113="","Amber",IF($H113&lt;'[2]Read Me'!$B$4,"Red",IF($H113-'[2]Read Me'!$B$4&lt;=21,"Amber","Green"))))</f>
        <v>Red</v>
      </c>
      <c r="N113" s="3"/>
      <c r="O113" t="str">
        <f>IF($I113&lt;&gt;"Complete",IF(COUNTIFS($A$4:$A112,$A113,$B$4:$B112,$B113,$I$4:$I112,"&lt;&gt;Complete")=0,$A113&amp;"|"&amp;$B113,""),"")</f>
        <v/>
      </c>
      <c r="P113" t="str">
        <f ca="1">IF($K113="Yes",COUNTIFS($K$4:$K113,"Yes"),"")</f>
        <v/>
      </c>
      <c r="Q113">
        <f t="shared" ca="1" si="7"/>
        <v>0</v>
      </c>
      <c r="R113" t="str">
        <f ca="1">IF($Q113=1,SUM($Q$4:$Q113),"")</f>
        <v/>
      </c>
    </row>
    <row r="114" spans="1:18" ht="22.5" customHeight="1" x14ac:dyDescent="0.3">
      <c r="A114" s="2" t="s">
        <v>504</v>
      </c>
      <c r="B114" s="2" t="s">
        <v>62</v>
      </c>
      <c r="C114" s="3" t="s">
        <v>505</v>
      </c>
      <c r="D114" s="3" t="s">
        <v>70</v>
      </c>
      <c r="E114" s="2" t="s">
        <v>506</v>
      </c>
      <c r="F114" s="2"/>
      <c r="G114" s="5">
        <v>46085.1</v>
      </c>
      <c r="H114" s="5">
        <v>46126</v>
      </c>
      <c r="I114" s="4" t="s">
        <v>31</v>
      </c>
      <c r="J114" s="6">
        <f t="shared" si="5"/>
        <v>40.900000000001455</v>
      </c>
      <c r="K114" s="4" t="str">
        <f t="shared" ca="1" si="6"/>
        <v>-</v>
      </c>
      <c r="L114" s="7">
        <f t="shared" ca="1" si="8"/>
        <v>0</v>
      </c>
      <c r="M114" s="4" t="str">
        <f>IF($I114="Complete","Green",IF($H114="","Amber",IF($H114&lt;'[2]Read Me'!$B$4,"Red",IF($H114-'[2]Read Me'!$B$4&lt;=21,"Amber","Green"))))</f>
        <v>Red</v>
      </c>
      <c r="N114" s="3"/>
      <c r="O114" t="str">
        <f>IF($I114&lt;&gt;"Complete",IF(COUNTIFS($A$4:$A113,$A114,$B$4:$B113,$B114,$I$4:$I113,"&lt;&gt;Complete")=0,$A114&amp;"|"&amp;$B114,""),"")</f>
        <v/>
      </c>
      <c r="P114" t="str">
        <f ca="1">IF($K114="Yes",COUNTIFS($K$4:$K114,"Yes"),"")</f>
        <v/>
      </c>
      <c r="Q114">
        <f t="shared" ca="1" si="7"/>
        <v>0</v>
      </c>
      <c r="R114" t="str">
        <f ca="1">IF($Q114=1,SUM($Q$4:$Q114),"")</f>
        <v/>
      </c>
    </row>
    <row r="115" spans="1:18" ht="22.5" customHeight="1" x14ac:dyDescent="0.3">
      <c r="A115" s="2" t="s">
        <v>504</v>
      </c>
      <c r="B115" s="2" t="s">
        <v>62</v>
      </c>
      <c r="C115" s="3" t="s">
        <v>505</v>
      </c>
      <c r="D115" s="3" t="s">
        <v>98</v>
      </c>
      <c r="E115" s="2" t="s">
        <v>506</v>
      </c>
      <c r="F115" s="2" t="s">
        <v>510</v>
      </c>
      <c r="G115" s="5">
        <v>46099.1</v>
      </c>
      <c r="H115" s="5">
        <v>46208</v>
      </c>
      <c r="I115" s="4" t="s">
        <v>46</v>
      </c>
      <c r="J115" s="6">
        <f t="shared" si="5"/>
        <v>108.90000000000146</v>
      </c>
      <c r="K115" s="4" t="str">
        <f t="shared" ca="1" si="6"/>
        <v>Yes</v>
      </c>
      <c r="L115" s="7">
        <f t="shared" ca="1" si="8"/>
        <v>0</v>
      </c>
      <c r="M115" s="4" t="str">
        <f>IF($I115="Complete","Green",IF($H115="","Amber",IF($H115&lt;'[2]Read Me'!$B$4,"Red",IF($H115-'[2]Read Me'!$B$4&lt;=21,"Amber","Green"))))</f>
        <v>Amber</v>
      </c>
      <c r="N115" s="3"/>
      <c r="O115" t="str">
        <f>IF($I115&lt;&gt;"Complete",IF(COUNTIFS($A$4:$A114,$A115,$B$4:$B114,$B115,$I$4:$I114,"&lt;&gt;Complete")=0,$A115&amp;"|"&amp;$B115,""),"")</f>
        <v/>
      </c>
      <c r="P115">
        <f ca="1">IF($K115="Yes",COUNTIFS($K$4:$K115,"Yes"),"")</f>
        <v>3</v>
      </c>
      <c r="Q115">
        <f t="shared" ca="1" si="7"/>
        <v>1</v>
      </c>
      <c r="R115">
        <f ca="1">IF($Q115=1,SUM($Q$4:$Q115),"")</f>
        <v>3</v>
      </c>
    </row>
    <row r="116" spans="1:18" ht="22.5" customHeight="1" x14ac:dyDescent="0.3">
      <c r="A116" s="2" t="s">
        <v>504</v>
      </c>
      <c r="B116" s="2" t="s">
        <v>62</v>
      </c>
      <c r="C116" s="3" t="s">
        <v>505</v>
      </c>
      <c r="D116" s="3" t="s">
        <v>47</v>
      </c>
      <c r="E116" s="2" t="s">
        <v>506</v>
      </c>
      <c r="F116" s="2"/>
      <c r="G116" s="5">
        <v>46113.1</v>
      </c>
      <c r="H116" s="5">
        <v>46215</v>
      </c>
      <c r="I116" s="4" t="s">
        <v>17</v>
      </c>
      <c r="J116" s="6">
        <f t="shared" si="5"/>
        <v>101.90000000000146</v>
      </c>
      <c r="K116" s="4" t="str">
        <f t="shared" ca="1" si="6"/>
        <v>No</v>
      </c>
      <c r="L116" s="7">
        <f t="shared" ca="1" si="8"/>
        <v>7</v>
      </c>
      <c r="M116" s="4" t="str">
        <f>IF($I116="Complete","Green",IF($H116="","Amber",IF($H116&lt;'[2]Read Me'!$B$4,"Red",IF($H116-'[2]Read Me'!$B$4&lt;=21,"Amber","Green"))))</f>
        <v>Green</v>
      </c>
      <c r="N116" s="3"/>
      <c r="O116" t="str">
        <f>IF($I116&lt;&gt;"Complete",IF(COUNTIFS($A$4:$A115,$A116,$B$4:$B115,$B116,$I$4:$I115,"&lt;&gt;Complete")=0,$A116&amp;"|"&amp;$B116,""),"")</f>
        <v/>
      </c>
      <c r="P116" t="str">
        <f ca="1">IF($K116="Yes",COUNTIFS($K$4:$K116,"Yes"),"")</f>
        <v/>
      </c>
      <c r="Q116">
        <f t="shared" ca="1" si="7"/>
        <v>0</v>
      </c>
      <c r="R116" t="str">
        <f ca="1">IF($Q116=1,SUM($Q$4:$Q116),"")</f>
        <v/>
      </c>
    </row>
    <row r="117" spans="1:18" ht="22.5" customHeight="1" x14ac:dyDescent="0.3">
      <c r="A117" s="2" t="s">
        <v>504</v>
      </c>
      <c r="B117" s="2" t="s">
        <v>62</v>
      </c>
      <c r="C117" s="3" t="s">
        <v>505</v>
      </c>
      <c r="D117" s="3" t="s">
        <v>511</v>
      </c>
      <c r="E117" s="2" t="s">
        <v>506</v>
      </c>
      <c r="F117" s="2"/>
      <c r="G117" s="5">
        <v>46127.1</v>
      </c>
      <c r="H117" s="5">
        <v>46181</v>
      </c>
      <c r="I117" s="4" t="s">
        <v>31</v>
      </c>
      <c r="J117" s="6">
        <f t="shared" si="5"/>
        <v>53.900000000001455</v>
      </c>
      <c r="K117" s="4" t="str">
        <f t="shared" ca="1" si="6"/>
        <v>-</v>
      </c>
      <c r="L117" s="7">
        <f t="shared" ca="1" si="8"/>
        <v>0</v>
      </c>
      <c r="M117" s="4" t="str">
        <f>IF($I117="Complete","Green",IF($H117="","Amber",IF($H117&lt;'[2]Read Me'!$B$4,"Red",IF($H117-'[2]Read Me'!$B$4&lt;=21,"Amber","Green"))))</f>
        <v>Red</v>
      </c>
      <c r="N117" s="3"/>
      <c r="O117" t="str">
        <f>IF($I117&lt;&gt;"Complete",IF(COUNTIFS($A$4:$A116,$A117,$B$4:$B116,$B117,$I$4:$I116,"&lt;&gt;Complete")=0,$A117&amp;"|"&amp;$B117,""),"")</f>
        <v/>
      </c>
      <c r="P117" t="str">
        <f ca="1">IF($K117="Yes",COUNTIFS($K$4:$K117,"Yes"),"")</f>
        <v/>
      </c>
      <c r="Q117">
        <f t="shared" ca="1" si="7"/>
        <v>0</v>
      </c>
      <c r="R117" t="str">
        <f ca="1">IF($Q117=1,SUM($Q$4:$Q117),"")</f>
        <v/>
      </c>
    </row>
    <row r="118" spans="1:18" ht="22.5" customHeight="1" x14ac:dyDescent="0.3">
      <c r="A118" s="2" t="s">
        <v>504</v>
      </c>
      <c r="B118" s="2" t="s">
        <v>62</v>
      </c>
      <c r="C118" s="3" t="s">
        <v>505</v>
      </c>
      <c r="D118" s="3" t="s">
        <v>512</v>
      </c>
      <c r="E118" s="2" t="s">
        <v>506</v>
      </c>
      <c r="F118" s="2"/>
      <c r="G118" s="5">
        <v>46127.1</v>
      </c>
      <c r="H118" s="5">
        <v>46181</v>
      </c>
      <c r="I118" s="4" t="s">
        <v>31</v>
      </c>
      <c r="J118" s="6">
        <f t="shared" si="5"/>
        <v>53.900000000001455</v>
      </c>
      <c r="K118" s="4" t="str">
        <f t="shared" ca="1" si="6"/>
        <v>-</v>
      </c>
      <c r="L118" s="7">
        <f t="shared" ca="1" si="8"/>
        <v>0</v>
      </c>
      <c r="M118" s="4" t="str">
        <f>IF($I118="Complete","Green",IF($H118="","Amber",IF($H118&lt;'[2]Read Me'!$B$4,"Red",IF($H118-'[2]Read Me'!$B$4&lt;=21,"Amber","Green"))))</f>
        <v>Red</v>
      </c>
      <c r="N118" s="3"/>
      <c r="O118" t="str">
        <f>IF($I118&lt;&gt;"Complete",IF(COUNTIFS($A$4:$A117,$A118,$B$4:$B117,$B118,$I$4:$I117,"&lt;&gt;Complete")=0,$A118&amp;"|"&amp;$B118,""),"")</f>
        <v/>
      </c>
      <c r="P118" t="str">
        <f ca="1">IF($K118="Yes",COUNTIFS($K$4:$K118,"Yes"),"")</f>
        <v/>
      </c>
      <c r="Q118">
        <f t="shared" ca="1" si="7"/>
        <v>0</v>
      </c>
      <c r="R118" t="str">
        <f ca="1">IF($Q118=1,SUM($Q$4:$Q118),"")</f>
        <v/>
      </c>
    </row>
    <row r="119" spans="1:18" ht="22.5" customHeight="1" x14ac:dyDescent="0.3">
      <c r="A119" s="2" t="s">
        <v>504</v>
      </c>
      <c r="B119" s="2" t="s">
        <v>62</v>
      </c>
      <c r="C119" s="3" t="s">
        <v>505</v>
      </c>
      <c r="D119" s="3" t="s">
        <v>133</v>
      </c>
      <c r="E119" s="2"/>
      <c r="F119" s="2" t="s">
        <v>510</v>
      </c>
      <c r="G119" s="5">
        <v>46134.1</v>
      </c>
      <c r="H119" s="5">
        <v>46237</v>
      </c>
      <c r="I119" s="4" t="s">
        <v>17</v>
      </c>
      <c r="J119" s="6">
        <f t="shared" si="5"/>
        <v>102.90000000000146</v>
      </c>
      <c r="K119" s="4" t="str">
        <f t="shared" ca="1" si="6"/>
        <v>No</v>
      </c>
      <c r="L119" s="7">
        <f t="shared" ca="1" si="8"/>
        <v>29</v>
      </c>
      <c r="M119" s="4" t="str">
        <f>IF($I119="Complete","Green",IF($H119="","Amber",IF($H119&lt;'[2]Read Me'!$B$4,"Red",IF($H119-'[2]Read Me'!$B$4&lt;=21,"Amber","Green"))))</f>
        <v>Green</v>
      </c>
      <c r="N119" s="3"/>
      <c r="O119" t="str">
        <f>IF($I119&lt;&gt;"Complete",IF(COUNTIFS($A$4:$A118,$A119,$B$4:$B118,$B119,$I$4:$I118,"&lt;&gt;Complete")=0,$A119&amp;"|"&amp;$B119,""),"")</f>
        <v/>
      </c>
      <c r="P119" t="str">
        <f ca="1">IF($K119="Yes",COUNTIFS($K$4:$K119,"Yes"),"")</f>
        <v/>
      </c>
      <c r="Q119">
        <f t="shared" ca="1" si="7"/>
        <v>0</v>
      </c>
      <c r="R119" t="str">
        <f ca="1">IF($Q119=1,SUM($Q$4:$Q119),"")</f>
        <v/>
      </c>
    </row>
    <row r="120" spans="1:18" ht="22.5" customHeight="1" x14ac:dyDescent="0.3">
      <c r="A120" s="2" t="s">
        <v>504</v>
      </c>
      <c r="B120" s="2" t="s">
        <v>62</v>
      </c>
      <c r="C120" s="3" t="s">
        <v>505</v>
      </c>
      <c r="D120" s="3" t="s">
        <v>134</v>
      </c>
      <c r="E120" s="2"/>
      <c r="F120" s="2"/>
      <c r="G120" s="5">
        <v>46148.1</v>
      </c>
      <c r="H120" s="5">
        <v>46251</v>
      </c>
      <c r="I120" s="4" t="s">
        <v>17</v>
      </c>
      <c r="J120" s="6">
        <f t="shared" si="5"/>
        <v>102.90000000000146</v>
      </c>
      <c r="K120" s="4" t="str">
        <f t="shared" ca="1" si="6"/>
        <v>No</v>
      </c>
      <c r="L120" s="7">
        <f t="shared" ca="1" si="8"/>
        <v>43</v>
      </c>
      <c r="M120" s="4" t="str">
        <f>IF($I120="Complete","Green",IF($H120="","Amber",IF($H120&lt;'[2]Read Me'!$B$4,"Red",IF($H120-'[2]Read Me'!$B$4&lt;=21,"Amber","Green"))))</f>
        <v>Green</v>
      </c>
      <c r="N120" s="3"/>
      <c r="O120" t="str">
        <f>IF($I120&lt;&gt;"Complete",IF(COUNTIFS($A$4:$A119,$A120,$B$4:$B119,$B120,$I$4:$I119,"&lt;&gt;Complete")=0,$A120&amp;"|"&amp;$B120,""),"")</f>
        <v/>
      </c>
      <c r="P120" t="str">
        <f ca="1">IF($K120="Yes",COUNTIFS($K$4:$K120,"Yes"),"")</f>
        <v/>
      </c>
      <c r="Q120">
        <f t="shared" ca="1" si="7"/>
        <v>0</v>
      </c>
      <c r="R120" t="str">
        <f ca="1">IF($Q120=1,SUM($Q$4:$Q120),"")</f>
        <v/>
      </c>
    </row>
    <row r="121" spans="1:18" ht="22.5" customHeight="1" x14ac:dyDescent="0.3">
      <c r="A121" s="2" t="s">
        <v>504</v>
      </c>
      <c r="B121" s="2" t="s">
        <v>62</v>
      </c>
      <c r="C121" s="3" t="s">
        <v>505</v>
      </c>
      <c r="D121" s="3" t="s">
        <v>18</v>
      </c>
      <c r="E121" s="2"/>
      <c r="F121" s="2" t="s">
        <v>510</v>
      </c>
      <c r="G121" s="5">
        <v>46169.1</v>
      </c>
      <c r="H121" s="5">
        <v>46272</v>
      </c>
      <c r="I121" s="4" t="s">
        <v>17</v>
      </c>
      <c r="J121" s="6">
        <f t="shared" si="5"/>
        <v>102.90000000000146</v>
      </c>
      <c r="K121" s="4" t="str">
        <f t="shared" ca="1" si="6"/>
        <v>No</v>
      </c>
      <c r="L121" s="7">
        <f t="shared" ca="1" si="8"/>
        <v>64</v>
      </c>
      <c r="M121" s="4" t="str">
        <f>IF($I121="Complete","Green",IF($H121="","Amber",IF($H121&lt;'[2]Read Me'!$B$4,"Red",IF($H121-'[2]Read Me'!$B$4&lt;=21,"Amber","Green"))))</f>
        <v>Green</v>
      </c>
      <c r="N121" s="3"/>
      <c r="O121" t="str">
        <f>IF($I121&lt;&gt;"Complete",IF(COUNTIFS($A$4:$A120,$A121,$B$4:$B120,$B121,$I$4:$I120,"&lt;&gt;Complete")=0,$A121&amp;"|"&amp;$B121,""),"")</f>
        <v/>
      </c>
      <c r="P121" t="str">
        <f ca="1">IF($K121="Yes",COUNTIFS($K$4:$K121,"Yes"),"")</f>
        <v/>
      </c>
      <c r="Q121">
        <f t="shared" ca="1" si="7"/>
        <v>0</v>
      </c>
      <c r="R121" t="str">
        <f ca="1">IF($Q121=1,SUM($Q$4:$Q121),"")</f>
        <v/>
      </c>
    </row>
    <row r="122" spans="1:18" ht="22.5" customHeight="1" x14ac:dyDescent="0.3">
      <c r="A122" s="2" t="s">
        <v>504</v>
      </c>
      <c r="B122" s="2" t="s">
        <v>62</v>
      </c>
      <c r="C122" s="3" t="s">
        <v>505</v>
      </c>
      <c r="D122" s="3" t="s">
        <v>32</v>
      </c>
      <c r="E122" s="2"/>
      <c r="F122" s="2"/>
      <c r="G122" s="5">
        <v>46183.1</v>
      </c>
      <c r="H122" s="5">
        <v>46286</v>
      </c>
      <c r="I122" s="4" t="s">
        <v>17</v>
      </c>
      <c r="J122" s="6">
        <f t="shared" si="5"/>
        <v>102.90000000000146</v>
      </c>
      <c r="K122" s="4" t="str">
        <f t="shared" ca="1" si="6"/>
        <v>No</v>
      </c>
      <c r="L122" s="7">
        <f t="shared" ca="1" si="8"/>
        <v>78</v>
      </c>
      <c r="M122" s="4" t="str">
        <f>IF($I122="Complete","Green",IF($H122="","Amber",IF($H122&lt;'[2]Read Me'!$B$4,"Red",IF($H122-'[2]Read Me'!$B$4&lt;=21,"Amber","Green"))))</f>
        <v>Green</v>
      </c>
      <c r="N122" s="3"/>
      <c r="O122" t="str">
        <f>IF($I122&lt;&gt;"Complete",IF(COUNTIFS($A$4:$A121,$A122,$B$4:$B121,$B122,$I$4:$I121,"&lt;&gt;Complete")=0,$A122&amp;"|"&amp;$B122,""),"")</f>
        <v/>
      </c>
      <c r="P122" t="str">
        <f ca="1">IF($K122="Yes",COUNTIFS($K$4:$K122,"Yes"),"")</f>
        <v/>
      </c>
      <c r="Q122">
        <f t="shared" ca="1" si="7"/>
        <v>0</v>
      </c>
      <c r="R122" t="str">
        <f ca="1">IF($Q122=1,SUM($Q$4:$Q122),"")</f>
        <v/>
      </c>
    </row>
    <row r="123" spans="1:18" ht="22.5" customHeight="1" x14ac:dyDescent="0.3">
      <c r="A123" s="2" t="s">
        <v>504</v>
      </c>
      <c r="B123" s="2" t="s">
        <v>62</v>
      </c>
      <c r="C123" s="3" t="s">
        <v>505</v>
      </c>
      <c r="D123" s="3" t="s">
        <v>19</v>
      </c>
      <c r="E123" s="2"/>
      <c r="F123" s="2"/>
      <c r="G123" s="5">
        <v>46190.1</v>
      </c>
      <c r="H123" s="5">
        <v>46293</v>
      </c>
      <c r="I123" s="4" t="s">
        <v>17</v>
      </c>
      <c r="J123" s="6">
        <f t="shared" si="5"/>
        <v>102.90000000000146</v>
      </c>
      <c r="K123" s="4" t="str">
        <f t="shared" ca="1" si="6"/>
        <v>No</v>
      </c>
      <c r="L123" s="7">
        <f t="shared" ca="1" si="8"/>
        <v>85</v>
      </c>
      <c r="M123" s="4" t="str">
        <f>IF($I123="Complete","Green",IF($H123="","Amber",IF($H123&lt;'[2]Read Me'!$B$4,"Red",IF($H123-'[2]Read Me'!$B$4&lt;=21,"Amber","Green"))))</f>
        <v>Green</v>
      </c>
      <c r="N123" s="3"/>
      <c r="O123" t="str">
        <f>IF($I123&lt;&gt;"Complete",IF(COUNTIFS($A$4:$A122,$A123,$B$4:$B122,$B123,$I$4:$I122,"&lt;&gt;Complete")=0,$A123&amp;"|"&amp;$B123,""),"")</f>
        <v/>
      </c>
      <c r="P123" t="str">
        <f ca="1">IF($K123="Yes",COUNTIFS($K$4:$K123,"Yes"),"")</f>
        <v/>
      </c>
      <c r="Q123">
        <f t="shared" ca="1" si="7"/>
        <v>0</v>
      </c>
      <c r="R123" t="str">
        <f ca="1">IF($Q123=1,SUM($Q$4:$Q123),"")</f>
        <v/>
      </c>
    </row>
    <row r="124" spans="1:18" ht="22.5" customHeight="1" x14ac:dyDescent="0.3">
      <c r="A124" s="2" t="s">
        <v>504</v>
      </c>
      <c r="B124" s="2" t="s">
        <v>62</v>
      </c>
      <c r="C124" s="3" t="s">
        <v>505</v>
      </c>
      <c r="D124" s="3" t="s">
        <v>14</v>
      </c>
      <c r="E124" s="2"/>
      <c r="F124" s="2" t="s">
        <v>510</v>
      </c>
      <c r="G124" s="5">
        <v>46218.1</v>
      </c>
      <c r="H124" s="5">
        <v>46321</v>
      </c>
      <c r="I124" s="4" t="s">
        <v>17</v>
      </c>
      <c r="J124" s="6">
        <f t="shared" si="5"/>
        <v>102.90000000000146</v>
      </c>
      <c r="K124" s="4" t="str">
        <f t="shared" ca="1" si="6"/>
        <v>No</v>
      </c>
      <c r="L124" s="7">
        <f t="shared" ca="1" si="8"/>
        <v>113</v>
      </c>
      <c r="M124" s="4" t="str">
        <f>IF($I124="Complete","Green",IF($H124="","Amber",IF($H124&lt;'[2]Read Me'!$B$4,"Red",IF($H124-'[2]Read Me'!$B$4&lt;=21,"Amber","Green"))))</f>
        <v>Green</v>
      </c>
      <c r="N124" s="3"/>
      <c r="O124" t="str">
        <f>IF($I124&lt;&gt;"Complete",IF(COUNTIFS($A$4:$A123,$A124,$B$4:$B123,$B124,$I$4:$I123,"&lt;&gt;Complete")=0,$A124&amp;"|"&amp;$B124,""),"")</f>
        <v/>
      </c>
      <c r="P124" t="str">
        <f ca="1">IF($K124="Yes",COUNTIFS($K$4:$K124,"Yes"),"")</f>
        <v/>
      </c>
      <c r="Q124">
        <f t="shared" ca="1" si="7"/>
        <v>0</v>
      </c>
      <c r="R124" t="str">
        <f ca="1">IF($Q124=1,SUM($Q$4:$Q124),"")</f>
        <v/>
      </c>
    </row>
    <row r="125" spans="1:18" ht="22.5" customHeight="1" x14ac:dyDescent="0.3">
      <c r="A125" s="2" t="s">
        <v>504</v>
      </c>
      <c r="B125" s="2" t="s">
        <v>62</v>
      </c>
      <c r="C125" s="3" t="s">
        <v>505</v>
      </c>
      <c r="D125" s="3" t="s">
        <v>34</v>
      </c>
      <c r="E125" s="2"/>
      <c r="F125" s="2"/>
      <c r="G125" s="5">
        <v>46232.1</v>
      </c>
      <c r="H125" s="5">
        <v>46335</v>
      </c>
      <c r="I125" s="4" t="s">
        <v>17</v>
      </c>
      <c r="J125" s="6">
        <f t="shared" si="5"/>
        <v>102.90000000000146</v>
      </c>
      <c r="K125" s="4" t="str">
        <f t="shared" ca="1" si="6"/>
        <v>No</v>
      </c>
      <c r="L125" s="7">
        <f t="shared" ca="1" si="8"/>
        <v>127</v>
      </c>
      <c r="M125" s="4" t="str">
        <f>IF($I125="Complete","Green",IF($H125="","Amber",IF($H125&lt;'[2]Read Me'!$B$4,"Red",IF($H125-'[2]Read Me'!$B$4&lt;=21,"Amber","Green"))))</f>
        <v>Green</v>
      </c>
      <c r="N125" s="3"/>
      <c r="O125" t="str">
        <f>IF($I125&lt;&gt;"Complete",IF(COUNTIFS($A$4:$A124,$A125,$B$4:$B124,$B125,$I$4:$I124,"&lt;&gt;Complete")=0,$A125&amp;"|"&amp;$B125,""),"")</f>
        <v/>
      </c>
      <c r="P125" t="str">
        <f ca="1">IF($K125="Yes",COUNTIFS($K$4:$K125,"Yes"),"")</f>
        <v/>
      </c>
      <c r="Q125">
        <f t="shared" ca="1" si="7"/>
        <v>0</v>
      </c>
      <c r="R125" t="str">
        <f ca="1">IF($Q125=1,SUM($Q$4:$Q125),"")</f>
        <v/>
      </c>
    </row>
    <row r="126" spans="1:18" ht="22.5" customHeight="1" x14ac:dyDescent="0.3">
      <c r="A126" s="2" t="s">
        <v>504</v>
      </c>
      <c r="B126" s="2" t="s">
        <v>62</v>
      </c>
      <c r="C126" s="3" t="s">
        <v>505</v>
      </c>
      <c r="D126" s="3" t="s">
        <v>15</v>
      </c>
      <c r="E126" s="2"/>
      <c r="F126" s="2" t="s">
        <v>510</v>
      </c>
      <c r="G126" s="5">
        <v>46253.1</v>
      </c>
      <c r="H126" s="5">
        <v>46349</v>
      </c>
      <c r="I126" s="4" t="s">
        <v>17</v>
      </c>
      <c r="J126" s="6">
        <f t="shared" si="5"/>
        <v>95.900000000001455</v>
      </c>
      <c r="K126" s="4" t="str">
        <f t="shared" ca="1" si="6"/>
        <v>No</v>
      </c>
      <c r="L126" s="7">
        <f t="shared" ca="1" si="8"/>
        <v>141</v>
      </c>
      <c r="M126" s="4" t="str">
        <f>IF($I126="Complete","Green",IF($H126="","Amber",IF($H126&lt;'[2]Read Me'!$B$4,"Red",IF($H126-'[2]Read Me'!$B$4&lt;=21,"Amber","Green"))))</f>
        <v>Green</v>
      </c>
      <c r="N126" s="3"/>
      <c r="O126" t="str">
        <f>IF($I126&lt;&gt;"Complete",IF(COUNTIFS($A$4:$A125,$A126,$B$4:$B125,$B126,$I$4:$I125,"&lt;&gt;Complete")=0,$A126&amp;"|"&amp;$B126,""),"")</f>
        <v/>
      </c>
      <c r="P126" t="str">
        <f ca="1">IF($K126="Yes",COUNTIFS($K$4:$K126,"Yes"),"")</f>
        <v/>
      </c>
      <c r="Q126">
        <f t="shared" ca="1" si="7"/>
        <v>0</v>
      </c>
      <c r="R126" t="str">
        <f ca="1">IF($Q126=1,SUM($Q$4:$Q126),"")</f>
        <v/>
      </c>
    </row>
    <row r="127" spans="1:18" ht="22.5" customHeight="1" x14ac:dyDescent="0.3">
      <c r="A127" s="2" t="s">
        <v>504</v>
      </c>
      <c r="B127" s="2" t="s">
        <v>62</v>
      </c>
      <c r="C127" s="3" t="s">
        <v>505</v>
      </c>
      <c r="D127" s="3" t="s">
        <v>35</v>
      </c>
      <c r="E127" s="2"/>
      <c r="F127" s="2"/>
      <c r="G127" s="5">
        <v>46267.1</v>
      </c>
      <c r="H127" s="5">
        <v>46363</v>
      </c>
      <c r="I127" s="4" t="s">
        <v>17</v>
      </c>
      <c r="J127" s="6">
        <f t="shared" si="5"/>
        <v>95.900000000001455</v>
      </c>
      <c r="K127" s="4" t="str">
        <f t="shared" ca="1" si="6"/>
        <v>No</v>
      </c>
      <c r="L127" s="7">
        <f t="shared" ca="1" si="8"/>
        <v>155</v>
      </c>
      <c r="M127" s="4" t="str">
        <f>IF($I127="Complete","Green",IF($H127="","Amber",IF($H127&lt;'[2]Read Me'!$B$4,"Red",IF($H127-'[2]Read Me'!$B$4&lt;=21,"Amber","Green"))))</f>
        <v>Green</v>
      </c>
      <c r="N127" s="3"/>
      <c r="O127" t="str">
        <f>IF($I127&lt;&gt;"Complete",IF(COUNTIFS($A$4:$A126,$A127,$B$4:$B126,$B127,$I$4:$I126,"&lt;&gt;Complete")=0,$A127&amp;"|"&amp;$B127,""),"")</f>
        <v/>
      </c>
      <c r="P127" t="str">
        <f ca="1">IF($K127="Yes",COUNTIFS($K$4:$K127,"Yes"),"")</f>
        <v/>
      </c>
      <c r="Q127">
        <f t="shared" ca="1" si="7"/>
        <v>0</v>
      </c>
      <c r="R127" t="str">
        <f ca="1">IF($Q127=1,SUM($Q$4:$Q127),"")</f>
        <v/>
      </c>
    </row>
    <row r="128" spans="1:18" ht="22.5" customHeight="1" x14ac:dyDescent="0.3">
      <c r="A128" s="2" t="s">
        <v>504</v>
      </c>
      <c r="B128" s="2" t="s">
        <v>62</v>
      </c>
      <c r="C128" s="3" t="s">
        <v>505</v>
      </c>
      <c r="D128" s="3" t="s">
        <v>20</v>
      </c>
      <c r="E128" s="2"/>
      <c r="F128" s="2"/>
      <c r="G128" s="5">
        <v>46274.1</v>
      </c>
      <c r="H128" s="5">
        <v>46370</v>
      </c>
      <c r="I128" s="4" t="s">
        <v>17</v>
      </c>
      <c r="J128" s="6">
        <f t="shared" si="5"/>
        <v>95.900000000001455</v>
      </c>
      <c r="K128" s="4" t="str">
        <f t="shared" ca="1" si="6"/>
        <v>No</v>
      </c>
      <c r="L128" s="7">
        <f t="shared" ca="1" si="8"/>
        <v>162</v>
      </c>
      <c r="M128" s="4" t="str">
        <f>IF($I128="Complete","Green",IF($H128="","Amber",IF($H128&lt;'[2]Read Me'!$B$4,"Red",IF($H128-'[2]Read Me'!$B$4&lt;=21,"Amber","Green"))))</f>
        <v>Green</v>
      </c>
      <c r="N128" s="3"/>
      <c r="O128" t="str">
        <f>IF($I128&lt;&gt;"Complete",IF(COUNTIFS($A$4:$A127,$A128,$B$4:$B127,$B128,$I$4:$I127,"&lt;&gt;Complete")=0,$A128&amp;"|"&amp;$B128,""),"")</f>
        <v/>
      </c>
      <c r="P128" t="str">
        <f ca="1">IF($K128="Yes",COUNTIFS($K$4:$K128,"Yes"),"")</f>
        <v/>
      </c>
      <c r="Q128">
        <f t="shared" ca="1" si="7"/>
        <v>0</v>
      </c>
      <c r="R128" t="str">
        <f ca="1">IF($Q128=1,SUM($Q$4:$Q128),"")</f>
        <v/>
      </c>
    </row>
    <row r="129" spans="1:18" ht="22.5" customHeight="1" x14ac:dyDescent="0.3">
      <c r="A129" s="2" t="s">
        <v>504</v>
      </c>
      <c r="B129" s="2" t="s">
        <v>62</v>
      </c>
      <c r="C129" s="3" t="s">
        <v>505</v>
      </c>
      <c r="D129" s="3" t="s">
        <v>83</v>
      </c>
      <c r="E129" s="2"/>
      <c r="F129" s="2" t="s">
        <v>510</v>
      </c>
      <c r="G129" s="5">
        <v>46253.1</v>
      </c>
      <c r="H129" s="5">
        <v>46349</v>
      </c>
      <c r="I129" s="4" t="s">
        <v>17</v>
      </c>
      <c r="J129" s="6">
        <f t="shared" si="5"/>
        <v>95.900000000001455</v>
      </c>
      <c r="K129" s="4" t="str">
        <f t="shared" ca="1" si="6"/>
        <v>No</v>
      </c>
      <c r="L129" s="7">
        <f t="shared" ca="1" si="8"/>
        <v>141</v>
      </c>
      <c r="M129" s="4" t="str">
        <f>IF($I129="Complete","Green",IF($H129="","Amber",IF($H129&lt;'[2]Read Me'!$B$4,"Red",IF($H129-'[2]Read Me'!$B$4&lt;=21,"Amber","Green"))))</f>
        <v>Green</v>
      </c>
      <c r="N129" s="3"/>
      <c r="O129" t="str">
        <f>IF($I129&lt;&gt;"Complete",IF(COUNTIFS($A$4:$A128,$A129,$B$4:$B128,$B129,$I$4:$I128,"&lt;&gt;Complete")=0,$A129&amp;"|"&amp;$B129,""),"")</f>
        <v/>
      </c>
      <c r="P129" t="str">
        <f ca="1">IF($K129="Yes",COUNTIFS($K$4:$K129,"Yes"),"")</f>
        <v/>
      </c>
      <c r="Q129">
        <f t="shared" ca="1" si="7"/>
        <v>0</v>
      </c>
      <c r="R129" t="str">
        <f ca="1">IF($Q129=1,SUM($Q$4:$Q129),"")</f>
        <v/>
      </c>
    </row>
    <row r="130" spans="1:18" ht="22.5" customHeight="1" x14ac:dyDescent="0.3">
      <c r="A130" s="2" t="s">
        <v>504</v>
      </c>
      <c r="B130" s="2" t="s">
        <v>62</v>
      </c>
      <c r="C130" s="3" t="s">
        <v>505</v>
      </c>
      <c r="D130" s="3" t="s">
        <v>84</v>
      </c>
      <c r="E130" s="2"/>
      <c r="F130" s="2"/>
      <c r="G130" s="5">
        <v>46267.1</v>
      </c>
      <c r="H130" s="5">
        <v>46363</v>
      </c>
      <c r="I130" s="4" t="s">
        <v>17</v>
      </c>
      <c r="J130" s="6">
        <f t="shared" si="5"/>
        <v>95.900000000001455</v>
      </c>
      <c r="K130" s="4" t="str">
        <f t="shared" ca="1" si="6"/>
        <v>No</v>
      </c>
      <c r="L130" s="7">
        <f t="shared" ca="1" si="8"/>
        <v>155</v>
      </c>
      <c r="M130" s="4" t="str">
        <f>IF($I130="Complete","Green",IF($H130="","Amber",IF($H130&lt;'[2]Read Me'!$B$4,"Red",IF($H130-'[2]Read Me'!$B$4&lt;=21,"Amber","Green"))))</f>
        <v>Green</v>
      </c>
      <c r="N130" s="3"/>
      <c r="O130" t="str">
        <f>IF($I130&lt;&gt;"Complete",IF(COUNTIFS($A$4:$A129,$A130,$B$4:$B129,$B130,$I$4:$I129,"&lt;&gt;Complete")=0,$A130&amp;"|"&amp;$B130,""),"")</f>
        <v/>
      </c>
      <c r="P130" t="str">
        <f ca="1">IF($K130="Yes",COUNTIFS($K$4:$K130,"Yes"),"")</f>
        <v/>
      </c>
      <c r="Q130">
        <f t="shared" ca="1" si="7"/>
        <v>0</v>
      </c>
      <c r="R130" t="str">
        <f ca="1">IF($Q130=1,SUM($Q$4:$Q130),"")</f>
        <v/>
      </c>
    </row>
    <row r="131" spans="1:18" ht="22.5" customHeight="1" x14ac:dyDescent="0.3">
      <c r="A131" s="2" t="s">
        <v>504</v>
      </c>
      <c r="B131" s="2" t="s">
        <v>62</v>
      </c>
      <c r="C131" s="3" t="s">
        <v>505</v>
      </c>
      <c r="D131" s="3" t="s">
        <v>16</v>
      </c>
      <c r="E131" s="2"/>
      <c r="F131" s="2" t="s">
        <v>510</v>
      </c>
      <c r="G131" s="5">
        <v>46288.1</v>
      </c>
      <c r="H131" s="5">
        <v>46384</v>
      </c>
      <c r="I131" s="4" t="s">
        <v>17</v>
      </c>
      <c r="J131" s="6">
        <f t="shared" si="5"/>
        <v>95.900000000001455</v>
      </c>
      <c r="K131" s="4" t="str">
        <f t="shared" ca="1" si="6"/>
        <v>No</v>
      </c>
      <c r="L131" s="7">
        <f t="shared" ca="1" si="8"/>
        <v>176</v>
      </c>
      <c r="M131" s="4" t="str">
        <f>IF($I131="Complete","Green",IF($H131="","Amber",IF($H131&lt;'[2]Read Me'!$B$4,"Red",IF($H131-'[2]Read Me'!$B$4&lt;=21,"Amber","Green"))))</f>
        <v>Green</v>
      </c>
      <c r="N131" s="3"/>
      <c r="O131" t="str">
        <f>IF($I131&lt;&gt;"Complete",IF(COUNTIFS($A$4:$A130,$A131,$B$4:$B130,$B131,$I$4:$I130,"&lt;&gt;Complete")=0,$A131&amp;"|"&amp;$B131,""),"")</f>
        <v/>
      </c>
      <c r="P131" t="str">
        <f ca="1">IF($K131="Yes",COUNTIFS($K$4:$K131,"Yes"),"")</f>
        <v/>
      </c>
      <c r="Q131">
        <f t="shared" ca="1" si="7"/>
        <v>0</v>
      </c>
      <c r="R131" t="str">
        <f ca="1">IF($Q131=1,SUM($Q$4:$Q131),"")</f>
        <v/>
      </c>
    </row>
    <row r="132" spans="1:18" ht="22.5" customHeight="1" x14ac:dyDescent="0.3">
      <c r="A132" s="2" t="s">
        <v>504</v>
      </c>
      <c r="B132" s="2" t="s">
        <v>62</v>
      </c>
      <c r="C132" s="3" t="s">
        <v>505</v>
      </c>
      <c r="D132" s="3" t="s">
        <v>37</v>
      </c>
      <c r="E132" s="2"/>
      <c r="F132" s="2"/>
      <c r="G132" s="5">
        <v>46302.1</v>
      </c>
      <c r="H132" s="5">
        <v>46398</v>
      </c>
      <c r="I132" s="4" t="s">
        <v>17</v>
      </c>
      <c r="J132" s="6">
        <f t="shared" ref="J132:J195" si="9">IF(OR($G132="",$H132=""),"",$H132-$G132)</f>
        <v>95.900000000001455</v>
      </c>
      <c r="K132" s="4" t="str">
        <f t="shared" ref="K132:K195" ca="1" si="10">IF(C132="","",IF(H132="","",IF($I132="completed","-",IF($H132&gt;TODAY(),"No","Yes"))))</f>
        <v>No</v>
      </c>
      <c r="L132" s="7">
        <f t="shared" ca="1" si="8"/>
        <v>190</v>
      </c>
      <c r="M132" s="4" t="str">
        <f>IF($I132="Complete","Green",IF($H132="","Amber",IF($H132&lt;'[2]Read Me'!$B$4,"Red",IF($H132-'[2]Read Me'!$B$4&lt;=21,"Amber","Green"))))</f>
        <v>Green</v>
      </c>
      <c r="N132" s="3"/>
      <c r="O132" t="str">
        <f>IF($I132&lt;&gt;"Complete",IF(COUNTIFS($A$4:$A131,$A132,$B$4:$B131,$B132,$I$4:$I131,"&lt;&gt;Complete")=0,$A132&amp;"|"&amp;$B132,""),"")</f>
        <v/>
      </c>
      <c r="P132" t="str">
        <f ca="1">IF($K132="Yes",COUNTIFS($K$4:$K132,"Yes"),"")</f>
        <v/>
      </c>
      <c r="Q132">
        <f t="shared" ref="Q132:Q195" ca="1" si="11">IF(OR($I132="In Progress",$K132="Yes"),1,0)</f>
        <v>0</v>
      </c>
      <c r="R132" t="str">
        <f ca="1">IF($Q132=1,SUM($Q$4:$Q132),"")</f>
        <v/>
      </c>
    </row>
    <row r="133" spans="1:18" ht="22.5" customHeight="1" x14ac:dyDescent="0.3">
      <c r="A133" s="2" t="s">
        <v>504</v>
      </c>
      <c r="B133" s="2" t="s">
        <v>140</v>
      </c>
      <c r="C133" s="3"/>
      <c r="D133" s="3"/>
      <c r="E133" s="2"/>
      <c r="F133" s="2"/>
      <c r="G133" s="5">
        <v>46274.1</v>
      </c>
      <c r="H133" s="5">
        <v>46377</v>
      </c>
      <c r="I133" s="4"/>
      <c r="J133" s="6">
        <f t="shared" si="9"/>
        <v>102.90000000000146</v>
      </c>
      <c r="K133" s="4" t="str">
        <f t="shared" ca="1" si="10"/>
        <v/>
      </c>
      <c r="L133" s="7">
        <f t="shared" ref="L133:L196" ca="1" si="12">IF(I133="Completed",0,IF(H133="","",H133-TODAY()))</f>
        <v>169</v>
      </c>
      <c r="M133" s="4" t="str">
        <f>IF($I133="Complete","Green",IF($H133="","Amber",IF($H133&lt;'[2]Read Me'!$B$4,"Red",IF($H133-'[2]Read Me'!$B$4&lt;=21,"Amber","Green"))))</f>
        <v>Green</v>
      </c>
      <c r="N133" s="3"/>
      <c r="O133" t="str">
        <f>IF($I133&lt;&gt;"Complete",IF(COUNTIFS($A$4:$A132,$A133,$B$4:$B132,$B133,$I$4:$I132,"&lt;&gt;Complete")=0,$A133&amp;"|"&amp;$B133,""),"")</f>
        <v>Commercial|Masterplan</v>
      </c>
      <c r="P133" t="str">
        <f ca="1">IF($K133="Yes",COUNTIFS($K$4:$K133,"Yes"),"")</f>
        <v/>
      </c>
      <c r="Q133">
        <f t="shared" ca="1" si="11"/>
        <v>0</v>
      </c>
      <c r="R133" t="str">
        <f ca="1">IF($Q133=1,SUM($Q$4:$Q133),"")</f>
        <v/>
      </c>
    </row>
    <row r="134" spans="1:18" ht="22.5" customHeight="1" x14ac:dyDescent="0.3">
      <c r="A134" s="2" t="s">
        <v>504</v>
      </c>
      <c r="B134" s="2" t="s">
        <v>140</v>
      </c>
      <c r="C134" s="3" t="s">
        <v>513</v>
      </c>
      <c r="D134" s="3" t="s">
        <v>509</v>
      </c>
      <c r="E134" s="2" t="s">
        <v>506</v>
      </c>
      <c r="F134" s="2" t="s">
        <v>510</v>
      </c>
      <c r="G134" s="5">
        <v>46036.1</v>
      </c>
      <c r="H134" s="5">
        <v>46036.1</v>
      </c>
      <c r="I134" s="4" t="s">
        <v>31</v>
      </c>
      <c r="J134" s="6">
        <f t="shared" si="9"/>
        <v>0</v>
      </c>
      <c r="K134" s="4" t="str">
        <f t="shared" ca="1" si="10"/>
        <v>-</v>
      </c>
      <c r="L134" s="7">
        <f t="shared" ca="1" si="12"/>
        <v>0</v>
      </c>
      <c r="M134" s="4" t="str">
        <f>IF($I134="Complete","Green",IF($H134="","Amber",IF($H134&lt;'[2]Read Me'!$B$4,"Red",IF($H134-'[2]Read Me'!$B$4&lt;=21,"Amber","Green"))))</f>
        <v>Red</v>
      </c>
      <c r="N134" s="3"/>
      <c r="O134" t="str">
        <f>IF($I134&lt;&gt;"Complete",IF(COUNTIFS($A$4:$A133,$A134,$B$4:$B133,$B134,$I$4:$I133,"&lt;&gt;Complete")=0,$A134&amp;"|"&amp;$B134,""),"")</f>
        <v/>
      </c>
      <c r="P134" t="str">
        <f ca="1">IF($K134="Yes",COUNTIFS($K$4:$K134,"Yes"),"")</f>
        <v/>
      </c>
      <c r="Q134">
        <f t="shared" ca="1" si="11"/>
        <v>0</v>
      </c>
      <c r="R134" t="str">
        <f ca="1">IF($Q134=1,SUM($Q$4:$Q134),"")</f>
        <v/>
      </c>
    </row>
    <row r="135" spans="1:18" ht="22.5" customHeight="1" x14ac:dyDescent="0.3">
      <c r="A135" s="2" t="s">
        <v>504</v>
      </c>
      <c r="B135" s="2" t="s">
        <v>140</v>
      </c>
      <c r="C135" s="3" t="s">
        <v>513</v>
      </c>
      <c r="D135" s="3" t="s">
        <v>235</v>
      </c>
      <c r="E135" s="2" t="s">
        <v>506</v>
      </c>
      <c r="F135" s="2"/>
      <c r="G135" s="5">
        <v>46050.1</v>
      </c>
      <c r="H135" s="5">
        <v>46068</v>
      </c>
      <c r="I135" s="4" t="s">
        <v>31</v>
      </c>
      <c r="J135" s="6">
        <f t="shared" si="9"/>
        <v>17.900000000001455</v>
      </c>
      <c r="K135" s="4" t="str">
        <f t="shared" ca="1" si="10"/>
        <v>-</v>
      </c>
      <c r="L135" s="7">
        <f t="shared" ca="1" si="12"/>
        <v>0</v>
      </c>
      <c r="M135" s="4" t="str">
        <f>IF($I135="Complete","Green",IF($H135="","Amber",IF($H135&lt;'[2]Read Me'!$B$4,"Red",IF($H135-'[2]Read Me'!$B$4&lt;=21,"Amber","Green"))))</f>
        <v>Red</v>
      </c>
      <c r="N135" s="3"/>
      <c r="O135" t="str">
        <f>IF($I135&lt;&gt;"Complete",IF(COUNTIFS($A$4:$A134,$A135,$B$4:$B134,$B135,$I$4:$I134,"&lt;&gt;Complete")=0,$A135&amp;"|"&amp;$B135,""),"")</f>
        <v/>
      </c>
      <c r="P135" t="str">
        <f ca="1">IF($K135="Yes",COUNTIFS($K$4:$K135,"Yes"),"")</f>
        <v/>
      </c>
      <c r="Q135">
        <f t="shared" ca="1" si="11"/>
        <v>0</v>
      </c>
      <c r="R135" t="str">
        <f ca="1">IF($Q135=1,SUM($Q$4:$Q135),"")</f>
        <v/>
      </c>
    </row>
    <row r="136" spans="1:18" ht="22.5" customHeight="1" x14ac:dyDescent="0.3">
      <c r="A136" s="2" t="s">
        <v>504</v>
      </c>
      <c r="B136" s="2" t="s">
        <v>140</v>
      </c>
      <c r="C136" s="3" t="s">
        <v>513</v>
      </c>
      <c r="D136" s="3" t="s">
        <v>97</v>
      </c>
      <c r="E136" s="2" t="s">
        <v>506</v>
      </c>
      <c r="F136" s="2" t="s">
        <v>510</v>
      </c>
      <c r="G136" s="5">
        <v>46071.1</v>
      </c>
      <c r="H136" s="5"/>
      <c r="I136" s="4" t="s">
        <v>46</v>
      </c>
      <c r="J136" s="6" t="str">
        <f t="shared" si="9"/>
        <v/>
      </c>
      <c r="K136" s="4" t="str">
        <f t="shared" ca="1" si="10"/>
        <v/>
      </c>
      <c r="L136" s="7" t="str">
        <f t="shared" ca="1" si="12"/>
        <v/>
      </c>
      <c r="M136" s="4" t="str">
        <f>IF($I136="Complete","Green",IF($H136="","Amber",IF($H136&lt;'[2]Read Me'!$B$4,"Red",IF($H136-'[2]Read Me'!$B$4&lt;=21,"Amber","Green"))))</f>
        <v>Amber</v>
      </c>
      <c r="N136" s="3"/>
      <c r="O136" t="str">
        <f>IF($I136&lt;&gt;"Complete",IF(COUNTIFS($A$4:$A135,$A136,$B$4:$B135,$B136,$I$4:$I135,"&lt;&gt;Complete")=0,$A136&amp;"|"&amp;$B136,""),"")</f>
        <v/>
      </c>
      <c r="P136" t="str">
        <f ca="1">IF($K136="Yes",COUNTIFS($K$4:$K136,"Yes"),"")</f>
        <v/>
      </c>
      <c r="Q136">
        <f t="shared" ca="1" si="11"/>
        <v>0</v>
      </c>
      <c r="R136" t="str">
        <f ca="1">IF($Q136=1,SUM($Q$4:$Q136),"")</f>
        <v/>
      </c>
    </row>
    <row r="137" spans="1:18" ht="22.5" customHeight="1" x14ac:dyDescent="0.3">
      <c r="A137" s="2" t="s">
        <v>504</v>
      </c>
      <c r="B137" s="2" t="s">
        <v>140</v>
      </c>
      <c r="C137" s="3" t="s">
        <v>513</v>
      </c>
      <c r="D137" s="3" t="s">
        <v>70</v>
      </c>
      <c r="E137" s="2" t="s">
        <v>506</v>
      </c>
      <c r="F137" s="2"/>
      <c r="G137" s="5">
        <v>46085.1</v>
      </c>
      <c r="H137" s="5"/>
      <c r="I137" s="4" t="s">
        <v>17</v>
      </c>
      <c r="J137" s="6" t="str">
        <f t="shared" si="9"/>
        <v/>
      </c>
      <c r="K137" s="4" t="str">
        <f t="shared" ca="1" si="10"/>
        <v/>
      </c>
      <c r="L137" s="7" t="str">
        <f t="shared" ca="1" si="12"/>
        <v/>
      </c>
      <c r="M137" s="4" t="str">
        <f>IF($I137="Complete","Green",IF($H137="","Amber",IF($H137&lt;'[2]Read Me'!$B$4,"Red",IF($H137-'[2]Read Me'!$B$4&lt;=21,"Amber","Green"))))</f>
        <v>Amber</v>
      </c>
      <c r="N137" s="3"/>
      <c r="O137" t="str">
        <f>IF($I137&lt;&gt;"Complete",IF(COUNTIFS($A$4:$A136,$A137,$B$4:$B136,$B137,$I$4:$I136,"&lt;&gt;Complete")=0,$A137&amp;"|"&amp;$B137,""),"")</f>
        <v/>
      </c>
      <c r="P137" t="str">
        <f ca="1">IF($K137="Yes",COUNTIFS($K$4:$K137,"Yes"),"")</f>
        <v/>
      </c>
      <c r="Q137">
        <f t="shared" ca="1" si="11"/>
        <v>0</v>
      </c>
      <c r="R137" t="str">
        <f ca="1">IF($Q137=1,SUM($Q$4:$Q137),"")</f>
        <v/>
      </c>
    </row>
    <row r="138" spans="1:18" ht="22.5" customHeight="1" x14ac:dyDescent="0.3">
      <c r="A138" s="2" t="s">
        <v>504</v>
      </c>
      <c r="B138" s="2" t="s">
        <v>140</v>
      </c>
      <c r="C138" s="3" t="s">
        <v>513</v>
      </c>
      <c r="D138" s="3" t="s">
        <v>98</v>
      </c>
      <c r="E138" s="2" t="s">
        <v>506</v>
      </c>
      <c r="F138" s="2" t="s">
        <v>510</v>
      </c>
      <c r="G138" s="5">
        <v>46099.1</v>
      </c>
      <c r="H138" s="5">
        <v>46208</v>
      </c>
      <c r="I138" s="4" t="s">
        <v>46</v>
      </c>
      <c r="J138" s="6">
        <f t="shared" si="9"/>
        <v>108.90000000000146</v>
      </c>
      <c r="K138" s="4" t="str">
        <f t="shared" ca="1" si="10"/>
        <v>Yes</v>
      </c>
      <c r="L138" s="7">
        <f t="shared" ca="1" si="12"/>
        <v>0</v>
      </c>
      <c r="M138" s="4" t="str">
        <f>IF($I138="Complete","Green",IF($H138="","Amber",IF($H138&lt;'[2]Read Me'!$B$4,"Red",IF($H138-'[2]Read Me'!$B$4&lt;=21,"Amber","Green"))))</f>
        <v>Amber</v>
      </c>
      <c r="N138" s="3"/>
      <c r="O138" t="str">
        <f>IF($I138&lt;&gt;"Complete",IF(COUNTIFS($A$4:$A137,$A138,$B$4:$B137,$B138,$I$4:$I137,"&lt;&gt;Complete")=0,$A138&amp;"|"&amp;$B138,""),"")</f>
        <v/>
      </c>
      <c r="P138">
        <f ca="1">IF($K138="Yes",COUNTIFS($K$4:$K138,"Yes"),"")</f>
        <v>4</v>
      </c>
      <c r="Q138">
        <f t="shared" ca="1" si="11"/>
        <v>1</v>
      </c>
      <c r="R138">
        <f ca="1">IF($Q138=1,SUM($Q$4:$Q138),"")</f>
        <v>4</v>
      </c>
    </row>
    <row r="139" spans="1:18" ht="22.5" customHeight="1" x14ac:dyDescent="0.3">
      <c r="A139" s="2" t="s">
        <v>504</v>
      </c>
      <c r="B139" s="2" t="s">
        <v>140</v>
      </c>
      <c r="C139" s="3" t="s">
        <v>513</v>
      </c>
      <c r="D139" s="3" t="s">
        <v>47</v>
      </c>
      <c r="E139" s="2" t="s">
        <v>506</v>
      </c>
      <c r="F139" s="2"/>
      <c r="G139" s="5">
        <v>46113.1</v>
      </c>
      <c r="H139" s="5">
        <v>46215</v>
      </c>
      <c r="I139" s="4" t="s">
        <v>17</v>
      </c>
      <c r="J139" s="6">
        <f t="shared" si="9"/>
        <v>101.90000000000146</v>
      </c>
      <c r="K139" s="4" t="str">
        <f t="shared" ca="1" si="10"/>
        <v>No</v>
      </c>
      <c r="L139" s="7">
        <f t="shared" ca="1" si="12"/>
        <v>7</v>
      </c>
      <c r="M139" s="4" t="str">
        <f>IF($I139="Complete","Green",IF($H139="","Amber",IF($H139&lt;'[2]Read Me'!$B$4,"Red",IF($H139-'[2]Read Me'!$B$4&lt;=21,"Amber","Green"))))</f>
        <v>Green</v>
      </c>
      <c r="N139" s="3"/>
      <c r="O139" t="str">
        <f>IF($I139&lt;&gt;"Complete",IF(COUNTIFS($A$4:$A138,$A139,$B$4:$B138,$B139,$I$4:$I138,"&lt;&gt;Complete")=0,$A139&amp;"|"&amp;$B139,""),"")</f>
        <v/>
      </c>
      <c r="P139" t="str">
        <f ca="1">IF($K139="Yes",COUNTIFS($K$4:$K139,"Yes"),"")</f>
        <v/>
      </c>
      <c r="Q139">
        <f t="shared" ca="1" si="11"/>
        <v>0</v>
      </c>
      <c r="R139" t="str">
        <f ca="1">IF($Q139=1,SUM($Q$4:$Q139),"")</f>
        <v/>
      </c>
    </row>
    <row r="140" spans="1:18" ht="22.5" customHeight="1" x14ac:dyDescent="0.3">
      <c r="A140" s="2" t="s">
        <v>504</v>
      </c>
      <c r="B140" s="2" t="s">
        <v>140</v>
      </c>
      <c r="C140" s="3" t="s">
        <v>513</v>
      </c>
      <c r="D140" s="3" t="s">
        <v>514</v>
      </c>
      <c r="E140" s="2" t="s">
        <v>506</v>
      </c>
      <c r="F140" s="2"/>
      <c r="G140" s="5">
        <v>46127.1</v>
      </c>
      <c r="H140" s="5">
        <v>46181</v>
      </c>
      <c r="I140" s="4" t="s">
        <v>31</v>
      </c>
      <c r="J140" s="6">
        <f t="shared" si="9"/>
        <v>53.900000000001455</v>
      </c>
      <c r="K140" s="4" t="str">
        <f t="shared" ca="1" si="10"/>
        <v>-</v>
      </c>
      <c r="L140" s="7">
        <f t="shared" ca="1" si="12"/>
        <v>0</v>
      </c>
      <c r="M140" s="4" t="str">
        <f>IF($I140="Complete","Green",IF($H140="","Amber",IF($H140&lt;'[2]Read Me'!$B$4,"Red",IF($H140-'[2]Read Me'!$B$4&lt;=21,"Amber","Green"))))</f>
        <v>Red</v>
      </c>
      <c r="N140" s="3"/>
      <c r="O140" t="str">
        <f>IF($I140&lt;&gt;"Complete",IF(COUNTIFS($A$4:$A139,$A140,$B$4:$B139,$B140,$I$4:$I139,"&lt;&gt;Complete")=0,$A140&amp;"|"&amp;$B140,""),"")</f>
        <v/>
      </c>
      <c r="P140" t="str">
        <f ca="1">IF($K140="Yes",COUNTIFS($K$4:$K140,"Yes"),"")</f>
        <v/>
      </c>
      <c r="Q140">
        <f t="shared" ca="1" si="11"/>
        <v>0</v>
      </c>
      <c r="R140" t="str">
        <f ca="1">IF($Q140=1,SUM($Q$4:$Q140),"")</f>
        <v/>
      </c>
    </row>
    <row r="141" spans="1:18" ht="22.5" customHeight="1" x14ac:dyDescent="0.3">
      <c r="A141" s="2" t="s">
        <v>504</v>
      </c>
      <c r="B141" s="2" t="s">
        <v>140</v>
      </c>
      <c r="C141" s="3" t="s">
        <v>513</v>
      </c>
      <c r="D141" s="3" t="s">
        <v>18</v>
      </c>
      <c r="E141" s="2"/>
      <c r="F141" s="2" t="s">
        <v>510</v>
      </c>
      <c r="G141" s="5">
        <v>46155.1</v>
      </c>
      <c r="H141" s="5">
        <v>46258</v>
      </c>
      <c r="I141" s="4" t="s">
        <v>17</v>
      </c>
      <c r="J141" s="6">
        <f t="shared" si="9"/>
        <v>102.90000000000146</v>
      </c>
      <c r="K141" s="4" t="str">
        <f t="shared" ca="1" si="10"/>
        <v>No</v>
      </c>
      <c r="L141" s="7">
        <f t="shared" ca="1" si="12"/>
        <v>50</v>
      </c>
      <c r="M141" s="4" t="str">
        <f>IF($I141="Complete","Green",IF($H141="","Amber",IF($H141&lt;'[2]Read Me'!$B$4,"Red",IF($H141-'[2]Read Me'!$B$4&lt;=21,"Amber","Green"))))</f>
        <v>Green</v>
      </c>
      <c r="N141" s="3"/>
      <c r="O141" t="str">
        <f>IF($I141&lt;&gt;"Complete",IF(COUNTIFS($A$4:$A140,$A141,$B$4:$B140,$B141,$I$4:$I140,"&lt;&gt;Complete")=0,$A141&amp;"|"&amp;$B141,""),"")</f>
        <v/>
      </c>
      <c r="P141" t="str">
        <f ca="1">IF($K141="Yes",COUNTIFS($K$4:$K141,"Yes"),"")</f>
        <v/>
      </c>
      <c r="Q141">
        <f t="shared" ca="1" si="11"/>
        <v>0</v>
      </c>
      <c r="R141" t="str">
        <f ca="1">IF($Q141=1,SUM($Q$4:$Q141),"")</f>
        <v/>
      </c>
    </row>
    <row r="142" spans="1:18" ht="22.5" customHeight="1" x14ac:dyDescent="0.3">
      <c r="A142" s="2" t="s">
        <v>504</v>
      </c>
      <c r="B142" s="2" t="s">
        <v>140</v>
      </c>
      <c r="C142" s="3" t="s">
        <v>513</v>
      </c>
      <c r="D142" s="3" t="s">
        <v>32</v>
      </c>
      <c r="E142" s="2"/>
      <c r="F142" s="2"/>
      <c r="G142" s="5">
        <v>46169.1</v>
      </c>
      <c r="H142" s="5">
        <v>46272</v>
      </c>
      <c r="I142" s="4" t="s">
        <v>17</v>
      </c>
      <c r="J142" s="6">
        <f t="shared" si="9"/>
        <v>102.90000000000146</v>
      </c>
      <c r="K142" s="4" t="str">
        <f t="shared" ca="1" si="10"/>
        <v>No</v>
      </c>
      <c r="L142" s="7">
        <f t="shared" ca="1" si="12"/>
        <v>64</v>
      </c>
      <c r="M142" s="4" t="str">
        <f>IF($I142="Complete","Green",IF($H142="","Amber",IF($H142&lt;'[2]Read Me'!$B$4,"Red",IF($H142-'[2]Read Me'!$B$4&lt;=21,"Amber","Green"))))</f>
        <v>Green</v>
      </c>
      <c r="N142" s="3"/>
      <c r="O142" t="str">
        <f>IF($I142&lt;&gt;"Complete",IF(COUNTIFS($A$4:$A141,$A142,$B$4:$B141,$B142,$I$4:$I141,"&lt;&gt;Complete")=0,$A142&amp;"|"&amp;$B142,""),"")</f>
        <v/>
      </c>
      <c r="P142" t="str">
        <f ca="1">IF($K142="Yes",COUNTIFS($K$4:$K142,"Yes"),"")</f>
        <v/>
      </c>
      <c r="Q142">
        <f t="shared" ca="1" si="11"/>
        <v>0</v>
      </c>
      <c r="R142" t="str">
        <f ca="1">IF($Q142=1,SUM($Q$4:$Q142),"")</f>
        <v/>
      </c>
    </row>
    <row r="143" spans="1:18" ht="22.5" customHeight="1" x14ac:dyDescent="0.3">
      <c r="A143" s="2" t="s">
        <v>504</v>
      </c>
      <c r="B143" s="2" t="s">
        <v>140</v>
      </c>
      <c r="C143" s="3" t="s">
        <v>513</v>
      </c>
      <c r="D143" s="3" t="s">
        <v>515</v>
      </c>
      <c r="E143" s="2"/>
      <c r="F143" s="2"/>
      <c r="G143" s="5">
        <v>46169.1</v>
      </c>
      <c r="H143" s="5">
        <v>46272</v>
      </c>
      <c r="I143" s="4" t="s">
        <v>17</v>
      </c>
      <c r="J143" s="6">
        <f t="shared" si="9"/>
        <v>102.90000000000146</v>
      </c>
      <c r="K143" s="4" t="str">
        <f t="shared" ca="1" si="10"/>
        <v>No</v>
      </c>
      <c r="L143" s="7">
        <f t="shared" ca="1" si="12"/>
        <v>64</v>
      </c>
      <c r="M143" s="4" t="str">
        <f>IF($I143="Complete","Green",IF($H143="","Amber",IF($H143&lt;'[2]Read Me'!$B$4,"Red",IF($H143-'[2]Read Me'!$B$4&lt;=21,"Amber","Green"))))</f>
        <v>Green</v>
      </c>
      <c r="N143" s="3"/>
      <c r="O143" t="str">
        <f>IF($I143&lt;&gt;"Complete",IF(COUNTIFS($A$4:$A142,$A143,$B$4:$B142,$B143,$I$4:$I142,"&lt;&gt;Complete")=0,$A143&amp;"|"&amp;$B143,""),"")</f>
        <v/>
      </c>
      <c r="P143" t="str">
        <f ca="1">IF($K143="Yes",COUNTIFS($K$4:$K143,"Yes"),"")</f>
        <v/>
      </c>
      <c r="Q143">
        <f t="shared" ca="1" si="11"/>
        <v>0</v>
      </c>
      <c r="R143" t="str">
        <f ca="1">IF($Q143=1,SUM($Q$4:$Q143),"")</f>
        <v/>
      </c>
    </row>
    <row r="144" spans="1:18" ht="22.5" customHeight="1" x14ac:dyDescent="0.3">
      <c r="A144" s="2" t="s">
        <v>504</v>
      </c>
      <c r="B144" s="2" t="s">
        <v>140</v>
      </c>
      <c r="C144" s="3" t="s">
        <v>513</v>
      </c>
      <c r="D144" s="3" t="s">
        <v>14</v>
      </c>
      <c r="E144" s="2"/>
      <c r="F144" s="2" t="s">
        <v>510</v>
      </c>
      <c r="G144" s="5">
        <v>46190.1</v>
      </c>
      <c r="H144" s="5">
        <v>46293</v>
      </c>
      <c r="I144" s="4" t="s">
        <v>17</v>
      </c>
      <c r="J144" s="6">
        <f t="shared" si="9"/>
        <v>102.90000000000146</v>
      </c>
      <c r="K144" s="4" t="str">
        <f t="shared" ca="1" si="10"/>
        <v>No</v>
      </c>
      <c r="L144" s="7">
        <f t="shared" ca="1" si="12"/>
        <v>85</v>
      </c>
      <c r="M144" s="4" t="str">
        <f>IF($I144="Complete","Green",IF($H144="","Amber",IF($H144&lt;'[2]Read Me'!$B$4,"Red",IF($H144-'[2]Read Me'!$B$4&lt;=21,"Amber","Green"))))</f>
        <v>Green</v>
      </c>
      <c r="N144" s="3"/>
      <c r="O144" t="str">
        <f>IF($I144&lt;&gt;"Complete",IF(COUNTIFS($A$4:$A143,$A144,$B$4:$B143,$B144,$I$4:$I143,"&lt;&gt;Complete")=0,$A144&amp;"|"&amp;$B144,""),"")</f>
        <v/>
      </c>
      <c r="P144" t="str">
        <f ca="1">IF($K144="Yes",COUNTIFS($K$4:$K144,"Yes"),"")</f>
        <v/>
      </c>
      <c r="Q144">
        <f t="shared" ca="1" si="11"/>
        <v>0</v>
      </c>
      <c r="R144" t="str">
        <f ca="1">IF($Q144=1,SUM($Q$4:$Q144),"")</f>
        <v/>
      </c>
    </row>
    <row r="145" spans="1:18" ht="22.5" customHeight="1" x14ac:dyDescent="0.3">
      <c r="A145" s="2" t="s">
        <v>504</v>
      </c>
      <c r="B145" s="2" t="s">
        <v>140</v>
      </c>
      <c r="C145" s="3" t="s">
        <v>513</v>
      </c>
      <c r="D145" s="3" t="s">
        <v>34</v>
      </c>
      <c r="E145" s="2"/>
      <c r="F145" s="2"/>
      <c r="G145" s="5">
        <v>46204.1</v>
      </c>
      <c r="H145" s="5">
        <v>46307</v>
      </c>
      <c r="I145" s="4" t="s">
        <v>17</v>
      </c>
      <c r="J145" s="6">
        <f t="shared" si="9"/>
        <v>102.90000000000146</v>
      </c>
      <c r="K145" s="4" t="str">
        <f t="shared" ca="1" si="10"/>
        <v>No</v>
      </c>
      <c r="L145" s="7">
        <f t="shared" ca="1" si="12"/>
        <v>99</v>
      </c>
      <c r="M145" s="4" t="str">
        <f>IF($I145="Complete","Green",IF($H145="","Amber",IF($H145&lt;'[2]Read Me'!$B$4,"Red",IF($H145-'[2]Read Me'!$B$4&lt;=21,"Amber","Green"))))</f>
        <v>Green</v>
      </c>
      <c r="N145" s="3"/>
      <c r="O145" t="str">
        <f>IF($I145&lt;&gt;"Complete",IF(COUNTIFS($A$4:$A144,$A145,$B$4:$B144,$B145,$I$4:$I144,"&lt;&gt;Complete")=0,$A145&amp;"|"&amp;$B145,""),"")</f>
        <v/>
      </c>
      <c r="P145" t="str">
        <f ca="1">IF($K145="Yes",COUNTIFS($K$4:$K145,"Yes"),"")</f>
        <v/>
      </c>
      <c r="Q145">
        <f t="shared" ca="1" si="11"/>
        <v>0</v>
      </c>
      <c r="R145" t="str">
        <f ca="1">IF($Q145=1,SUM($Q$4:$Q145),"")</f>
        <v/>
      </c>
    </row>
    <row r="146" spans="1:18" ht="22.5" customHeight="1" x14ac:dyDescent="0.3">
      <c r="A146" s="2" t="s">
        <v>504</v>
      </c>
      <c r="B146" s="2" t="s">
        <v>140</v>
      </c>
      <c r="C146" s="3" t="s">
        <v>513</v>
      </c>
      <c r="D146" s="3" t="s">
        <v>15</v>
      </c>
      <c r="E146" s="2"/>
      <c r="F146" s="2" t="s">
        <v>510</v>
      </c>
      <c r="G146" s="5">
        <v>46225.1</v>
      </c>
      <c r="H146" s="5">
        <v>46328</v>
      </c>
      <c r="I146" s="4" t="s">
        <v>17</v>
      </c>
      <c r="J146" s="6">
        <f t="shared" si="9"/>
        <v>102.90000000000146</v>
      </c>
      <c r="K146" s="4" t="str">
        <f t="shared" ca="1" si="10"/>
        <v>No</v>
      </c>
      <c r="L146" s="7">
        <f t="shared" ca="1" si="12"/>
        <v>120</v>
      </c>
      <c r="M146" s="4" t="str">
        <f>IF($I146="Complete","Green",IF($H146="","Amber",IF($H146&lt;'[2]Read Me'!$B$4,"Red",IF($H146-'[2]Read Me'!$B$4&lt;=21,"Amber","Green"))))</f>
        <v>Green</v>
      </c>
      <c r="N146" s="3"/>
      <c r="O146" t="str">
        <f>IF($I146&lt;&gt;"Complete",IF(COUNTIFS($A$4:$A145,$A146,$B$4:$B145,$B146,$I$4:$I145,"&lt;&gt;Complete")=0,$A146&amp;"|"&amp;$B146,""),"")</f>
        <v/>
      </c>
      <c r="P146" t="str">
        <f ca="1">IF($K146="Yes",COUNTIFS($K$4:$K146,"Yes"),"")</f>
        <v/>
      </c>
      <c r="Q146">
        <f t="shared" ca="1" si="11"/>
        <v>0</v>
      </c>
      <c r="R146" t="str">
        <f ca="1">IF($Q146=1,SUM($Q$4:$Q146),"")</f>
        <v/>
      </c>
    </row>
    <row r="147" spans="1:18" ht="22.5" customHeight="1" x14ac:dyDescent="0.3">
      <c r="A147" s="2" t="s">
        <v>504</v>
      </c>
      <c r="B147" s="2" t="s">
        <v>140</v>
      </c>
      <c r="C147" s="3" t="s">
        <v>513</v>
      </c>
      <c r="D147" s="3" t="s">
        <v>35</v>
      </c>
      <c r="E147" s="2"/>
      <c r="F147" s="2"/>
      <c r="G147" s="5">
        <v>46239.1</v>
      </c>
      <c r="H147" s="5">
        <v>46342</v>
      </c>
      <c r="I147" s="4" t="s">
        <v>17</v>
      </c>
      <c r="J147" s="6">
        <f t="shared" si="9"/>
        <v>102.90000000000146</v>
      </c>
      <c r="K147" s="4" t="str">
        <f t="shared" ca="1" si="10"/>
        <v>No</v>
      </c>
      <c r="L147" s="7">
        <f t="shared" ca="1" si="12"/>
        <v>134</v>
      </c>
      <c r="M147" s="4" t="str">
        <f>IF($I147="Complete","Green",IF($H147="","Amber",IF($H147&lt;'[2]Read Me'!$B$4,"Red",IF($H147-'[2]Read Me'!$B$4&lt;=21,"Amber","Green"))))</f>
        <v>Green</v>
      </c>
      <c r="N147" s="3"/>
      <c r="O147" t="str">
        <f>IF($I147&lt;&gt;"Complete",IF(COUNTIFS($A$4:$A146,$A147,$B$4:$B146,$B147,$I$4:$I146,"&lt;&gt;Complete")=0,$A147&amp;"|"&amp;$B147,""),"")</f>
        <v/>
      </c>
      <c r="P147" t="str">
        <f ca="1">IF($K147="Yes",COUNTIFS($K$4:$K147,"Yes"),"")</f>
        <v/>
      </c>
      <c r="Q147">
        <f t="shared" ca="1" si="11"/>
        <v>0</v>
      </c>
      <c r="R147" t="str">
        <f ca="1">IF($Q147=1,SUM($Q$4:$Q147),"")</f>
        <v/>
      </c>
    </row>
    <row r="148" spans="1:18" ht="22.5" customHeight="1" x14ac:dyDescent="0.3">
      <c r="A148" s="2" t="s">
        <v>504</v>
      </c>
      <c r="B148" s="2" t="s">
        <v>140</v>
      </c>
      <c r="C148" s="3" t="s">
        <v>513</v>
      </c>
      <c r="D148" s="3" t="s">
        <v>16</v>
      </c>
      <c r="E148" s="2"/>
      <c r="F148" s="2" t="s">
        <v>510</v>
      </c>
      <c r="G148" s="5">
        <v>46260.1</v>
      </c>
      <c r="H148" s="5">
        <v>46363</v>
      </c>
      <c r="I148" s="4" t="s">
        <v>17</v>
      </c>
      <c r="J148" s="6">
        <f t="shared" si="9"/>
        <v>102.90000000000146</v>
      </c>
      <c r="K148" s="4" t="str">
        <f t="shared" ca="1" si="10"/>
        <v>No</v>
      </c>
      <c r="L148" s="7">
        <f t="shared" ca="1" si="12"/>
        <v>155</v>
      </c>
      <c r="M148" s="4" t="str">
        <f>IF($I148="Complete","Green",IF($H148="","Amber",IF($H148&lt;'[2]Read Me'!$B$4,"Red",IF($H148-'[2]Read Me'!$B$4&lt;=21,"Amber","Green"))))</f>
        <v>Green</v>
      </c>
      <c r="N148" s="3"/>
      <c r="O148" t="str">
        <f>IF($I148&lt;&gt;"Complete",IF(COUNTIFS($A$4:$A147,$A148,$B$4:$B147,$B148,$I$4:$I147,"&lt;&gt;Complete")=0,$A148&amp;"|"&amp;$B148,""),"")</f>
        <v/>
      </c>
      <c r="P148" t="str">
        <f ca="1">IF($K148="Yes",COUNTIFS($K$4:$K148,"Yes"),"")</f>
        <v/>
      </c>
      <c r="Q148">
        <f t="shared" ca="1" si="11"/>
        <v>0</v>
      </c>
      <c r="R148" t="str">
        <f ca="1">IF($Q148=1,SUM($Q$4:$Q148),"")</f>
        <v/>
      </c>
    </row>
    <row r="149" spans="1:18" ht="22.5" customHeight="1" x14ac:dyDescent="0.3">
      <c r="A149" s="2" t="s">
        <v>504</v>
      </c>
      <c r="B149" s="2" t="s">
        <v>140</v>
      </c>
      <c r="C149" s="3" t="s">
        <v>513</v>
      </c>
      <c r="D149" s="3" t="s">
        <v>37</v>
      </c>
      <c r="E149" s="2"/>
      <c r="F149" s="2"/>
      <c r="G149" s="5">
        <v>46274.1</v>
      </c>
      <c r="H149" s="5">
        <v>46377</v>
      </c>
      <c r="I149" s="4" t="s">
        <v>17</v>
      </c>
      <c r="J149" s="6">
        <f t="shared" si="9"/>
        <v>102.90000000000146</v>
      </c>
      <c r="K149" s="4" t="str">
        <f t="shared" ca="1" si="10"/>
        <v>No</v>
      </c>
      <c r="L149" s="7">
        <f t="shared" ca="1" si="12"/>
        <v>169</v>
      </c>
      <c r="M149" s="4" t="str">
        <f>IF($I149="Complete","Green",IF($H149="","Amber",IF($H149&lt;'[2]Read Me'!$B$4,"Red",IF($H149-'[2]Read Me'!$B$4&lt;=21,"Amber","Green"))))</f>
        <v>Green</v>
      </c>
      <c r="N149" s="3"/>
      <c r="O149" t="str">
        <f>IF($I149&lt;&gt;"Complete",IF(COUNTIFS($A$4:$A148,$A149,$B$4:$B148,$B149,$I$4:$I148,"&lt;&gt;Complete")=0,$A149&amp;"|"&amp;$B149,""),"")</f>
        <v/>
      </c>
      <c r="P149" t="str">
        <f ca="1">IF($K149="Yes",COUNTIFS($K$4:$K149,"Yes"),"")</f>
        <v/>
      </c>
      <c r="Q149">
        <f t="shared" ca="1" si="11"/>
        <v>0</v>
      </c>
      <c r="R149" t="str">
        <f ca="1">IF($Q149=1,SUM($Q$4:$Q149),"")</f>
        <v/>
      </c>
    </row>
    <row r="150" spans="1:18" ht="22.5" customHeight="1" x14ac:dyDescent="0.3">
      <c r="A150" s="2" t="s">
        <v>504</v>
      </c>
      <c r="B150" s="2" t="s">
        <v>21</v>
      </c>
      <c r="C150" s="3"/>
      <c r="D150" s="3"/>
      <c r="E150" s="2"/>
      <c r="F150" s="2"/>
      <c r="G150" s="5">
        <v>46393.1</v>
      </c>
      <c r="H150" s="5">
        <v>46432</v>
      </c>
      <c r="I150" s="4"/>
      <c r="J150" s="6">
        <f t="shared" si="9"/>
        <v>38.900000000001455</v>
      </c>
      <c r="K150" s="4" t="str">
        <f t="shared" ca="1" si="10"/>
        <v/>
      </c>
      <c r="L150" s="7">
        <f t="shared" ca="1" si="12"/>
        <v>224</v>
      </c>
      <c r="M150" s="4" t="str">
        <f>IF($I150="Complete","Green",IF($H150="","Amber",IF($H150&lt;'[2]Read Me'!$B$4,"Red",IF($H150-'[2]Read Me'!$B$4&lt;=21,"Amber","Green"))))</f>
        <v>Green</v>
      </c>
      <c r="N150" s="3"/>
      <c r="O150" t="str">
        <f>IF($I150&lt;&gt;"Complete",IF(COUNTIFS($A$4:$A149,$A150,$B$4:$B149,$B150,$I$4:$I149,"&lt;&gt;Complete")=0,$A150&amp;"|"&amp;$B150,""),"")</f>
        <v>Commercial|Landscape</v>
      </c>
      <c r="P150" t="str">
        <f ca="1">IF($K150="Yes",COUNTIFS($K$4:$K150,"Yes"),"")</f>
        <v/>
      </c>
      <c r="Q150">
        <f t="shared" ca="1" si="11"/>
        <v>0</v>
      </c>
      <c r="R150" t="str">
        <f ca="1">IF($Q150=1,SUM($Q$4:$Q150),"")</f>
        <v/>
      </c>
    </row>
    <row r="151" spans="1:18" ht="22.5" customHeight="1" x14ac:dyDescent="0.3">
      <c r="A151" s="2" t="s">
        <v>504</v>
      </c>
      <c r="B151" s="2" t="s">
        <v>21</v>
      </c>
      <c r="C151" s="3" t="s">
        <v>516</v>
      </c>
      <c r="D151" s="3" t="s">
        <v>151</v>
      </c>
      <c r="E151" s="2" t="s">
        <v>506</v>
      </c>
      <c r="F151" s="2"/>
      <c r="G151" s="5">
        <v>45985</v>
      </c>
      <c r="H151" s="5">
        <v>45985</v>
      </c>
      <c r="I151" s="4" t="s">
        <v>31</v>
      </c>
      <c r="J151" s="6">
        <f t="shared" si="9"/>
        <v>0</v>
      </c>
      <c r="K151" s="4" t="str">
        <f t="shared" ca="1" si="10"/>
        <v>-</v>
      </c>
      <c r="L151" s="7">
        <f t="shared" ca="1" si="12"/>
        <v>0</v>
      </c>
      <c r="M151" s="4" t="str">
        <f>IF($I151="Complete","Green",IF($H151="","Amber",IF($H151&lt;'[2]Read Me'!$B$4,"Red",IF($H151-'[2]Read Me'!$B$4&lt;=21,"Amber","Green"))))</f>
        <v>Red</v>
      </c>
      <c r="N151" s="3"/>
      <c r="O151" t="str">
        <f>IF($I151&lt;&gt;"Complete",IF(COUNTIFS($A$4:$A150,$A151,$B$4:$B150,$B151,$I$4:$I150,"&lt;&gt;Complete")=0,$A151&amp;"|"&amp;$B151,""),"")</f>
        <v/>
      </c>
      <c r="P151" t="str">
        <f ca="1">IF($K151="Yes",COUNTIFS($K$4:$K151,"Yes"),"")</f>
        <v/>
      </c>
      <c r="Q151">
        <f t="shared" ca="1" si="11"/>
        <v>0</v>
      </c>
      <c r="R151" t="str">
        <f ca="1">IF($Q151=1,SUM($Q$4:$Q151),"")</f>
        <v/>
      </c>
    </row>
    <row r="152" spans="1:18" ht="22.5" customHeight="1" x14ac:dyDescent="0.3">
      <c r="A152" s="2" t="s">
        <v>504</v>
      </c>
      <c r="B152" s="2" t="s">
        <v>21</v>
      </c>
      <c r="C152" s="3" t="s">
        <v>516</v>
      </c>
      <c r="D152" s="3" t="s">
        <v>152</v>
      </c>
      <c r="E152" s="2"/>
      <c r="F152" s="2"/>
      <c r="G152" s="5">
        <v>46013</v>
      </c>
      <c r="H152" s="5">
        <v>46013</v>
      </c>
      <c r="I152" s="4" t="s">
        <v>31</v>
      </c>
      <c r="J152" s="6">
        <f t="shared" si="9"/>
        <v>0</v>
      </c>
      <c r="K152" s="4" t="str">
        <f t="shared" ca="1" si="10"/>
        <v>-</v>
      </c>
      <c r="L152" s="7">
        <f t="shared" ca="1" si="12"/>
        <v>0</v>
      </c>
      <c r="M152" s="4" t="str">
        <f>IF($I152="Complete","Green",IF($H152="","Amber",IF($H152&lt;'[2]Read Me'!$B$4,"Red",IF($H152-'[2]Read Me'!$B$4&lt;=21,"Amber","Green"))))</f>
        <v>Red</v>
      </c>
      <c r="N152" s="3"/>
      <c r="O152" t="str">
        <f>IF($I152&lt;&gt;"Complete",IF(COUNTIFS($A$4:$A151,$A152,$B$4:$B151,$B152,$I$4:$I151,"&lt;&gt;Complete")=0,$A152&amp;"|"&amp;$B152,""),"")</f>
        <v/>
      </c>
      <c r="P152" t="str">
        <f ca="1">IF($K152="Yes",COUNTIFS($K$4:$K152,"Yes"),"")</f>
        <v/>
      </c>
      <c r="Q152">
        <f t="shared" ca="1" si="11"/>
        <v>0</v>
      </c>
      <c r="R152" t="str">
        <f ca="1">IF($Q152=1,SUM($Q$4:$Q152),"")</f>
        <v/>
      </c>
    </row>
    <row r="153" spans="1:18" ht="22.5" customHeight="1" x14ac:dyDescent="0.3">
      <c r="A153" s="2" t="s">
        <v>504</v>
      </c>
      <c r="B153" s="2" t="s">
        <v>21</v>
      </c>
      <c r="C153" s="3" t="s">
        <v>516</v>
      </c>
      <c r="D153" s="3" t="s">
        <v>509</v>
      </c>
      <c r="E153" s="2" t="s">
        <v>506</v>
      </c>
      <c r="F153" s="2"/>
      <c r="G153" s="5">
        <v>46078.1</v>
      </c>
      <c r="H153" s="5"/>
      <c r="I153" s="4" t="s">
        <v>46</v>
      </c>
      <c r="J153" s="6" t="str">
        <f t="shared" si="9"/>
        <v/>
      </c>
      <c r="K153" s="4" t="str">
        <f t="shared" ca="1" si="10"/>
        <v/>
      </c>
      <c r="L153" s="7" t="str">
        <f t="shared" ca="1" si="12"/>
        <v/>
      </c>
      <c r="M153" s="4" t="str">
        <f>IF($I153="Complete","Green",IF($H153="","Amber",IF($H153&lt;'[2]Read Me'!$B$4,"Red",IF($H153-'[2]Read Me'!$B$4&lt;=21,"Amber","Green"))))</f>
        <v>Amber</v>
      </c>
      <c r="N153" s="3"/>
      <c r="O153" t="str">
        <f>IF($I153&lt;&gt;"Complete",IF(COUNTIFS($A$4:$A152,$A153,$B$4:$B152,$B153,$I$4:$I152,"&lt;&gt;Complete")=0,$A153&amp;"|"&amp;$B153,""),"")</f>
        <v/>
      </c>
      <c r="P153" t="str">
        <f ca="1">IF($K153="Yes",COUNTIFS($K$4:$K153,"Yes"),"")</f>
        <v/>
      </c>
      <c r="Q153">
        <f t="shared" ca="1" si="11"/>
        <v>0</v>
      </c>
      <c r="R153" t="str">
        <f ca="1">IF($Q153=1,SUM($Q$4:$Q153),"")</f>
        <v/>
      </c>
    </row>
    <row r="154" spans="1:18" ht="22.5" customHeight="1" x14ac:dyDescent="0.3">
      <c r="A154" s="2" t="s">
        <v>504</v>
      </c>
      <c r="B154" s="2" t="s">
        <v>21</v>
      </c>
      <c r="C154" s="3" t="s">
        <v>516</v>
      </c>
      <c r="D154" s="3" t="s">
        <v>235</v>
      </c>
      <c r="E154" s="2" t="s">
        <v>506</v>
      </c>
      <c r="F154" s="2"/>
      <c r="G154" s="5">
        <v>46092.1</v>
      </c>
      <c r="H154" s="5"/>
      <c r="I154" s="4" t="s">
        <v>17</v>
      </c>
      <c r="J154" s="6" t="str">
        <f t="shared" si="9"/>
        <v/>
      </c>
      <c r="K154" s="4" t="str">
        <f t="shared" ca="1" si="10"/>
        <v/>
      </c>
      <c r="L154" s="7" t="str">
        <f t="shared" ca="1" si="12"/>
        <v/>
      </c>
      <c r="M154" s="4" t="str">
        <f>IF($I154="Complete","Green",IF($H154="","Amber",IF($H154&lt;'[2]Read Me'!$B$4,"Red",IF($H154-'[2]Read Me'!$B$4&lt;=21,"Amber","Green"))))</f>
        <v>Amber</v>
      </c>
      <c r="N154" s="3"/>
      <c r="O154" t="str">
        <f>IF($I154&lt;&gt;"Complete",IF(COUNTIFS($A$4:$A153,$A154,$B$4:$B153,$B154,$I$4:$I153,"&lt;&gt;Complete")=0,$A154&amp;"|"&amp;$B154,""),"")</f>
        <v/>
      </c>
      <c r="P154" t="str">
        <f ca="1">IF($K154="Yes",COUNTIFS($K$4:$K154,"Yes"),"")</f>
        <v/>
      </c>
      <c r="Q154">
        <f t="shared" ca="1" si="11"/>
        <v>0</v>
      </c>
      <c r="R154" t="str">
        <f ca="1">IF($Q154=1,SUM($Q$4:$Q154),"")</f>
        <v/>
      </c>
    </row>
    <row r="155" spans="1:18" ht="22.5" customHeight="1" x14ac:dyDescent="0.3">
      <c r="A155" s="2" t="s">
        <v>504</v>
      </c>
      <c r="B155" s="2" t="s">
        <v>21</v>
      </c>
      <c r="C155" s="3" t="s">
        <v>516</v>
      </c>
      <c r="D155" s="3" t="s">
        <v>97</v>
      </c>
      <c r="E155" s="2" t="s">
        <v>506</v>
      </c>
      <c r="F155" s="2" t="s">
        <v>510</v>
      </c>
      <c r="G155" s="5">
        <v>46120.1</v>
      </c>
      <c r="H155" s="5">
        <v>46119</v>
      </c>
      <c r="I155" s="4" t="s">
        <v>31</v>
      </c>
      <c r="J155" s="6">
        <f t="shared" si="9"/>
        <v>-1.0999999999985448</v>
      </c>
      <c r="K155" s="4" t="str">
        <f t="shared" ca="1" si="10"/>
        <v>-</v>
      </c>
      <c r="L155" s="7">
        <f t="shared" ca="1" si="12"/>
        <v>0</v>
      </c>
      <c r="M155" s="4" t="str">
        <f>IF($I155="Complete","Green",IF($H155="","Amber",IF($H155&lt;'[2]Read Me'!$B$4,"Red",IF($H155-'[2]Read Me'!$B$4&lt;=21,"Amber","Green"))))</f>
        <v>Red</v>
      </c>
      <c r="N155" s="3"/>
      <c r="O155" t="str">
        <f>IF($I155&lt;&gt;"Complete",IF(COUNTIFS($A$4:$A154,$A155,$B$4:$B154,$B155,$I$4:$I154,"&lt;&gt;Complete")=0,$A155&amp;"|"&amp;$B155,""),"")</f>
        <v/>
      </c>
      <c r="P155" t="str">
        <f ca="1">IF($K155="Yes",COUNTIFS($K$4:$K155,"Yes"),"")</f>
        <v/>
      </c>
      <c r="Q155">
        <f t="shared" ca="1" si="11"/>
        <v>0</v>
      </c>
      <c r="R155" t="str">
        <f ca="1">IF($Q155=1,SUM($Q$4:$Q155),"")</f>
        <v/>
      </c>
    </row>
    <row r="156" spans="1:18" ht="22.5" customHeight="1" x14ac:dyDescent="0.3">
      <c r="A156" s="2" t="s">
        <v>504</v>
      </c>
      <c r="B156" s="2" t="s">
        <v>21</v>
      </c>
      <c r="C156" s="3" t="s">
        <v>516</v>
      </c>
      <c r="D156" s="3" t="s">
        <v>70</v>
      </c>
      <c r="E156" s="2" t="s">
        <v>506</v>
      </c>
      <c r="F156" s="2"/>
      <c r="G156" s="5">
        <v>46134.1</v>
      </c>
      <c r="H156" s="5">
        <v>46126</v>
      </c>
      <c r="I156" s="4" t="s">
        <v>31</v>
      </c>
      <c r="J156" s="6">
        <f t="shared" si="9"/>
        <v>-8.0999999999985448</v>
      </c>
      <c r="K156" s="4" t="str">
        <f t="shared" ca="1" si="10"/>
        <v>-</v>
      </c>
      <c r="L156" s="7">
        <f t="shared" ca="1" si="12"/>
        <v>0</v>
      </c>
      <c r="M156" s="4" t="str">
        <f>IF($I156="Complete","Green",IF($H156="","Amber",IF($H156&lt;'[2]Read Me'!$B$4,"Red",IF($H156-'[2]Read Me'!$B$4&lt;=21,"Amber","Green"))))</f>
        <v>Red</v>
      </c>
      <c r="N156" s="3"/>
      <c r="O156" t="str">
        <f>IF($I156&lt;&gt;"Complete",IF(COUNTIFS($A$4:$A155,$A156,$B$4:$B155,$B156,$I$4:$I155,"&lt;&gt;Complete")=0,$A156&amp;"|"&amp;$B156,""),"")</f>
        <v/>
      </c>
      <c r="P156" t="str">
        <f ca="1">IF($K156="Yes",COUNTIFS($K$4:$K156,"Yes"),"")</f>
        <v/>
      </c>
      <c r="Q156">
        <f t="shared" ca="1" si="11"/>
        <v>0</v>
      </c>
      <c r="R156" t="str">
        <f ca="1">IF($Q156=1,SUM($Q$4:$Q156),"")</f>
        <v/>
      </c>
    </row>
    <row r="157" spans="1:18" ht="33.75" customHeight="1" x14ac:dyDescent="0.3">
      <c r="A157" s="2" t="s">
        <v>504</v>
      </c>
      <c r="B157" s="2" t="s">
        <v>21</v>
      </c>
      <c r="C157" s="3" t="s">
        <v>516</v>
      </c>
      <c r="D157" s="3" t="s">
        <v>517</v>
      </c>
      <c r="E157" s="2" t="s">
        <v>506</v>
      </c>
      <c r="F157" s="2"/>
      <c r="G157" s="5">
        <v>46148.1</v>
      </c>
      <c r="H157" s="5">
        <v>46145</v>
      </c>
      <c r="I157" s="4" t="s">
        <v>31</v>
      </c>
      <c r="J157" s="6">
        <f t="shared" si="9"/>
        <v>-3.0999999999985448</v>
      </c>
      <c r="K157" s="4" t="str">
        <f t="shared" ca="1" si="10"/>
        <v>-</v>
      </c>
      <c r="L157" s="7">
        <f t="shared" ca="1" si="12"/>
        <v>0</v>
      </c>
      <c r="M157" s="4" t="str">
        <f>IF($I157="Complete","Green",IF($H157="","Amber",IF($H157&lt;'[2]Read Me'!$B$4,"Red",IF($H157-'[2]Read Me'!$B$4&lt;=21,"Amber","Green"))))</f>
        <v>Red</v>
      </c>
      <c r="N157" s="3"/>
      <c r="O157" t="str">
        <f>IF($I157&lt;&gt;"Complete",IF(COUNTIFS($A$4:$A156,$A157,$B$4:$B156,$B157,$I$4:$I156,"&lt;&gt;Complete")=0,$A157&amp;"|"&amp;$B157,""),"")</f>
        <v/>
      </c>
      <c r="P157" t="str">
        <f ca="1">IF($K157="Yes",COUNTIFS($K$4:$K157,"Yes"),"")</f>
        <v/>
      </c>
      <c r="Q157">
        <f t="shared" ca="1" si="11"/>
        <v>0</v>
      </c>
      <c r="R157" t="str">
        <f ca="1">IF($Q157=1,SUM($Q$4:$Q157),"")</f>
        <v/>
      </c>
    </row>
    <row r="158" spans="1:18" ht="33.75" customHeight="1" x14ac:dyDescent="0.3">
      <c r="A158" s="2" t="s">
        <v>504</v>
      </c>
      <c r="B158" s="2" t="s">
        <v>21</v>
      </c>
      <c r="C158" s="3" t="s">
        <v>516</v>
      </c>
      <c r="D158" s="3" t="s">
        <v>98</v>
      </c>
      <c r="E158" s="2" t="s">
        <v>506</v>
      </c>
      <c r="F158" s="2"/>
      <c r="G158" s="5">
        <v>46162.1</v>
      </c>
      <c r="H158" s="5">
        <v>46208</v>
      </c>
      <c r="I158" s="4" t="s">
        <v>46</v>
      </c>
      <c r="J158" s="6">
        <f t="shared" si="9"/>
        <v>45.900000000001455</v>
      </c>
      <c r="K158" s="4" t="str">
        <f t="shared" ca="1" si="10"/>
        <v>Yes</v>
      </c>
      <c r="L158" s="7">
        <f t="shared" ca="1" si="12"/>
        <v>0</v>
      </c>
      <c r="M158" s="4" t="str">
        <f>IF($I158="Complete","Green",IF($H158="","Amber",IF($H158&lt;'[2]Read Me'!$B$4,"Red",IF($H158-'[2]Read Me'!$B$4&lt;=21,"Amber","Green"))))</f>
        <v>Amber</v>
      </c>
      <c r="N158" s="3"/>
      <c r="O158" t="str">
        <f>IF($I158&lt;&gt;"Complete",IF(COUNTIFS($A$4:$A157,$A158,$B$4:$B157,$B158,$I$4:$I157,"&lt;&gt;Complete")=0,$A158&amp;"|"&amp;$B158,""),"")</f>
        <v/>
      </c>
      <c r="P158">
        <f ca="1">IF($K158="Yes",COUNTIFS($K$4:$K158,"Yes"),"")</f>
        <v>5</v>
      </c>
      <c r="Q158">
        <f t="shared" ca="1" si="11"/>
        <v>1</v>
      </c>
      <c r="R158">
        <f ca="1">IF($Q158=1,SUM($Q$4:$Q158),"")</f>
        <v>5</v>
      </c>
    </row>
    <row r="159" spans="1:18" ht="33.75" customHeight="1" x14ac:dyDescent="0.3">
      <c r="A159" s="2" t="s">
        <v>504</v>
      </c>
      <c r="B159" s="2" t="s">
        <v>21</v>
      </c>
      <c r="C159" s="3" t="s">
        <v>516</v>
      </c>
      <c r="D159" s="3" t="s">
        <v>47</v>
      </c>
      <c r="E159" s="2" t="s">
        <v>506</v>
      </c>
      <c r="F159" s="2"/>
      <c r="G159" s="5">
        <v>46176.1</v>
      </c>
      <c r="H159" s="5">
        <v>46215</v>
      </c>
      <c r="I159" s="4" t="s">
        <v>17</v>
      </c>
      <c r="J159" s="6">
        <f t="shared" si="9"/>
        <v>38.900000000001455</v>
      </c>
      <c r="K159" s="4" t="str">
        <f t="shared" ca="1" si="10"/>
        <v>No</v>
      </c>
      <c r="L159" s="7">
        <f t="shared" ca="1" si="12"/>
        <v>7</v>
      </c>
      <c r="M159" s="4" t="str">
        <f>IF($I159="Complete","Green",IF($H159="","Amber",IF($H159&lt;'[2]Read Me'!$B$4,"Red",IF($H159-'[2]Read Me'!$B$4&lt;=21,"Amber","Green"))))</f>
        <v>Green</v>
      </c>
      <c r="N159" s="3"/>
      <c r="O159" t="str">
        <f>IF($I159&lt;&gt;"Complete",IF(COUNTIFS($A$4:$A158,$A159,$B$4:$B158,$B159,$I$4:$I158,"&lt;&gt;Complete")=0,$A159&amp;"|"&amp;$B159,""),"")</f>
        <v/>
      </c>
      <c r="P159" t="str">
        <f ca="1">IF($K159="Yes",COUNTIFS($K$4:$K159,"Yes"),"")</f>
        <v/>
      </c>
      <c r="Q159">
        <f t="shared" ca="1" si="11"/>
        <v>0</v>
      </c>
      <c r="R159" t="str">
        <f ca="1">IF($Q159=1,SUM($Q$4:$Q159),"")</f>
        <v/>
      </c>
    </row>
    <row r="160" spans="1:18" ht="33.75" customHeight="1" x14ac:dyDescent="0.3">
      <c r="A160" s="2" t="s">
        <v>504</v>
      </c>
      <c r="B160" s="2" t="s">
        <v>21</v>
      </c>
      <c r="C160" s="3" t="s">
        <v>516</v>
      </c>
      <c r="D160" s="3" t="s">
        <v>133</v>
      </c>
      <c r="E160" s="2"/>
      <c r="F160" s="2" t="s">
        <v>510</v>
      </c>
      <c r="G160" s="5">
        <v>46204.1</v>
      </c>
      <c r="H160" s="5">
        <v>46243</v>
      </c>
      <c r="I160" s="4" t="s">
        <v>17</v>
      </c>
      <c r="J160" s="6">
        <f t="shared" si="9"/>
        <v>38.900000000001455</v>
      </c>
      <c r="K160" s="4" t="str">
        <f t="shared" ca="1" si="10"/>
        <v>No</v>
      </c>
      <c r="L160" s="7">
        <f t="shared" ca="1" si="12"/>
        <v>35</v>
      </c>
      <c r="M160" s="4" t="str">
        <f>IF($I160="Complete","Green",IF($H160="","Amber",IF($H160&lt;'[2]Read Me'!$B$4,"Red",IF($H160-'[2]Read Me'!$B$4&lt;=21,"Amber","Green"))))</f>
        <v>Green</v>
      </c>
      <c r="N160" s="3"/>
      <c r="O160" t="str">
        <f>IF($I160&lt;&gt;"Complete",IF(COUNTIFS($A$4:$A159,$A160,$B$4:$B159,$B160,$I$4:$I159,"&lt;&gt;Complete")=0,$A160&amp;"|"&amp;$B160,""),"")</f>
        <v/>
      </c>
      <c r="P160" t="str">
        <f ca="1">IF($K160="Yes",COUNTIFS($K$4:$K160,"Yes"),"")</f>
        <v/>
      </c>
      <c r="Q160">
        <f t="shared" ca="1" si="11"/>
        <v>0</v>
      </c>
      <c r="R160" t="str">
        <f ca="1">IF($Q160=1,SUM($Q$4:$Q160),"")</f>
        <v/>
      </c>
    </row>
    <row r="161" spans="1:18" ht="33.75" customHeight="1" x14ac:dyDescent="0.3">
      <c r="A161" s="2" t="s">
        <v>504</v>
      </c>
      <c r="B161" s="2" t="s">
        <v>21</v>
      </c>
      <c r="C161" s="3" t="s">
        <v>516</v>
      </c>
      <c r="D161" s="3" t="s">
        <v>134</v>
      </c>
      <c r="E161" s="2"/>
      <c r="F161" s="2"/>
      <c r="G161" s="5">
        <v>46218.1</v>
      </c>
      <c r="H161" s="5">
        <v>46257</v>
      </c>
      <c r="I161" s="4" t="s">
        <v>17</v>
      </c>
      <c r="J161" s="6">
        <f t="shared" si="9"/>
        <v>38.900000000001455</v>
      </c>
      <c r="K161" s="4" t="str">
        <f t="shared" ca="1" si="10"/>
        <v>No</v>
      </c>
      <c r="L161" s="7">
        <f t="shared" ca="1" si="12"/>
        <v>49</v>
      </c>
      <c r="M161" s="4" t="str">
        <f>IF($I161="Complete","Green",IF($H161="","Amber",IF($H161&lt;'[2]Read Me'!$B$4,"Red",IF($H161-'[2]Read Me'!$B$4&lt;=21,"Amber","Green"))))</f>
        <v>Green</v>
      </c>
      <c r="N161" s="3"/>
      <c r="O161" t="str">
        <f>IF($I161&lt;&gt;"Complete",IF(COUNTIFS($A$4:$A160,$A161,$B$4:$B160,$B161,$I$4:$I160,"&lt;&gt;Complete")=0,$A161&amp;"|"&amp;$B161,""),"")</f>
        <v/>
      </c>
      <c r="P161" t="str">
        <f ca="1">IF($K161="Yes",COUNTIFS($K$4:$K161,"Yes"),"")</f>
        <v/>
      </c>
      <c r="Q161">
        <f t="shared" ca="1" si="11"/>
        <v>0</v>
      </c>
      <c r="R161" t="str">
        <f ca="1">IF($Q161=1,SUM($Q$4:$Q161),"")</f>
        <v/>
      </c>
    </row>
    <row r="162" spans="1:18" ht="33.75" customHeight="1" x14ac:dyDescent="0.3">
      <c r="A162" s="2" t="s">
        <v>504</v>
      </c>
      <c r="B162" s="2" t="s">
        <v>21</v>
      </c>
      <c r="C162" s="3" t="s">
        <v>516</v>
      </c>
      <c r="D162" s="3" t="s">
        <v>18</v>
      </c>
      <c r="E162" s="2"/>
      <c r="F162" s="2" t="s">
        <v>510</v>
      </c>
      <c r="G162" s="5">
        <v>46246.1</v>
      </c>
      <c r="H162" s="5">
        <v>46285</v>
      </c>
      <c r="I162" s="4" t="s">
        <v>17</v>
      </c>
      <c r="J162" s="6">
        <f t="shared" si="9"/>
        <v>38.900000000001455</v>
      </c>
      <c r="K162" s="4" t="str">
        <f t="shared" ca="1" si="10"/>
        <v>No</v>
      </c>
      <c r="L162" s="7">
        <f t="shared" ca="1" si="12"/>
        <v>77</v>
      </c>
      <c r="M162" s="4" t="str">
        <f>IF($I162="Complete","Green",IF($H162="","Amber",IF($H162&lt;'[2]Read Me'!$B$4,"Red",IF($H162-'[2]Read Me'!$B$4&lt;=21,"Amber","Green"))))</f>
        <v>Green</v>
      </c>
      <c r="N162" s="3"/>
      <c r="O162" t="str">
        <f>IF($I162&lt;&gt;"Complete",IF(COUNTIFS($A$4:$A161,$A162,$B$4:$B161,$B162,$I$4:$I161,"&lt;&gt;Complete")=0,$A162&amp;"|"&amp;$B162,""),"")</f>
        <v/>
      </c>
      <c r="P162" t="str">
        <f ca="1">IF($K162="Yes",COUNTIFS($K$4:$K162,"Yes"),"")</f>
        <v/>
      </c>
      <c r="Q162">
        <f t="shared" ca="1" si="11"/>
        <v>0</v>
      </c>
      <c r="R162" t="str">
        <f ca="1">IF($Q162=1,SUM($Q$4:$Q162),"")</f>
        <v/>
      </c>
    </row>
    <row r="163" spans="1:18" ht="33.75" customHeight="1" x14ac:dyDescent="0.3">
      <c r="A163" s="2" t="s">
        <v>504</v>
      </c>
      <c r="B163" s="2" t="s">
        <v>21</v>
      </c>
      <c r="C163" s="3" t="s">
        <v>516</v>
      </c>
      <c r="D163" s="3" t="s">
        <v>32</v>
      </c>
      <c r="E163" s="2"/>
      <c r="F163" s="2"/>
      <c r="G163" s="5">
        <v>46260.1</v>
      </c>
      <c r="H163" s="5">
        <v>46299</v>
      </c>
      <c r="I163" s="4" t="s">
        <v>17</v>
      </c>
      <c r="J163" s="6">
        <f t="shared" si="9"/>
        <v>38.900000000001455</v>
      </c>
      <c r="K163" s="4" t="str">
        <f t="shared" ca="1" si="10"/>
        <v>No</v>
      </c>
      <c r="L163" s="7">
        <f t="shared" ca="1" si="12"/>
        <v>91</v>
      </c>
      <c r="M163" s="4" t="str">
        <f>IF($I163="Complete","Green",IF($H163="","Amber",IF($H163&lt;'[2]Read Me'!$B$4,"Red",IF($H163-'[2]Read Me'!$B$4&lt;=21,"Amber","Green"))))</f>
        <v>Green</v>
      </c>
      <c r="N163" s="3"/>
      <c r="O163" t="str">
        <f>IF($I163&lt;&gt;"Complete",IF(COUNTIFS($A$4:$A162,$A163,$B$4:$B162,$B163,$I$4:$I162,"&lt;&gt;Complete")=0,$A163&amp;"|"&amp;$B163,""),"")</f>
        <v/>
      </c>
      <c r="P163" t="str">
        <f ca="1">IF($K163="Yes",COUNTIFS($K$4:$K163,"Yes"),"")</f>
        <v/>
      </c>
      <c r="Q163">
        <f t="shared" ca="1" si="11"/>
        <v>0</v>
      </c>
      <c r="R163" t="str">
        <f ca="1">IF($Q163=1,SUM($Q$4:$Q163),"")</f>
        <v/>
      </c>
    </row>
    <row r="164" spans="1:18" ht="33.75" customHeight="1" x14ac:dyDescent="0.3">
      <c r="A164" s="2" t="s">
        <v>504</v>
      </c>
      <c r="B164" s="2" t="s">
        <v>21</v>
      </c>
      <c r="C164" s="3" t="s">
        <v>516</v>
      </c>
      <c r="D164" s="3" t="s">
        <v>19</v>
      </c>
      <c r="E164" s="2"/>
      <c r="F164" s="2"/>
      <c r="G164" s="5">
        <v>46267.1</v>
      </c>
      <c r="H164" s="5">
        <v>46306</v>
      </c>
      <c r="I164" s="4" t="s">
        <v>17</v>
      </c>
      <c r="J164" s="6">
        <f t="shared" si="9"/>
        <v>38.900000000001455</v>
      </c>
      <c r="K164" s="4" t="str">
        <f t="shared" ca="1" si="10"/>
        <v>No</v>
      </c>
      <c r="L164" s="7">
        <f t="shared" ca="1" si="12"/>
        <v>98</v>
      </c>
      <c r="M164" s="4" t="str">
        <f>IF($I164="Complete","Green",IF($H164="","Amber",IF($H164&lt;'[2]Read Me'!$B$4,"Red",IF($H164-'[2]Read Me'!$B$4&lt;=21,"Amber","Green"))))</f>
        <v>Green</v>
      </c>
      <c r="N164" s="3"/>
      <c r="O164" t="str">
        <f>IF($I164&lt;&gt;"Complete",IF(COUNTIFS($A$4:$A163,$A164,$B$4:$B163,$B164,$I$4:$I163,"&lt;&gt;Complete")=0,$A164&amp;"|"&amp;$B164,""),"")</f>
        <v/>
      </c>
      <c r="P164" t="str">
        <f ca="1">IF($K164="Yes",COUNTIFS($K$4:$K164,"Yes"),"")</f>
        <v/>
      </c>
      <c r="Q164">
        <f t="shared" ca="1" si="11"/>
        <v>0</v>
      </c>
      <c r="R164" t="str">
        <f ca="1">IF($Q164=1,SUM($Q$4:$Q164),"")</f>
        <v/>
      </c>
    </row>
    <row r="165" spans="1:18" ht="33.75" customHeight="1" x14ac:dyDescent="0.3">
      <c r="A165" s="2" t="s">
        <v>504</v>
      </c>
      <c r="B165" s="2" t="s">
        <v>21</v>
      </c>
      <c r="C165" s="3" t="s">
        <v>516</v>
      </c>
      <c r="D165" s="3" t="s">
        <v>14</v>
      </c>
      <c r="E165" s="2"/>
      <c r="F165" s="2" t="s">
        <v>510</v>
      </c>
      <c r="G165" s="5">
        <v>46295.1</v>
      </c>
      <c r="H165" s="5">
        <v>46334</v>
      </c>
      <c r="I165" s="4" t="s">
        <v>17</v>
      </c>
      <c r="J165" s="6">
        <f t="shared" si="9"/>
        <v>38.900000000001455</v>
      </c>
      <c r="K165" s="4" t="str">
        <f t="shared" ca="1" si="10"/>
        <v>No</v>
      </c>
      <c r="L165" s="7">
        <f t="shared" ca="1" si="12"/>
        <v>126</v>
      </c>
      <c r="M165" s="4" t="str">
        <f>IF($I165="Complete","Green",IF($H165="","Amber",IF($H165&lt;'[2]Read Me'!$B$4,"Red",IF($H165-'[2]Read Me'!$B$4&lt;=21,"Amber","Green"))))</f>
        <v>Green</v>
      </c>
      <c r="N165" s="3"/>
      <c r="O165" t="str">
        <f>IF($I165&lt;&gt;"Complete",IF(COUNTIFS($A$4:$A164,$A165,$B$4:$B164,$B165,$I$4:$I164,"&lt;&gt;Complete")=0,$A165&amp;"|"&amp;$B165,""),"")</f>
        <v/>
      </c>
      <c r="P165" t="str">
        <f ca="1">IF($K165="Yes",COUNTIFS($K$4:$K165,"Yes"),"")</f>
        <v/>
      </c>
      <c r="Q165">
        <f t="shared" ca="1" si="11"/>
        <v>0</v>
      </c>
      <c r="R165" t="str">
        <f ca="1">IF($Q165=1,SUM($Q$4:$Q165),"")</f>
        <v/>
      </c>
    </row>
    <row r="166" spans="1:18" ht="33.75" customHeight="1" x14ac:dyDescent="0.3">
      <c r="A166" s="2" t="s">
        <v>504</v>
      </c>
      <c r="B166" s="2" t="s">
        <v>21</v>
      </c>
      <c r="C166" s="3" t="s">
        <v>516</v>
      </c>
      <c r="D166" s="3" t="s">
        <v>34</v>
      </c>
      <c r="E166" s="2"/>
      <c r="F166" s="2"/>
      <c r="G166" s="5">
        <v>46309.1</v>
      </c>
      <c r="H166" s="5">
        <v>46348</v>
      </c>
      <c r="I166" s="4" t="s">
        <v>17</v>
      </c>
      <c r="J166" s="6">
        <f t="shared" si="9"/>
        <v>38.900000000001455</v>
      </c>
      <c r="K166" s="4" t="str">
        <f t="shared" ca="1" si="10"/>
        <v>No</v>
      </c>
      <c r="L166" s="7">
        <f t="shared" ca="1" si="12"/>
        <v>140</v>
      </c>
      <c r="M166" s="4" t="str">
        <f>IF($I166="Complete","Green",IF($H166="","Amber",IF($H166&lt;'[2]Read Me'!$B$4,"Red",IF($H166-'[2]Read Me'!$B$4&lt;=21,"Amber","Green"))))</f>
        <v>Green</v>
      </c>
      <c r="N166" s="3"/>
      <c r="O166" t="str">
        <f>IF($I166&lt;&gt;"Complete",IF(COUNTIFS($A$4:$A165,$A166,$B$4:$B165,$B166,$I$4:$I165,"&lt;&gt;Complete")=0,$A166&amp;"|"&amp;$B166,""),"")</f>
        <v/>
      </c>
      <c r="P166" t="str">
        <f ca="1">IF($K166="Yes",COUNTIFS($K$4:$K166,"Yes"),"")</f>
        <v/>
      </c>
      <c r="Q166">
        <f t="shared" ca="1" si="11"/>
        <v>0</v>
      </c>
      <c r="R166" t="str">
        <f ca="1">IF($Q166=1,SUM($Q$4:$Q166),"")</f>
        <v/>
      </c>
    </row>
    <row r="167" spans="1:18" ht="33.75" customHeight="1" x14ac:dyDescent="0.3">
      <c r="A167" s="2" t="s">
        <v>504</v>
      </c>
      <c r="B167" s="2" t="s">
        <v>21</v>
      </c>
      <c r="C167" s="3" t="s">
        <v>516</v>
      </c>
      <c r="D167" s="3" t="s">
        <v>15</v>
      </c>
      <c r="E167" s="2"/>
      <c r="F167" s="2" t="s">
        <v>510</v>
      </c>
      <c r="G167" s="5">
        <v>46337.1</v>
      </c>
      <c r="H167" s="5">
        <v>46376</v>
      </c>
      <c r="I167" s="4" t="s">
        <v>17</v>
      </c>
      <c r="J167" s="6">
        <f t="shared" si="9"/>
        <v>38.900000000001455</v>
      </c>
      <c r="K167" s="4" t="str">
        <f t="shared" ca="1" si="10"/>
        <v>No</v>
      </c>
      <c r="L167" s="7">
        <f t="shared" ca="1" si="12"/>
        <v>168</v>
      </c>
      <c r="M167" s="4" t="str">
        <f>IF($I167="Complete","Green",IF($H167="","Amber",IF($H167&lt;'[2]Read Me'!$B$4,"Red",IF($H167-'[2]Read Me'!$B$4&lt;=21,"Amber","Green"))))</f>
        <v>Green</v>
      </c>
      <c r="N167" s="3"/>
      <c r="O167" t="str">
        <f>IF($I167&lt;&gt;"Complete",IF(COUNTIFS($A$4:$A166,$A167,$B$4:$B166,$B167,$I$4:$I166,"&lt;&gt;Complete")=0,$A167&amp;"|"&amp;$B167,""),"")</f>
        <v/>
      </c>
      <c r="P167" t="str">
        <f ca="1">IF($K167="Yes",COUNTIFS($K$4:$K167,"Yes"),"")</f>
        <v/>
      </c>
      <c r="Q167">
        <f t="shared" ca="1" si="11"/>
        <v>0</v>
      </c>
      <c r="R167" t="str">
        <f ca="1">IF($Q167=1,SUM($Q$4:$Q167),"")</f>
        <v/>
      </c>
    </row>
    <row r="168" spans="1:18" ht="33.75" customHeight="1" x14ac:dyDescent="0.3">
      <c r="A168" s="2" t="s">
        <v>504</v>
      </c>
      <c r="B168" s="2" t="s">
        <v>21</v>
      </c>
      <c r="C168" s="3" t="s">
        <v>516</v>
      </c>
      <c r="D168" s="3" t="s">
        <v>35</v>
      </c>
      <c r="E168" s="2"/>
      <c r="F168" s="2"/>
      <c r="G168" s="5">
        <v>46351.1</v>
      </c>
      <c r="H168" s="5">
        <v>46390</v>
      </c>
      <c r="I168" s="4" t="s">
        <v>17</v>
      </c>
      <c r="J168" s="6">
        <f t="shared" si="9"/>
        <v>38.900000000001455</v>
      </c>
      <c r="K168" s="4" t="str">
        <f t="shared" ca="1" si="10"/>
        <v>No</v>
      </c>
      <c r="L168" s="7">
        <f t="shared" ca="1" si="12"/>
        <v>182</v>
      </c>
      <c r="M168" s="4" t="str">
        <f>IF($I168="Complete","Green",IF($H168="","Amber",IF($H168&lt;'[2]Read Me'!$B$4,"Red",IF($H168-'[2]Read Me'!$B$4&lt;=21,"Amber","Green"))))</f>
        <v>Green</v>
      </c>
      <c r="N168" s="3"/>
      <c r="O168" t="str">
        <f>IF($I168&lt;&gt;"Complete",IF(COUNTIFS($A$4:$A167,$A168,$B$4:$B167,$B168,$I$4:$I167,"&lt;&gt;Complete")=0,$A168&amp;"|"&amp;$B168,""),"")</f>
        <v/>
      </c>
      <c r="P168" t="str">
        <f ca="1">IF($K168="Yes",COUNTIFS($K$4:$K168,"Yes"),"")</f>
        <v/>
      </c>
      <c r="Q168">
        <f t="shared" ca="1" si="11"/>
        <v>0</v>
      </c>
      <c r="R168" t="str">
        <f ca="1">IF($Q168=1,SUM($Q$4:$Q168),"")</f>
        <v/>
      </c>
    </row>
    <row r="169" spans="1:18" ht="33.75" customHeight="1" x14ac:dyDescent="0.3">
      <c r="A169" s="2" t="s">
        <v>504</v>
      </c>
      <c r="B169" s="2" t="s">
        <v>21</v>
      </c>
      <c r="C169" s="3" t="s">
        <v>516</v>
      </c>
      <c r="D169" s="3" t="s">
        <v>20</v>
      </c>
      <c r="E169" s="2"/>
      <c r="F169" s="2"/>
      <c r="G169" s="5">
        <v>46358.1</v>
      </c>
      <c r="H169" s="5">
        <v>46397</v>
      </c>
      <c r="I169" s="4" t="s">
        <v>17</v>
      </c>
      <c r="J169" s="6">
        <f t="shared" si="9"/>
        <v>38.900000000001455</v>
      </c>
      <c r="K169" s="4" t="str">
        <f t="shared" ca="1" si="10"/>
        <v>No</v>
      </c>
      <c r="L169" s="7">
        <f t="shared" ca="1" si="12"/>
        <v>189</v>
      </c>
      <c r="M169" s="4" t="str">
        <f>IF($I169="Complete","Green",IF($H169="","Amber",IF($H169&lt;'[2]Read Me'!$B$4,"Red",IF($H169-'[2]Read Me'!$B$4&lt;=21,"Amber","Green"))))</f>
        <v>Green</v>
      </c>
      <c r="N169" s="3"/>
      <c r="O169" t="str">
        <f>IF($I169&lt;&gt;"Complete",IF(COUNTIFS($A$4:$A168,$A169,$B$4:$B168,$B169,$I$4:$I168,"&lt;&gt;Complete")=0,$A169&amp;"|"&amp;$B169,""),"")</f>
        <v/>
      </c>
      <c r="P169" t="str">
        <f ca="1">IF($K169="Yes",COUNTIFS($K$4:$K169,"Yes"),"")</f>
        <v/>
      </c>
      <c r="Q169">
        <f t="shared" ca="1" si="11"/>
        <v>0</v>
      </c>
      <c r="R169" t="str">
        <f ca="1">IF($Q169=1,SUM($Q$4:$Q169),"")</f>
        <v/>
      </c>
    </row>
    <row r="170" spans="1:18" ht="33.75" customHeight="1" x14ac:dyDescent="0.3">
      <c r="A170" s="2" t="s">
        <v>504</v>
      </c>
      <c r="B170" s="2" t="s">
        <v>21</v>
      </c>
      <c r="C170" s="3" t="s">
        <v>516</v>
      </c>
      <c r="D170" s="3" t="s">
        <v>16</v>
      </c>
      <c r="E170" s="2"/>
      <c r="F170" s="2" t="s">
        <v>510</v>
      </c>
      <c r="G170" s="5">
        <v>46379.1</v>
      </c>
      <c r="H170" s="5">
        <v>46418</v>
      </c>
      <c r="I170" s="4" t="s">
        <v>17</v>
      </c>
      <c r="J170" s="6">
        <f t="shared" si="9"/>
        <v>38.900000000001455</v>
      </c>
      <c r="K170" s="4" t="str">
        <f t="shared" ca="1" si="10"/>
        <v>No</v>
      </c>
      <c r="L170" s="7">
        <f t="shared" ca="1" si="12"/>
        <v>210</v>
      </c>
      <c r="M170" s="4" t="str">
        <f>IF($I170="Complete","Green",IF($H170="","Amber",IF($H170&lt;'[2]Read Me'!$B$4,"Red",IF($H170-'[2]Read Me'!$B$4&lt;=21,"Amber","Green"))))</f>
        <v>Green</v>
      </c>
      <c r="N170" s="3"/>
      <c r="O170" t="str">
        <f>IF($I170&lt;&gt;"Complete",IF(COUNTIFS($A$4:$A169,$A170,$B$4:$B169,$B170,$I$4:$I169,"&lt;&gt;Complete")=0,$A170&amp;"|"&amp;$B170,""),"")</f>
        <v/>
      </c>
      <c r="P170" t="str">
        <f ca="1">IF($K170="Yes",COUNTIFS($K$4:$K170,"Yes"),"")</f>
        <v/>
      </c>
      <c r="Q170">
        <f t="shared" ca="1" si="11"/>
        <v>0</v>
      </c>
      <c r="R170" t="str">
        <f ca="1">IF($Q170=1,SUM($Q$4:$Q170),"")</f>
        <v/>
      </c>
    </row>
    <row r="171" spans="1:18" ht="33.75" customHeight="1" x14ac:dyDescent="0.3">
      <c r="A171" s="2"/>
      <c r="B171" s="2"/>
      <c r="C171" s="3" t="s">
        <v>516</v>
      </c>
      <c r="D171" s="3" t="s">
        <v>37</v>
      </c>
      <c r="E171" s="2"/>
      <c r="F171" s="2"/>
      <c r="G171" s="5">
        <v>46393.1</v>
      </c>
      <c r="H171" s="5">
        <v>46432</v>
      </c>
      <c r="I171" s="4" t="s">
        <v>17</v>
      </c>
      <c r="J171" s="6">
        <f t="shared" si="9"/>
        <v>38.900000000001455</v>
      </c>
      <c r="K171" s="4" t="str">
        <f t="shared" ca="1" si="10"/>
        <v>No</v>
      </c>
      <c r="L171" s="7">
        <f t="shared" ca="1" si="12"/>
        <v>224</v>
      </c>
      <c r="M171" s="4" t="str">
        <f>IF($I171="Complete","Green",IF($H171="","Amber",IF($H171&lt;'[2]Read Me'!$B$4,"Red",IF($H171-'[2]Read Me'!$B$4&lt;=21,"Amber","Green"))))</f>
        <v>Green</v>
      </c>
      <c r="N171" s="3"/>
      <c r="O171" t="str">
        <f>IF($I171&lt;&gt;"Complete",IF(COUNTIFS($A$4:$A170,$A171,$B$4:$B170,$B171,$I$4:$I170,"&lt;&gt;Complete")=0,$A171&amp;"|"&amp;$B171,""),"")</f>
        <v>|</v>
      </c>
      <c r="P171" t="str">
        <f ca="1">IF($K171="Yes",COUNTIFS($K$4:$K171,"Yes"),"")</f>
        <v/>
      </c>
      <c r="Q171">
        <f t="shared" ca="1" si="11"/>
        <v>0</v>
      </c>
      <c r="R171" t="str">
        <f ca="1">IF($Q171=1,SUM($Q$4:$Q171),"")</f>
        <v/>
      </c>
    </row>
    <row r="172" spans="1:18" ht="33.75" customHeight="1" x14ac:dyDescent="0.3">
      <c r="A172" s="2" t="s">
        <v>504</v>
      </c>
      <c r="B172" s="2" t="s">
        <v>49</v>
      </c>
      <c r="C172" s="3"/>
      <c r="D172" s="3"/>
      <c r="E172" s="2"/>
      <c r="F172" s="2"/>
      <c r="G172" s="5">
        <v>46463.1</v>
      </c>
      <c r="H172" s="5">
        <v>46566</v>
      </c>
      <c r="I172" s="4"/>
      <c r="J172" s="6">
        <f t="shared" si="9"/>
        <v>102.90000000000146</v>
      </c>
      <c r="K172" s="4" t="str">
        <f t="shared" ca="1" si="10"/>
        <v/>
      </c>
      <c r="L172" s="7">
        <f t="shared" ca="1" si="12"/>
        <v>358</v>
      </c>
      <c r="M172" s="4" t="str">
        <f>IF($I172="Complete","Green",IF($H172="","Amber",IF($H172&lt;'[2]Read Me'!$B$4,"Red",IF($H172-'[2]Read Me'!$B$4&lt;=21,"Amber","Green"))))</f>
        <v>Green</v>
      </c>
      <c r="N172" s="3"/>
      <c r="O172" t="str">
        <f>IF($I172&lt;&gt;"Complete",IF(COUNTIFS($A$4:$A171,$A172,$B$4:$B171,$B172,$I$4:$I171,"&lt;&gt;Complete")=0,$A172&amp;"|"&amp;$B172,""),"")</f>
        <v>Commercial|Authorities</v>
      </c>
      <c r="P172" t="str">
        <f ca="1">IF($K172="Yes",COUNTIFS($K$4:$K172,"Yes"),"")</f>
        <v/>
      </c>
      <c r="Q172">
        <f t="shared" ca="1" si="11"/>
        <v>0</v>
      </c>
      <c r="R172" t="str">
        <f ca="1">IF($Q172=1,SUM($Q$4:$Q172),"")</f>
        <v/>
      </c>
    </row>
    <row r="173" spans="1:18" ht="33.75" customHeight="1" x14ac:dyDescent="0.3">
      <c r="A173" s="2" t="s">
        <v>504</v>
      </c>
      <c r="B173" s="2" t="s">
        <v>49</v>
      </c>
      <c r="C173" s="3" t="s">
        <v>518</v>
      </c>
      <c r="D173" s="3" t="s">
        <v>456</v>
      </c>
      <c r="E173" s="2" t="s">
        <v>104</v>
      </c>
      <c r="F173" s="2"/>
      <c r="G173" s="5">
        <v>46225.1</v>
      </c>
      <c r="H173" s="5">
        <v>46328</v>
      </c>
      <c r="I173" s="4" t="s">
        <v>17</v>
      </c>
      <c r="J173" s="6">
        <f t="shared" si="9"/>
        <v>102.90000000000146</v>
      </c>
      <c r="K173" s="4" t="str">
        <f t="shared" ca="1" si="10"/>
        <v>No</v>
      </c>
      <c r="L173" s="7">
        <f t="shared" ca="1" si="12"/>
        <v>120</v>
      </c>
      <c r="M173" s="4" t="str">
        <f>IF($I173="Complete","Green",IF($H173="","Amber",IF($H173&lt;'[2]Read Me'!$B$4,"Red",IF($H173-'[2]Read Me'!$B$4&lt;=21,"Amber","Green"))))</f>
        <v>Green</v>
      </c>
      <c r="N173" s="3"/>
      <c r="O173" t="str">
        <f>IF($I173&lt;&gt;"Complete",IF(COUNTIFS($A$4:$A172,$A173,$B$4:$B172,$B173,$I$4:$I172,"&lt;&gt;Complete")=0,$A173&amp;"|"&amp;$B173,""),"")</f>
        <v/>
      </c>
      <c r="P173" t="str">
        <f ca="1">IF($K173="Yes",COUNTIFS($K$4:$K173,"Yes"),"")</f>
        <v/>
      </c>
      <c r="Q173">
        <f t="shared" ca="1" si="11"/>
        <v>0</v>
      </c>
      <c r="R173" t="str">
        <f ca="1">IF($Q173=1,SUM($Q$4:$Q173),"")</f>
        <v/>
      </c>
    </row>
    <row r="174" spans="1:18" ht="33.75" customHeight="1" x14ac:dyDescent="0.3">
      <c r="A174" s="2" t="s">
        <v>504</v>
      </c>
      <c r="B174" s="2" t="s">
        <v>49</v>
      </c>
      <c r="C174" s="3" t="s">
        <v>518</v>
      </c>
      <c r="D174" s="3" t="s">
        <v>103</v>
      </c>
      <c r="E174" s="2" t="s">
        <v>104</v>
      </c>
      <c r="F174" s="2"/>
      <c r="G174" s="5">
        <v>46309.1</v>
      </c>
      <c r="H174" s="5">
        <v>46412</v>
      </c>
      <c r="I174" s="4" t="s">
        <v>17</v>
      </c>
      <c r="J174" s="6">
        <f t="shared" si="9"/>
        <v>102.90000000000146</v>
      </c>
      <c r="K174" s="4" t="str">
        <f t="shared" ca="1" si="10"/>
        <v>No</v>
      </c>
      <c r="L174" s="7">
        <f t="shared" ca="1" si="12"/>
        <v>204</v>
      </c>
      <c r="M174" s="4" t="str">
        <f>IF($I174="Complete","Green",IF($H174="","Amber",IF($H174&lt;'[2]Read Me'!$B$4,"Red",IF($H174-'[2]Read Me'!$B$4&lt;=21,"Amber","Green"))))</f>
        <v>Green</v>
      </c>
      <c r="N174" s="3"/>
      <c r="O174" t="str">
        <f>IF($I174&lt;&gt;"Complete",IF(COUNTIFS($A$4:$A173,$A174,$B$4:$B173,$B174,$I$4:$I173,"&lt;&gt;Complete")=0,$A174&amp;"|"&amp;$B174,""),"")</f>
        <v/>
      </c>
      <c r="P174" t="str">
        <f ca="1">IF($K174="Yes",COUNTIFS($K$4:$K174,"Yes"),"")</f>
        <v/>
      </c>
      <c r="Q174">
        <f t="shared" ca="1" si="11"/>
        <v>0</v>
      </c>
      <c r="R174" t="str">
        <f ca="1">IF($Q174=1,SUM($Q$4:$Q174),"")</f>
        <v/>
      </c>
    </row>
    <row r="175" spans="1:18" ht="33.75" customHeight="1" x14ac:dyDescent="0.3">
      <c r="A175" s="2" t="s">
        <v>504</v>
      </c>
      <c r="B175" s="2" t="s">
        <v>49</v>
      </c>
      <c r="C175" s="3" t="s">
        <v>518</v>
      </c>
      <c r="D175" s="3" t="s">
        <v>91</v>
      </c>
      <c r="E175" s="2" t="s">
        <v>104</v>
      </c>
      <c r="F175" s="2"/>
      <c r="G175" s="5">
        <v>46351.1</v>
      </c>
      <c r="H175" s="5">
        <v>46454</v>
      </c>
      <c r="I175" s="4" t="s">
        <v>17</v>
      </c>
      <c r="J175" s="6">
        <f t="shared" si="9"/>
        <v>102.90000000000146</v>
      </c>
      <c r="K175" s="4" t="str">
        <f t="shared" ca="1" si="10"/>
        <v>No</v>
      </c>
      <c r="L175" s="7">
        <f t="shared" ca="1" si="12"/>
        <v>246</v>
      </c>
      <c r="M175" s="4" t="str">
        <f>IF($I175="Complete","Green",IF($H175="","Amber",IF($H175&lt;'[2]Read Me'!$B$4,"Red",IF($H175-'[2]Read Me'!$B$4&lt;=21,"Amber","Green"))))</f>
        <v>Green</v>
      </c>
      <c r="N175" s="3"/>
      <c r="O175" t="str">
        <f>IF($I175&lt;&gt;"Complete",IF(COUNTIFS($A$4:$A174,$A175,$B$4:$B174,$B175,$I$4:$I174,"&lt;&gt;Complete")=0,$A175&amp;"|"&amp;$B175,""),"")</f>
        <v/>
      </c>
      <c r="P175" t="str">
        <f ca="1">IF($K175="Yes",COUNTIFS($K$4:$K175,"Yes"),"")</f>
        <v/>
      </c>
      <c r="Q175">
        <f t="shared" ca="1" si="11"/>
        <v>0</v>
      </c>
      <c r="R175" t="str">
        <f ca="1">IF($Q175=1,SUM($Q$4:$Q175),"")</f>
        <v/>
      </c>
    </row>
    <row r="176" spans="1:18" ht="22.5" customHeight="1" x14ac:dyDescent="0.3">
      <c r="A176" s="2" t="s">
        <v>504</v>
      </c>
      <c r="B176" s="2" t="s">
        <v>49</v>
      </c>
      <c r="C176" s="3" t="s">
        <v>518</v>
      </c>
      <c r="D176" s="3" t="s">
        <v>93</v>
      </c>
      <c r="E176" s="2" t="s">
        <v>104</v>
      </c>
      <c r="F176" s="2"/>
      <c r="G176" s="5">
        <v>46393.1</v>
      </c>
      <c r="H176" s="5">
        <v>46496</v>
      </c>
      <c r="I176" s="4" t="s">
        <v>17</v>
      </c>
      <c r="J176" s="6">
        <f t="shared" si="9"/>
        <v>102.90000000000146</v>
      </c>
      <c r="K176" s="4" t="str">
        <f t="shared" ca="1" si="10"/>
        <v>No</v>
      </c>
      <c r="L176" s="7">
        <f t="shared" ca="1" si="12"/>
        <v>288</v>
      </c>
      <c r="M176" s="4" t="str">
        <f>IF($I176="Complete","Green",IF($H176="","Amber",IF($H176&lt;'[2]Read Me'!$B$4,"Red",IF($H176-'[2]Read Me'!$B$4&lt;=21,"Amber","Green"))))</f>
        <v>Green</v>
      </c>
      <c r="N176" s="3"/>
      <c r="O176" t="str">
        <f>IF($I176&lt;&gt;"Complete",IF(COUNTIFS($A$4:$A175,$A176,$B$4:$B175,$B176,$I$4:$I175,"&lt;&gt;Complete")=0,$A176&amp;"|"&amp;$B176,""),"")</f>
        <v/>
      </c>
      <c r="P176" t="str">
        <f ca="1">IF($K176="Yes",COUNTIFS($K$4:$K176,"Yes"),"")</f>
        <v/>
      </c>
      <c r="Q176">
        <f t="shared" ca="1" si="11"/>
        <v>0</v>
      </c>
      <c r="R176" t="str">
        <f ca="1">IF($Q176=1,SUM($Q$4:$Q176),"")</f>
        <v/>
      </c>
    </row>
    <row r="177" spans="1:18" ht="22.5" customHeight="1" x14ac:dyDescent="0.3">
      <c r="A177" s="2" t="s">
        <v>504</v>
      </c>
      <c r="B177" s="2" t="s">
        <v>49</v>
      </c>
      <c r="C177" s="3" t="s">
        <v>518</v>
      </c>
      <c r="D177" s="3" t="s">
        <v>94</v>
      </c>
      <c r="E177" s="2" t="s">
        <v>104</v>
      </c>
      <c r="F177" s="2"/>
      <c r="G177" s="5">
        <v>46463.1</v>
      </c>
      <c r="H177" s="5">
        <v>46566</v>
      </c>
      <c r="I177" s="4" t="s">
        <v>17</v>
      </c>
      <c r="J177" s="6">
        <f t="shared" si="9"/>
        <v>102.90000000000146</v>
      </c>
      <c r="K177" s="4" t="str">
        <f t="shared" ca="1" si="10"/>
        <v>No</v>
      </c>
      <c r="L177" s="7">
        <f t="shared" ca="1" si="12"/>
        <v>358</v>
      </c>
      <c r="M177" s="4" t="str">
        <f>IF($I177="Complete","Green",IF($H177="","Amber",IF($H177&lt;'[2]Read Me'!$B$4,"Red",IF($H177-'[2]Read Me'!$B$4&lt;=21,"Amber","Green"))))</f>
        <v>Green</v>
      </c>
      <c r="N177" s="3"/>
      <c r="O177" t="str">
        <f>IF($I177&lt;&gt;"Complete",IF(COUNTIFS($A$4:$A176,$A177,$B$4:$B176,$B177,$I$4:$I176,"&lt;&gt;Complete")=0,$A177&amp;"|"&amp;$B177,""),"")</f>
        <v/>
      </c>
      <c r="P177" t="str">
        <f ca="1">IF($K177="Yes",COUNTIFS($K$4:$K177,"Yes"),"")</f>
        <v/>
      </c>
      <c r="Q177">
        <f t="shared" ca="1" si="11"/>
        <v>0</v>
      </c>
      <c r="R177" t="str">
        <f ca="1">IF($Q177=1,SUM($Q$4:$Q177),"")</f>
        <v/>
      </c>
    </row>
    <row r="178" spans="1:18" ht="22.5" customHeight="1" x14ac:dyDescent="0.3">
      <c r="A178" s="2"/>
      <c r="B178" s="2"/>
      <c r="C178" s="3"/>
      <c r="D178" s="3"/>
      <c r="E178" s="2"/>
      <c r="F178" s="2"/>
      <c r="G178" s="5"/>
      <c r="H178" s="5"/>
      <c r="I178" s="4"/>
      <c r="J178" s="6" t="str">
        <f t="shared" si="9"/>
        <v/>
      </c>
      <c r="K178" s="4" t="str">
        <f t="shared" ca="1" si="10"/>
        <v/>
      </c>
      <c r="L178" s="7" t="str">
        <f t="shared" ca="1" si="12"/>
        <v/>
      </c>
      <c r="M178" s="4" t="str">
        <f>IF($I178="Complete","Green",IF($H178="","Amber",IF($H178&lt;'[2]Read Me'!$B$4,"Red",IF($H178-'[2]Read Me'!$B$4&lt;=21,"Amber","Green"))))</f>
        <v>Amber</v>
      </c>
      <c r="N178" s="3"/>
      <c r="O178" t="str">
        <f>IF($I178&lt;&gt;"Complete",IF(COUNTIFS($A$4:$A177,$A178,$B$4:$B177,$B178,$I$4:$I177,"&lt;&gt;Complete")=0,$A178&amp;"|"&amp;$B178,""),"")</f>
        <v>|</v>
      </c>
      <c r="P178" t="str">
        <f ca="1">IF($K178="Yes",COUNTIFS($K$4:$K178,"Yes"),"")</f>
        <v/>
      </c>
      <c r="Q178">
        <f t="shared" ca="1" si="11"/>
        <v>0</v>
      </c>
      <c r="R178" t="str">
        <f ca="1">IF($Q178=1,SUM($Q$4:$Q178),"")</f>
        <v/>
      </c>
    </row>
    <row r="179" spans="1:18" ht="22.5" customHeight="1" x14ac:dyDescent="0.3">
      <c r="A179" s="2"/>
      <c r="B179" s="2"/>
      <c r="C179" s="3"/>
      <c r="D179" s="3"/>
      <c r="E179" s="2"/>
      <c r="F179" s="2"/>
      <c r="G179" s="5"/>
      <c r="H179" s="5"/>
      <c r="I179" s="4"/>
      <c r="J179" s="6" t="str">
        <f t="shared" si="9"/>
        <v/>
      </c>
      <c r="K179" s="4" t="str">
        <f t="shared" ca="1" si="10"/>
        <v/>
      </c>
      <c r="L179" s="7" t="str">
        <f t="shared" ca="1" si="12"/>
        <v/>
      </c>
      <c r="M179" s="4" t="str">
        <f>IF($I179="Complete","Green",IF($H179="","Amber",IF($H179&lt;'[2]Read Me'!$B$4,"Red",IF($H179-'[2]Read Me'!$B$4&lt;=21,"Amber","Green"))))</f>
        <v>Amber</v>
      </c>
      <c r="N179" s="3"/>
      <c r="O179" t="str">
        <f>IF($I179&lt;&gt;"Complete",IF(COUNTIFS($A$4:$A178,$A179,$B$4:$B178,$B179,$I$4:$I178,"&lt;&gt;Complete")=0,$A179&amp;"|"&amp;$B179,""),"")</f>
        <v>|</v>
      </c>
      <c r="P179" t="str">
        <f ca="1">IF($K179="Yes",COUNTIFS($K$4:$K179,"Yes"),"")</f>
        <v/>
      </c>
      <c r="Q179">
        <f t="shared" ca="1" si="11"/>
        <v>0</v>
      </c>
      <c r="R179" t="str">
        <f ca="1">IF($Q179=1,SUM($Q$4:$Q179),"")</f>
        <v/>
      </c>
    </row>
    <row r="180" spans="1:18" ht="22.5" customHeight="1" x14ac:dyDescent="0.3">
      <c r="A180" s="2"/>
      <c r="B180" s="2"/>
      <c r="C180" s="3"/>
      <c r="D180" s="3"/>
      <c r="E180" s="2"/>
      <c r="F180" s="2"/>
      <c r="G180" s="5"/>
      <c r="H180" s="5"/>
      <c r="I180" s="4"/>
      <c r="J180" s="6" t="str">
        <f t="shared" si="9"/>
        <v/>
      </c>
      <c r="K180" s="4" t="str">
        <f t="shared" ca="1" si="10"/>
        <v/>
      </c>
      <c r="L180" s="7" t="str">
        <f t="shared" ca="1" si="12"/>
        <v/>
      </c>
      <c r="M180" s="4" t="str">
        <f>IF($I180="Complete","Green",IF($H180="","Amber",IF($H180&lt;'[2]Read Me'!$B$4,"Red",IF($H180-'[2]Read Me'!$B$4&lt;=21,"Amber","Green"))))</f>
        <v>Amber</v>
      </c>
      <c r="N180" s="3"/>
      <c r="O180" t="str">
        <f>IF($I180&lt;&gt;"Complete",IF(COUNTIFS($A$4:$A179,$A180,$B$4:$B179,$B180,$I$4:$I179,"&lt;&gt;Complete")=0,$A180&amp;"|"&amp;$B180,""),"")</f>
        <v>|</v>
      </c>
      <c r="P180" t="str">
        <f ca="1">IF($K180="Yes",COUNTIFS($K$4:$K180,"Yes"),"")</f>
        <v/>
      </c>
      <c r="Q180">
        <f t="shared" ca="1" si="11"/>
        <v>0</v>
      </c>
      <c r="R180" t="str">
        <f ca="1">IF($Q180=1,SUM($Q$4:$Q180),"")</f>
        <v/>
      </c>
    </row>
    <row r="181" spans="1:18" ht="22.5" customHeight="1" x14ac:dyDescent="0.3">
      <c r="A181" s="2"/>
      <c r="B181" s="2"/>
      <c r="C181" s="3"/>
      <c r="D181" s="3"/>
      <c r="E181" s="2"/>
      <c r="F181" s="2"/>
      <c r="G181" s="5"/>
      <c r="H181" s="5"/>
      <c r="I181" s="4"/>
      <c r="J181" s="6" t="str">
        <f t="shared" si="9"/>
        <v/>
      </c>
      <c r="K181" s="4" t="str">
        <f t="shared" ca="1" si="10"/>
        <v/>
      </c>
      <c r="L181" s="7" t="str">
        <f t="shared" ca="1" si="12"/>
        <v/>
      </c>
      <c r="M181" s="4" t="str">
        <f>IF($I181="Complete","Green",IF($H181="","Amber",IF($H181&lt;'[2]Read Me'!$B$4,"Red",IF($H181-'[2]Read Me'!$B$4&lt;=21,"Amber","Green"))))</f>
        <v>Amber</v>
      </c>
      <c r="N181" s="3"/>
      <c r="O181" t="str">
        <f>IF($I181&lt;&gt;"Complete",IF(COUNTIFS($A$4:$A180,$A181,$B$4:$B180,$B181,$I$4:$I180,"&lt;&gt;Complete")=0,$A181&amp;"|"&amp;$B181,""),"")</f>
        <v>|</v>
      </c>
      <c r="P181" t="str">
        <f ca="1">IF($K181="Yes",COUNTIFS($K$4:$K181,"Yes"),"")</f>
        <v/>
      </c>
      <c r="Q181">
        <f t="shared" ca="1" si="11"/>
        <v>0</v>
      </c>
      <c r="R181" t="str">
        <f ca="1">IF($Q181=1,SUM($Q$4:$Q181),"")</f>
        <v/>
      </c>
    </row>
    <row r="182" spans="1:18" ht="22.5" customHeight="1" x14ac:dyDescent="0.3">
      <c r="A182" s="2"/>
      <c r="B182" s="2"/>
      <c r="C182" s="3"/>
      <c r="D182" s="3"/>
      <c r="E182" s="2"/>
      <c r="F182" s="2"/>
      <c r="G182" s="5"/>
      <c r="H182" s="5"/>
      <c r="I182" s="4"/>
      <c r="J182" s="6" t="str">
        <f t="shared" si="9"/>
        <v/>
      </c>
      <c r="K182" s="4" t="str">
        <f t="shared" ca="1" si="10"/>
        <v/>
      </c>
      <c r="L182" s="7" t="str">
        <f t="shared" ca="1" si="12"/>
        <v/>
      </c>
      <c r="M182" s="4" t="str">
        <f>IF($I182="Complete","Green",IF($H182="","Amber",IF($H182&lt;'[2]Read Me'!$B$4,"Red",IF($H182-'[2]Read Me'!$B$4&lt;=21,"Amber","Green"))))</f>
        <v>Amber</v>
      </c>
      <c r="N182" s="3"/>
      <c r="O182" t="str">
        <f>IF($I182&lt;&gt;"Complete",IF(COUNTIFS($A$4:$A181,$A182,$B$4:$B181,$B182,$I$4:$I181,"&lt;&gt;Complete")=0,$A182&amp;"|"&amp;$B182,""),"")</f>
        <v>|</v>
      </c>
      <c r="P182" t="str">
        <f ca="1">IF($K182="Yes",COUNTIFS($K$4:$K182,"Yes"),"")</f>
        <v/>
      </c>
      <c r="Q182">
        <f t="shared" ca="1" si="11"/>
        <v>0</v>
      </c>
      <c r="R182" t="str">
        <f ca="1">IF($Q182=1,SUM($Q$4:$Q182),"")</f>
        <v/>
      </c>
    </row>
    <row r="183" spans="1:18" ht="22.5" customHeight="1" x14ac:dyDescent="0.3">
      <c r="A183" s="2"/>
      <c r="B183" s="2"/>
      <c r="C183" s="3"/>
      <c r="D183" s="3"/>
      <c r="E183" s="2"/>
      <c r="F183" s="2"/>
      <c r="G183" s="5"/>
      <c r="H183" s="5"/>
      <c r="I183" s="4"/>
      <c r="J183" s="6" t="str">
        <f t="shared" si="9"/>
        <v/>
      </c>
      <c r="K183" s="4" t="str">
        <f t="shared" ca="1" si="10"/>
        <v/>
      </c>
      <c r="L183" s="7" t="str">
        <f t="shared" ca="1" si="12"/>
        <v/>
      </c>
      <c r="M183" s="4" t="str">
        <f>IF($I183="Complete","Green",IF($H183="","Amber",IF($H183&lt;'[2]Read Me'!$B$4,"Red",IF($H183-'[2]Read Me'!$B$4&lt;=21,"Amber","Green"))))</f>
        <v>Amber</v>
      </c>
      <c r="N183" s="3"/>
      <c r="O183" t="str">
        <f>IF($I183&lt;&gt;"Complete",IF(COUNTIFS($A$4:$A182,$A183,$B$4:$B182,$B183,$I$4:$I182,"&lt;&gt;Complete")=0,$A183&amp;"|"&amp;$B183,""),"")</f>
        <v>|</v>
      </c>
      <c r="P183" t="str">
        <f ca="1">IF($K183="Yes",COUNTIFS($K$4:$K183,"Yes"),"")</f>
        <v/>
      </c>
      <c r="Q183">
        <f t="shared" ca="1" si="11"/>
        <v>0</v>
      </c>
      <c r="R183" t="str">
        <f ca="1">IF($Q183=1,SUM($Q$4:$Q183),"")</f>
        <v/>
      </c>
    </row>
    <row r="184" spans="1:18" ht="22.5" customHeight="1" x14ac:dyDescent="0.3">
      <c r="A184" s="2"/>
      <c r="B184" s="2"/>
      <c r="C184" s="3"/>
      <c r="D184" s="3"/>
      <c r="E184" s="2"/>
      <c r="F184" s="2"/>
      <c r="G184" s="5"/>
      <c r="H184" s="5"/>
      <c r="I184" s="4"/>
      <c r="J184" s="6" t="str">
        <f t="shared" si="9"/>
        <v/>
      </c>
      <c r="K184" s="4" t="str">
        <f t="shared" ca="1" si="10"/>
        <v/>
      </c>
      <c r="L184" s="7" t="str">
        <f t="shared" ca="1" si="12"/>
        <v/>
      </c>
      <c r="M184" s="4" t="str">
        <f>IF($I184="Complete","Green",IF($H184="","Amber",IF($H184&lt;'[2]Read Me'!$B$4,"Red",IF($H184-'[2]Read Me'!$B$4&lt;=21,"Amber","Green"))))</f>
        <v>Amber</v>
      </c>
      <c r="N184" s="3"/>
      <c r="O184" t="str">
        <f>IF($I184&lt;&gt;"Complete",IF(COUNTIFS($A$4:$A183,$A184,$B$4:$B183,$B184,$I$4:$I183,"&lt;&gt;Complete")=0,$A184&amp;"|"&amp;$B184,""),"")</f>
        <v>|</v>
      </c>
      <c r="P184" t="str">
        <f ca="1">IF($K184="Yes",COUNTIFS($K$4:$K184,"Yes"),"")</f>
        <v/>
      </c>
      <c r="Q184">
        <f t="shared" ca="1" si="11"/>
        <v>0</v>
      </c>
      <c r="R184" t="str">
        <f ca="1">IF($Q184=1,SUM($Q$4:$Q184),"")</f>
        <v/>
      </c>
    </row>
    <row r="185" spans="1:18" ht="22.5" customHeight="1" x14ac:dyDescent="0.3">
      <c r="A185" s="2"/>
      <c r="B185" s="2"/>
      <c r="C185" s="3"/>
      <c r="D185" s="3"/>
      <c r="E185" s="2"/>
      <c r="F185" s="2"/>
      <c r="G185" s="5"/>
      <c r="H185" s="5"/>
      <c r="I185" s="4"/>
      <c r="J185" s="6" t="str">
        <f t="shared" si="9"/>
        <v/>
      </c>
      <c r="K185" s="4" t="str">
        <f t="shared" ca="1" si="10"/>
        <v/>
      </c>
      <c r="L185" s="7" t="str">
        <f t="shared" ca="1" si="12"/>
        <v/>
      </c>
      <c r="M185" s="4" t="str">
        <f>IF($I185="Complete","Green",IF($H185="","Amber",IF($H185&lt;'[2]Read Me'!$B$4,"Red",IF($H185-'[2]Read Me'!$B$4&lt;=21,"Amber","Green"))))</f>
        <v>Amber</v>
      </c>
      <c r="N185" s="3"/>
      <c r="O185" t="str">
        <f>IF($I185&lt;&gt;"Complete",IF(COUNTIFS($A$4:$A184,$A185,$B$4:$B184,$B185,$I$4:$I184,"&lt;&gt;Complete")=0,$A185&amp;"|"&amp;$B185,""),"")</f>
        <v>|</v>
      </c>
      <c r="P185" t="str">
        <f ca="1">IF($K185="Yes",COUNTIFS($K$4:$K185,"Yes"),"")</f>
        <v/>
      </c>
      <c r="Q185">
        <f t="shared" ca="1" si="11"/>
        <v>0</v>
      </c>
      <c r="R185" t="str">
        <f ca="1">IF($Q185=1,SUM($Q$4:$Q185),"")</f>
        <v/>
      </c>
    </row>
    <row r="186" spans="1:18" ht="22.5" customHeight="1" x14ac:dyDescent="0.3">
      <c r="A186" s="2"/>
      <c r="B186" s="2"/>
      <c r="C186" s="3"/>
      <c r="D186" s="3"/>
      <c r="E186" s="2"/>
      <c r="F186" s="2"/>
      <c r="G186" s="5"/>
      <c r="H186" s="5"/>
      <c r="I186" s="4"/>
      <c r="J186" s="6" t="str">
        <f t="shared" si="9"/>
        <v/>
      </c>
      <c r="K186" s="4" t="str">
        <f t="shared" ca="1" si="10"/>
        <v/>
      </c>
      <c r="L186" s="7" t="str">
        <f t="shared" ca="1" si="12"/>
        <v/>
      </c>
      <c r="M186" s="4" t="str">
        <f>IF($I186="Complete","Green",IF($H186="","Amber",IF($H186&lt;'[2]Read Me'!$B$4,"Red",IF($H186-'[2]Read Me'!$B$4&lt;=21,"Amber","Green"))))</f>
        <v>Amber</v>
      </c>
      <c r="N186" s="3"/>
      <c r="O186" t="str">
        <f>IF($I186&lt;&gt;"Complete",IF(COUNTIFS($A$4:$A185,$A186,$B$4:$B185,$B186,$I$4:$I185,"&lt;&gt;Complete")=0,$A186&amp;"|"&amp;$B186,""),"")</f>
        <v>|</v>
      </c>
      <c r="P186" t="str">
        <f ca="1">IF($K186="Yes",COUNTIFS($K$4:$K186,"Yes"),"")</f>
        <v/>
      </c>
      <c r="Q186">
        <f t="shared" ca="1" si="11"/>
        <v>0</v>
      </c>
      <c r="R186" t="str">
        <f ca="1">IF($Q186=1,SUM($Q$4:$Q186),"")</f>
        <v/>
      </c>
    </row>
    <row r="187" spans="1:18" ht="22.5" customHeight="1" x14ac:dyDescent="0.3">
      <c r="A187" s="2"/>
      <c r="B187" s="2"/>
      <c r="C187" s="3"/>
      <c r="D187" s="3"/>
      <c r="E187" s="2"/>
      <c r="F187" s="2"/>
      <c r="G187" s="5"/>
      <c r="H187" s="5"/>
      <c r="I187" s="4"/>
      <c r="J187" s="6" t="str">
        <f t="shared" si="9"/>
        <v/>
      </c>
      <c r="K187" s="4" t="str">
        <f t="shared" ca="1" si="10"/>
        <v/>
      </c>
      <c r="L187" s="7" t="str">
        <f t="shared" ca="1" si="12"/>
        <v/>
      </c>
      <c r="M187" s="4" t="str">
        <f>IF($I187="Complete","Green",IF($H187="","Amber",IF($H187&lt;'[2]Read Me'!$B$4,"Red",IF($H187-'[2]Read Me'!$B$4&lt;=21,"Amber","Green"))))</f>
        <v>Amber</v>
      </c>
      <c r="N187" s="3"/>
      <c r="O187" t="str">
        <f>IF($I187&lt;&gt;"Complete",IF(COUNTIFS($A$4:$A186,$A187,$B$4:$B186,$B187,$I$4:$I186,"&lt;&gt;Complete")=0,$A187&amp;"|"&amp;$B187,""),"")</f>
        <v>|</v>
      </c>
      <c r="P187" t="str">
        <f ca="1">IF($K187="Yes",COUNTIFS($K$4:$K187,"Yes"),"")</f>
        <v/>
      </c>
      <c r="Q187">
        <f t="shared" ca="1" si="11"/>
        <v>0</v>
      </c>
      <c r="R187" t="str">
        <f ca="1">IF($Q187=1,SUM($Q$4:$Q187),"")</f>
        <v/>
      </c>
    </row>
    <row r="188" spans="1:18" ht="22.5" customHeight="1" x14ac:dyDescent="0.3">
      <c r="A188" s="2"/>
      <c r="B188" s="2"/>
      <c r="C188" s="3"/>
      <c r="D188" s="3"/>
      <c r="E188" s="2"/>
      <c r="F188" s="2"/>
      <c r="G188" s="5"/>
      <c r="H188" s="5"/>
      <c r="I188" s="4"/>
      <c r="J188" s="6" t="str">
        <f t="shared" si="9"/>
        <v/>
      </c>
      <c r="K188" s="4" t="str">
        <f t="shared" ca="1" si="10"/>
        <v/>
      </c>
      <c r="L188" s="7" t="str">
        <f t="shared" ca="1" si="12"/>
        <v/>
      </c>
      <c r="M188" s="4" t="str">
        <f>IF($I188="Complete","Green",IF($H188="","Amber",IF($H188&lt;'[2]Read Me'!$B$4,"Red",IF($H188-'[2]Read Me'!$B$4&lt;=21,"Amber","Green"))))</f>
        <v>Amber</v>
      </c>
      <c r="N188" s="3"/>
      <c r="O188" t="str">
        <f>IF($I188&lt;&gt;"Complete",IF(COUNTIFS($A$4:$A187,$A188,$B$4:$B187,$B188,$I$4:$I187,"&lt;&gt;Complete")=0,$A188&amp;"|"&amp;$B188,""),"")</f>
        <v>|</v>
      </c>
      <c r="P188" t="str">
        <f ca="1">IF($K188="Yes",COUNTIFS($K$4:$K188,"Yes"),"")</f>
        <v/>
      </c>
      <c r="Q188">
        <f t="shared" ca="1" si="11"/>
        <v>0</v>
      </c>
      <c r="R188" t="str">
        <f ca="1">IF($Q188=1,SUM($Q$4:$Q188),"")</f>
        <v/>
      </c>
    </row>
    <row r="189" spans="1:18" ht="22.5" customHeight="1" x14ac:dyDescent="0.3">
      <c r="A189" s="2"/>
      <c r="B189" s="2"/>
      <c r="C189" s="3"/>
      <c r="D189" s="3"/>
      <c r="E189" s="2"/>
      <c r="F189" s="2"/>
      <c r="G189" s="5"/>
      <c r="H189" s="5"/>
      <c r="I189" s="4"/>
      <c r="J189" s="6" t="str">
        <f t="shared" si="9"/>
        <v/>
      </c>
      <c r="K189" s="4" t="str">
        <f t="shared" ca="1" si="10"/>
        <v/>
      </c>
      <c r="L189" s="7" t="str">
        <f t="shared" ca="1" si="12"/>
        <v/>
      </c>
      <c r="M189" s="4" t="str">
        <f>IF($I189="Complete","Green",IF($H189="","Amber",IF($H189&lt;'[2]Read Me'!$B$4,"Red",IF($H189-'[2]Read Me'!$B$4&lt;=21,"Amber","Green"))))</f>
        <v>Amber</v>
      </c>
      <c r="N189" s="3"/>
      <c r="O189" t="str">
        <f>IF($I189&lt;&gt;"Complete",IF(COUNTIFS($A$4:$A188,$A189,$B$4:$B188,$B189,$I$4:$I188,"&lt;&gt;Complete")=0,$A189&amp;"|"&amp;$B189,""),"")</f>
        <v>|</v>
      </c>
      <c r="P189" t="str">
        <f ca="1">IF($K189="Yes",COUNTIFS($K$4:$K189,"Yes"),"")</f>
        <v/>
      </c>
      <c r="Q189">
        <f t="shared" ca="1" si="11"/>
        <v>0</v>
      </c>
      <c r="R189" t="str">
        <f ca="1">IF($Q189=1,SUM($Q$4:$Q189),"")</f>
        <v/>
      </c>
    </row>
    <row r="190" spans="1:18" ht="22.5" customHeight="1" x14ac:dyDescent="0.3">
      <c r="A190" s="2"/>
      <c r="B190" s="2"/>
      <c r="C190" s="3"/>
      <c r="D190" s="3"/>
      <c r="E190" s="2"/>
      <c r="F190" s="2"/>
      <c r="G190" s="5"/>
      <c r="H190" s="5"/>
      <c r="I190" s="4"/>
      <c r="J190" s="6" t="str">
        <f t="shared" si="9"/>
        <v/>
      </c>
      <c r="K190" s="4" t="str">
        <f t="shared" ca="1" si="10"/>
        <v/>
      </c>
      <c r="L190" s="7" t="str">
        <f t="shared" ca="1" si="12"/>
        <v/>
      </c>
      <c r="M190" s="4" t="str">
        <f>IF($I190="Complete","Green",IF($H190="","Amber",IF($H190&lt;'[2]Read Me'!$B$4,"Red",IF($H190-'[2]Read Me'!$B$4&lt;=21,"Amber","Green"))))</f>
        <v>Amber</v>
      </c>
      <c r="N190" s="3"/>
      <c r="O190" t="str">
        <f>IF($I190&lt;&gt;"Complete",IF(COUNTIFS($A$4:$A189,$A190,$B$4:$B189,$B190,$I$4:$I189,"&lt;&gt;Complete")=0,$A190&amp;"|"&amp;$B190,""),"")</f>
        <v>|</v>
      </c>
      <c r="P190" t="str">
        <f ca="1">IF($K190="Yes",COUNTIFS($K$4:$K190,"Yes"),"")</f>
        <v/>
      </c>
      <c r="Q190">
        <f t="shared" ca="1" si="11"/>
        <v>0</v>
      </c>
      <c r="R190" t="str">
        <f ca="1">IF($Q190=1,SUM($Q$4:$Q190),"")</f>
        <v/>
      </c>
    </row>
    <row r="191" spans="1:18" ht="22.5" customHeight="1" x14ac:dyDescent="0.3">
      <c r="A191" s="2"/>
      <c r="B191" s="2"/>
      <c r="C191" s="3"/>
      <c r="D191" s="3"/>
      <c r="E191" s="2"/>
      <c r="F191" s="2"/>
      <c r="G191" s="5"/>
      <c r="H191" s="5"/>
      <c r="I191" s="4"/>
      <c r="J191" s="6" t="str">
        <f t="shared" si="9"/>
        <v/>
      </c>
      <c r="K191" s="4" t="str">
        <f t="shared" ca="1" si="10"/>
        <v/>
      </c>
      <c r="L191" s="7" t="str">
        <f t="shared" ca="1" si="12"/>
        <v/>
      </c>
      <c r="M191" s="4" t="str">
        <f>IF($I191="Complete","Green",IF($H191="","Amber",IF($H191&lt;'[2]Read Me'!$B$4,"Red",IF($H191-'[2]Read Me'!$B$4&lt;=21,"Amber","Green"))))</f>
        <v>Amber</v>
      </c>
      <c r="N191" s="3"/>
      <c r="O191" t="str">
        <f>IF($I191&lt;&gt;"Complete",IF(COUNTIFS($A$4:$A190,$A191,$B$4:$B190,$B191,$I$4:$I190,"&lt;&gt;Complete")=0,$A191&amp;"|"&amp;$B191,""),"")</f>
        <v>|</v>
      </c>
      <c r="P191" t="str">
        <f ca="1">IF($K191="Yes",COUNTIFS($K$4:$K191,"Yes"),"")</f>
        <v/>
      </c>
      <c r="Q191">
        <f t="shared" ca="1" si="11"/>
        <v>0</v>
      </c>
      <c r="R191" t="str">
        <f ca="1">IF($Q191=1,SUM($Q$4:$Q191),"")</f>
        <v/>
      </c>
    </row>
    <row r="192" spans="1:18" ht="33.75" customHeight="1" x14ac:dyDescent="0.3">
      <c r="A192" s="2"/>
      <c r="B192" s="2"/>
      <c r="C192" s="3"/>
      <c r="D192" s="3"/>
      <c r="E192" s="2"/>
      <c r="F192" s="2"/>
      <c r="G192" s="5"/>
      <c r="H192" s="5"/>
      <c r="I192" s="4"/>
      <c r="J192" s="6" t="str">
        <f t="shared" si="9"/>
        <v/>
      </c>
      <c r="K192" s="4" t="str">
        <f t="shared" ca="1" si="10"/>
        <v/>
      </c>
      <c r="L192" s="7" t="str">
        <f t="shared" ca="1" si="12"/>
        <v/>
      </c>
      <c r="M192" s="4" t="str">
        <f>IF($I192="Complete","Green",IF($H192="","Amber",IF($H192&lt;'[2]Read Me'!$B$4,"Red",IF($H192-'[2]Read Me'!$B$4&lt;=21,"Amber","Green"))))</f>
        <v>Amber</v>
      </c>
      <c r="N192" s="3"/>
      <c r="O192" t="str">
        <f>IF($I192&lt;&gt;"Complete",IF(COUNTIFS($A$4:$A191,$A192,$B$4:$B191,$B192,$I$4:$I191,"&lt;&gt;Complete")=0,$A192&amp;"|"&amp;$B192,""),"")</f>
        <v>|</v>
      </c>
      <c r="P192" t="str">
        <f ca="1">IF($K192="Yes",COUNTIFS($K$4:$K192,"Yes"),"")</f>
        <v/>
      </c>
      <c r="Q192">
        <f t="shared" ca="1" si="11"/>
        <v>0</v>
      </c>
      <c r="R192" t="str">
        <f ca="1">IF($Q192=1,SUM($Q$4:$Q192),"")</f>
        <v/>
      </c>
    </row>
    <row r="193" spans="1:18" ht="33.75" customHeight="1" x14ac:dyDescent="0.3">
      <c r="A193" s="2"/>
      <c r="B193" s="2"/>
      <c r="C193" s="3"/>
      <c r="D193" s="3"/>
      <c r="E193" s="2"/>
      <c r="F193" s="2"/>
      <c r="G193" s="5"/>
      <c r="H193" s="5"/>
      <c r="I193" s="4"/>
      <c r="J193" s="6" t="str">
        <f t="shared" si="9"/>
        <v/>
      </c>
      <c r="K193" s="4" t="str">
        <f t="shared" ca="1" si="10"/>
        <v/>
      </c>
      <c r="L193" s="7" t="str">
        <f t="shared" ca="1" si="12"/>
        <v/>
      </c>
      <c r="M193" s="4" t="str">
        <f>IF($I193="Complete","Green",IF($H193="","Amber",IF($H193&lt;'[2]Read Me'!$B$4,"Red",IF($H193-'[2]Read Me'!$B$4&lt;=21,"Amber","Green"))))</f>
        <v>Amber</v>
      </c>
      <c r="N193" s="3"/>
      <c r="O193" t="str">
        <f>IF($I193&lt;&gt;"Complete",IF(COUNTIFS($A$4:$A192,$A193,$B$4:$B192,$B193,$I$4:$I192,"&lt;&gt;Complete")=0,$A193&amp;"|"&amp;$B193,""),"")</f>
        <v>|</v>
      </c>
      <c r="P193" t="str">
        <f ca="1">IF($K193="Yes",COUNTIFS($K$4:$K193,"Yes"),"")</f>
        <v/>
      </c>
      <c r="Q193">
        <f t="shared" ca="1" si="11"/>
        <v>0</v>
      </c>
      <c r="R193" t="str">
        <f ca="1">IF($Q193=1,SUM($Q$4:$Q193),"")</f>
        <v/>
      </c>
    </row>
    <row r="194" spans="1:18" ht="33.75" customHeight="1" x14ac:dyDescent="0.3">
      <c r="A194" s="2"/>
      <c r="B194" s="2"/>
      <c r="C194" s="3"/>
      <c r="D194" s="3"/>
      <c r="E194" s="2"/>
      <c r="F194" s="2"/>
      <c r="G194" s="5"/>
      <c r="H194" s="5"/>
      <c r="I194" s="4"/>
      <c r="J194" s="6" t="str">
        <f t="shared" si="9"/>
        <v/>
      </c>
      <c r="K194" s="4" t="str">
        <f t="shared" ca="1" si="10"/>
        <v/>
      </c>
      <c r="L194" s="7" t="str">
        <f t="shared" ca="1" si="12"/>
        <v/>
      </c>
      <c r="M194" s="4" t="str">
        <f>IF($I194="Complete","Green",IF($H194="","Amber",IF($H194&lt;'[2]Read Me'!$B$4,"Red",IF($H194-'[2]Read Me'!$B$4&lt;=21,"Amber","Green"))))</f>
        <v>Amber</v>
      </c>
      <c r="N194" s="3"/>
      <c r="O194" t="str">
        <f>IF($I194&lt;&gt;"Complete",IF(COUNTIFS($A$4:$A193,$A194,$B$4:$B193,$B194,$I$4:$I193,"&lt;&gt;Complete")=0,$A194&amp;"|"&amp;$B194,""),"")</f>
        <v>|</v>
      </c>
      <c r="P194" t="str">
        <f ca="1">IF($K194="Yes",COUNTIFS($K$4:$K194,"Yes"),"")</f>
        <v/>
      </c>
      <c r="Q194">
        <f t="shared" ca="1" si="11"/>
        <v>0</v>
      </c>
      <c r="R194" t="str">
        <f ca="1">IF($Q194=1,SUM($Q$4:$Q194),"")</f>
        <v/>
      </c>
    </row>
    <row r="195" spans="1:18" ht="33.75" customHeight="1" x14ac:dyDescent="0.3">
      <c r="A195" s="2"/>
      <c r="B195" s="2"/>
      <c r="C195" s="3"/>
      <c r="D195" s="3"/>
      <c r="E195" s="2"/>
      <c r="F195" s="2"/>
      <c r="G195" s="5"/>
      <c r="H195" s="5"/>
      <c r="I195" s="4"/>
      <c r="J195" s="6" t="str">
        <f t="shared" si="9"/>
        <v/>
      </c>
      <c r="K195" s="4" t="str">
        <f t="shared" ca="1" si="10"/>
        <v/>
      </c>
      <c r="L195" s="7" t="str">
        <f t="shared" ca="1" si="12"/>
        <v/>
      </c>
      <c r="M195" s="4" t="str">
        <f>IF($I195="Complete","Green",IF($H195="","Amber",IF($H195&lt;'[2]Read Me'!$B$4,"Red",IF($H195-'[2]Read Me'!$B$4&lt;=21,"Amber","Green"))))</f>
        <v>Amber</v>
      </c>
      <c r="N195" s="3"/>
      <c r="O195" t="str">
        <f>IF($I195&lt;&gt;"Complete",IF(COUNTIFS($A$4:$A194,$A195,$B$4:$B194,$B195,$I$4:$I194,"&lt;&gt;Complete")=0,$A195&amp;"|"&amp;$B195,""),"")</f>
        <v>|</v>
      </c>
      <c r="P195" t="str">
        <f ca="1">IF($K195="Yes",COUNTIFS($K$4:$K195,"Yes"),"")</f>
        <v/>
      </c>
      <c r="Q195">
        <f t="shared" ca="1" si="11"/>
        <v>0</v>
      </c>
      <c r="R195" t="str">
        <f ca="1">IF($Q195=1,SUM($Q$4:$Q195),"")</f>
        <v/>
      </c>
    </row>
    <row r="196" spans="1:18" ht="33.75" customHeight="1" x14ac:dyDescent="0.3">
      <c r="A196" s="2"/>
      <c r="B196" s="2"/>
      <c r="C196" s="3"/>
      <c r="D196" s="3"/>
      <c r="E196" s="2"/>
      <c r="F196" s="2"/>
      <c r="G196" s="5"/>
      <c r="H196" s="5"/>
      <c r="I196" s="4"/>
      <c r="J196" s="6" t="str">
        <f t="shared" ref="J196:J259" si="13">IF(OR($G196="",$H196=""),"",$H196-$G196)</f>
        <v/>
      </c>
      <c r="K196" s="4" t="str">
        <f t="shared" ref="K196:K243" ca="1" si="14">IF(C196="","",IF(H196="","",IF($I196="completed","-",IF($H196&gt;TODAY(),"No","Yes"))))</f>
        <v/>
      </c>
      <c r="L196" s="7" t="str">
        <f t="shared" ca="1" si="12"/>
        <v/>
      </c>
      <c r="M196" s="4" t="str">
        <f>IF($I196="Complete","Green",IF($H196="","Amber",IF($H196&lt;'[2]Read Me'!$B$4,"Red",IF($H196-'[2]Read Me'!$B$4&lt;=21,"Amber","Green"))))</f>
        <v>Amber</v>
      </c>
      <c r="N196" s="3"/>
      <c r="O196" t="str">
        <f>IF($I196&lt;&gt;"Complete",IF(COUNTIFS($A$4:$A195,$A196,$B$4:$B195,$B196,$I$4:$I195,"&lt;&gt;Complete")=0,$A196&amp;"|"&amp;$B196,""),"")</f>
        <v>|</v>
      </c>
      <c r="P196" t="str">
        <f ca="1">IF($K196="Yes",COUNTIFS($K$4:$K196,"Yes"),"")</f>
        <v/>
      </c>
      <c r="Q196">
        <f t="shared" ref="Q196:Q259" ca="1" si="15">IF(OR($I196="In Progress",$K196="Yes"),1,0)</f>
        <v>0</v>
      </c>
      <c r="R196" t="str">
        <f ca="1">IF($Q196=1,SUM($Q$4:$Q196),"")</f>
        <v/>
      </c>
    </row>
    <row r="197" spans="1:18" ht="22.5" customHeight="1" x14ac:dyDescent="0.3">
      <c r="A197" s="2"/>
      <c r="B197" s="2"/>
      <c r="C197" s="3"/>
      <c r="D197" s="3"/>
      <c r="E197" s="2"/>
      <c r="F197" s="2"/>
      <c r="G197" s="5"/>
      <c r="H197" s="5"/>
      <c r="I197" s="4"/>
      <c r="J197" s="6" t="str">
        <f t="shared" si="13"/>
        <v/>
      </c>
      <c r="K197" s="4" t="str">
        <f t="shared" ca="1" si="14"/>
        <v/>
      </c>
      <c r="L197" s="7" t="str">
        <f t="shared" ref="L197:L260" ca="1" si="16">IF(I197="Completed",0,IF(H197="","",H197-TODAY()))</f>
        <v/>
      </c>
      <c r="M197" s="4" t="str">
        <f>IF($I197="Complete","Green",IF($H197="","Amber",IF($H197&lt;'[2]Read Me'!$B$4,"Red",IF($H197-'[2]Read Me'!$B$4&lt;=21,"Amber","Green"))))</f>
        <v>Amber</v>
      </c>
      <c r="N197" s="3"/>
      <c r="O197" t="str">
        <f>IF($I197&lt;&gt;"Complete",IF(COUNTIFS($A$4:$A196,$A197,$B$4:$B196,$B197,$I$4:$I196,"&lt;&gt;Complete")=0,$A197&amp;"|"&amp;$B197,""),"")</f>
        <v>|</v>
      </c>
      <c r="P197" t="str">
        <f ca="1">IF($K197="Yes",COUNTIFS($K$4:$K197,"Yes"),"")</f>
        <v/>
      </c>
      <c r="Q197">
        <f t="shared" ca="1" si="15"/>
        <v>0</v>
      </c>
      <c r="R197" t="str">
        <f ca="1">IF($Q197=1,SUM($Q$4:$Q197),"")</f>
        <v/>
      </c>
    </row>
    <row r="198" spans="1:18" ht="22.5" customHeight="1" x14ac:dyDescent="0.3">
      <c r="A198" s="2"/>
      <c r="B198" s="2"/>
      <c r="C198" s="3"/>
      <c r="D198" s="3"/>
      <c r="E198" s="2"/>
      <c r="F198" s="2"/>
      <c r="G198" s="5"/>
      <c r="H198" s="5"/>
      <c r="I198" s="4"/>
      <c r="J198" s="6" t="str">
        <f t="shared" si="13"/>
        <v/>
      </c>
      <c r="K198" s="4" t="str">
        <f t="shared" ca="1" si="14"/>
        <v/>
      </c>
      <c r="L198" s="7" t="str">
        <f t="shared" ca="1" si="16"/>
        <v/>
      </c>
      <c r="M198" s="4" t="str">
        <f>IF($I198="Complete","Green",IF($H198="","Amber",IF($H198&lt;'[2]Read Me'!$B$4,"Red",IF($H198-'[2]Read Me'!$B$4&lt;=21,"Amber","Green"))))</f>
        <v>Amber</v>
      </c>
      <c r="N198" s="3"/>
      <c r="O198" t="str">
        <f>IF($I198&lt;&gt;"Complete",IF(COUNTIFS($A$4:$A197,$A198,$B$4:$B197,$B198,$I$4:$I197,"&lt;&gt;Complete")=0,$A198&amp;"|"&amp;$B198,""),"")</f>
        <v>|</v>
      </c>
      <c r="P198" t="str">
        <f ca="1">IF($K198="Yes",COUNTIFS($K$4:$K198,"Yes"),"")</f>
        <v/>
      </c>
      <c r="Q198">
        <f t="shared" ca="1" si="15"/>
        <v>0</v>
      </c>
      <c r="R198" t="str">
        <f ca="1">IF($Q198=1,SUM($Q$4:$Q198),"")</f>
        <v/>
      </c>
    </row>
    <row r="199" spans="1:18" ht="22.5" customHeight="1" x14ac:dyDescent="0.3">
      <c r="A199" s="2"/>
      <c r="B199" s="2"/>
      <c r="C199" s="3"/>
      <c r="D199" s="3"/>
      <c r="E199" s="2"/>
      <c r="F199" s="2"/>
      <c r="G199" s="5"/>
      <c r="H199" s="5"/>
      <c r="I199" s="4"/>
      <c r="J199" s="6" t="str">
        <f t="shared" si="13"/>
        <v/>
      </c>
      <c r="K199" s="4" t="str">
        <f t="shared" ca="1" si="14"/>
        <v/>
      </c>
      <c r="L199" s="7" t="str">
        <f t="shared" ca="1" si="16"/>
        <v/>
      </c>
      <c r="M199" s="4" t="str">
        <f>IF($I199="Complete","Green",IF($H199="","Amber",IF($H199&lt;'[2]Read Me'!$B$4,"Red",IF($H199-'[2]Read Me'!$B$4&lt;=21,"Amber","Green"))))</f>
        <v>Amber</v>
      </c>
      <c r="N199" s="3"/>
      <c r="O199" t="str">
        <f>IF($I199&lt;&gt;"Complete",IF(COUNTIFS($A$4:$A198,$A199,$B$4:$B198,$B199,$I$4:$I198,"&lt;&gt;Complete")=0,$A199&amp;"|"&amp;$B199,""),"")</f>
        <v>|</v>
      </c>
      <c r="P199" t="str">
        <f ca="1">IF($K199="Yes",COUNTIFS($K$4:$K199,"Yes"),"")</f>
        <v/>
      </c>
      <c r="Q199">
        <f t="shared" ca="1" si="15"/>
        <v>0</v>
      </c>
      <c r="R199" t="str">
        <f ca="1">IF($Q199=1,SUM($Q$4:$Q199),"")</f>
        <v/>
      </c>
    </row>
    <row r="200" spans="1:18" ht="22.5" customHeight="1" x14ac:dyDescent="0.3">
      <c r="A200" s="2"/>
      <c r="B200" s="2"/>
      <c r="C200" s="3"/>
      <c r="D200" s="3"/>
      <c r="E200" s="2"/>
      <c r="F200" s="2"/>
      <c r="G200" s="5"/>
      <c r="H200" s="5"/>
      <c r="I200" s="4"/>
      <c r="J200" s="6" t="str">
        <f t="shared" si="13"/>
        <v/>
      </c>
      <c r="K200" s="4" t="str">
        <f t="shared" ca="1" si="14"/>
        <v/>
      </c>
      <c r="L200" s="7" t="str">
        <f t="shared" ca="1" si="16"/>
        <v/>
      </c>
      <c r="M200" s="4" t="str">
        <f>IF($I200="Complete","Green",IF($H200="","Amber",IF($H200&lt;'[2]Read Me'!$B$4,"Red",IF($H200-'[2]Read Me'!$B$4&lt;=21,"Amber","Green"))))</f>
        <v>Amber</v>
      </c>
      <c r="N200" s="3"/>
      <c r="O200" t="str">
        <f>IF($I200&lt;&gt;"Complete",IF(COUNTIFS($A$4:$A199,$A200,$B$4:$B199,$B200,$I$4:$I199,"&lt;&gt;Complete")=0,$A200&amp;"|"&amp;$B200,""),"")</f>
        <v>|</v>
      </c>
      <c r="P200" t="str">
        <f ca="1">IF($K200="Yes",COUNTIFS($K$4:$K200,"Yes"),"")</f>
        <v/>
      </c>
      <c r="Q200">
        <f t="shared" ca="1" si="15"/>
        <v>0</v>
      </c>
      <c r="R200" t="str">
        <f ca="1">IF($Q200=1,SUM($Q$4:$Q200),"")</f>
        <v/>
      </c>
    </row>
    <row r="201" spans="1:18" ht="22.5" customHeight="1" x14ac:dyDescent="0.3">
      <c r="A201" s="2"/>
      <c r="B201" s="2"/>
      <c r="C201" s="3"/>
      <c r="D201" s="3"/>
      <c r="E201" s="2"/>
      <c r="F201" s="2"/>
      <c r="G201" s="5"/>
      <c r="H201" s="5"/>
      <c r="I201" s="4"/>
      <c r="J201" s="6" t="str">
        <f t="shared" si="13"/>
        <v/>
      </c>
      <c r="K201" s="4" t="str">
        <f t="shared" ca="1" si="14"/>
        <v/>
      </c>
      <c r="L201" s="7" t="str">
        <f t="shared" ca="1" si="16"/>
        <v/>
      </c>
      <c r="M201" s="4" t="str">
        <f>IF($I201="Complete","Green",IF($H201="","Amber",IF($H201&lt;'[2]Read Me'!$B$4,"Red",IF($H201-'[2]Read Me'!$B$4&lt;=21,"Amber","Green"))))</f>
        <v>Amber</v>
      </c>
      <c r="N201" s="3"/>
      <c r="O201" t="str">
        <f>IF($I201&lt;&gt;"Complete",IF(COUNTIFS($A$4:$A200,$A201,$B$4:$B200,$B201,$I$4:$I200,"&lt;&gt;Complete")=0,$A201&amp;"|"&amp;$B201,""),"")</f>
        <v>|</v>
      </c>
      <c r="P201" t="str">
        <f ca="1">IF($K201="Yes",COUNTIFS($K$4:$K201,"Yes"),"")</f>
        <v/>
      </c>
      <c r="Q201">
        <f t="shared" ca="1" si="15"/>
        <v>0</v>
      </c>
      <c r="R201" t="str">
        <f ca="1">IF($Q201=1,SUM($Q$4:$Q201),"")</f>
        <v/>
      </c>
    </row>
    <row r="202" spans="1:18" ht="22.5" customHeight="1" x14ac:dyDescent="0.3">
      <c r="A202" s="2"/>
      <c r="B202" s="2"/>
      <c r="C202" s="3"/>
      <c r="D202" s="3"/>
      <c r="E202" s="2"/>
      <c r="F202" s="2"/>
      <c r="G202" s="5"/>
      <c r="H202" s="5"/>
      <c r="I202" s="4"/>
      <c r="J202" s="6" t="str">
        <f t="shared" si="13"/>
        <v/>
      </c>
      <c r="K202" s="4" t="str">
        <f t="shared" ca="1" si="14"/>
        <v/>
      </c>
      <c r="L202" s="7" t="str">
        <f t="shared" ca="1" si="16"/>
        <v/>
      </c>
      <c r="M202" s="4" t="str">
        <f>IF($I202="Complete","Green",IF($H202="","Amber",IF($H202&lt;'[2]Read Me'!$B$4,"Red",IF($H202-'[2]Read Me'!$B$4&lt;=21,"Amber","Green"))))</f>
        <v>Amber</v>
      </c>
      <c r="N202" s="3"/>
      <c r="O202" t="str">
        <f>IF($I202&lt;&gt;"Complete",IF(COUNTIFS($A$4:$A201,$A202,$B$4:$B201,$B202,$I$4:$I201,"&lt;&gt;Complete")=0,$A202&amp;"|"&amp;$B202,""),"")</f>
        <v>|</v>
      </c>
      <c r="P202" t="str">
        <f ca="1">IF($K202="Yes",COUNTIFS($K$4:$K202,"Yes"),"")</f>
        <v/>
      </c>
      <c r="Q202">
        <f t="shared" ca="1" si="15"/>
        <v>0</v>
      </c>
      <c r="R202" t="str">
        <f ca="1">IF($Q202=1,SUM($Q$4:$Q202),"")</f>
        <v/>
      </c>
    </row>
    <row r="203" spans="1:18" ht="22.5" customHeight="1" x14ac:dyDescent="0.3">
      <c r="A203" s="2"/>
      <c r="B203" s="2"/>
      <c r="C203" s="3"/>
      <c r="D203" s="3"/>
      <c r="E203" s="2"/>
      <c r="F203" s="2"/>
      <c r="G203" s="5"/>
      <c r="H203" s="5"/>
      <c r="I203" s="4"/>
      <c r="J203" s="6" t="str">
        <f t="shared" si="13"/>
        <v/>
      </c>
      <c r="K203" s="4" t="str">
        <f t="shared" ca="1" si="14"/>
        <v/>
      </c>
      <c r="L203" s="7" t="str">
        <f t="shared" ca="1" si="16"/>
        <v/>
      </c>
      <c r="M203" s="4" t="str">
        <f>IF($I203="Complete","Green",IF($H203="","Amber",IF($H203&lt;'[2]Read Me'!$B$4,"Red",IF($H203-'[2]Read Me'!$B$4&lt;=21,"Amber","Green"))))</f>
        <v>Amber</v>
      </c>
      <c r="N203" s="3"/>
      <c r="O203" t="str">
        <f>IF($I203&lt;&gt;"Complete",IF(COUNTIFS($A$4:$A202,$A203,$B$4:$B202,$B203,$I$4:$I202,"&lt;&gt;Complete")=0,$A203&amp;"|"&amp;$B203,""),"")</f>
        <v>|</v>
      </c>
      <c r="P203" t="str">
        <f ca="1">IF($K203="Yes",COUNTIFS($K$4:$K203,"Yes"),"")</f>
        <v/>
      </c>
      <c r="Q203">
        <f t="shared" ca="1" si="15"/>
        <v>0</v>
      </c>
      <c r="R203" t="str">
        <f ca="1">IF($Q203=1,SUM($Q$4:$Q203),"")</f>
        <v/>
      </c>
    </row>
    <row r="204" spans="1:18" ht="33.75" customHeight="1" x14ac:dyDescent="0.3">
      <c r="A204" s="2"/>
      <c r="B204" s="2"/>
      <c r="C204" s="3"/>
      <c r="D204" s="3"/>
      <c r="E204" s="2"/>
      <c r="F204" s="2"/>
      <c r="G204" s="5"/>
      <c r="H204" s="5"/>
      <c r="I204" s="4"/>
      <c r="J204" s="6" t="str">
        <f t="shared" si="13"/>
        <v/>
      </c>
      <c r="K204" s="4" t="str">
        <f t="shared" ca="1" si="14"/>
        <v/>
      </c>
      <c r="L204" s="7" t="str">
        <f t="shared" ca="1" si="16"/>
        <v/>
      </c>
      <c r="M204" s="4" t="str">
        <f>IF($I204="Complete","Green",IF($H204="","Amber",IF($H204&lt;'[2]Read Me'!$B$4,"Red",IF($H204-'[2]Read Me'!$B$4&lt;=21,"Amber","Green"))))</f>
        <v>Amber</v>
      </c>
      <c r="N204" s="3"/>
      <c r="O204" t="str">
        <f>IF($I204&lt;&gt;"Complete",IF(COUNTIFS($A$4:$A203,$A204,$B$4:$B203,$B204,$I$4:$I203,"&lt;&gt;Complete")=0,$A204&amp;"|"&amp;$B204,""),"")</f>
        <v>|</v>
      </c>
      <c r="P204" t="str">
        <f ca="1">IF($K204="Yes",COUNTIFS($K$4:$K204,"Yes"),"")</f>
        <v/>
      </c>
      <c r="Q204">
        <f t="shared" ca="1" si="15"/>
        <v>0</v>
      </c>
      <c r="R204" t="str">
        <f ca="1">IF($Q204=1,SUM($Q$4:$Q204),"")</f>
        <v/>
      </c>
    </row>
    <row r="205" spans="1:18" ht="33.75" customHeight="1" x14ac:dyDescent="0.3">
      <c r="A205" s="2"/>
      <c r="B205" s="2"/>
      <c r="C205" s="3"/>
      <c r="D205" s="3"/>
      <c r="E205" s="2"/>
      <c r="F205" s="2"/>
      <c r="G205" s="5"/>
      <c r="H205" s="5"/>
      <c r="I205" s="4"/>
      <c r="J205" s="6" t="str">
        <f t="shared" si="13"/>
        <v/>
      </c>
      <c r="K205" s="4" t="str">
        <f t="shared" ca="1" si="14"/>
        <v/>
      </c>
      <c r="L205" s="7" t="str">
        <f t="shared" ca="1" si="16"/>
        <v/>
      </c>
      <c r="M205" s="4" t="str">
        <f>IF($I205="Complete","Green",IF($H205="","Amber",IF($H205&lt;'[2]Read Me'!$B$4,"Red",IF($H205-'[2]Read Me'!$B$4&lt;=21,"Amber","Green"))))</f>
        <v>Amber</v>
      </c>
      <c r="N205" s="3"/>
      <c r="O205" t="str">
        <f>IF($I205&lt;&gt;"Complete",IF(COUNTIFS($A$4:$A204,$A205,$B$4:$B204,$B205,$I$4:$I204,"&lt;&gt;Complete")=0,$A205&amp;"|"&amp;$B205,""),"")</f>
        <v>|</v>
      </c>
      <c r="P205" t="str">
        <f ca="1">IF($K205="Yes",COUNTIFS($K$4:$K205,"Yes"),"")</f>
        <v/>
      </c>
      <c r="Q205">
        <f t="shared" ca="1" si="15"/>
        <v>0</v>
      </c>
      <c r="R205" t="str">
        <f ca="1">IF($Q205=1,SUM($Q$4:$Q205),"")</f>
        <v/>
      </c>
    </row>
    <row r="206" spans="1:18" ht="33.75" customHeight="1" x14ac:dyDescent="0.3">
      <c r="A206" s="2"/>
      <c r="B206" s="2"/>
      <c r="C206" s="3"/>
      <c r="D206" s="3"/>
      <c r="E206" s="2"/>
      <c r="F206" s="2"/>
      <c r="G206" s="5"/>
      <c r="H206" s="5"/>
      <c r="I206" s="4"/>
      <c r="J206" s="6" t="str">
        <f t="shared" si="13"/>
        <v/>
      </c>
      <c r="K206" s="4" t="str">
        <f t="shared" ca="1" si="14"/>
        <v/>
      </c>
      <c r="L206" s="7" t="str">
        <f t="shared" ca="1" si="16"/>
        <v/>
      </c>
      <c r="M206" s="4" t="str">
        <f>IF($I206="Complete","Green",IF($H206="","Amber",IF($H206&lt;'[2]Read Me'!$B$4,"Red",IF($H206-'[2]Read Me'!$B$4&lt;=21,"Amber","Green"))))</f>
        <v>Amber</v>
      </c>
      <c r="N206" s="3"/>
      <c r="O206" t="str">
        <f>IF($I206&lt;&gt;"Complete",IF(COUNTIFS($A$4:$A205,$A206,$B$4:$B205,$B206,$I$4:$I205,"&lt;&gt;Complete")=0,$A206&amp;"|"&amp;$B206,""),"")</f>
        <v>|</v>
      </c>
      <c r="P206" t="str">
        <f ca="1">IF($K206="Yes",COUNTIFS($K$4:$K206,"Yes"),"")</f>
        <v/>
      </c>
      <c r="Q206">
        <f t="shared" ca="1" si="15"/>
        <v>0</v>
      </c>
      <c r="R206" t="str">
        <f ca="1">IF($Q206=1,SUM($Q$4:$Q206),"")</f>
        <v/>
      </c>
    </row>
    <row r="207" spans="1:18" ht="33.75" customHeight="1" x14ac:dyDescent="0.3">
      <c r="A207" s="2"/>
      <c r="B207" s="2"/>
      <c r="C207" s="3"/>
      <c r="D207" s="3"/>
      <c r="E207" s="2"/>
      <c r="F207" s="2"/>
      <c r="G207" s="5"/>
      <c r="H207" s="5"/>
      <c r="I207" s="4"/>
      <c r="J207" s="6" t="str">
        <f t="shared" si="13"/>
        <v/>
      </c>
      <c r="K207" s="4" t="str">
        <f t="shared" ca="1" si="14"/>
        <v/>
      </c>
      <c r="L207" s="7" t="str">
        <f t="shared" ca="1" si="16"/>
        <v/>
      </c>
      <c r="M207" s="4" t="str">
        <f>IF($I207="Complete","Green",IF($H207="","Amber",IF($H207&lt;'[2]Read Me'!$B$4,"Red",IF($H207-'[2]Read Me'!$B$4&lt;=21,"Amber","Green"))))</f>
        <v>Amber</v>
      </c>
      <c r="N207" s="3"/>
      <c r="O207" t="str">
        <f>IF($I207&lt;&gt;"Complete",IF(COUNTIFS($A$4:$A206,$A207,$B$4:$B206,$B207,$I$4:$I206,"&lt;&gt;Complete")=0,$A207&amp;"|"&amp;$B207,""),"")</f>
        <v>|</v>
      </c>
      <c r="P207" t="str">
        <f ca="1">IF($K207="Yes",COUNTIFS($K$4:$K207,"Yes"),"")</f>
        <v/>
      </c>
      <c r="Q207">
        <f t="shared" ca="1" si="15"/>
        <v>0</v>
      </c>
      <c r="R207" t="str">
        <f ca="1">IF($Q207=1,SUM($Q$4:$Q207),"")</f>
        <v/>
      </c>
    </row>
    <row r="208" spans="1:18" ht="33.75" customHeight="1" x14ac:dyDescent="0.3">
      <c r="A208" s="2"/>
      <c r="B208" s="2"/>
      <c r="C208" s="3"/>
      <c r="D208" s="3"/>
      <c r="E208" s="2"/>
      <c r="F208" s="2"/>
      <c r="G208" s="5"/>
      <c r="H208" s="5"/>
      <c r="I208" s="4"/>
      <c r="J208" s="6" t="str">
        <f t="shared" si="13"/>
        <v/>
      </c>
      <c r="K208" s="4" t="str">
        <f t="shared" ca="1" si="14"/>
        <v/>
      </c>
      <c r="L208" s="7" t="str">
        <f t="shared" ca="1" si="16"/>
        <v/>
      </c>
      <c r="M208" s="4" t="str">
        <f>IF($I208="Complete","Green",IF($H208="","Amber",IF($H208&lt;'[2]Read Me'!$B$4,"Red",IF($H208-'[2]Read Me'!$B$4&lt;=21,"Amber","Green"))))</f>
        <v>Amber</v>
      </c>
      <c r="N208" s="3"/>
      <c r="O208" t="str">
        <f>IF($I208&lt;&gt;"Complete",IF(COUNTIFS($A$4:$A207,$A208,$B$4:$B207,$B208,$I$4:$I207,"&lt;&gt;Complete")=0,$A208&amp;"|"&amp;$B208,""),"")</f>
        <v>|</v>
      </c>
      <c r="P208" t="str">
        <f ca="1">IF($K208="Yes",COUNTIFS($K$4:$K208,"Yes"),"")</f>
        <v/>
      </c>
      <c r="Q208">
        <f t="shared" ca="1" si="15"/>
        <v>0</v>
      </c>
      <c r="R208" t="str">
        <f ca="1">IF($Q208=1,SUM($Q$4:$Q208),"")</f>
        <v/>
      </c>
    </row>
    <row r="209" spans="1:18" ht="33.75" customHeight="1" x14ac:dyDescent="0.3">
      <c r="A209" s="2"/>
      <c r="B209" s="2"/>
      <c r="C209" s="3"/>
      <c r="D209" s="3"/>
      <c r="E209" s="2"/>
      <c r="F209" s="2"/>
      <c r="G209" s="5"/>
      <c r="H209" s="5"/>
      <c r="I209" s="4"/>
      <c r="J209" s="6" t="str">
        <f t="shared" si="13"/>
        <v/>
      </c>
      <c r="K209" s="4" t="str">
        <f t="shared" ca="1" si="14"/>
        <v/>
      </c>
      <c r="L209" s="7" t="str">
        <f t="shared" ca="1" si="16"/>
        <v/>
      </c>
      <c r="M209" s="4" t="str">
        <f>IF($I209="Complete","Green",IF($H209="","Amber",IF($H209&lt;'[2]Read Me'!$B$4,"Red",IF($H209-'[2]Read Me'!$B$4&lt;=21,"Amber","Green"))))</f>
        <v>Amber</v>
      </c>
      <c r="N209" s="3"/>
      <c r="O209" t="str">
        <f>IF($I209&lt;&gt;"Complete",IF(COUNTIFS($A$4:$A208,$A209,$B$4:$B208,$B209,$I$4:$I208,"&lt;&gt;Complete")=0,$A209&amp;"|"&amp;$B209,""),"")</f>
        <v>|</v>
      </c>
      <c r="P209" t="str">
        <f ca="1">IF($K209="Yes",COUNTIFS($K$4:$K209,"Yes"),"")</f>
        <v/>
      </c>
      <c r="Q209">
        <f t="shared" ca="1" si="15"/>
        <v>0</v>
      </c>
      <c r="R209" t="str">
        <f ca="1">IF($Q209=1,SUM($Q$4:$Q209),"")</f>
        <v/>
      </c>
    </row>
    <row r="210" spans="1:18" ht="33.75" customHeight="1" x14ac:dyDescent="0.3">
      <c r="A210" s="2"/>
      <c r="B210" s="2"/>
      <c r="C210" s="3"/>
      <c r="D210" s="3"/>
      <c r="E210" s="2"/>
      <c r="F210" s="2"/>
      <c r="G210" s="5"/>
      <c r="H210" s="5"/>
      <c r="I210" s="4"/>
      <c r="J210" s="6" t="str">
        <f t="shared" si="13"/>
        <v/>
      </c>
      <c r="K210" s="4" t="str">
        <f t="shared" ca="1" si="14"/>
        <v/>
      </c>
      <c r="L210" s="7" t="str">
        <f t="shared" ca="1" si="16"/>
        <v/>
      </c>
      <c r="M210" s="4" t="str">
        <f>IF($I210="Complete","Green",IF($H210="","Amber",IF($H210&lt;'[2]Read Me'!$B$4,"Red",IF($H210-'[2]Read Me'!$B$4&lt;=21,"Amber","Green"))))</f>
        <v>Amber</v>
      </c>
      <c r="N210" s="3"/>
      <c r="O210" t="str">
        <f>IF($I210&lt;&gt;"Complete",IF(COUNTIFS($A$4:$A209,$A210,$B$4:$B209,$B210,$I$4:$I209,"&lt;&gt;Complete")=0,$A210&amp;"|"&amp;$B210,""),"")</f>
        <v>|</v>
      </c>
      <c r="P210" t="str">
        <f ca="1">IF($K210="Yes",COUNTIFS($K$4:$K210,"Yes"),"")</f>
        <v/>
      </c>
      <c r="Q210">
        <f t="shared" ca="1" si="15"/>
        <v>0</v>
      </c>
      <c r="R210" t="str">
        <f ca="1">IF($Q210=1,SUM($Q$4:$Q210),"")</f>
        <v/>
      </c>
    </row>
    <row r="211" spans="1:18" ht="22.5" customHeight="1" x14ac:dyDescent="0.3">
      <c r="A211" s="2"/>
      <c r="B211" s="2"/>
      <c r="C211" s="3"/>
      <c r="D211" s="3"/>
      <c r="E211" s="2"/>
      <c r="F211" s="2"/>
      <c r="G211" s="5"/>
      <c r="H211" s="5"/>
      <c r="I211" s="4"/>
      <c r="J211" s="6" t="str">
        <f t="shared" si="13"/>
        <v/>
      </c>
      <c r="K211" s="4" t="str">
        <f t="shared" ca="1" si="14"/>
        <v/>
      </c>
      <c r="L211" s="7" t="str">
        <f t="shared" ca="1" si="16"/>
        <v/>
      </c>
      <c r="M211" s="4" t="str">
        <f>IF($I211="Complete","Green",IF($H211="","Amber",IF($H211&lt;'[2]Read Me'!$B$4,"Red",IF($H211-'[2]Read Me'!$B$4&lt;=21,"Amber","Green"))))</f>
        <v>Amber</v>
      </c>
      <c r="N211" s="3"/>
      <c r="O211" t="str">
        <f>IF($I211&lt;&gt;"Complete",IF(COUNTIFS($A$4:$A210,$A211,$B$4:$B210,$B211,$I$4:$I210,"&lt;&gt;Complete")=0,$A211&amp;"|"&amp;$B211,""),"")</f>
        <v>|</v>
      </c>
      <c r="P211" t="str">
        <f ca="1">IF($K211="Yes",COUNTIFS($K$4:$K211,"Yes"),"")</f>
        <v/>
      </c>
      <c r="Q211">
        <f t="shared" ca="1" si="15"/>
        <v>0</v>
      </c>
      <c r="R211" t="str">
        <f ca="1">IF($Q211=1,SUM($Q$4:$Q211),"")</f>
        <v/>
      </c>
    </row>
    <row r="212" spans="1:18" ht="22.5" customHeight="1" x14ac:dyDescent="0.3">
      <c r="A212" s="2"/>
      <c r="B212" s="2"/>
      <c r="C212" s="3"/>
      <c r="D212" s="3"/>
      <c r="E212" s="2"/>
      <c r="F212" s="2"/>
      <c r="G212" s="5"/>
      <c r="H212" s="5"/>
      <c r="I212" s="4"/>
      <c r="J212" s="6" t="str">
        <f t="shared" si="13"/>
        <v/>
      </c>
      <c r="K212" s="4" t="str">
        <f t="shared" ca="1" si="14"/>
        <v/>
      </c>
      <c r="L212" s="7" t="str">
        <f t="shared" ca="1" si="16"/>
        <v/>
      </c>
      <c r="M212" s="4" t="str">
        <f>IF($I212="Complete","Green",IF($H212="","Amber",IF($H212&lt;'[2]Read Me'!$B$4,"Red",IF($H212-'[2]Read Me'!$B$4&lt;=21,"Amber","Green"))))</f>
        <v>Amber</v>
      </c>
      <c r="N212" s="3"/>
      <c r="O212" t="str">
        <f>IF($I212&lt;&gt;"Complete",IF(COUNTIFS($A$4:$A211,$A212,$B$4:$B211,$B212,$I$4:$I211,"&lt;&gt;Complete")=0,$A212&amp;"|"&amp;$B212,""),"")</f>
        <v>|</v>
      </c>
      <c r="P212" t="str">
        <f ca="1">IF($K212="Yes",COUNTIFS($K$4:$K212,"Yes"),"")</f>
        <v/>
      </c>
      <c r="Q212">
        <f t="shared" ca="1" si="15"/>
        <v>0</v>
      </c>
      <c r="R212" t="str">
        <f ca="1">IF($Q212=1,SUM($Q$4:$Q212),"")</f>
        <v/>
      </c>
    </row>
    <row r="213" spans="1:18" ht="22.5" customHeight="1" x14ac:dyDescent="0.3">
      <c r="A213" s="2"/>
      <c r="B213" s="2"/>
      <c r="C213" s="3"/>
      <c r="D213" s="3"/>
      <c r="E213" s="2"/>
      <c r="F213" s="2"/>
      <c r="G213" s="5"/>
      <c r="H213" s="5"/>
      <c r="I213" s="4"/>
      <c r="J213" s="6" t="str">
        <f t="shared" si="13"/>
        <v/>
      </c>
      <c r="K213" s="4" t="str">
        <f t="shared" ca="1" si="14"/>
        <v/>
      </c>
      <c r="L213" s="7" t="str">
        <f t="shared" ca="1" si="16"/>
        <v/>
      </c>
      <c r="M213" s="4" t="str">
        <f>IF($I213="Complete","Green",IF($H213="","Amber",IF($H213&lt;'[2]Read Me'!$B$4,"Red",IF($H213-'[2]Read Me'!$B$4&lt;=21,"Amber","Green"))))</f>
        <v>Amber</v>
      </c>
      <c r="N213" s="3"/>
      <c r="O213" t="str">
        <f>IF($I213&lt;&gt;"Complete",IF(COUNTIFS($A$4:$A212,$A213,$B$4:$B212,$B213,$I$4:$I212,"&lt;&gt;Complete")=0,$A213&amp;"|"&amp;$B213,""),"")</f>
        <v>|</v>
      </c>
      <c r="P213" t="str">
        <f ca="1">IF($K213="Yes",COUNTIFS($K$4:$K213,"Yes"),"")</f>
        <v/>
      </c>
      <c r="Q213">
        <f t="shared" ca="1" si="15"/>
        <v>0</v>
      </c>
      <c r="R213" t="str">
        <f ca="1">IF($Q213=1,SUM($Q$4:$Q213),"")</f>
        <v/>
      </c>
    </row>
    <row r="214" spans="1:18" ht="22.5" customHeight="1" x14ac:dyDescent="0.3">
      <c r="A214" s="2"/>
      <c r="B214" s="2"/>
      <c r="C214" s="3"/>
      <c r="D214" s="3"/>
      <c r="E214" s="2"/>
      <c r="F214" s="2"/>
      <c r="G214" s="5"/>
      <c r="H214" s="5"/>
      <c r="I214" s="4"/>
      <c r="J214" s="6" t="str">
        <f t="shared" si="13"/>
        <v/>
      </c>
      <c r="K214" s="4" t="str">
        <f t="shared" ca="1" si="14"/>
        <v/>
      </c>
      <c r="L214" s="7" t="str">
        <f t="shared" ca="1" si="16"/>
        <v/>
      </c>
      <c r="M214" s="4" t="str">
        <f>IF($I214="Complete","Green",IF($H214="","Amber",IF($H214&lt;'[2]Read Me'!$B$4,"Red",IF($H214-'[2]Read Me'!$B$4&lt;=21,"Amber","Green"))))</f>
        <v>Amber</v>
      </c>
      <c r="N214" s="3"/>
      <c r="O214" t="str">
        <f>IF($I214&lt;&gt;"Complete",IF(COUNTIFS($A$4:$A213,$A214,$B$4:$B213,$B214,$I$4:$I213,"&lt;&gt;Complete")=0,$A214&amp;"|"&amp;$B214,""),"")</f>
        <v>|</v>
      </c>
      <c r="P214" t="str">
        <f ca="1">IF($K214="Yes",COUNTIFS($K$4:$K214,"Yes"),"")</f>
        <v/>
      </c>
      <c r="Q214">
        <f t="shared" ca="1" si="15"/>
        <v>0</v>
      </c>
      <c r="R214" t="str">
        <f ca="1">IF($Q214=1,SUM($Q$4:$Q214),"")</f>
        <v/>
      </c>
    </row>
    <row r="215" spans="1:18" ht="22.5" customHeight="1" x14ac:dyDescent="0.3">
      <c r="A215" s="2"/>
      <c r="B215" s="2"/>
      <c r="C215" s="3"/>
      <c r="D215" s="3"/>
      <c r="E215" s="2"/>
      <c r="F215" s="2"/>
      <c r="G215" s="5"/>
      <c r="H215" s="5"/>
      <c r="I215" s="4"/>
      <c r="J215" s="6" t="str">
        <f t="shared" si="13"/>
        <v/>
      </c>
      <c r="K215" s="4" t="str">
        <f t="shared" ca="1" si="14"/>
        <v/>
      </c>
      <c r="L215" s="7" t="str">
        <f t="shared" ca="1" si="16"/>
        <v/>
      </c>
      <c r="M215" s="4" t="str">
        <f>IF($I215="Complete","Green",IF($H215="","Amber",IF($H215&lt;'[2]Read Me'!$B$4,"Red",IF($H215-'[2]Read Me'!$B$4&lt;=21,"Amber","Green"))))</f>
        <v>Amber</v>
      </c>
      <c r="N215" s="3"/>
      <c r="O215" t="str">
        <f>IF($I215&lt;&gt;"Complete",IF(COUNTIFS($A$4:$A214,$A215,$B$4:$B214,$B215,$I$4:$I214,"&lt;&gt;Complete")=0,$A215&amp;"|"&amp;$B215,""),"")</f>
        <v>|</v>
      </c>
      <c r="P215" t="str">
        <f ca="1">IF($K215="Yes",COUNTIFS($K$4:$K215,"Yes"),"")</f>
        <v/>
      </c>
      <c r="Q215">
        <f t="shared" ca="1" si="15"/>
        <v>0</v>
      </c>
      <c r="R215" t="str">
        <f ca="1">IF($Q215=1,SUM($Q$4:$Q215),"")</f>
        <v/>
      </c>
    </row>
    <row r="216" spans="1:18" ht="22.5" customHeight="1" x14ac:dyDescent="0.3">
      <c r="A216" s="2"/>
      <c r="B216" s="2"/>
      <c r="C216" s="3"/>
      <c r="D216" s="3"/>
      <c r="E216" s="2"/>
      <c r="F216" s="2"/>
      <c r="G216" s="5"/>
      <c r="H216" s="5"/>
      <c r="I216" s="4"/>
      <c r="J216" s="6" t="str">
        <f t="shared" si="13"/>
        <v/>
      </c>
      <c r="K216" s="4" t="str">
        <f t="shared" ca="1" si="14"/>
        <v/>
      </c>
      <c r="L216" s="7" t="str">
        <f t="shared" ca="1" si="16"/>
        <v/>
      </c>
      <c r="M216" s="4" t="str">
        <f>IF($I216="Complete","Green",IF($H216="","Amber",IF($H216&lt;'[2]Read Me'!$B$4,"Red",IF($H216-'[2]Read Me'!$B$4&lt;=21,"Amber","Green"))))</f>
        <v>Amber</v>
      </c>
      <c r="N216" s="3"/>
      <c r="O216" t="str">
        <f>IF($I216&lt;&gt;"Complete",IF(COUNTIFS($A$4:$A215,$A216,$B$4:$B215,$B216,$I$4:$I215,"&lt;&gt;Complete")=0,$A216&amp;"|"&amp;$B216,""),"")</f>
        <v>|</v>
      </c>
      <c r="P216" t="str">
        <f ca="1">IF($K216="Yes",COUNTIFS($K$4:$K216,"Yes"),"")</f>
        <v/>
      </c>
      <c r="Q216">
        <f t="shared" ca="1" si="15"/>
        <v>0</v>
      </c>
      <c r="R216" t="str">
        <f ca="1">IF($Q216=1,SUM($Q$4:$Q216),"")</f>
        <v/>
      </c>
    </row>
    <row r="217" spans="1:18" ht="22.5" customHeight="1" x14ac:dyDescent="0.3">
      <c r="A217" s="2"/>
      <c r="B217" s="2"/>
      <c r="C217" s="3"/>
      <c r="D217" s="3"/>
      <c r="E217" s="2"/>
      <c r="F217" s="2"/>
      <c r="G217" s="5"/>
      <c r="H217" s="5"/>
      <c r="I217" s="4"/>
      <c r="J217" s="6" t="str">
        <f t="shared" si="13"/>
        <v/>
      </c>
      <c r="K217" s="4" t="str">
        <f t="shared" ca="1" si="14"/>
        <v/>
      </c>
      <c r="L217" s="7" t="str">
        <f t="shared" ca="1" si="16"/>
        <v/>
      </c>
      <c r="M217" s="4" t="str">
        <f>IF($I217="Complete","Green",IF($H217="","Amber",IF($H217&lt;'[2]Read Me'!$B$4,"Red",IF($H217-'[2]Read Me'!$B$4&lt;=21,"Amber","Green"))))</f>
        <v>Amber</v>
      </c>
      <c r="N217" s="3"/>
      <c r="O217" t="str">
        <f>IF($I217&lt;&gt;"Complete",IF(COUNTIFS($A$4:$A216,$A217,$B$4:$B216,$B217,$I$4:$I216,"&lt;&gt;Complete")=0,$A217&amp;"|"&amp;$B217,""),"")</f>
        <v>|</v>
      </c>
      <c r="P217" t="str">
        <f ca="1">IF($K217="Yes",COUNTIFS($K$4:$K217,"Yes"),"")</f>
        <v/>
      </c>
      <c r="Q217">
        <f t="shared" ca="1" si="15"/>
        <v>0</v>
      </c>
      <c r="R217" t="str">
        <f ca="1">IF($Q217=1,SUM($Q$4:$Q217),"")</f>
        <v/>
      </c>
    </row>
    <row r="218" spans="1:18" ht="22.5" customHeight="1" x14ac:dyDescent="0.3">
      <c r="A218" s="2"/>
      <c r="B218" s="2"/>
      <c r="C218" s="3"/>
      <c r="D218" s="3"/>
      <c r="E218" s="2"/>
      <c r="F218" s="2"/>
      <c r="G218" s="5"/>
      <c r="H218" s="5"/>
      <c r="I218" s="4"/>
      <c r="J218" s="6" t="str">
        <f t="shared" si="13"/>
        <v/>
      </c>
      <c r="K218" s="4" t="str">
        <f t="shared" ca="1" si="14"/>
        <v/>
      </c>
      <c r="L218" s="7" t="str">
        <f t="shared" ca="1" si="16"/>
        <v/>
      </c>
      <c r="M218" s="4" t="str">
        <f>IF($I218="Complete","Green",IF($H218="","Amber",IF($H218&lt;'[2]Read Me'!$B$4,"Red",IF($H218-'[2]Read Me'!$B$4&lt;=21,"Amber","Green"))))</f>
        <v>Amber</v>
      </c>
      <c r="N218" s="3"/>
      <c r="O218" t="str">
        <f>IF($I218&lt;&gt;"Complete",IF(COUNTIFS($A$4:$A217,$A218,$B$4:$B217,$B218,$I$4:$I217,"&lt;&gt;Complete")=0,$A218&amp;"|"&amp;$B218,""),"")</f>
        <v>|</v>
      </c>
      <c r="P218" t="str">
        <f ca="1">IF($K218="Yes",COUNTIFS($K$4:$K218,"Yes"),"")</f>
        <v/>
      </c>
      <c r="Q218">
        <f t="shared" ca="1" si="15"/>
        <v>0</v>
      </c>
      <c r="R218" t="str">
        <f ca="1">IF($Q218=1,SUM($Q$4:$Q218),"")</f>
        <v/>
      </c>
    </row>
    <row r="219" spans="1:18" ht="22.5" customHeight="1" x14ac:dyDescent="0.3">
      <c r="A219" s="2"/>
      <c r="B219" s="2"/>
      <c r="C219" s="3"/>
      <c r="D219" s="3"/>
      <c r="E219" s="2"/>
      <c r="F219" s="2"/>
      <c r="G219" s="5"/>
      <c r="H219" s="5"/>
      <c r="I219" s="4"/>
      <c r="J219" s="6" t="str">
        <f t="shared" si="13"/>
        <v/>
      </c>
      <c r="K219" s="4" t="str">
        <f t="shared" ca="1" si="14"/>
        <v/>
      </c>
      <c r="L219" s="7" t="str">
        <f t="shared" ca="1" si="16"/>
        <v/>
      </c>
      <c r="M219" s="4" t="str">
        <f>IF($I219="Complete","Green",IF($H219="","Amber",IF($H219&lt;'[2]Read Me'!$B$4,"Red",IF($H219-'[2]Read Me'!$B$4&lt;=21,"Amber","Green"))))</f>
        <v>Amber</v>
      </c>
      <c r="N219" s="3"/>
      <c r="O219" t="str">
        <f>IF($I219&lt;&gt;"Complete",IF(COUNTIFS($A$4:$A218,$A219,$B$4:$B218,$B219,$I$4:$I218,"&lt;&gt;Complete")=0,$A219&amp;"|"&amp;$B219,""),"")</f>
        <v>|</v>
      </c>
      <c r="P219" t="str">
        <f ca="1">IF($K219="Yes",COUNTIFS($K$4:$K219,"Yes"),"")</f>
        <v/>
      </c>
      <c r="Q219">
        <f t="shared" ca="1" si="15"/>
        <v>0</v>
      </c>
      <c r="R219" t="str">
        <f ca="1">IF($Q219=1,SUM($Q$4:$Q219),"")</f>
        <v/>
      </c>
    </row>
    <row r="220" spans="1:18" ht="22.5" customHeight="1" x14ac:dyDescent="0.3">
      <c r="A220" s="2"/>
      <c r="B220" s="2"/>
      <c r="C220" s="3"/>
      <c r="D220" s="3"/>
      <c r="E220" s="2"/>
      <c r="F220" s="2"/>
      <c r="G220" s="5"/>
      <c r="H220" s="5"/>
      <c r="I220" s="4"/>
      <c r="J220" s="6" t="str">
        <f t="shared" si="13"/>
        <v/>
      </c>
      <c r="K220" s="4" t="str">
        <f t="shared" ca="1" si="14"/>
        <v/>
      </c>
      <c r="L220" s="7" t="str">
        <f t="shared" ca="1" si="16"/>
        <v/>
      </c>
      <c r="M220" s="4" t="str">
        <f>IF($I220="Complete","Green",IF($H220="","Amber",IF($H220&lt;'[2]Read Me'!$B$4,"Red",IF($H220-'[2]Read Me'!$B$4&lt;=21,"Amber","Green"))))</f>
        <v>Amber</v>
      </c>
      <c r="N220" s="3"/>
      <c r="O220" t="str">
        <f>IF($I220&lt;&gt;"Complete",IF(COUNTIFS($A$4:$A219,$A220,$B$4:$B219,$B220,$I$4:$I219,"&lt;&gt;Complete")=0,$A220&amp;"|"&amp;$B220,""),"")</f>
        <v>|</v>
      </c>
      <c r="P220" t="str">
        <f ca="1">IF($K220="Yes",COUNTIFS($K$4:$K220,"Yes"),"")</f>
        <v/>
      </c>
      <c r="Q220">
        <f t="shared" ca="1" si="15"/>
        <v>0</v>
      </c>
      <c r="R220" t="str">
        <f ca="1">IF($Q220=1,SUM($Q$4:$Q220),"")</f>
        <v/>
      </c>
    </row>
    <row r="221" spans="1:18" ht="22.5" customHeight="1" x14ac:dyDescent="0.3">
      <c r="A221" s="2"/>
      <c r="B221" s="2"/>
      <c r="C221" s="3"/>
      <c r="D221" s="3"/>
      <c r="E221" s="2"/>
      <c r="F221" s="2"/>
      <c r="G221" s="5"/>
      <c r="H221" s="5"/>
      <c r="I221" s="4"/>
      <c r="J221" s="6" t="str">
        <f t="shared" si="13"/>
        <v/>
      </c>
      <c r="K221" s="4" t="str">
        <f t="shared" ca="1" si="14"/>
        <v/>
      </c>
      <c r="L221" s="7" t="str">
        <f t="shared" ca="1" si="16"/>
        <v/>
      </c>
      <c r="M221" s="4" t="str">
        <f>IF($I221="Complete","Green",IF($H221="","Amber",IF($H221&lt;'[2]Read Me'!$B$4,"Red",IF($H221-'[2]Read Me'!$B$4&lt;=21,"Amber","Green"))))</f>
        <v>Amber</v>
      </c>
      <c r="N221" s="3"/>
      <c r="O221" t="str">
        <f>IF($I221&lt;&gt;"Complete",IF(COUNTIFS($A$4:$A220,$A221,$B$4:$B220,$B221,$I$4:$I220,"&lt;&gt;Complete")=0,$A221&amp;"|"&amp;$B221,""),"")</f>
        <v>|</v>
      </c>
      <c r="P221" t="str">
        <f ca="1">IF($K221="Yes",COUNTIFS($K$4:$K221,"Yes"),"")</f>
        <v/>
      </c>
      <c r="Q221">
        <f t="shared" ca="1" si="15"/>
        <v>0</v>
      </c>
      <c r="R221" t="str">
        <f ca="1">IF($Q221=1,SUM($Q$4:$Q221),"")</f>
        <v/>
      </c>
    </row>
    <row r="222" spans="1:18" ht="22.5" customHeight="1" x14ac:dyDescent="0.3">
      <c r="A222" s="2"/>
      <c r="B222" s="2"/>
      <c r="C222" s="3"/>
      <c r="D222" s="3"/>
      <c r="E222" s="2"/>
      <c r="F222" s="2"/>
      <c r="G222" s="5"/>
      <c r="H222" s="5"/>
      <c r="I222" s="4"/>
      <c r="J222" s="6" t="str">
        <f t="shared" si="13"/>
        <v/>
      </c>
      <c r="K222" s="4" t="str">
        <f t="shared" ca="1" si="14"/>
        <v/>
      </c>
      <c r="L222" s="7" t="str">
        <f t="shared" ca="1" si="16"/>
        <v/>
      </c>
      <c r="M222" s="4" t="str">
        <f>IF($I222="Complete","Green",IF($H222="","Amber",IF($H222&lt;'[2]Read Me'!$B$4,"Red",IF($H222-'[2]Read Me'!$B$4&lt;=21,"Amber","Green"))))</f>
        <v>Amber</v>
      </c>
      <c r="N222" s="3"/>
      <c r="O222" t="str">
        <f>IF($I222&lt;&gt;"Complete",IF(COUNTIFS($A$4:$A221,$A222,$B$4:$B221,$B222,$I$4:$I221,"&lt;&gt;Complete")=0,$A222&amp;"|"&amp;$B222,""),"")</f>
        <v>|</v>
      </c>
      <c r="P222" t="str">
        <f ca="1">IF($K222="Yes",COUNTIFS($K$4:$K222,"Yes"),"")</f>
        <v/>
      </c>
      <c r="Q222">
        <f t="shared" ca="1" si="15"/>
        <v>0</v>
      </c>
      <c r="R222" t="str">
        <f ca="1">IF($Q222=1,SUM($Q$4:$Q222),"")</f>
        <v/>
      </c>
    </row>
    <row r="223" spans="1:18" ht="22.5" customHeight="1" x14ac:dyDescent="0.3">
      <c r="A223" s="2"/>
      <c r="B223" s="2"/>
      <c r="C223" s="3"/>
      <c r="D223" s="3"/>
      <c r="E223" s="2"/>
      <c r="F223" s="2"/>
      <c r="G223" s="5"/>
      <c r="H223" s="5"/>
      <c r="I223" s="4"/>
      <c r="J223" s="6" t="str">
        <f t="shared" si="13"/>
        <v/>
      </c>
      <c r="K223" s="4" t="str">
        <f t="shared" ca="1" si="14"/>
        <v/>
      </c>
      <c r="L223" s="7" t="str">
        <f t="shared" ca="1" si="16"/>
        <v/>
      </c>
      <c r="M223" s="4" t="str">
        <f>IF($I223="Complete","Green",IF($H223="","Amber",IF($H223&lt;'[2]Read Me'!$B$4,"Red",IF($H223-'[2]Read Me'!$B$4&lt;=21,"Amber","Green"))))</f>
        <v>Amber</v>
      </c>
      <c r="N223" s="3"/>
      <c r="O223" t="str">
        <f>IF($I223&lt;&gt;"Complete",IF(COUNTIFS($A$4:$A222,$A223,$B$4:$B222,$B223,$I$4:$I222,"&lt;&gt;Complete")=0,$A223&amp;"|"&amp;$B223,""),"")</f>
        <v>|</v>
      </c>
      <c r="P223" t="str">
        <f ca="1">IF($K223="Yes",COUNTIFS($K$4:$K223,"Yes"),"")</f>
        <v/>
      </c>
      <c r="Q223">
        <f t="shared" ca="1" si="15"/>
        <v>0</v>
      </c>
      <c r="R223" t="str">
        <f ca="1">IF($Q223=1,SUM($Q$4:$Q223),"")</f>
        <v/>
      </c>
    </row>
    <row r="224" spans="1:18" ht="22.5" customHeight="1" x14ac:dyDescent="0.3">
      <c r="A224" s="2"/>
      <c r="B224" s="2"/>
      <c r="C224" s="3"/>
      <c r="D224" s="3"/>
      <c r="E224" s="2"/>
      <c r="F224" s="2"/>
      <c r="G224" s="5"/>
      <c r="H224" s="5"/>
      <c r="I224" s="4"/>
      <c r="J224" s="6" t="str">
        <f t="shared" si="13"/>
        <v/>
      </c>
      <c r="K224" s="4" t="str">
        <f t="shared" ca="1" si="14"/>
        <v/>
      </c>
      <c r="L224" s="7" t="str">
        <f t="shared" ca="1" si="16"/>
        <v/>
      </c>
      <c r="M224" s="4" t="str">
        <f>IF($I224="Complete","Green",IF($H224="","Amber",IF($H224&lt;'[2]Read Me'!$B$4,"Red",IF($H224-'[2]Read Me'!$B$4&lt;=21,"Amber","Green"))))</f>
        <v>Amber</v>
      </c>
      <c r="N224" s="3"/>
      <c r="O224" t="str">
        <f>IF($I224&lt;&gt;"Complete",IF(COUNTIFS($A$4:$A223,$A224,$B$4:$B223,$B224,$I$4:$I223,"&lt;&gt;Complete")=0,$A224&amp;"|"&amp;$B224,""),"")</f>
        <v>|</v>
      </c>
      <c r="P224" t="str">
        <f ca="1">IF($K224="Yes",COUNTIFS($K$4:$K224,"Yes"),"")</f>
        <v/>
      </c>
      <c r="Q224">
        <f t="shared" ca="1" si="15"/>
        <v>0</v>
      </c>
      <c r="R224" t="str">
        <f ca="1">IF($Q224=1,SUM($Q$4:$Q224),"")</f>
        <v/>
      </c>
    </row>
    <row r="225" spans="1:18" ht="22.5" customHeight="1" x14ac:dyDescent="0.3">
      <c r="A225" s="2"/>
      <c r="B225" s="2"/>
      <c r="C225" s="3"/>
      <c r="D225" s="3"/>
      <c r="E225" s="2"/>
      <c r="F225" s="2"/>
      <c r="G225" s="5"/>
      <c r="H225" s="5"/>
      <c r="I225" s="4"/>
      <c r="J225" s="6" t="str">
        <f t="shared" si="13"/>
        <v/>
      </c>
      <c r="K225" s="4" t="str">
        <f t="shared" ca="1" si="14"/>
        <v/>
      </c>
      <c r="L225" s="7" t="str">
        <f t="shared" ca="1" si="16"/>
        <v/>
      </c>
      <c r="M225" s="4" t="str">
        <f>IF($I225="Complete","Green",IF($H225="","Amber",IF($H225&lt;'[2]Read Me'!$B$4,"Red",IF($H225-'[2]Read Me'!$B$4&lt;=21,"Amber","Green"))))</f>
        <v>Amber</v>
      </c>
      <c r="N225" s="3"/>
      <c r="O225" t="str">
        <f>IF($I225&lt;&gt;"Complete",IF(COUNTIFS($A$4:$A224,$A225,$B$4:$B224,$B225,$I$4:$I224,"&lt;&gt;Complete")=0,$A225&amp;"|"&amp;$B225,""),"")</f>
        <v>|</v>
      </c>
      <c r="P225" t="str">
        <f ca="1">IF($K225="Yes",COUNTIFS($K$4:$K225,"Yes"),"")</f>
        <v/>
      </c>
      <c r="Q225">
        <f t="shared" ca="1" si="15"/>
        <v>0</v>
      </c>
      <c r="R225" t="str">
        <f ca="1">IF($Q225=1,SUM($Q$4:$Q225),"")</f>
        <v/>
      </c>
    </row>
    <row r="226" spans="1:18" ht="22.5" customHeight="1" x14ac:dyDescent="0.3">
      <c r="A226" s="2"/>
      <c r="B226" s="2"/>
      <c r="C226" s="3"/>
      <c r="D226" s="3"/>
      <c r="E226" s="2"/>
      <c r="F226" s="2"/>
      <c r="G226" s="5"/>
      <c r="H226" s="5"/>
      <c r="I226" s="4"/>
      <c r="J226" s="6" t="str">
        <f t="shared" si="13"/>
        <v/>
      </c>
      <c r="K226" s="4" t="str">
        <f t="shared" ca="1" si="14"/>
        <v/>
      </c>
      <c r="L226" s="7" t="str">
        <f t="shared" ca="1" si="16"/>
        <v/>
      </c>
      <c r="M226" s="4" t="str">
        <f>IF($I226="Complete","Green",IF($H226="","Amber",IF($H226&lt;'[2]Read Me'!$B$4,"Red",IF($H226-'[2]Read Me'!$B$4&lt;=21,"Amber","Green"))))</f>
        <v>Amber</v>
      </c>
      <c r="N226" s="3"/>
      <c r="O226" t="str">
        <f>IF($I226&lt;&gt;"Complete",IF(COUNTIFS($A$4:$A225,$A226,$B$4:$B225,$B226,$I$4:$I225,"&lt;&gt;Complete")=0,$A226&amp;"|"&amp;$B226,""),"")</f>
        <v>|</v>
      </c>
      <c r="P226" t="str">
        <f ca="1">IF($K226="Yes",COUNTIFS($K$4:$K226,"Yes"),"")</f>
        <v/>
      </c>
      <c r="Q226">
        <f t="shared" ca="1" si="15"/>
        <v>0</v>
      </c>
      <c r="R226" t="str">
        <f ca="1">IF($Q226=1,SUM($Q$4:$Q226),"")</f>
        <v/>
      </c>
    </row>
    <row r="227" spans="1:18" ht="22.5" customHeight="1" x14ac:dyDescent="0.3">
      <c r="A227" s="2"/>
      <c r="B227" s="2"/>
      <c r="C227" s="3"/>
      <c r="D227" s="3"/>
      <c r="E227" s="2"/>
      <c r="F227" s="2"/>
      <c r="G227" s="5"/>
      <c r="H227" s="5"/>
      <c r="I227" s="4"/>
      <c r="J227" s="6" t="str">
        <f t="shared" si="13"/>
        <v/>
      </c>
      <c r="K227" s="4" t="str">
        <f t="shared" ca="1" si="14"/>
        <v/>
      </c>
      <c r="L227" s="7" t="str">
        <f t="shared" ca="1" si="16"/>
        <v/>
      </c>
      <c r="M227" s="4" t="str">
        <f>IF($I227="Complete","Green",IF($H227="","Amber",IF($H227&lt;'[2]Read Me'!$B$4,"Red",IF($H227-'[2]Read Me'!$B$4&lt;=21,"Amber","Green"))))</f>
        <v>Amber</v>
      </c>
      <c r="N227" s="3"/>
      <c r="O227" t="str">
        <f>IF($I227&lt;&gt;"Complete",IF(COUNTIFS($A$4:$A226,$A227,$B$4:$B226,$B227,$I$4:$I226,"&lt;&gt;Complete")=0,$A227&amp;"|"&amp;$B227,""),"")</f>
        <v>|</v>
      </c>
      <c r="P227" t="str">
        <f ca="1">IF($K227="Yes",COUNTIFS($K$4:$K227,"Yes"),"")</f>
        <v/>
      </c>
      <c r="Q227">
        <f t="shared" ca="1" si="15"/>
        <v>0</v>
      </c>
      <c r="R227" t="str">
        <f ca="1">IF($Q227=1,SUM($Q$4:$Q227),"")</f>
        <v/>
      </c>
    </row>
    <row r="228" spans="1:18" ht="22.5" customHeight="1" x14ac:dyDescent="0.3">
      <c r="A228" s="2"/>
      <c r="B228" s="2"/>
      <c r="C228" s="3"/>
      <c r="D228" s="3"/>
      <c r="E228" s="2"/>
      <c r="F228" s="2"/>
      <c r="G228" s="5"/>
      <c r="H228" s="5"/>
      <c r="I228" s="4"/>
      <c r="J228" s="6" t="str">
        <f t="shared" si="13"/>
        <v/>
      </c>
      <c r="K228" s="4" t="str">
        <f t="shared" ca="1" si="14"/>
        <v/>
      </c>
      <c r="L228" s="7" t="str">
        <f t="shared" ca="1" si="16"/>
        <v/>
      </c>
      <c r="M228" s="4" t="str">
        <f>IF($I228="Complete","Green",IF($H228="","Amber",IF($H228&lt;'[2]Read Me'!$B$4,"Red",IF($H228-'[2]Read Me'!$B$4&lt;=21,"Amber","Green"))))</f>
        <v>Amber</v>
      </c>
      <c r="N228" s="3"/>
      <c r="O228" t="str">
        <f>IF($I228&lt;&gt;"Complete",IF(COUNTIFS($A$4:$A227,$A228,$B$4:$B227,$B228,$I$4:$I227,"&lt;&gt;Complete")=0,$A228&amp;"|"&amp;$B228,""),"")</f>
        <v>|</v>
      </c>
      <c r="P228" t="str">
        <f ca="1">IF($K228="Yes",COUNTIFS($K$4:$K228,"Yes"),"")</f>
        <v/>
      </c>
      <c r="Q228">
        <f t="shared" ca="1" si="15"/>
        <v>0</v>
      </c>
      <c r="R228" t="str">
        <f ca="1">IF($Q228=1,SUM($Q$4:$Q228),"")</f>
        <v/>
      </c>
    </row>
    <row r="229" spans="1:18" ht="22.5" customHeight="1" x14ac:dyDescent="0.3">
      <c r="A229" s="2"/>
      <c r="B229" s="2"/>
      <c r="C229" s="3"/>
      <c r="D229" s="3"/>
      <c r="E229" s="2"/>
      <c r="F229" s="2"/>
      <c r="G229" s="5"/>
      <c r="H229" s="5"/>
      <c r="I229" s="4"/>
      <c r="J229" s="6" t="str">
        <f t="shared" si="13"/>
        <v/>
      </c>
      <c r="K229" s="4" t="str">
        <f t="shared" ca="1" si="14"/>
        <v/>
      </c>
      <c r="L229" s="7" t="str">
        <f t="shared" ca="1" si="16"/>
        <v/>
      </c>
      <c r="M229" s="4" t="str">
        <f>IF($I229="Complete","Green",IF($H229="","Amber",IF($H229&lt;'[2]Read Me'!$B$4,"Red",IF($H229-'[2]Read Me'!$B$4&lt;=21,"Amber","Green"))))</f>
        <v>Amber</v>
      </c>
      <c r="N229" s="3"/>
      <c r="O229" t="str">
        <f>IF($I229&lt;&gt;"Complete",IF(COUNTIFS($A$4:$A228,$A229,$B$4:$B228,$B229,$I$4:$I228,"&lt;&gt;Complete")=0,$A229&amp;"|"&amp;$B229,""),"")</f>
        <v>|</v>
      </c>
      <c r="P229" t="str">
        <f ca="1">IF($K229="Yes",COUNTIFS($K$4:$K229,"Yes"),"")</f>
        <v/>
      </c>
      <c r="Q229">
        <f t="shared" ca="1" si="15"/>
        <v>0</v>
      </c>
      <c r="R229" t="str">
        <f ca="1">IF($Q229=1,SUM($Q$4:$Q229),"")</f>
        <v/>
      </c>
    </row>
    <row r="230" spans="1:18" ht="22.5" customHeight="1" x14ac:dyDescent="0.3">
      <c r="A230" s="2"/>
      <c r="B230" s="2"/>
      <c r="C230" s="3"/>
      <c r="D230" s="3"/>
      <c r="E230" s="2"/>
      <c r="F230" s="2"/>
      <c r="G230" s="5"/>
      <c r="H230" s="5"/>
      <c r="I230" s="4"/>
      <c r="J230" s="6" t="str">
        <f t="shared" si="13"/>
        <v/>
      </c>
      <c r="K230" s="4" t="str">
        <f t="shared" ca="1" si="14"/>
        <v/>
      </c>
      <c r="L230" s="7" t="str">
        <f t="shared" ca="1" si="16"/>
        <v/>
      </c>
      <c r="M230" s="4" t="str">
        <f>IF($I230="Complete","Green",IF($H230="","Amber",IF($H230&lt;'[2]Read Me'!$B$4,"Red",IF($H230-'[2]Read Me'!$B$4&lt;=21,"Amber","Green"))))</f>
        <v>Amber</v>
      </c>
      <c r="N230" s="3"/>
      <c r="O230" t="str">
        <f>IF($I230&lt;&gt;"Complete",IF(COUNTIFS($A$4:$A229,$A230,$B$4:$B229,$B230,$I$4:$I229,"&lt;&gt;Complete")=0,$A230&amp;"|"&amp;$B230,""),"")</f>
        <v>|</v>
      </c>
      <c r="P230" t="str">
        <f ca="1">IF($K230="Yes",COUNTIFS($K$4:$K230,"Yes"),"")</f>
        <v/>
      </c>
      <c r="Q230">
        <f t="shared" ca="1" si="15"/>
        <v>0</v>
      </c>
      <c r="R230" t="str">
        <f ca="1">IF($Q230=1,SUM($Q$4:$Q230),"")</f>
        <v/>
      </c>
    </row>
    <row r="231" spans="1:18" ht="22.5" customHeight="1" x14ac:dyDescent="0.3">
      <c r="A231" s="2"/>
      <c r="B231" s="2"/>
      <c r="C231" s="3"/>
      <c r="D231" s="3"/>
      <c r="E231" s="2"/>
      <c r="F231" s="2"/>
      <c r="G231" s="5"/>
      <c r="H231" s="5"/>
      <c r="I231" s="4"/>
      <c r="J231" s="6" t="str">
        <f t="shared" si="13"/>
        <v/>
      </c>
      <c r="K231" s="4" t="str">
        <f t="shared" ca="1" si="14"/>
        <v/>
      </c>
      <c r="L231" s="7" t="str">
        <f t="shared" ca="1" si="16"/>
        <v/>
      </c>
      <c r="M231" s="4" t="str">
        <f>IF($I231="Complete","Green",IF($H231="","Amber",IF($H231&lt;'[2]Read Me'!$B$4,"Red",IF($H231-'[2]Read Me'!$B$4&lt;=21,"Amber","Green"))))</f>
        <v>Amber</v>
      </c>
      <c r="N231" s="3"/>
      <c r="O231" t="str">
        <f>IF($I231&lt;&gt;"Complete",IF(COUNTIFS($A$4:$A230,$A231,$B$4:$B230,$B231,$I$4:$I230,"&lt;&gt;Complete")=0,$A231&amp;"|"&amp;$B231,""),"")</f>
        <v>|</v>
      </c>
      <c r="P231" t="str">
        <f ca="1">IF($K231="Yes",COUNTIFS($K$4:$K231,"Yes"),"")</f>
        <v/>
      </c>
      <c r="Q231">
        <f t="shared" ca="1" si="15"/>
        <v>0</v>
      </c>
      <c r="R231" t="str">
        <f ca="1">IF($Q231=1,SUM($Q$4:$Q231),"")</f>
        <v/>
      </c>
    </row>
    <row r="232" spans="1:18" ht="22.5" customHeight="1" x14ac:dyDescent="0.3">
      <c r="A232" s="2"/>
      <c r="B232" s="2"/>
      <c r="C232" s="3"/>
      <c r="D232" s="3"/>
      <c r="E232" s="2"/>
      <c r="F232" s="2"/>
      <c r="G232" s="5"/>
      <c r="H232" s="5"/>
      <c r="I232" s="4"/>
      <c r="J232" s="6" t="str">
        <f t="shared" si="13"/>
        <v/>
      </c>
      <c r="K232" s="4" t="str">
        <f t="shared" ca="1" si="14"/>
        <v/>
      </c>
      <c r="L232" s="7" t="str">
        <f t="shared" ca="1" si="16"/>
        <v/>
      </c>
      <c r="M232" s="4" t="str">
        <f>IF($I232="Complete","Green",IF($H232="","Amber",IF($H232&lt;'[2]Read Me'!$B$4,"Red",IF($H232-'[2]Read Me'!$B$4&lt;=21,"Amber","Green"))))</f>
        <v>Amber</v>
      </c>
      <c r="N232" s="3"/>
      <c r="O232" t="str">
        <f>IF($I232&lt;&gt;"Complete",IF(COUNTIFS($A$4:$A231,$A232,$B$4:$B231,$B232,$I$4:$I231,"&lt;&gt;Complete")=0,$A232&amp;"|"&amp;$B232,""),"")</f>
        <v>|</v>
      </c>
      <c r="P232" t="str">
        <f ca="1">IF($K232="Yes",COUNTIFS($K$4:$K232,"Yes"),"")</f>
        <v/>
      </c>
      <c r="Q232">
        <f t="shared" ca="1" si="15"/>
        <v>0</v>
      </c>
      <c r="R232" t="str">
        <f ca="1">IF($Q232=1,SUM($Q$4:$Q232),"")</f>
        <v/>
      </c>
    </row>
    <row r="233" spans="1:18" ht="22.5" customHeight="1" x14ac:dyDescent="0.3">
      <c r="A233" s="2"/>
      <c r="B233" s="2"/>
      <c r="C233" s="3"/>
      <c r="D233" s="3"/>
      <c r="E233" s="2"/>
      <c r="F233" s="2"/>
      <c r="G233" s="5"/>
      <c r="H233" s="5"/>
      <c r="I233" s="4"/>
      <c r="J233" s="6" t="str">
        <f t="shared" si="13"/>
        <v/>
      </c>
      <c r="K233" s="4" t="str">
        <f t="shared" ca="1" si="14"/>
        <v/>
      </c>
      <c r="L233" s="7" t="str">
        <f t="shared" ca="1" si="16"/>
        <v/>
      </c>
      <c r="M233" s="4" t="str">
        <f>IF($I233="Complete","Green",IF($H233="","Amber",IF($H233&lt;'[2]Read Me'!$B$4,"Red",IF($H233-'[2]Read Me'!$B$4&lt;=21,"Amber","Green"))))</f>
        <v>Amber</v>
      </c>
      <c r="N233" s="3"/>
      <c r="O233" t="str">
        <f>IF($I233&lt;&gt;"Complete",IF(COUNTIFS($A$4:$A232,$A233,$B$4:$B232,$B233,$I$4:$I232,"&lt;&gt;Complete")=0,$A233&amp;"|"&amp;$B233,""),"")</f>
        <v>|</v>
      </c>
      <c r="P233" t="str">
        <f ca="1">IF($K233="Yes",COUNTIFS($K$4:$K233,"Yes"),"")</f>
        <v/>
      </c>
      <c r="Q233">
        <f t="shared" ca="1" si="15"/>
        <v>0</v>
      </c>
      <c r="R233" t="str">
        <f ca="1">IF($Q233=1,SUM($Q$4:$Q233),"")</f>
        <v/>
      </c>
    </row>
    <row r="234" spans="1:18" ht="22.5" customHeight="1" x14ac:dyDescent="0.3">
      <c r="A234" s="2"/>
      <c r="B234" s="2"/>
      <c r="C234" s="3"/>
      <c r="D234" s="3"/>
      <c r="E234" s="2"/>
      <c r="F234" s="2"/>
      <c r="G234" s="5"/>
      <c r="H234" s="5"/>
      <c r="I234" s="4"/>
      <c r="J234" s="6" t="str">
        <f t="shared" si="13"/>
        <v/>
      </c>
      <c r="K234" s="4" t="str">
        <f t="shared" ca="1" si="14"/>
        <v/>
      </c>
      <c r="L234" s="7" t="str">
        <f t="shared" ca="1" si="16"/>
        <v/>
      </c>
      <c r="M234" s="4" t="str">
        <f>IF($I234="Complete","Green",IF($H234="","Amber",IF($H234&lt;'[2]Read Me'!$B$4,"Red",IF($H234-'[2]Read Me'!$B$4&lt;=21,"Amber","Green"))))</f>
        <v>Amber</v>
      </c>
      <c r="N234" s="3"/>
      <c r="O234" t="str">
        <f>IF($I234&lt;&gt;"Complete",IF(COUNTIFS($A$4:$A233,$A234,$B$4:$B233,$B234,$I$4:$I233,"&lt;&gt;Complete")=0,$A234&amp;"|"&amp;$B234,""),"")</f>
        <v>|</v>
      </c>
      <c r="P234" t="str">
        <f ca="1">IF($K234="Yes",COUNTIFS($K$4:$K234,"Yes"),"")</f>
        <v/>
      </c>
      <c r="Q234">
        <f t="shared" ca="1" si="15"/>
        <v>0</v>
      </c>
      <c r="R234" t="str">
        <f ca="1">IF($Q234=1,SUM($Q$4:$Q234),"")</f>
        <v/>
      </c>
    </row>
    <row r="235" spans="1:18" ht="22.5" customHeight="1" x14ac:dyDescent="0.3">
      <c r="A235" s="2"/>
      <c r="B235" s="2"/>
      <c r="C235" s="3"/>
      <c r="D235" s="3"/>
      <c r="E235" s="2"/>
      <c r="F235" s="2"/>
      <c r="G235" s="5"/>
      <c r="H235" s="5"/>
      <c r="I235" s="4"/>
      <c r="J235" s="6" t="str">
        <f t="shared" si="13"/>
        <v/>
      </c>
      <c r="K235" s="4" t="str">
        <f t="shared" ca="1" si="14"/>
        <v/>
      </c>
      <c r="L235" s="7" t="str">
        <f t="shared" ca="1" si="16"/>
        <v/>
      </c>
      <c r="M235" s="4" t="str">
        <f>IF($I235="Complete","Green",IF($H235="","Amber",IF($H235&lt;'[2]Read Me'!$B$4,"Red",IF($H235-'[2]Read Me'!$B$4&lt;=21,"Amber","Green"))))</f>
        <v>Amber</v>
      </c>
      <c r="N235" s="3"/>
      <c r="O235" t="str">
        <f>IF($I235&lt;&gt;"Complete",IF(COUNTIFS($A$4:$A234,$A235,$B$4:$B234,$B235,$I$4:$I234,"&lt;&gt;Complete")=0,$A235&amp;"|"&amp;$B235,""),"")</f>
        <v>|</v>
      </c>
      <c r="P235" t="str">
        <f ca="1">IF($K235="Yes",COUNTIFS($K$4:$K235,"Yes"),"")</f>
        <v/>
      </c>
      <c r="Q235">
        <f t="shared" ca="1" si="15"/>
        <v>0</v>
      </c>
      <c r="R235" t="str">
        <f ca="1">IF($Q235=1,SUM($Q$4:$Q235),"")</f>
        <v/>
      </c>
    </row>
    <row r="236" spans="1:18" ht="22.5" customHeight="1" x14ac:dyDescent="0.3">
      <c r="A236" s="2"/>
      <c r="B236" s="2"/>
      <c r="C236" s="3"/>
      <c r="D236" s="3"/>
      <c r="E236" s="2"/>
      <c r="F236" s="2"/>
      <c r="G236" s="5"/>
      <c r="H236" s="5"/>
      <c r="I236" s="4"/>
      <c r="J236" s="6" t="str">
        <f t="shared" si="13"/>
        <v/>
      </c>
      <c r="K236" s="4" t="str">
        <f t="shared" ca="1" si="14"/>
        <v/>
      </c>
      <c r="L236" s="7" t="str">
        <f t="shared" ca="1" si="16"/>
        <v/>
      </c>
      <c r="M236" s="4" t="str">
        <f>IF($I236="Complete","Green",IF($H236="","Amber",IF($H236&lt;'[2]Read Me'!$B$4,"Red",IF($H236-'[2]Read Me'!$B$4&lt;=21,"Amber","Green"))))</f>
        <v>Amber</v>
      </c>
      <c r="N236" s="3"/>
      <c r="O236" t="str">
        <f>IF($I236&lt;&gt;"Complete",IF(COUNTIFS($A$4:$A235,$A236,$B$4:$B235,$B236,$I$4:$I235,"&lt;&gt;Complete")=0,$A236&amp;"|"&amp;$B236,""),"")</f>
        <v>|</v>
      </c>
      <c r="P236" t="str">
        <f ca="1">IF($K236="Yes",COUNTIFS($K$4:$K236,"Yes"),"")</f>
        <v/>
      </c>
      <c r="Q236">
        <f t="shared" ca="1" si="15"/>
        <v>0</v>
      </c>
      <c r="R236" t="str">
        <f ca="1">IF($Q236=1,SUM($Q$4:$Q236),"")</f>
        <v/>
      </c>
    </row>
    <row r="237" spans="1:18" ht="22.5" customHeight="1" x14ac:dyDescent="0.3">
      <c r="A237" s="2"/>
      <c r="B237" s="2"/>
      <c r="C237" s="3"/>
      <c r="D237" s="3"/>
      <c r="E237" s="2"/>
      <c r="F237" s="2"/>
      <c r="G237" s="5"/>
      <c r="H237" s="5"/>
      <c r="I237" s="4"/>
      <c r="J237" s="6" t="str">
        <f t="shared" si="13"/>
        <v/>
      </c>
      <c r="K237" s="4" t="str">
        <f t="shared" ca="1" si="14"/>
        <v/>
      </c>
      <c r="L237" s="7" t="str">
        <f t="shared" ca="1" si="16"/>
        <v/>
      </c>
      <c r="M237" s="4" t="str">
        <f>IF($I237="Complete","Green",IF($H237="","Amber",IF($H237&lt;'[2]Read Me'!$B$4,"Red",IF($H237-'[2]Read Me'!$B$4&lt;=21,"Amber","Green"))))</f>
        <v>Amber</v>
      </c>
      <c r="N237" s="3"/>
      <c r="O237" t="str">
        <f>IF($I237&lt;&gt;"Complete",IF(COUNTIFS($A$4:$A236,$A237,$B$4:$B236,$B237,$I$4:$I236,"&lt;&gt;Complete")=0,$A237&amp;"|"&amp;$B237,""),"")</f>
        <v>|</v>
      </c>
      <c r="P237" t="str">
        <f ca="1">IF($K237="Yes",COUNTIFS($K$4:$K237,"Yes"),"")</f>
        <v/>
      </c>
      <c r="Q237">
        <f t="shared" ca="1" si="15"/>
        <v>0</v>
      </c>
      <c r="R237" t="str">
        <f ca="1">IF($Q237=1,SUM($Q$4:$Q237),"")</f>
        <v/>
      </c>
    </row>
    <row r="238" spans="1:18" ht="22.5" customHeight="1" x14ac:dyDescent="0.3">
      <c r="A238" s="2"/>
      <c r="B238" s="2"/>
      <c r="C238" s="3"/>
      <c r="D238" s="3"/>
      <c r="E238" s="2"/>
      <c r="F238" s="2"/>
      <c r="G238" s="5"/>
      <c r="H238" s="5"/>
      <c r="I238" s="4"/>
      <c r="J238" s="6" t="str">
        <f t="shared" si="13"/>
        <v/>
      </c>
      <c r="K238" s="4" t="str">
        <f t="shared" ca="1" si="14"/>
        <v/>
      </c>
      <c r="L238" s="7" t="str">
        <f t="shared" ca="1" si="16"/>
        <v/>
      </c>
      <c r="M238" s="4" t="str">
        <f>IF($I238="Complete","Green",IF($H238="","Amber",IF($H238&lt;'[2]Read Me'!$B$4,"Red",IF($H238-'[2]Read Me'!$B$4&lt;=21,"Amber","Green"))))</f>
        <v>Amber</v>
      </c>
      <c r="N238" s="3"/>
      <c r="O238" t="str">
        <f>IF($I238&lt;&gt;"Complete",IF(COUNTIFS($A$4:$A237,$A238,$B$4:$B237,$B238,$I$4:$I237,"&lt;&gt;Complete")=0,$A238&amp;"|"&amp;$B238,""),"")</f>
        <v>|</v>
      </c>
      <c r="P238" t="str">
        <f ca="1">IF($K238="Yes",COUNTIFS($K$4:$K238,"Yes"),"")</f>
        <v/>
      </c>
      <c r="Q238">
        <f t="shared" ca="1" si="15"/>
        <v>0</v>
      </c>
      <c r="R238" t="str">
        <f ca="1">IF($Q238=1,SUM($Q$4:$Q238),"")</f>
        <v/>
      </c>
    </row>
    <row r="239" spans="1:18" ht="22.5" customHeight="1" x14ac:dyDescent="0.3">
      <c r="A239" s="2"/>
      <c r="B239" s="2"/>
      <c r="C239" s="3"/>
      <c r="D239" s="3"/>
      <c r="E239" s="2"/>
      <c r="F239" s="2"/>
      <c r="G239" s="5"/>
      <c r="H239" s="5"/>
      <c r="I239" s="4"/>
      <c r="J239" s="6" t="str">
        <f t="shared" si="13"/>
        <v/>
      </c>
      <c r="K239" s="4" t="str">
        <f t="shared" ca="1" si="14"/>
        <v/>
      </c>
      <c r="L239" s="7" t="str">
        <f t="shared" ca="1" si="16"/>
        <v/>
      </c>
      <c r="M239" s="4" t="str">
        <f>IF($I239="Complete","Green",IF($H239="","Amber",IF($H239&lt;'[2]Read Me'!$B$4,"Red",IF($H239-'[2]Read Me'!$B$4&lt;=21,"Amber","Green"))))</f>
        <v>Amber</v>
      </c>
      <c r="N239" s="3"/>
      <c r="O239" t="str">
        <f>IF($I239&lt;&gt;"Complete",IF(COUNTIFS($A$4:$A238,$A239,$B$4:$B238,$B239,$I$4:$I238,"&lt;&gt;Complete")=0,$A239&amp;"|"&amp;$B239,""),"")</f>
        <v>|</v>
      </c>
      <c r="P239" t="str">
        <f ca="1">IF($K239="Yes",COUNTIFS($K$4:$K239,"Yes"),"")</f>
        <v/>
      </c>
      <c r="Q239">
        <f t="shared" ca="1" si="15"/>
        <v>0</v>
      </c>
      <c r="R239" t="str">
        <f ca="1">IF($Q239=1,SUM($Q$4:$Q239),"")</f>
        <v/>
      </c>
    </row>
    <row r="240" spans="1:18" ht="22.5" customHeight="1" x14ac:dyDescent="0.3">
      <c r="A240" s="2"/>
      <c r="B240" s="2"/>
      <c r="C240" s="3"/>
      <c r="D240" s="3"/>
      <c r="E240" s="2"/>
      <c r="F240" s="2"/>
      <c r="G240" s="5"/>
      <c r="H240" s="5"/>
      <c r="I240" s="4"/>
      <c r="J240" s="6" t="str">
        <f t="shared" si="13"/>
        <v/>
      </c>
      <c r="K240" s="4" t="str">
        <f t="shared" ca="1" si="14"/>
        <v/>
      </c>
      <c r="L240" s="7" t="str">
        <f t="shared" ca="1" si="16"/>
        <v/>
      </c>
      <c r="M240" s="4" t="str">
        <f>IF($I240="Complete","Green",IF($H240="","Amber",IF($H240&lt;'[2]Read Me'!$B$4,"Red",IF($H240-'[2]Read Me'!$B$4&lt;=21,"Amber","Green"))))</f>
        <v>Amber</v>
      </c>
      <c r="N240" s="3"/>
      <c r="O240" t="str">
        <f>IF($I240&lt;&gt;"Complete",IF(COUNTIFS($A$4:$A239,$A240,$B$4:$B239,$B240,$I$4:$I239,"&lt;&gt;Complete")=0,$A240&amp;"|"&amp;$B240,""),"")</f>
        <v>|</v>
      </c>
      <c r="P240" t="str">
        <f ca="1">IF($K240="Yes",COUNTIFS($K$4:$K240,"Yes"),"")</f>
        <v/>
      </c>
      <c r="Q240">
        <f t="shared" ca="1" si="15"/>
        <v>0</v>
      </c>
      <c r="R240" t="str">
        <f ca="1">IF($Q240=1,SUM($Q$4:$Q240),"")</f>
        <v/>
      </c>
    </row>
    <row r="241" spans="1:18" ht="22.5" customHeight="1" x14ac:dyDescent="0.3">
      <c r="A241" s="2"/>
      <c r="B241" s="2"/>
      <c r="C241" s="3"/>
      <c r="D241" s="3"/>
      <c r="E241" s="2"/>
      <c r="F241" s="2"/>
      <c r="G241" s="5"/>
      <c r="H241" s="5"/>
      <c r="I241" s="4"/>
      <c r="J241" s="6" t="str">
        <f t="shared" si="13"/>
        <v/>
      </c>
      <c r="K241" s="4" t="str">
        <f t="shared" ca="1" si="14"/>
        <v/>
      </c>
      <c r="L241" s="7" t="str">
        <f t="shared" ca="1" si="16"/>
        <v/>
      </c>
      <c r="M241" s="4" t="str">
        <f>IF($I241="Complete","Green",IF($H241="","Amber",IF($H241&lt;'[2]Read Me'!$B$4,"Red",IF($H241-'[2]Read Me'!$B$4&lt;=21,"Amber","Green"))))</f>
        <v>Amber</v>
      </c>
      <c r="N241" s="3"/>
      <c r="O241" t="str">
        <f>IF($I241&lt;&gt;"Complete",IF(COUNTIFS($A$4:$A240,$A241,$B$4:$B240,$B241,$I$4:$I240,"&lt;&gt;Complete")=0,$A241&amp;"|"&amp;$B241,""),"")</f>
        <v>|</v>
      </c>
      <c r="P241" t="str">
        <f ca="1">IF($K241="Yes",COUNTIFS($K$4:$K241,"Yes"),"")</f>
        <v/>
      </c>
      <c r="Q241">
        <f t="shared" ca="1" si="15"/>
        <v>0</v>
      </c>
      <c r="R241" t="str">
        <f ca="1">IF($Q241=1,SUM($Q$4:$Q241),"")</f>
        <v/>
      </c>
    </row>
    <row r="242" spans="1:18" ht="22.5" customHeight="1" x14ac:dyDescent="0.3">
      <c r="A242" s="2"/>
      <c r="B242" s="2"/>
      <c r="C242" s="3"/>
      <c r="D242" s="3"/>
      <c r="E242" s="2"/>
      <c r="F242" s="2"/>
      <c r="G242" s="5"/>
      <c r="H242" s="5"/>
      <c r="I242" s="4"/>
      <c r="J242" s="6" t="str">
        <f t="shared" si="13"/>
        <v/>
      </c>
      <c r="K242" s="4" t="str">
        <f t="shared" ca="1" si="14"/>
        <v/>
      </c>
      <c r="L242" s="7" t="str">
        <f t="shared" ca="1" si="16"/>
        <v/>
      </c>
      <c r="M242" s="4" t="str">
        <f>IF($I242="Complete","Green",IF($H242="","Amber",IF($H242&lt;'[2]Read Me'!$B$4,"Red",IF($H242-'[2]Read Me'!$B$4&lt;=21,"Amber","Green"))))</f>
        <v>Amber</v>
      </c>
      <c r="N242" s="3"/>
      <c r="O242" t="str">
        <f>IF($I242&lt;&gt;"Complete",IF(COUNTIFS($A$4:$A241,$A242,$B$4:$B241,$B242,$I$4:$I241,"&lt;&gt;Complete")=0,$A242&amp;"|"&amp;$B242,""),"")</f>
        <v>|</v>
      </c>
      <c r="P242" t="str">
        <f ca="1">IF($K242="Yes",COUNTIFS($K$4:$K242,"Yes"),"")</f>
        <v/>
      </c>
      <c r="Q242">
        <f t="shared" ca="1" si="15"/>
        <v>0</v>
      </c>
      <c r="R242" t="str">
        <f ca="1">IF($Q242=1,SUM($Q$4:$Q242),"")</f>
        <v/>
      </c>
    </row>
    <row r="243" spans="1:18" ht="22.5" customHeight="1" x14ac:dyDescent="0.3">
      <c r="A243" s="2"/>
      <c r="B243" s="2"/>
      <c r="C243" s="3"/>
      <c r="D243" s="3"/>
      <c r="E243" s="2"/>
      <c r="F243" s="2"/>
      <c r="G243" s="5"/>
      <c r="H243" s="5"/>
      <c r="I243" s="4"/>
      <c r="J243" s="6" t="str">
        <f t="shared" si="13"/>
        <v/>
      </c>
      <c r="K243" s="4" t="str">
        <f t="shared" ca="1" si="14"/>
        <v/>
      </c>
      <c r="L243" s="7" t="str">
        <f t="shared" ca="1" si="16"/>
        <v/>
      </c>
      <c r="M243" s="4" t="str">
        <f>IF($I243="Complete","Green",IF($H243="","Amber",IF($H243&lt;'[2]Read Me'!$B$4,"Red",IF($H243-'[2]Read Me'!$B$4&lt;=21,"Amber","Green"))))</f>
        <v>Amber</v>
      </c>
      <c r="N243" s="3"/>
      <c r="O243" t="str">
        <f>IF($I243&lt;&gt;"Complete",IF(COUNTIFS($A$4:$A242,$A243,$B$4:$B242,$B243,$I$4:$I242,"&lt;&gt;Complete")=0,$A243&amp;"|"&amp;$B243,""),"")</f>
        <v>|</v>
      </c>
      <c r="P243" t="str">
        <f ca="1">IF($K243="Yes",COUNTIFS($K$4:$K243,"Yes"),"")</f>
        <v/>
      </c>
      <c r="Q243">
        <f t="shared" ca="1" si="15"/>
        <v>0</v>
      </c>
      <c r="R243" t="str">
        <f ca="1">IF($Q243=1,SUM($Q$4:$Q243),"")</f>
        <v/>
      </c>
    </row>
    <row r="244" spans="1:18" ht="22.5" customHeight="1" x14ac:dyDescent="0.3">
      <c r="A244" s="2"/>
      <c r="B244" s="2"/>
      <c r="C244" s="3"/>
      <c r="D244" s="3"/>
      <c r="E244" s="2"/>
      <c r="F244" s="2"/>
      <c r="G244" s="5"/>
      <c r="H244" s="5"/>
      <c r="I244" s="4"/>
      <c r="J244" s="6" t="str">
        <f t="shared" si="13"/>
        <v/>
      </c>
      <c r="K244" s="4" t="str">
        <f t="shared" ref="K244:K264" ca="1" si="17">IF($H244="","",IF($H244&gt;TODAY(),"No","Yes"))</f>
        <v/>
      </c>
      <c r="L244" s="7" t="str">
        <f t="shared" ca="1" si="16"/>
        <v/>
      </c>
      <c r="M244" s="4" t="str">
        <f>IF($I244="Complete","Green",IF($H244="","Amber",IF($H244&lt;'[2]Read Me'!$B$4,"Red",IF($H244-'[2]Read Me'!$B$4&lt;=21,"Amber","Green"))))</f>
        <v>Amber</v>
      </c>
      <c r="N244" s="3"/>
      <c r="O244" t="str">
        <f>IF($I244&lt;&gt;"Complete",IF(COUNTIFS($A$4:$A243,$A244,$B$4:$B243,$B244,$I$4:$I243,"&lt;&gt;Complete")=0,$A244&amp;"|"&amp;$B244,""),"")</f>
        <v>|</v>
      </c>
      <c r="P244" t="str">
        <f ca="1">IF($K244="Yes",COUNTIFS($K$4:$K244,"Yes"),"")</f>
        <v/>
      </c>
      <c r="Q244">
        <f t="shared" ca="1" si="15"/>
        <v>0</v>
      </c>
      <c r="R244" t="str">
        <f ca="1">IF($Q244=1,SUM($Q$4:$Q244),"")</f>
        <v/>
      </c>
    </row>
    <row r="245" spans="1:18" ht="22.5" customHeight="1" x14ac:dyDescent="0.3">
      <c r="A245" s="2"/>
      <c r="B245" s="2"/>
      <c r="C245" s="3"/>
      <c r="D245" s="3"/>
      <c r="E245" s="2"/>
      <c r="F245" s="2"/>
      <c r="G245" s="5"/>
      <c r="H245" s="5"/>
      <c r="I245" s="4"/>
      <c r="J245" s="6" t="str">
        <f t="shared" si="13"/>
        <v/>
      </c>
      <c r="K245" s="4" t="str">
        <f t="shared" ca="1" si="17"/>
        <v/>
      </c>
      <c r="L245" s="7" t="str">
        <f t="shared" ca="1" si="16"/>
        <v/>
      </c>
      <c r="M245" s="4" t="str">
        <f>IF($I245="Complete","Green",IF($H245="","Amber",IF($H245&lt;'[2]Read Me'!$B$4,"Red",IF($H245-'[2]Read Me'!$B$4&lt;=21,"Amber","Green"))))</f>
        <v>Amber</v>
      </c>
      <c r="N245" s="3"/>
      <c r="O245" t="str">
        <f>IF($I245&lt;&gt;"Complete",IF(COUNTIFS($A$4:$A244,$A245,$B$4:$B244,$B245,$I$4:$I244,"&lt;&gt;Complete")=0,$A245&amp;"|"&amp;$B245,""),"")</f>
        <v>|</v>
      </c>
      <c r="P245" t="str">
        <f ca="1">IF($K245="Yes",COUNTIFS($K$4:$K245,"Yes"),"")</f>
        <v/>
      </c>
      <c r="Q245">
        <f t="shared" ca="1" si="15"/>
        <v>0</v>
      </c>
      <c r="R245" t="str">
        <f ca="1">IF($Q245=1,SUM($Q$4:$Q245),"")</f>
        <v/>
      </c>
    </row>
    <row r="246" spans="1:18" ht="22.5" customHeight="1" x14ac:dyDescent="0.3">
      <c r="A246" s="2"/>
      <c r="B246" s="2"/>
      <c r="C246" s="3"/>
      <c r="D246" s="3"/>
      <c r="E246" s="2"/>
      <c r="F246" s="2"/>
      <c r="G246" s="5"/>
      <c r="H246" s="5"/>
      <c r="I246" s="4"/>
      <c r="J246" s="6" t="str">
        <f t="shared" si="13"/>
        <v/>
      </c>
      <c r="K246" s="4" t="str">
        <f t="shared" ca="1" si="17"/>
        <v/>
      </c>
      <c r="L246" s="7" t="str">
        <f t="shared" ca="1" si="16"/>
        <v/>
      </c>
      <c r="M246" s="4" t="str">
        <f>IF($I246="Complete","Green",IF($H246="","Amber",IF($H246&lt;'[2]Read Me'!$B$4,"Red",IF($H246-'[2]Read Me'!$B$4&lt;=21,"Amber","Green"))))</f>
        <v>Amber</v>
      </c>
      <c r="N246" s="3"/>
      <c r="O246" t="str">
        <f>IF($I246&lt;&gt;"Complete",IF(COUNTIFS($A$4:$A245,$A246,$B$4:$B245,$B246,$I$4:$I245,"&lt;&gt;Complete")=0,$A246&amp;"|"&amp;$B246,""),"")</f>
        <v>|</v>
      </c>
      <c r="P246" t="str">
        <f ca="1">IF($K246="Yes",COUNTIFS($K$4:$K246,"Yes"),"")</f>
        <v/>
      </c>
      <c r="Q246">
        <f t="shared" ca="1" si="15"/>
        <v>0</v>
      </c>
      <c r="R246" t="str">
        <f ca="1">IF($Q246=1,SUM($Q$4:$Q246),"")</f>
        <v/>
      </c>
    </row>
    <row r="247" spans="1:18" ht="22.5" customHeight="1" x14ac:dyDescent="0.3">
      <c r="A247" s="2"/>
      <c r="B247" s="2"/>
      <c r="C247" s="3"/>
      <c r="D247" s="3"/>
      <c r="E247" s="2"/>
      <c r="F247" s="2"/>
      <c r="G247" s="5"/>
      <c r="H247" s="5"/>
      <c r="I247" s="4"/>
      <c r="J247" s="6" t="str">
        <f t="shared" si="13"/>
        <v/>
      </c>
      <c r="K247" s="4" t="str">
        <f t="shared" ca="1" si="17"/>
        <v/>
      </c>
      <c r="L247" s="7" t="str">
        <f t="shared" ca="1" si="16"/>
        <v/>
      </c>
      <c r="M247" s="4" t="str">
        <f>IF($I247="Complete","Green",IF($H247="","Amber",IF($H247&lt;'[2]Read Me'!$B$4,"Red",IF($H247-'[2]Read Me'!$B$4&lt;=21,"Amber","Green"))))</f>
        <v>Amber</v>
      </c>
      <c r="N247" s="3"/>
      <c r="O247" t="str">
        <f>IF($I247&lt;&gt;"Complete",IF(COUNTIFS($A$4:$A246,$A247,$B$4:$B246,$B247,$I$4:$I246,"&lt;&gt;Complete")=0,$A247&amp;"|"&amp;$B247,""),"")</f>
        <v>|</v>
      </c>
      <c r="P247" t="str">
        <f ca="1">IF($K247="Yes",COUNTIFS($K$4:$K247,"Yes"),"")</f>
        <v/>
      </c>
      <c r="Q247">
        <f t="shared" ca="1" si="15"/>
        <v>0</v>
      </c>
      <c r="R247" t="str">
        <f ca="1">IF($Q247=1,SUM($Q$4:$Q247),"")</f>
        <v/>
      </c>
    </row>
    <row r="248" spans="1:18" ht="22.5" customHeight="1" x14ac:dyDescent="0.3">
      <c r="A248" s="2"/>
      <c r="B248" s="2"/>
      <c r="C248" s="3"/>
      <c r="D248" s="3"/>
      <c r="E248" s="2"/>
      <c r="F248" s="2"/>
      <c r="G248" s="5"/>
      <c r="H248" s="5"/>
      <c r="I248" s="4"/>
      <c r="J248" s="6" t="str">
        <f t="shared" si="13"/>
        <v/>
      </c>
      <c r="K248" s="4" t="str">
        <f t="shared" ca="1" si="17"/>
        <v/>
      </c>
      <c r="L248" s="7" t="str">
        <f t="shared" ca="1" si="16"/>
        <v/>
      </c>
      <c r="M248" s="4" t="str">
        <f>IF($I248="Complete","Green",IF($H248="","Amber",IF($H248&lt;'[2]Read Me'!$B$4,"Red",IF($H248-'[2]Read Me'!$B$4&lt;=21,"Amber","Green"))))</f>
        <v>Amber</v>
      </c>
      <c r="N248" s="3"/>
      <c r="O248" t="str">
        <f>IF($I248&lt;&gt;"Complete",IF(COUNTIFS($A$4:$A247,$A248,$B$4:$B247,$B248,$I$4:$I247,"&lt;&gt;Complete")=0,$A248&amp;"|"&amp;$B248,""),"")</f>
        <v>|</v>
      </c>
      <c r="P248" t="str">
        <f ca="1">IF($K248="Yes",COUNTIFS($K$4:$K248,"Yes"),"")</f>
        <v/>
      </c>
      <c r="Q248">
        <f t="shared" ca="1" si="15"/>
        <v>0</v>
      </c>
      <c r="R248" t="str">
        <f ca="1">IF($Q248=1,SUM($Q$4:$Q248),"")</f>
        <v/>
      </c>
    </row>
    <row r="249" spans="1:18" ht="22.5" customHeight="1" x14ac:dyDescent="0.3">
      <c r="A249" s="2"/>
      <c r="B249" s="2"/>
      <c r="C249" s="3"/>
      <c r="D249" s="3"/>
      <c r="E249" s="2"/>
      <c r="F249" s="2"/>
      <c r="G249" s="5"/>
      <c r="H249" s="5"/>
      <c r="I249" s="4"/>
      <c r="J249" s="6" t="str">
        <f t="shared" si="13"/>
        <v/>
      </c>
      <c r="K249" s="4" t="str">
        <f t="shared" ca="1" si="17"/>
        <v/>
      </c>
      <c r="L249" s="7" t="str">
        <f t="shared" ca="1" si="16"/>
        <v/>
      </c>
      <c r="M249" s="4" t="str">
        <f>IF($I249="Complete","Green",IF($H249="","Amber",IF($H249&lt;'[2]Read Me'!$B$4,"Red",IF($H249-'[2]Read Me'!$B$4&lt;=21,"Amber","Green"))))</f>
        <v>Amber</v>
      </c>
      <c r="N249" s="3"/>
      <c r="O249" t="str">
        <f>IF($I249&lt;&gt;"Complete",IF(COUNTIFS($A$4:$A248,$A249,$B$4:$B248,$B249,$I$4:$I248,"&lt;&gt;Complete")=0,$A249&amp;"|"&amp;$B249,""),"")</f>
        <v>|</v>
      </c>
      <c r="P249" t="str">
        <f ca="1">IF($K249="Yes",COUNTIFS($K$4:$K249,"Yes"),"")</f>
        <v/>
      </c>
      <c r="Q249">
        <f t="shared" ca="1" si="15"/>
        <v>0</v>
      </c>
      <c r="R249" t="str">
        <f ca="1">IF($Q249=1,SUM($Q$4:$Q249),"")</f>
        <v/>
      </c>
    </row>
    <row r="250" spans="1:18" ht="22.5" customHeight="1" x14ac:dyDescent="0.3">
      <c r="A250" s="2"/>
      <c r="B250" s="2"/>
      <c r="C250" s="3"/>
      <c r="D250" s="3"/>
      <c r="E250" s="2"/>
      <c r="F250" s="2"/>
      <c r="G250" s="5"/>
      <c r="H250" s="5"/>
      <c r="I250" s="4"/>
      <c r="J250" s="6" t="str">
        <f t="shared" si="13"/>
        <v/>
      </c>
      <c r="K250" s="4" t="str">
        <f t="shared" ca="1" si="17"/>
        <v/>
      </c>
      <c r="L250" s="7" t="str">
        <f t="shared" ca="1" si="16"/>
        <v/>
      </c>
      <c r="M250" s="4" t="str">
        <f>IF($I250="Complete","Green",IF($H250="","Amber",IF($H250&lt;'[2]Read Me'!$B$4,"Red",IF($H250-'[2]Read Me'!$B$4&lt;=21,"Amber","Green"))))</f>
        <v>Amber</v>
      </c>
      <c r="N250" s="8"/>
      <c r="O250" t="str">
        <f>IF($I250&lt;&gt;"Complete",IF(COUNTIFS($A$4:$A249,$A250,$B$4:$B249,$B250,$I$4:$I249,"&lt;&gt;Complete")=0,$A250&amp;"|"&amp;$B250,""),"")</f>
        <v>|</v>
      </c>
      <c r="P250" t="str">
        <f ca="1">IF($K250="Yes",COUNTIFS($K$4:$K250,"Yes"),"")</f>
        <v/>
      </c>
      <c r="Q250">
        <f t="shared" ca="1" si="15"/>
        <v>0</v>
      </c>
      <c r="R250" t="str">
        <f ca="1">IF($Q250=1,SUM($Q$4:$Q250),"")</f>
        <v/>
      </c>
    </row>
    <row r="251" spans="1:18" ht="22.5" customHeight="1" x14ac:dyDescent="0.3">
      <c r="A251" s="2"/>
      <c r="B251" s="2"/>
      <c r="C251" s="3"/>
      <c r="D251" s="3"/>
      <c r="E251" s="2"/>
      <c r="F251" s="2"/>
      <c r="G251" s="5"/>
      <c r="H251" s="5"/>
      <c r="I251" s="4"/>
      <c r="J251" s="6" t="str">
        <f t="shared" si="13"/>
        <v/>
      </c>
      <c r="K251" s="4" t="str">
        <f t="shared" ca="1" si="17"/>
        <v/>
      </c>
      <c r="L251" s="7" t="str">
        <f t="shared" ca="1" si="16"/>
        <v/>
      </c>
      <c r="M251" s="4" t="str">
        <f>IF($I251="Complete","Green",IF($H251="","Amber",IF($H251&lt;'[2]Read Me'!$B$4,"Red",IF($H251-'[2]Read Me'!$B$4&lt;=21,"Amber","Green"))))</f>
        <v>Amber</v>
      </c>
      <c r="N251" s="3"/>
      <c r="O251" t="str">
        <f>IF($I251&lt;&gt;"Complete",IF(COUNTIFS($A$4:$A250,$A251,$B$4:$B250,$B251,$I$4:$I250,"&lt;&gt;Complete")=0,$A251&amp;"|"&amp;$B251,""),"")</f>
        <v>|</v>
      </c>
      <c r="P251" t="str">
        <f ca="1">IF($K251="Yes",COUNTIFS($K$4:$K251,"Yes"),"")</f>
        <v/>
      </c>
      <c r="Q251">
        <f t="shared" ca="1" si="15"/>
        <v>0</v>
      </c>
      <c r="R251" t="str">
        <f ca="1">IF($Q251=1,SUM($Q$4:$Q251),"")</f>
        <v/>
      </c>
    </row>
    <row r="252" spans="1:18" ht="22.5" customHeight="1" x14ac:dyDescent="0.3">
      <c r="A252" s="2"/>
      <c r="B252" s="2"/>
      <c r="C252" s="3"/>
      <c r="D252" s="3"/>
      <c r="E252" s="2"/>
      <c r="F252" s="2"/>
      <c r="G252" s="5"/>
      <c r="H252" s="5"/>
      <c r="I252" s="4"/>
      <c r="J252" s="6" t="str">
        <f t="shared" si="13"/>
        <v/>
      </c>
      <c r="K252" s="4" t="str">
        <f t="shared" ca="1" si="17"/>
        <v/>
      </c>
      <c r="L252" s="7" t="str">
        <f t="shared" ca="1" si="16"/>
        <v/>
      </c>
      <c r="M252" s="4" t="str">
        <f>IF($I252="Complete","Green",IF($H252="","Amber",IF($H252&lt;'[2]Read Me'!$B$4,"Red",IF($H252-'[2]Read Me'!$B$4&lt;=21,"Amber","Green"))))</f>
        <v>Amber</v>
      </c>
      <c r="N252" s="3"/>
      <c r="O252" t="str">
        <f>IF($I252&lt;&gt;"Complete",IF(COUNTIFS($A$4:$A251,$A252,$B$4:$B251,$B252,$I$4:$I251,"&lt;&gt;Complete")=0,$A252&amp;"|"&amp;$B252,""),"")</f>
        <v>|</v>
      </c>
      <c r="P252" t="str">
        <f ca="1">IF($K252="Yes",COUNTIFS($K$4:$K252,"Yes"),"")</f>
        <v/>
      </c>
      <c r="Q252">
        <f t="shared" ca="1" si="15"/>
        <v>0</v>
      </c>
      <c r="R252" t="str">
        <f ca="1">IF($Q252=1,SUM($Q$4:$Q252),"")</f>
        <v/>
      </c>
    </row>
    <row r="253" spans="1:18" ht="22.5" customHeight="1" x14ac:dyDescent="0.3">
      <c r="A253" s="2"/>
      <c r="B253" s="2"/>
      <c r="C253" s="3"/>
      <c r="D253" s="3"/>
      <c r="E253" s="2"/>
      <c r="F253" s="2"/>
      <c r="G253" s="5"/>
      <c r="H253" s="5"/>
      <c r="I253" s="4"/>
      <c r="J253" s="6" t="str">
        <f t="shared" si="13"/>
        <v/>
      </c>
      <c r="K253" s="4" t="str">
        <f t="shared" ca="1" si="17"/>
        <v/>
      </c>
      <c r="L253" s="7" t="str">
        <f t="shared" ca="1" si="16"/>
        <v/>
      </c>
      <c r="M253" s="4" t="str">
        <f>IF($I253="Complete","Green",IF($H253="","Amber",IF($H253&lt;'[2]Read Me'!$B$4,"Red",IF($H253-'[2]Read Me'!$B$4&lt;=21,"Amber","Green"))))</f>
        <v>Amber</v>
      </c>
      <c r="N253" s="3"/>
      <c r="O253" t="str">
        <f>IF($I253&lt;&gt;"Complete",IF(COUNTIFS($A$4:$A252,$A253,$B$4:$B252,$B253,$I$4:$I252,"&lt;&gt;Complete")=0,$A253&amp;"|"&amp;$B253,""),"")</f>
        <v>|</v>
      </c>
      <c r="P253" t="str">
        <f ca="1">IF($K253="Yes",COUNTIFS($K$4:$K253,"Yes"),"")</f>
        <v/>
      </c>
      <c r="Q253">
        <f t="shared" ca="1" si="15"/>
        <v>0</v>
      </c>
      <c r="R253" t="str">
        <f ca="1">IF($Q253=1,SUM($Q$4:$Q253),"")</f>
        <v/>
      </c>
    </row>
    <row r="254" spans="1:18" ht="22.5" customHeight="1" x14ac:dyDescent="0.3">
      <c r="A254" s="2"/>
      <c r="B254" s="2"/>
      <c r="C254" s="3"/>
      <c r="D254" s="3"/>
      <c r="E254" s="2"/>
      <c r="F254" s="2"/>
      <c r="G254" s="5"/>
      <c r="H254" s="5"/>
      <c r="I254" s="4"/>
      <c r="J254" s="6" t="str">
        <f t="shared" si="13"/>
        <v/>
      </c>
      <c r="K254" s="4" t="str">
        <f t="shared" ca="1" si="17"/>
        <v/>
      </c>
      <c r="L254" s="7" t="str">
        <f t="shared" ca="1" si="16"/>
        <v/>
      </c>
      <c r="M254" s="4" t="str">
        <f>IF($I254="Complete","Green",IF($H254="","Amber",IF($H254&lt;'[2]Read Me'!$B$4,"Red",IF($H254-'[2]Read Me'!$B$4&lt;=21,"Amber","Green"))))</f>
        <v>Amber</v>
      </c>
      <c r="N254" s="3"/>
      <c r="O254" t="str">
        <f>IF($I254&lt;&gt;"Complete",IF(COUNTIFS($A$4:$A253,$A254,$B$4:$B253,$B254,$I$4:$I253,"&lt;&gt;Complete")=0,$A254&amp;"|"&amp;$B254,""),"")</f>
        <v>|</v>
      </c>
      <c r="P254" t="str">
        <f ca="1">IF($K254="Yes",COUNTIFS($K$4:$K254,"Yes"),"")</f>
        <v/>
      </c>
      <c r="Q254">
        <f t="shared" ca="1" si="15"/>
        <v>0</v>
      </c>
      <c r="R254" t="str">
        <f ca="1">IF($Q254=1,SUM($Q$4:$Q254),"")</f>
        <v/>
      </c>
    </row>
    <row r="255" spans="1:18" ht="22.5" customHeight="1" x14ac:dyDescent="0.3">
      <c r="A255" s="2"/>
      <c r="B255" s="2"/>
      <c r="C255" s="3"/>
      <c r="D255" s="3"/>
      <c r="E255" s="2"/>
      <c r="F255" s="2"/>
      <c r="G255" s="5"/>
      <c r="H255" s="5"/>
      <c r="I255" s="4"/>
      <c r="J255" s="6" t="str">
        <f t="shared" si="13"/>
        <v/>
      </c>
      <c r="K255" s="4" t="str">
        <f t="shared" ca="1" si="17"/>
        <v/>
      </c>
      <c r="L255" s="7" t="str">
        <f t="shared" ca="1" si="16"/>
        <v/>
      </c>
      <c r="M255" s="4" t="str">
        <f>IF($I255="Complete","Green",IF($H255="","Amber",IF($H255&lt;'[2]Read Me'!$B$4,"Red",IF($H255-'[2]Read Me'!$B$4&lt;=21,"Amber","Green"))))</f>
        <v>Amber</v>
      </c>
      <c r="N255" s="3"/>
      <c r="O255" t="str">
        <f>IF($I255&lt;&gt;"Complete",IF(COUNTIFS($A$4:$A254,$A255,$B$4:$B254,$B255,$I$4:$I254,"&lt;&gt;Complete")=0,$A255&amp;"|"&amp;$B255,""),"")</f>
        <v>|</v>
      </c>
      <c r="P255" t="str">
        <f ca="1">IF($K255="Yes",COUNTIFS($K$4:$K255,"Yes"),"")</f>
        <v/>
      </c>
      <c r="Q255">
        <f t="shared" ca="1" si="15"/>
        <v>0</v>
      </c>
      <c r="R255" t="str">
        <f ca="1">IF($Q255=1,SUM($Q$4:$Q255),"")</f>
        <v/>
      </c>
    </row>
    <row r="256" spans="1:18" ht="22.5" customHeight="1" x14ac:dyDescent="0.3">
      <c r="A256" s="2"/>
      <c r="B256" s="2"/>
      <c r="C256" s="3"/>
      <c r="D256" s="3"/>
      <c r="E256" s="2"/>
      <c r="F256" s="2"/>
      <c r="G256" s="5"/>
      <c r="H256" s="5"/>
      <c r="I256" s="4"/>
      <c r="J256" s="6" t="str">
        <f t="shared" si="13"/>
        <v/>
      </c>
      <c r="K256" s="4" t="str">
        <f t="shared" ca="1" si="17"/>
        <v/>
      </c>
      <c r="L256" s="7" t="str">
        <f t="shared" ca="1" si="16"/>
        <v/>
      </c>
      <c r="M256" s="4" t="str">
        <f>IF($I256="Complete","Green",IF($H256="","Amber",IF($H256&lt;'[2]Read Me'!$B$4,"Red",IF($H256-'[2]Read Me'!$B$4&lt;=21,"Amber","Green"))))</f>
        <v>Amber</v>
      </c>
      <c r="N256" s="3"/>
      <c r="O256" t="str">
        <f>IF($I256&lt;&gt;"Complete",IF(COUNTIFS($A$4:$A255,$A256,$B$4:$B255,$B256,$I$4:$I255,"&lt;&gt;Complete")=0,$A256&amp;"|"&amp;$B256,""),"")</f>
        <v>|</v>
      </c>
      <c r="P256" t="str">
        <f ca="1">IF($K256="Yes",COUNTIFS($K$4:$K256,"Yes"),"")</f>
        <v/>
      </c>
      <c r="Q256">
        <f t="shared" ca="1" si="15"/>
        <v>0</v>
      </c>
      <c r="R256" t="str">
        <f ca="1">IF($Q256=1,SUM($Q$4:$Q256),"")</f>
        <v/>
      </c>
    </row>
    <row r="257" spans="1:18" ht="22.5" customHeight="1" x14ac:dyDescent="0.3">
      <c r="A257" s="2"/>
      <c r="B257" s="2"/>
      <c r="C257" s="3"/>
      <c r="D257" s="3"/>
      <c r="E257" s="2"/>
      <c r="F257" s="2"/>
      <c r="G257" s="5"/>
      <c r="H257" s="5"/>
      <c r="I257" s="4"/>
      <c r="J257" s="6" t="str">
        <f t="shared" si="13"/>
        <v/>
      </c>
      <c r="K257" s="4" t="str">
        <f t="shared" ca="1" si="17"/>
        <v/>
      </c>
      <c r="L257" s="7" t="str">
        <f t="shared" ca="1" si="16"/>
        <v/>
      </c>
      <c r="M257" s="4" t="str">
        <f>IF($I257="Complete","Green",IF($H257="","Amber",IF($H257&lt;'[2]Read Me'!$B$4,"Red",IF($H257-'[2]Read Me'!$B$4&lt;=21,"Amber","Green"))))</f>
        <v>Amber</v>
      </c>
      <c r="N257" s="3"/>
      <c r="O257" t="str">
        <f>IF($I257&lt;&gt;"Complete",IF(COUNTIFS($A$4:$A256,$A257,$B$4:$B256,$B257,$I$4:$I256,"&lt;&gt;Complete")=0,$A257&amp;"|"&amp;$B257,""),"")</f>
        <v>|</v>
      </c>
      <c r="P257" t="str">
        <f ca="1">IF($K257="Yes",COUNTIFS($K$4:$K257,"Yes"),"")</f>
        <v/>
      </c>
      <c r="Q257">
        <f t="shared" ca="1" si="15"/>
        <v>0</v>
      </c>
      <c r="R257" t="str">
        <f ca="1">IF($Q257=1,SUM($Q$4:$Q257),"")</f>
        <v/>
      </c>
    </row>
    <row r="258" spans="1:18" ht="45" customHeight="1" x14ac:dyDescent="0.3">
      <c r="A258" s="2"/>
      <c r="B258" s="2"/>
      <c r="C258" s="3"/>
      <c r="D258" s="3"/>
      <c r="E258" s="2"/>
      <c r="F258" s="2"/>
      <c r="G258" s="5"/>
      <c r="H258" s="5"/>
      <c r="I258" s="4"/>
      <c r="J258" s="6" t="str">
        <f t="shared" si="13"/>
        <v/>
      </c>
      <c r="K258" s="4" t="str">
        <f t="shared" ca="1" si="17"/>
        <v/>
      </c>
      <c r="L258" s="7" t="str">
        <f t="shared" ca="1" si="16"/>
        <v/>
      </c>
      <c r="M258" s="4" t="str">
        <f>IF($I258="Complete","Green",IF($H258="","Amber",IF($H258&lt;'[2]Read Me'!$B$4,"Red",IF($H258-'[2]Read Me'!$B$4&lt;=21,"Amber","Green"))))</f>
        <v>Amber</v>
      </c>
      <c r="N258" s="3"/>
      <c r="O258" t="str">
        <f>IF($I258&lt;&gt;"Complete",IF(COUNTIFS($A$4:$A257,$A258,$B$4:$B257,$B258,$I$4:$I257,"&lt;&gt;Complete")=0,$A258&amp;"|"&amp;$B258,""),"")</f>
        <v>|</v>
      </c>
      <c r="P258" t="str">
        <f ca="1">IF($K258="Yes",COUNTIFS($K$4:$K258,"Yes"),"")</f>
        <v/>
      </c>
      <c r="Q258">
        <f t="shared" ca="1" si="15"/>
        <v>0</v>
      </c>
      <c r="R258" t="str">
        <f ca="1">IF($Q258=1,SUM($Q$4:$Q258),"")</f>
        <v/>
      </c>
    </row>
    <row r="259" spans="1:18" ht="45" customHeight="1" x14ac:dyDescent="0.3">
      <c r="A259" s="2"/>
      <c r="B259" s="2"/>
      <c r="C259" s="3"/>
      <c r="D259" s="3"/>
      <c r="E259" s="2"/>
      <c r="F259" s="2"/>
      <c r="G259" s="5"/>
      <c r="H259" s="5"/>
      <c r="I259" s="4"/>
      <c r="J259" s="6" t="str">
        <f t="shared" si="13"/>
        <v/>
      </c>
      <c r="K259" s="4" t="str">
        <f t="shared" ca="1" si="17"/>
        <v/>
      </c>
      <c r="L259" s="7" t="str">
        <f t="shared" ca="1" si="16"/>
        <v/>
      </c>
      <c r="M259" s="4" t="str">
        <f>IF($I259="Complete","Green",IF($H259="","Amber",IF($H259&lt;'[2]Read Me'!$B$4,"Red",IF($H259-'[2]Read Me'!$B$4&lt;=21,"Amber","Green"))))</f>
        <v>Amber</v>
      </c>
      <c r="N259" s="3"/>
      <c r="O259" t="str">
        <f>IF($I259&lt;&gt;"Complete",IF(COUNTIFS($A$4:$A258,$A259,$B$4:$B258,$B259,$I$4:$I258,"&lt;&gt;Complete")=0,$A259&amp;"|"&amp;$B259,""),"")</f>
        <v>|</v>
      </c>
      <c r="P259" t="str">
        <f ca="1">IF($K259="Yes",COUNTIFS($K$4:$K259,"Yes"),"")</f>
        <v/>
      </c>
      <c r="Q259">
        <f t="shared" ca="1" si="15"/>
        <v>0</v>
      </c>
      <c r="R259" t="str">
        <f ca="1">IF($Q259=1,SUM($Q$4:$Q259),"")</f>
        <v/>
      </c>
    </row>
    <row r="260" spans="1:18" ht="45" customHeight="1" x14ac:dyDescent="0.3">
      <c r="A260" s="2"/>
      <c r="B260" s="2"/>
      <c r="C260" s="3"/>
      <c r="D260" s="3"/>
      <c r="E260" s="2"/>
      <c r="F260" s="2"/>
      <c r="G260" s="5"/>
      <c r="H260" s="5"/>
      <c r="I260" s="4"/>
      <c r="J260" s="6" t="str">
        <f t="shared" ref="J260:J312" si="18">IF(OR($G260="",$H260=""),"",$H260-$G260)</f>
        <v/>
      </c>
      <c r="K260" s="4" t="str">
        <f t="shared" ca="1" si="17"/>
        <v/>
      </c>
      <c r="L260" s="7" t="str">
        <f t="shared" ca="1" si="16"/>
        <v/>
      </c>
      <c r="M260" s="4" t="str">
        <f>IF($I260="Complete","Green",IF($H260="","Amber",IF($H260&lt;'[2]Read Me'!$B$4,"Red",IF($H260-'[2]Read Me'!$B$4&lt;=21,"Amber","Green"))))</f>
        <v>Amber</v>
      </c>
      <c r="N260" s="3"/>
      <c r="O260" t="str">
        <f>IF($I260&lt;&gt;"Complete",IF(COUNTIFS($A$4:$A259,$A260,$B$4:$B259,$B260,$I$4:$I259,"&lt;&gt;Complete")=0,$A260&amp;"|"&amp;$B260,""),"")</f>
        <v>|</v>
      </c>
      <c r="P260" t="str">
        <f ca="1">IF($K260="Yes",COUNTIFS($K$4:$K260,"Yes"),"")</f>
        <v/>
      </c>
      <c r="Q260">
        <f t="shared" ref="Q260:Q312" ca="1" si="19">IF(OR($I260="In Progress",$K260="Yes"),1,0)</f>
        <v>0</v>
      </c>
      <c r="R260" t="str">
        <f ca="1">IF($Q260=1,SUM($Q$4:$Q260),"")</f>
        <v/>
      </c>
    </row>
    <row r="261" spans="1:18" ht="45" customHeight="1" x14ac:dyDescent="0.3">
      <c r="A261" s="2"/>
      <c r="B261" s="2"/>
      <c r="C261" s="3"/>
      <c r="D261" s="3"/>
      <c r="E261" s="2"/>
      <c r="F261" s="2"/>
      <c r="G261" s="5"/>
      <c r="H261" s="5"/>
      <c r="I261" s="4"/>
      <c r="J261" s="6" t="str">
        <f t="shared" si="18"/>
        <v/>
      </c>
      <c r="K261" s="4" t="str">
        <f t="shared" ca="1" si="17"/>
        <v/>
      </c>
      <c r="L261" s="7" t="str">
        <f t="shared" ref="L261:L324" ca="1" si="20">IF(I261="Completed",0,IF(H261="","",H261-TODAY()))</f>
        <v/>
      </c>
      <c r="M261" s="4" t="str">
        <f>IF($I261="Complete","Green",IF($H261="","Amber",IF($H261&lt;'[2]Read Me'!$B$4,"Red",IF($H261-'[2]Read Me'!$B$4&lt;=21,"Amber","Green"))))</f>
        <v>Amber</v>
      </c>
      <c r="N261" s="3"/>
      <c r="O261" t="str">
        <f>IF($I261&lt;&gt;"Complete",IF(COUNTIFS($A$4:$A260,$A261,$B$4:$B260,$B261,$I$4:$I260,"&lt;&gt;Complete")=0,$A261&amp;"|"&amp;$B261,""),"")</f>
        <v>|</v>
      </c>
      <c r="P261" t="str">
        <f ca="1">IF($K261="Yes",COUNTIFS($K$4:$K261,"Yes"),"")</f>
        <v/>
      </c>
      <c r="Q261">
        <f t="shared" ca="1" si="19"/>
        <v>0</v>
      </c>
      <c r="R261" t="str">
        <f ca="1">IF($Q261=1,SUM($Q$4:$Q261),"")</f>
        <v/>
      </c>
    </row>
    <row r="262" spans="1:18" ht="45" customHeight="1" x14ac:dyDescent="0.3">
      <c r="A262" s="2"/>
      <c r="B262" s="2"/>
      <c r="C262" s="3"/>
      <c r="D262" s="3"/>
      <c r="E262" s="2"/>
      <c r="F262" s="2"/>
      <c r="G262" s="5"/>
      <c r="H262" s="5"/>
      <c r="I262" s="4"/>
      <c r="J262" s="6" t="str">
        <f t="shared" si="18"/>
        <v/>
      </c>
      <c r="K262" s="4" t="str">
        <f t="shared" ca="1" si="17"/>
        <v/>
      </c>
      <c r="L262" s="7" t="str">
        <f t="shared" ca="1" si="20"/>
        <v/>
      </c>
      <c r="M262" s="4" t="str">
        <f>IF($I262="Complete","Green",IF($H262="","Amber",IF($H262&lt;'[2]Read Me'!$B$4,"Red",IF($H262-'[2]Read Me'!$B$4&lt;=21,"Amber","Green"))))</f>
        <v>Amber</v>
      </c>
      <c r="N262" s="3"/>
      <c r="O262" t="str">
        <f>IF($I262&lt;&gt;"Complete",IF(COUNTIFS($A$4:$A261,$A262,$B$4:$B261,$B262,$I$4:$I261,"&lt;&gt;Complete")=0,$A262&amp;"|"&amp;$B262,""),"")</f>
        <v>|</v>
      </c>
      <c r="P262" t="str">
        <f ca="1">IF($K262="Yes",COUNTIFS($K$4:$K262,"Yes"),"")</f>
        <v/>
      </c>
      <c r="Q262">
        <f t="shared" ca="1" si="19"/>
        <v>0</v>
      </c>
      <c r="R262" t="str">
        <f ca="1">IF($Q262=1,SUM($Q$4:$Q262),"")</f>
        <v/>
      </c>
    </row>
    <row r="263" spans="1:18" ht="45" customHeight="1" x14ac:dyDescent="0.3">
      <c r="A263" s="2"/>
      <c r="B263" s="2"/>
      <c r="C263" s="3"/>
      <c r="D263" s="3"/>
      <c r="E263" s="2"/>
      <c r="F263" s="2"/>
      <c r="G263" s="5"/>
      <c r="H263" s="5"/>
      <c r="I263" s="4"/>
      <c r="J263" s="6" t="str">
        <f t="shared" si="18"/>
        <v/>
      </c>
      <c r="K263" s="4" t="str">
        <f t="shared" ca="1" si="17"/>
        <v/>
      </c>
      <c r="L263" s="7" t="str">
        <f t="shared" ca="1" si="20"/>
        <v/>
      </c>
      <c r="M263" s="4" t="str">
        <f>IF($I263="Complete","Green",IF($H263="","Amber",IF($H263&lt;'[2]Read Me'!$B$4,"Red",IF($H263-'[2]Read Me'!$B$4&lt;=21,"Amber","Green"))))</f>
        <v>Amber</v>
      </c>
      <c r="N263" s="3"/>
      <c r="O263" t="str">
        <f>IF($I263&lt;&gt;"Complete",IF(COUNTIFS($A$4:$A262,$A263,$B$4:$B262,$B263,$I$4:$I262,"&lt;&gt;Complete")=0,$A263&amp;"|"&amp;$B263,""),"")</f>
        <v>|</v>
      </c>
      <c r="P263" t="str">
        <f ca="1">IF($K263="Yes",COUNTIFS($K$4:$K263,"Yes"),"")</f>
        <v/>
      </c>
      <c r="Q263">
        <f t="shared" ca="1" si="19"/>
        <v>0</v>
      </c>
      <c r="R263" t="str">
        <f ca="1">IF($Q263=1,SUM($Q$4:$Q263),"")</f>
        <v/>
      </c>
    </row>
    <row r="264" spans="1:18" ht="45" customHeight="1" x14ac:dyDescent="0.3">
      <c r="A264" s="2"/>
      <c r="B264" s="2"/>
      <c r="C264" s="3"/>
      <c r="D264" s="3"/>
      <c r="E264" s="2"/>
      <c r="F264" s="2"/>
      <c r="G264" s="5"/>
      <c r="H264" s="5"/>
      <c r="I264" s="4"/>
      <c r="J264" s="6" t="str">
        <f t="shared" si="18"/>
        <v/>
      </c>
      <c r="K264" s="4" t="str">
        <f t="shared" ca="1" si="17"/>
        <v/>
      </c>
      <c r="L264" s="7" t="str">
        <f t="shared" ca="1" si="20"/>
        <v/>
      </c>
      <c r="M264" s="4" t="str">
        <f>IF($I264="Complete","Green",IF($H264="","Amber",IF($H264&lt;'[2]Read Me'!$B$4,"Red",IF($H264-'[2]Read Me'!$B$4&lt;=21,"Amber","Green"))))</f>
        <v>Amber</v>
      </c>
      <c r="N264" s="3"/>
      <c r="O264" t="str">
        <f>IF($I264&lt;&gt;"Complete",IF(COUNTIFS($A$4:$A263,$A264,$B$4:$B263,$B264,$I$4:$I263,"&lt;&gt;Complete")=0,$A264&amp;"|"&amp;$B264,""),"")</f>
        <v>|</v>
      </c>
      <c r="P264" t="str">
        <f ca="1">IF($K264="Yes",COUNTIFS($K$4:$K264,"Yes"),"")</f>
        <v/>
      </c>
      <c r="Q264">
        <f t="shared" ca="1" si="19"/>
        <v>0</v>
      </c>
      <c r="R264" t="str">
        <f ca="1">IF($Q264=1,SUM($Q$4:$Q264),"")</f>
        <v/>
      </c>
    </row>
    <row r="265" spans="1:18" ht="45" customHeight="1" x14ac:dyDescent="0.3">
      <c r="A265" s="2"/>
      <c r="B265" s="2"/>
      <c r="C265" s="3"/>
      <c r="D265" s="3"/>
      <c r="E265" s="2"/>
      <c r="F265" s="2"/>
      <c r="G265" s="5"/>
      <c r="H265" s="5"/>
      <c r="I265" s="4"/>
      <c r="J265" s="6" t="str">
        <f t="shared" si="18"/>
        <v/>
      </c>
      <c r="K265" s="4" t="str">
        <f t="shared" ref="K265:K312" ca="1" si="21">IF($H265="","",IF($H265&lt;TODAY(),"No","Yes"))</f>
        <v/>
      </c>
      <c r="L265" s="7" t="str">
        <f t="shared" ca="1" si="20"/>
        <v/>
      </c>
      <c r="M265" s="4" t="str">
        <f>IF($I265="Complete","Green",IF($H265="","Amber",IF($H265&lt;'[2]Read Me'!$B$4,"Red",IF($H265-'[2]Read Me'!$B$4&lt;=21,"Amber","Green"))))</f>
        <v>Amber</v>
      </c>
      <c r="N265" s="3"/>
      <c r="O265" t="str">
        <f>IF($I265&lt;&gt;"Complete",IF(COUNTIFS($A$4:$A264,$A265,$B$4:$B264,$B265,$I$4:$I264,"&lt;&gt;Complete")=0,$A265&amp;"|"&amp;$B265,""),"")</f>
        <v>|</v>
      </c>
      <c r="P265" t="str">
        <f ca="1">IF($K265="Yes",COUNTIFS($K$4:$K265,"Yes"),"")</f>
        <v/>
      </c>
      <c r="Q265">
        <f t="shared" ca="1" si="19"/>
        <v>0</v>
      </c>
      <c r="R265" t="str">
        <f ca="1">IF($Q265=1,SUM($Q$4:$Q265),"")</f>
        <v/>
      </c>
    </row>
    <row r="266" spans="1:18" ht="45" customHeight="1" x14ac:dyDescent="0.3">
      <c r="A266" s="2"/>
      <c r="B266" s="2"/>
      <c r="C266" s="3"/>
      <c r="D266" s="3"/>
      <c r="E266" s="2"/>
      <c r="F266" s="2"/>
      <c r="G266" s="5"/>
      <c r="H266" s="5"/>
      <c r="I266" s="4"/>
      <c r="J266" s="6" t="str">
        <f t="shared" si="18"/>
        <v/>
      </c>
      <c r="K266" s="4" t="str">
        <f t="shared" ca="1" si="21"/>
        <v/>
      </c>
      <c r="L266" s="7" t="str">
        <f t="shared" ca="1" si="20"/>
        <v/>
      </c>
      <c r="M266" s="4" t="str">
        <f>IF($I266="Complete","Green",IF($H266="","Amber",IF($H266&lt;'[2]Read Me'!$B$4,"Red",IF($H266-'[2]Read Me'!$B$4&lt;=21,"Amber","Green"))))</f>
        <v>Amber</v>
      </c>
      <c r="N266" s="3"/>
      <c r="O266" t="str">
        <f>IF($I266&lt;&gt;"Complete",IF(COUNTIFS($A$4:$A265,$A266,$B$4:$B265,$B266,$I$4:$I265,"&lt;&gt;Complete")=0,$A266&amp;"|"&amp;$B266,""),"")</f>
        <v>|</v>
      </c>
      <c r="P266" t="str">
        <f ca="1">IF($K266="Yes",COUNTIFS($K$4:$K266,"Yes"),"")</f>
        <v/>
      </c>
      <c r="Q266">
        <f t="shared" ca="1" si="19"/>
        <v>0</v>
      </c>
      <c r="R266" t="str">
        <f ca="1">IF($Q266=1,SUM($Q$4:$Q266),"")</f>
        <v/>
      </c>
    </row>
    <row r="267" spans="1:18" ht="45" customHeight="1" x14ac:dyDescent="0.3">
      <c r="A267" s="2"/>
      <c r="B267" s="2"/>
      <c r="C267" s="3"/>
      <c r="D267" s="3"/>
      <c r="E267" s="2"/>
      <c r="F267" s="2"/>
      <c r="G267" s="5"/>
      <c r="H267" s="5"/>
      <c r="I267" s="4"/>
      <c r="J267" s="6" t="str">
        <f t="shared" si="18"/>
        <v/>
      </c>
      <c r="K267" s="4" t="str">
        <f t="shared" ca="1" si="21"/>
        <v/>
      </c>
      <c r="L267" s="7" t="str">
        <f t="shared" ca="1" si="20"/>
        <v/>
      </c>
      <c r="M267" s="4" t="str">
        <f>IF($I267="Complete","Green",IF($H267="","Amber",IF($H267&lt;'[2]Read Me'!$B$4,"Red",IF($H267-'[2]Read Me'!$B$4&lt;=21,"Amber","Green"))))</f>
        <v>Amber</v>
      </c>
      <c r="N267" s="3"/>
      <c r="O267" t="str">
        <f>IF($I267&lt;&gt;"Complete",IF(COUNTIFS($A$4:$A266,$A267,$B$4:$B266,$B267,$I$4:$I266,"&lt;&gt;Complete")=0,$A267&amp;"|"&amp;$B267,""),"")</f>
        <v>|</v>
      </c>
      <c r="P267" t="str">
        <f ca="1">IF($K267="Yes",COUNTIFS($K$4:$K267,"Yes"),"")</f>
        <v/>
      </c>
      <c r="Q267">
        <f t="shared" ca="1" si="19"/>
        <v>0</v>
      </c>
      <c r="R267" t="str">
        <f ca="1">IF($Q267=1,SUM($Q$4:$Q267),"")</f>
        <v/>
      </c>
    </row>
    <row r="268" spans="1:18" ht="14.25" customHeight="1" x14ac:dyDescent="0.3">
      <c r="A268" s="2"/>
      <c r="B268" s="2"/>
      <c r="C268" s="3"/>
      <c r="D268" s="3"/>
      <c r="E268" s="2"/>
      <c r="F268" s="2"/>
      <c r="G268" s="5"/>
      <c r="H268" s="5"/>
      <c r="I268" s="4"/>
      <c r="J268" s="6" t="str">
        <f t="shared" si="18"/>
        <v/>
      </c>
      <c r="K268" s="4" t="str">
        <f t="shared" ca="1" si="21"/>
        <v/>
      </c>
      <c r="L268" s="7" t="str">
        <f t="shared" ca="1" si="20"/>
        <v/>
      </c>
      <c r="M268" s="4" t="str">
        <f>IF($I268="Complete","Green",IF($H268="","Amber",IF($H268&lt;'[2]Read Me'!$B$4,"Red",IF($H268-'[2]Read Me'!$B$4&lt;=21,"Amber","Green"))))</f>
        <v>Amber</v>
      </c>
      <c r="N268" s="3"/>
      <c r="O268" t="str">
        <f>IF($I268&lt;&gt;"Complete",IF(COUNTIFS($A$4:$A267,$A268,$B$4:$B267,$B268,$I$4:$I267,"&lt;&gt;Complete")=0,$A268&amp;"|"&amp;$B268,""),"")</f>
        <v>|</v>
      </c>
      <c r="P268" t="str">
        <f ca="1">IF($K268="Yes",COUNTIFS($K$4:$K268,"Yes"),"")</f>
        <v/>
      </c>
      <c r="Q268">
        <f t="shared" ca="1" si="19"/>
        <v>0</v>
      </c>
      <c r="R268" t="str">
        <f ca="1">IF($Q268=1,SUM($Q$4:$Q268),"")</f>
        <v/>
      </c>
    </row>
    <row r="269" spans="1:18" ht="14.25" customHeight="1" x14ac:dyDescent="0.3">
      <c r="A269" s="2"/>
      <c r="B269" s="2"/>
      <c r="C269" s="3"/>
      <c r="D269" s="3"/>
      <c r="E269" s="2"/>
      <c r="F269" s="2"/>
      <c r="G269" s="5"/>
      <c r="H269" s="5"/>
      <c r="I269" s="4"/>
      <c r="J269" s="6" t="str">
        <f t="shared" si="18"/>
        <v/>
      </c>
      <c r="K269" s="4" t="str">
        <f t="shared" ca="1" si="21"/>
        <v/>
      </c>
      <c r="L269" s="7" t="str">
        <f t="shared" ca="1" si="20"/>
        <v/>
      </c>
      <c r="M269" s="4" t="str">
        <f>IF($I269="Complete","Green",IF($H269="","Amber",IF($H269&lt;'[2]Read Me'!$B$4,"Red",IF($H269-'[2]Read Me'!$B$4&lt;=21,"Amber","Green"))))</f>
        <v>Amber</v>
      </c>
      <c r="N269" s="3"/>
      <c r="O269" t="str">
        <f>IF($I269&lt;&gt;"Complete",IF(COUNTIFS($A$4:$A268,$A269,$B$4:$B268,$B269,$I$4:$I268,"&lt;&gt;Complete")=0,$A269&amp;"|"&amp;$B269,""),"")</f>
        <v>|</v>
      </c>
      <c r="P269" t="str">
        <f ca="1">IF($K269="Yes",COUNTIFS($K$4:$K269,"Yes"),"")</f>
        <v/>
      </c>
      <c r="Q269">
        <f t="shared" ca="1" si="19"/>
        <v>0</v>
      </c>
      <c r="R269" t="str">
        <f ca="1">IF($Q269=1,SUM($Q$4:$Q269),"")</f>
        <v/>
      </c>
    </row>
    <row r="270" spans="1:18" ht="14.25" customHeight="1" x14ac:dyDescent="0.3">
      <c r="A270" s="2"/>
      <c r="B270" s="2"/>
      <c r="C270" s="3"/>
      <c r="D270" s="3"/>
      <c r="E270" s="2"/>
      <c r="F270" s="2"/>
      <c r="G270" s="5"/>
      <c r="H270" s="5"/>
      <c r="I270" s="4"/>
      <c r="J270" s="6" t="str">
        <f t="shared" si="18"/>
        <v/>
      </c>
      <c r="K270" s="4" t="str">
        <f t="shared" ca="1" si="21"/>
        <v/>
      </c>
      <c r="L270" s="7" t="str">
        <f t="shared" ca="1" si="20"/>
        <v/>
      </c>
      <c r="M270" s="4" t="str">
        <f>IF($I270="Complete","Green",IF($H270="","Amber",IF($H270&lt;'[2]Read Me'!$B$4,"Red",IF($H270-'[2]Read Me'!$B$4&lt;=21,"Amber","Green"))))</f>
        <v>Amber</v>
      </c>
      <c r="N270" s="3"/>
      <c r="O270" t="str">
        <f>IF($I270&lt;&gt;"Complete",IF(COUNTIFS($A$4:$A269,$A270,$B$4:$B269,$B270,$I$4:$I269,"&lt;&gt;Complete")=0,$A270&amp;"|"&amp;$B270,""),"")</f>
        <v>|</v>
      </c>
      <c r="P270" t="str">
        <f ca="1">IF($K270="Yes",COUNTIFS($K$4:$K270,"Yes"),"")</f>
        <v/>
      </c>
      <c r="Q270">
        <f t="shared" ca="1" si="19"/>
        <v>0</v>
      </c>
      <c r="R270" t="str">
        <f ca="1">IF($Q270=1,SUM($Q$4:$Q270),"")</f>
        <v/>
      </c>
    </row>
    <row r="271" spans="1:18" ht="14.25" customHeight="1" x14ac:dyDescent="0.3">
      <c r="A271" s="2"/>
      <c r="B271" s="2"/>
      <c r="C271" s="3"/>
      <c r="D271" s="3"/>
      <c r="E271" s="2"/>
      <c r="F271" s="2"/>
      <c r="G271" s="5"/>
      <c r="H271" s="5"/>
      <c r="I271" s="4"/>
      <c r="J271" s="6" t="str">
        <f t="shared" si="18"/>
        <v/>
      </c>
      <c r="K271" s="4" t="str">
        <f t="shared" ca="1" si="21"/>
        <v/>
      </c>
      <c r="L271" s="7" t="str">
        <f t="shared" ca="1" si="20"/>
        <v/>
      </c>
      <c r="M271" s="4" t="str">
        <f>IF($I271="Complete","Green",IF($H271="","Amber",IF($H271&lt;'[2]Read Me'!$B$4,"Red",IF($H271-'[2]Read Me'!$B$4&lt;=21,"Amber","Green"))))</f>
        <v>Amber</v>
      </c>
      <c r="N271" s="3"/>
      <c r="O271" t="str">
        <f>IF($I271&lt;&gt;"Complete",IF(COUNTIFS($A$4:$A270,$A271,$B$4:$B270,$B271,$I$4:$I270,"&lt;&gt;Complete")=0,$A271&amp;"|"&amp;$B271,""),"")</f>
        <v>|</v>
      </c>
      <c r="P271" t="str">
        <f ca="1">IF($K271="Yes",COUNTIFS($K$4:$K271,"Yes"),"")</f>
        <v/>
      </c>
      <c r="Q271">
        <f t="shared" ca="1" si="19"/>
        <v>0</v>
      </c>
      <c r="R271" t="str">
        <f ca="1">IF($Q271=1,SUM($Q$4:$Q271),"")</f>
        <v/>
      </c>
    </row>
    <row r="272" spans="1:18" ht="14.25" customHeight="1" x14ac:dyDescent="0.3">
      <c r="A272" s="2"/>
      <c r="B272" s="2"/>
      <c r="C272" s="3"/>
      <c r="D272" s="3"/>
      <c r="E272" s="2"/>
      <c r="F272" s="2"/>
      <c r="G272" s="5"/>
      <c r="H272" s="5"/>
      <c r="I272" s="4"/>
      <c r="J272" s="6" t="str">
        <f t="shared" si="18"/>
        <v/>
      </c>
      <c r="K272" s="4" t="str">
        <f t="shared" ca="1" si="21"/>
        <v/>
      </c>
      <c r="L272" s="7" t="str">
        <f t="shared" ca="1" si="20"/>
        <v/>
      </c>
      <c r="M272" s="4" t="str">
        <f>IF($I272="Complete","Green",IF($H272="","Amber",IF($H272&lt;'[2]Read Me'!$B$4,"Red",IF($H272-'[2]Read Me'!$B$4&lt;=21,"Amber","Green"))))</f>
        <v>Amber</v>
      </c>
      <c r="N272" s="3"/>
      <c r="O272" t="str">
        <f>IF($I272&lt;&gt;"Complete",IF(COUNTIFS($A$4:$A271,$A272,$B$4:$B271,$B272,$I$4:$I271,"&lt;&gt;Complete")=0,$A272&amp;"|"&amp;$B272,""),"")</f>
        <v>|</v>
      </c>
      <c r="P272" t="str">
        <f ca="1">IF($K272="Yes",COUNTIFS($K$4:$K272,"Yes"),"")</f>
        <v/>
      </c>
      <c r="Q272">
        <f t="shared" ca="1" si="19"/>
        <v>0</v>
      </c>
      <c r="R272" t="str">
        <f ca="1">IF($Q272=1,SUM($Q$4:$Q272),"")</f>
        <v/>
      </c>
    </row>
    <row r="273" spans="1:18" ht="14.25" customHeight="1" x14ac:dyDescent="0.3">
      <c r="A273" s="2"/>
      <c r="B273" s="2"/>
      <c r="C273" s="3"/>
      <c r="D273" s="3"/>
      <c r="E273" s="2"/>
      <c r="F273" s="2"/>
      <c r="G273" s="5"/>
      <c r="H273" s="5"/>
      <c r="I273" s="4"/>
      <c r="J273" s="6" t="str">
        <f t="shared" si="18"/>
        <v/>
      </c>
      <c r="K273" s="4" t="str">
        <f t="shared" ca="1" si="21"/>
        <v/>
      </c>
      <c r="L273" s="7" t="str">
        <f t="shared" ca="1" si="20"/>
        <v/>
      </c>
      <c r="M273" s="4" t="str">
        <f>IF($I273="Complete","Green",IF($H273="","Amber",IF($H273&lt;'[2]Read Me'!$B$4,"Red",IF($H273-'[2]Read Me'!$B$4&lt;=21,"Amber","Green"))))</f>
        <v>Amber</v>
      </c>
      <c r="N273" s="3"/>
      <c r="O273" t="str">
        <f>IF($I273&lt;&gt;"Complete",IF(COUNTIFS($A$4:$A272,$A273,$B$4:$B272,$B273,$I$4:$I272,"&lt;&gt;Complete")=0,$A273&amp;"|"&amp;$B273,""),"")</f>
        <v>|</v>
      </c>
      <c r="P273" t="str">
        <f ca="1">IF($K273="Yes",COUNTIFS($K$4:$K273,"Yes"),"")</f>
        <v/>
      </c>
      <c r="Q273">
        <f t="shared" ca="1" si="19"/>
        <v>0</v>
      </c>
      <c r="R273" t="str">
        <f ca="1">IF($Q273=1,SUM($Q$4:$Q273),"")</f>
        <v/>
      </c>
    </row>
    <row r="274" spans="1:18" ht="14.25" customHeight="1" x14ac:dyDescent="0.3">
      <c r="A274" s="2"/>
      <c r="B274" s="2"/>
      <c r="C274" s="3"/>
      <c r="D274" s="3"/>
      <c r="E274" s="2"/>
      <c r="F274" s="2"/>
      <c r="G274" s="5"/>
      <c r="H274" s="5"/>
      <c r="I274" s="4"/>
      <c r="J274" s="6" t="str">
        <f t="shared" si="18"/>
        <v/>
      </c>
      <c r="K274" s="4" t="str">
        <f t="shared" ca="1" si="21"/>
        <v/>
      </c>
      <c r="L274" s="7" t="str">
        <f t="shared" ca="1" si="20"/>
        <v/>
      </c>
      <c r="M274" s="4" t="str">
        <f>IF($I274="Complete","Green",IF($H274="","Amber",IF($H274&lt;'[2]Read Me'!$B$4,"Red",IF($H274-'[2]Read Me'!$B$4&lt;=21,"Amber","Green"))))</f>
        <v>Amber</v>
      </c>
      <c r="N274" s="3"/>
      <c r="O274" t="str">
        <f>IF($I274&lt;&gt;"Complete",IF(COUNTIFS($A$4:$A273,$A274,$B$4:$B273,$B274,$I$4:$I273,"&lt;&gt;Complete")=0,$A274&amp;"|"&amp;$B274,""),"")</f>
        <v>|</v>
      </c>
      <c r="P274" t="str">
        <f ca="1">IF($K274="Yes",COUNTIFS($K$4:$K274,"Yes"),"")</f>
        <v/>
      </c>
      <c r="Q274">
        <f t="shared" ca="1" si="19"/>
        <v>0</v>
      </c>
      <c r="R274" t="str">
        <f ca="1">IF($Q274=1,SUM($Q$4:$Q274),"")</f>
        <v/>
      </c>
    </row>
    <row r="275" spans="1:18" ht="14.25" customHeight="1" x14ac:dyDescent="0.3">
      <c r="A275" s="2"/>
      <c r="B275" s="2"/>
      <c r="C275" s="3"/>
      <c r="D275" s="3"/>
      <c r="E275" s="2"/>
      <c r="F275" s="2"/>
      <c r="G275" s="5"/>
      <c r="H275" s="5"/>
      <c r="I275" s="4"/>
      <c r="J275" s="6" t="str">
        <f t="shared" si="18"/>
        <v/>
      </c>
      <c r="K275" s="4" t="str">
        <f t="shared" ca="1" si="21"/>
        <v/>
      </c>
      <c r="L275" s="7" t="str">
        <f t="shared" ca="1" si="20"/>
        <v/>
      </c>
      <c r="M275" s="4" t="str">
        <f>IF($I275="Complete","Green",IF($H275="","Amber",IF($H275&lt;'[2]Read Me'!$B$4,"Red",IF($H275-'[2]Read Me'!$B$4&lt;=21,"Amber","Green"))))</f>
        <v>Amber</v>
      </c>
      <c r="N275" s="3"/>
      <c r="O275" t="str">
        <f>IF($I275&lt;&gt;"Complete",IF(COUNTIFS($A$4:$A274,$A275,$B$4:$B274,$B275,$I$4:$I274,"&lt;&gt;Complete")=0,$A275&amp;"|"&amp;$B275,""),"")</f>
        <v>|</v>
      </c>
      <c r="P275" t="str">
        <f ca="1">IF($K275="Yes",COUNTIFS($K$4:$K275,"Yes"),"")</f>
        <v/>
      </c>
      <c r="Q275">
        <f t="shared" ca="1" si="19"/>
        <v>0</v>
      </c>
      <c r="R275" t="str">
        <f ca="1">IF($Q275=1,SUM($Q$4:$Q275),"")</f>
        <v/>
      </c>
    </row>
    <row r="276" spans="1:18" ht="14.25" customHeight="1" x14ac:dyDescent="0.3">
      <c r="A276" s="2"/>
      <c r="B276" s="2"/>
      <c r="C276" s="3"/>
      <c r="D276" s="3"/>
      <c r="E276" s="2"/>
      <c r="F276" s="2"/>
      <c r="G276" s="5"/>
      <c r="H276" s="5"/>
      <c r="I276" s="4"/>
      <c r="J276" s="6" t="str">
        <f t="shared" si="18"/>
        <v/>
      </c>
      <c r="K276" s="4" t="str">
        <f t="shared" ca="1" si="21"/>
        <v/>
      </c>
      <c r="L276" s="7" t="str">
        <f t="shared" ca="1" si="20"/>
        <v/>
      </c>
      <c r="M276" s="4" t="str">
        <f>IF($I276="Complete","Green",IF($H276="","Amber",IF($H276&lt;'[2]Read Me'!$B$4,"Red",IF($H276-'[2]Read Me'!$B$4&lt;=21,"Amber","Green"))))</f>
        <v>Amber</v>
      </c>
      <c r="N276" s="3"/>
      <c r="O276" t="str">
        <f>IF($I276&lt;&gt;"Complete",IF(COUNTIFS($A$4:$A275,$A276,$B$4:$B275,$B276,$I$4:$I275,"&lt;&gt;Complete")=0,$A276&amp;"|"&amp;$B276,""),"")</f>
        <v>|</v>
      </c>
      <c r="P276" t="str">
        <f ca="1">IF($K276="Yes",COUNTIFS($K$4:$K276,"Yes"),"")</f>
        <v/>
      </c>
      <c r="Q276">
        <f t="shared" ca="1" si="19"/>
        <v>0</v>
      </c>
      <c r="R276" t="str">
        <f ca="1">IF($Q276=1,SUM($Q$4:$Q276),"")</f>
        <v/>
      </c>
    </row>
    <row r="277" spans="1:18" ht="14.25" customHeight="1" x14ac:dyDescent="0.3">
      <c r="A277" s="2"/>
      <c r="B277" s="2"/>
      <c r="C277" s="3"/>
      <c r="D277" s="3"/>
      <c r="E277" s="2"/>
      <c r="F277" s="2"/>
      <c r="G277" s="5"/>
      <c r="H277" s="5"/>
      <c r="I277" s="4"/>
      <c r="J277" s="6" t="str">
        <f t="shared" si="18"/>
        <v/>
      </c>
      <c r="K277" s="4" t="str">
        <f t="shared" ca="1" si="21"/>
        <v/>
      </c>
      <c r="L277" s="7" t="str">
        <f t="shared" ca="1" si="20"/>
        <v/>
      </c>
      <c r="M277" s="4" t="str">
        <f>IF($I277="Complete","Green",IF($H277="","Amber",IF($H277&lt;'[2]Read Me'!$B$4,"Red",IF($H277-'[2]Read Me'!$B$4&lt;=21,"Amber","Green"))))</f>
        <v>Amber</v>
      </c>
      <c r="N277" s="3"/>
      <c r="O277" t="str">
        <f>IF($I277&lt;&gt;"Complete",IF(COUNTIFS($A$4:$A276,$A277,$B$4:$B276,$B277,$I$4:$I276,"&lt;&gt;Complete")=0,$A277&amp;"|"&amp;$B277,""),"")</f>
        <v>|</v>
      </c>
      <c r="P277" t="str">
        <f ca="1">IF($K277="Yes",COUNTIFS($K$4:$K277,"Yes"),"")</f>
        <v/>
      </c>
      <c r="Q277">
        <f t="shared" ca="1" si="19"/>
        <v>0</v>
      </c>
      <c r="R277" t="str">
        <f ca="1">IF($Q277=1,SUM($Q$4:$Q277),"")</f>
        <v/>
      </c>
    </row>
    <row r="278" spans="1:18" ht="14.25" customHeight="1" x14ac:dyDescent="0.3">
      <c r="A278" s="2"/>
      <c r="B278" s="2"/>
      <c r="C278" s="3"/>
      <c r="D278" s="3"/>
      <c r="E278" s="2"/>
      <c r="F278" s="2"/>
      <c r="G278" s="5"/>
      <c r="H278" s="5"/>
      <c r="I278" s="4"/>
      <c r="J278" s="6" t="str">
        <f t="shared" si="18"/>
        <v/>
      </c>
      <c r="K278" s="4" t="str">
        <f t="shared" ca="1" si="21"/>
        <v/>
      </c>
      <c r="L278" s="7" t="str">
        <f t="shared" ca="1" si="20"/>
        <v/>
      </c>
      <c r="M278" s="4" t="str">
        <f>IF($I278="Complete","Green",IF($H278="","Amber",IF($H278&lt;'[2]Read Me'!$B$4,"Red",IF($H278-'[2]Read Me'!$B$4&lt;=21,"Amber","Green"))))</f>
        <v>Amber</v>
      </c>
      <c r="N278" s="3"/>
      <c r="O278" t="str">
        <f>IF($I278&lt;&gt;"Complete",IF(COUNTIFS($A$4:$A277,$A278,$B$4:$B277,$B278,$I$4:$I277,"&lt;&gt;Complete")=0,$A278&amp;"|"&amp;$B278,""),"")</f>
        <v>|</v>
      </c>
      <c r="P278" t="str">
        <f ca="1">IF($K278="Yes",COUNTIFS($K$4:$K278,"Yes"),"")</f>
        <v/>
      </c>
      <c r="Q278">
        <f t="shared" ca="1" si="19"/>
        <v>0</v>
      </c>
      <c r="R278" t="str">
        <f ca="1">IF($Q278=1,SUM($Q$4:$Q278),"")</f>
        <v/>
      </c>
    </row>
    <row r="279" spans="1:18" ht="14.25" customHeight="1" x14ac:dyDescent="0.3">
      <c r="A279" s="2"/>
      <c r="B279" s="2"/>
      <c r="C279" s="3"/>
      <c r="D279" s="3"/>
      <c r="E279" s="2"/>
      <c r="F279" s="2"/>
      <c r="G279" s="5"/>
      <c r="H279" s="5"/>
      <c r="I279" s="4"/>
      <c r="J279" s="6" t="str">
        <f t="shared" si="18"/>
        <v/>
      </c>
      <c r="K279" s="4" t="str">
        <f t="shared" ca="1" si="21"/>
        <v/>
      </c>
      <c r="L279" s="7" t="str">
        <f t="shared" ca="1" si="20"/>
        <v/>
      </c>
      <c r="M279" s="4" t="str">
        <f>IF($I279="Complete","Green",IF($H279="","Amber",IF($H279&lt;'[2]Read Me'!$B$4,"Red",IF($H279-'[2]Read Me'!$B$4&lt;=21,"Amber","Green"))))</f>
        <v>Amber</v>
      </c>
      <c r="N279" s="3"/>
      <c r="O279" t="str">
        <f>IF($I279&lt;&gt;"Complete",IF(COUNTIFS($A$4:$A278,$A279,$B$4:$B278,$B279,$I$4:$I278,"&lt;&gt;Complete")=0,$A279&amp;"|"&amp;$B279,""),"")</f>
        <v>|</v>
      </c>
      <c r="P279" t="str">
        <f ca="1">IF($K279="Yes",COUNTIFS($K$4:$K279,"Yes"),"")</f>
        <v/>
      </c>
      <c r="Q279">
        <f t="shared" ca="1" si="19"/>
        <v>0</v>
      </c>
      <c r="R279" t="str">
        <f ca="1">IF($Q279=1,SUM($Q$4:$Q279),"")</f>
        <v/>
      </c>
    </row>
    <row r="280" spans="1:18" ht="14.25" customHeight="1" x14ac:dyDescent="0.3">
      <c r="A280" s="2"/>
      <c r="B280" s="2"/>
      <c r="C280" s="3"/>
      <c r="D280" s="3"/>
      <c r="E280" s="2"/>
      <c r="F280" s="2"/>
      <c r="G280" s="5"/>
      <c r="H280" s="5"/>
      <c r="I280" s="4"/>
      <c r="J280" s="6" t="str">
        <f t="shared" si="18"/>
        <v/>
      </c>
      <c r="K280" s="4" t="str">
        <f t="shared" ca="1" si="21"/>
        <v/>
      </c>
      <c r="L280" s="7" t="str">
        <f t="shared" ca="1" si="20"/>
        <v/>
      </c>
      <c r="M280" s="4" t="str">
        <f>IF($I280="Complete","Green",IF($H280="","Amber",IF($H280&lt;'[2]Read Me'!$B$4,"Red",IF($H280-'[2]Read Me'!$B$4&lt;=21,"Amber","Green"))))</f>
        <v>Amber</v>
      </c>
      <c r="N280" s="3"/>
      <c r="O280" t="str">
        <f>IF($I280&lt;&gt;"Complete",IF(COUNTIFS($A$4:$A279,$A280,$B$4:$B279,$B280,$I$4:$I279,"&lt;&gt;Complete")=0,$A280&amp;"|"&amp;$B280,""),"")</f>
        <v>|</v>
      </c>
      <c r="P280" t="str">
        <f ca="1">IF($K280="Yes",COUNTIFS($K$4:$K280,"Yes"),"")</f>
        <v/>
      </c>
      <c r="Q280">
        <f t="shared" ca="1" si="19"/>
        <v>0</v>
      </c>
      <c r="R280" t="str">
        <f ca="1">IF($Q280=1,SUM($Q$4:$Q280),"")</f>
        <v/>
      </c>
    </row>
    <row r="281" spans="1:18" ht="14.25" customHeight="1" x14ac:dyDescent="0.3">
      <c r="A281" s="2"/>
      <c r="B281" s="2"/>
      <c r="C281" s="3"/>
      <c r="D281" s="3"/>
      <c r="E281" s="2"/>
      <c r="F281" s="2"/>
      <c r="G281" s="5"/>
      <c r="H281" s="5"/>
      <c r="I281" s="4"/>
      <c r="J281" s="6" t="str">
        <f t="shared" si="18"/>
        <v/>
      </c>
      <c r="K281" s="4" t="str">
        <f t="shared" ca="1" si="21"/>
        <v/>
      </c>
      <c r="L281" s="7" t="str">
        <f t="shared" ca="1" si="20"/>
        <v/>
      </c>
      <c r="M281" s="4" t="str">
        <f>IF($I281="Complete","Green",IF($H281="","Amber",IF($H281&lt;'[2]Read Me'!$B$4,"Red",IF($H281-'[2]Read Me'!$B$4&lt;=21,"Amber","Green"))))</f>
        <v>Amber</v>
      </c>
      <c r="N281" s="3"/>
      <c r="O281" t="str">
        <f>IF($I281&lt;&gt;"Complete",IF(COUNTIFS($A$4:$A280,$A281,$B$4:$B280,$B281,$I$4:$I280,"&lt;&gt;Complete")=0,$A281&amp;"|"&amp;$B281,""),"")</f>
        <v>|</v>
      </c>
      <c r="P281" t="str">
        <f ca="1">IF($K281="Yes",COUNTIFS($K$4:$K281,"Yes"),"")</f>
        <v/>
      </c>
      <c r="Q281">
        <f t="shared" ca="1" si="19"/>
        <v>0</v>
      </c>
      <c r="R281" t="str">
        <f ca="1">IF($Q281=1,SUM($Q$4:$Q281),"")</f>
        <v/>
      </c>
    </row>
    <row r="282" spans="1:18" ht="14.25" customHeight="1" x14ac:dyDescent="0.3">
      <c r="A282" s="2"/>
      <c r="B282" s="2"/>
      <c r="C282" s="3"/>
      <c r="D282" s="3"/>
      <c r="E282" s="2"/>
      <c r="F282" s="2"/>
      <c r="G282" s="5"/>
      <c r="H282" s="5"/>
      <c r="I282" s="4"/>
      <c r="J282" s="6" t="str">
        <f t="shared" si="18"/>
        <v/>
      </c>
      <c r="K282" s="4" t="str">
        <f t="shared" ca="1" si="21"/>
        <v/>
      </c>
      <c r="L282" s="7" t="str">
        <f t="shared" ca="1" si="20"/>
        <v/>
      </c>
      <c r="M282" s="4" t="str">
        <f>IF($I282="Complete","Green",IF($H282="","Amber",IF($H282&lt;'[2]Read Me'!$B$4,"Red",IF($H282-'[2]Read Me'!$B$4&lt;=21,"Amber","Green"))))</f>
        <v>Amber</v>
      </c>
      <c r="N282" s="3"/>
      <c r="O282" t="str">
        <f>IF($I282&lt;&gt;"Complete",IF(COUNTIFS($A$4:$A281,$A282,$B$4:$B281,$B282,$I$4:$I281,"&lt;&gt;Complete")=0,$A282&amp;"|"&amp;$B282,""),"")</f>
        <v>|</v>
      </c>
      <c r="P282" t="str">
        <f ca="1">IF($K282="Yes",COUNTIFS($K$4:$K282,"Yes"),"")</f>
        <v/>
      </c>
      <c r="Q282">
        <f t="shared" ca="1" si="19"/>
        <v>0</v>
      </c>
      <c r="R282" t="str">
        <f ca="1">IF($Q282=1,SUM($Q$4:$Q282),"")</f>
        <v/>
      </c>
    </row>
    <row r="283" spans="1:18" ht="14.25" customHeight="1" x14ac:dyDescent="0.3">
      <c r="A283" s="2"/>
      <c r="B283" s="2"/>
      <c r="C283" s="3"/>
      <c r="D283" s="3"/>
      <c r="E283" s="2"/>
      <c r="F283" s="2"/>
      <c r="G283" s="5"/>
      <c r="H283" s="5"/>
      <c r="I283" s="4"/>
      <c r="J283" s="6" t="str">
        <f t="shared" si="18"/>
        <v/>
      </c>
      <c r="K283" s="4" t="str">
        <f t="shared" ca="1" si="21"/>
        <v/>
      </c>
      <c r="L283" s="7" t="str">
        <f t="shared" ca="1" si="20"/>
        <v/>
      </c>
      <c r="M283" s="4" t="str">
        <f>IF($I283="Complete","Green",IF($H283="","Amber",IF($H283&lt;'[2]Read Me'!$B$4,"Red",IF($H283-'[2]Read Me'!$B$4&lt;=21,"Amber","Green"))))</f>
        <v>Amber</v>
      </c>
      <c r="N283" s="3"/>
      <c r="O283" t="str">
        <f>IF($I283&lt;&gt;"Complete",IF(COUNTIFS($A$4:$A282,$A283,$B$4:$B282,$B283,$I$4:$I282,"&lt;&gt;Complete")=0,$A283&amp;"|"&amp;$B283,""),"")</f>
        <v>|</v>
      </c>
      <c r="P283" t="str">
        <f ca="1">IF($K283="Yes",COUNTIFS($K$4:$K283,"Yes"),"")</f>
        <v/>
      </c>
      <c r="Q283">
        <f t="shared" ca="1" si="19"/>
        <v>0</v>
      </c>
      <c r="R283" t="str">
        <f ca="1">IF($Q283=1,SUM($Q$4:$Q283),"")</f>
        <v/>
      </c>
    </row>
    <row r="284" spans="1:18" ht="14.25" customHeight="1" x14ac:dyDescent="0.3">
      <c r="A284" s="2"/>
      <c r="B284" s="2"/>
      <c r="C284" s="3"/>
      <c r="D284" s="3"/>
      <c r="E284" s="2"/>
      <c r="F284" s="2"/>
      <c r="G284" s="5"/>
      <c r="H284" s="5"/>
      <c r="I284" s="4"/>
      <c r="J284" s="6" t="str">
        <f t="shared" si="18"/>
        <v/>
      </c>
      <c r="K284" s="4" t="str">
        <f t="shared" ca="1" si="21"/>
        <v/>
      </c>
      <c r="L284" s="7" t="str">
        <f t="shared" ca="1" si="20"/>
        <v/>
      </c>
      <c r="M284" s="4" t="str">
        <f>IF($I284="Complete","Green",IF($H284="","Amber",IF($H284&lt;'[2]Read Me'!$B$4,"Red",IF($H284-'[2]Read Me'!$B$4&lt;=21,"Amber","Green"))))</f>
        <v>Amber</v>
      </c>
      <c r="N284" s="3"/>
      <c r="O284" t="str">
        <f>IF($I284&lt;&gt;"Complete",IF(COUNTIFS($A$4:$A283,$A284,$B$4:$B283,$B284,$I$4:$I283,"&lt;&gt;Complete")=0,$A284&amp;"|"&amp;$B284,""),"")</f>
        <v>|</v>
      </c>
      <c r="P284" t="str">
        <f ca="1">IF($K284="Yes",COUNTIFS($K$4:$K284,"Yes"),"")</f>
        <v/>
      </c>
      <c r="Q284">
        <f t="shared" ca="1" si="19"/>
        <v>0</v>
      </c>
      <c r="R284" t="str">
        <f ca="1">IF($Q284=1,SUM($Q$4:$Q284),"")</f>
        <v/>
      </c>
    </row>
    <row r="285" spans="1:18" ht="14.25" customHeight="1" x14ac:dyDescent="0.3">
      <c r="A285" s="2"/>
      <c r="B285" s="2"/>
      <c r="C285" s="3"/>
      <c r="D285" s="3"/>
      <c r="E285" s="2"/>
      <c r="F285" s="2"/>
      <c r="G285" s="5"/>
      <c r="H285" s="5"/>
      <c r="I285" s="4"/>
      <c r="J285" s="6" t="str">
        <f t="shared" si="18"/>
        <v/>
      </c>
      <c r="K285" s="4" t="str">
        <f t="shared" ca="1" si="21"/>
        <v/>
      </c>
      <c r="L285" s="7" t="str">
        <f t="shared" ca="1" si="20"/>
        <v/>
      </c>
      <c r="M285" s="4" t="str">
        <f>IF($I285="Complete","Green",IF($H285="","Amber",IF($H285&lt;'[2]Read Me'!$B$4,"Red",IF($H285-'[2]Read Me'!$B$4&lt;=21,"Amber","Green"))))</f>
        <v>Amber</v>
      </c>
      <c r="N285" s="3"/>
      <c r="O285" t="str">
        <f>IF($I285&lt;&gt;"Complete",IF(COUNTIFS($A$4:$A284,$A285,$B$4:$B284,$B285,$I$4:$I284,"&lt;&gt;Complete")=0,$A285&amp;"|"&amp;$B285,""),"")</f>
        <v>|</v>
      </c>
      <c r="P285" t="str">
        <f ca="1">IF($K285="Yes",COUNTIFS($K$4:$K285,"Yes"),"")</f>
        <v/>
      </c>
      <c r="Q285">
        <f t="shared" ca="1" si="19"/>
        <v>0</v>
      </c>
      <c r="R285" t="str">
        <f ca="1">IF($Q285=1,SUM($Q$4:$Q285),"")</f>
        <v/>
      </c>
    </row>
    <row r="286" spans="1:18" ht="14.25" customHeight="1" x14ac:dyDescent="0.3">
      <c r="A286" s="2"/>
      <c r="B286" s="2"/>
      <c r="C286" s="3"/>
      <c r="D286" s="3"/>
      <c r="E286" s="2"/>
      <c r="F286" s="2"/>
      <c r="G286" s="5"/>
      <c r="H286" s="5"/>
      <c r="I286" s="4"/>
      <c r="J286" s="6" t="str">
        <f t="shared" si="18"/>
        <v/>
      </c>
      <c r="K286" s="4" t="str">
        <f t="shared" ca="1" si="21"/>
        <v/>
      </c>
      <c r="L286" s="7" t="str">
        <f t="shared" ca="1" si="20"/>
        <v/>
      </c>
      <c r="M286" s="4" t="str">
        <f>IF($I286="Complete","Green",IF($H286="","Amber",IF($H286&lt;'[2]Read Me'!$B$4,"Red",IF($H286-'[2]Read Me'!$B$4&lt;=21,"Amber","Green"))))</f>
        <v>Amber</v>
      </c>
      <c r="N286" s="3"/>
      <c r="O286" t="str">
        <f>IF($I286&lt;&gt;"Complete",IF(COUNTIFS($A$4:$A285,$A286,$B$4:$B285,$B286,$I$4:$I285,"&lt;&gt;Complete")=0,$A286&amp;"|"&amp;$B286,""),"")</f>
        <v>|</v>
      </c>
      <c r="P286" t="str">
        <f ca="1">IF($K286="Yes",COUNTIFS($K$4:$K286,"Yes"),"")</f>
        <v/>
      </c>
      <c r="Q286">
        <f t="shared" ca="1" si="19"/>
        <v>0</v>
      </c>
      <c r="R286" t="str">
        <f ca="1">IF($Q286=1,SUM($Q$4:$Q286),"")</f>
        <v/>
      </c>
    </row>
    <row r="287" spans="1:18" ht="14.25" customHeight="1" x14ac:dyDescent="0.3">
      <c r="A287" s="2"/>
      <c r="B287" s="2"/>
      <c r="C287" s="3"/>
      <c r="D287" s="3"/>
      <c r="E287" s="2"/>
      <c r="F287" s="2"/>
      <c r="G287" s="5"/>
      <c r="H287" s="5"/>
      <c r="I287" s="4"/>
      <c r="J287" s="6" t="str">
        <f t="shared" si="18"/>
        <v/>
      </c>
      <c r="K287" s="4" t="str">
        <f t="shared" ca="1" si="21"/>
        <v/>
      </c>
      <c r="L287" s="7" t="str">
        <f t="shared" ca="1" si="20"/>
        <v/>
      </c>
      <c r="M287" s="4" t="str">
        <f>IF($I287="Complete","Green",IF($H287="","Amber",IF($H287&lt;'[2]Read Me'!$B$4,"Red",IF($H287-'[2]Read Me'!$B$4&lt;=21,"Amber","Green"))))</f>
        <v>Amber</v>
      </c>
      <c r="N287" s="3"/>
      <c r="O287" t="str">
        <f>IF($I287&lt;&gt;"Complete",IF(COUNTIFS($A$4:$A286,$A287,$B$4:$B286,$B287,$I$4:$I286,"&lt;&gt;Complete")=0,$A287&amp;"|"&amp;$B287,""),"")</f>
        <v>|</v>
      </c>
      <c r="P287" t="str">
        <f ca="1">IF($K287="Yes",COUNTIFS($K$4:$K287,"Yes"),"")</f>
        <v/>
      </c>
      <c r="Q287">
        <f t="shared" ca="1" si="19"/>
        <v>0</v>
      </c>
      <c r="R287" t="str">
        <f ca="1">IF($Q287=1,SUM($Q$4:$Q287),"")</f>
        <v/>
      </c>
    </row>
    <row r="288" spans="1:18" ht="14.25" customHeight="1" x14ac:dyDescent="0.3">
      <c r="A288" s="2"/>
      <c r="B288" s="2"/>
      <c r="C288" s="3"/>
      <c r="D288" s="3"/>
      <c r="E288" s="2"/>
      <c r="F288" s="2"/>
      <c r="G288" s="5"/>
      <c r="H288" s="5"/>
      <c r="I288" s="4"/>
      <c r="J288" s="6" t="str">
        <f t="shared" si="18"/>
        <v/>
      </c>
      <c r="K288" s="4" t="str">
        <f t="shared" ca="1" si="21"/>
        <v/>
      </c>
      <c r="L288" s="7" t="str">
        <f t="shared" ca="1" si="20"/>
        <v/>
      </c>
      <c r="M288" s="4" t="str">
        <f>IF($I288="Complete","Green",IF($H288="","Amber",IF($H288&lt;'[2]Read Me'!$B$4,"Red",IF($H288-'[2]Read Me'!$B$4&lt;=21,"Amber","Green"))))</f>
        <v>Amber</v>
      </c>
      <c r="N288" s="3"/>
      <c r="O288" t="str">
        <f>IF($I288&lt;&gt;"Complete",IF(COUNTIFS($A$4:$A287,$A288,$B$4:$B287,$B288,$I$4:$I287,"&lt;&gt;Complete")=0,$A288&amp;"|"&amp;$B288,""),"")</f>
        <v>|</v>
      </c>
      <c r="P288" t="str">
        <f ca="1">IF($K288="Yes",COUNTIFS($K$4:$K288,"Yes"),"")</f>
        <v/>
      </c>
      <c r="Q288">
        <f t="shared" ca="1" si="19"/>
        <v>0</v>
      </c>
      <c r="R288" t="str">
        <f ca="1">IF($Q288=1,SUM($Q$4:$Q288),"")</f>
        <v/>
      </c>
    </row>
    <row r="289" spans="1:18" ht="14.25" customHeight="1" x14ac:dyDescent="0.3">
      <c r="A289" s="2"/>
      <c r="B289" s="2"/>
      <c r="C289" s="3"/>
      <c r="D289" s="3"/>
      <c r="E289" s="2"/>
      <c r="F289" s="2"/>
      <c r="G289" s="5"/>
      <c r="H289" s="5"/>
      <c r="I289" s="4"/>
      <c r="J289" s="6" t="str">
        <f t="shared" si="18"/>
        <v/>
      </c>
      <c r="K289" s="4" t="str">
        <f t="shared" ca="1" si="21"/>
        <v/>
      </c>
      <c r="L289" s="7" t="str">
        <f t="shared" ca="1" si="20"/>
        <v/>
      </c>
      <c r="M289" s="4" t="str">
        <f>IF($I289="Complete","Green",IF($H289="","Amber",IF($H289&lt;'[2]Read Me'!$B$4,"Red",IF($H289-'[2]Read Me'!$B$4&lt;=21,"Amber","Green"))))</f>
        <v>Amber</v>
      </c>
      <c r="N289" s="3"/>
      <c r="O289" t="str">
        <f>IF($I289&lt;&gt;"Complete",IF(COUNTIFS($A$4:$A288,$A289,$B$4:$B288,$B289,$I$4:$I288,"&lt;&gt;Complete")=0,$A289&amp;"|"&amp;$B289,""),"")</f>
        <v>|</v>
      </c>
      <c r="P289" t="str">
        <f ca="1">IF($K289="Yes",COUNTIFS($K$4:$K289,"Yes"),"")</f>
        <v/>
      </c>
      <c r="Q289">
        <f t="shared" ca="1" si="19"/>
        <v>0</v>
      </c>
      <c r="R289" t="str">
        <f ca="1">IF($Q289=1,SUM($Q$4:$Q289),"")</f>
        <v/>
      </c>
    </row>
    <row r="290" spans="1:18" ht="14.25" customHeight="1" x14ac:dyDescent="0.3">
      <c r="A290" s="2"/>
      <c r="B290" s="2"/>
      <c r="C290" s="3"/>
      <c r="D290" s="3"/>
      <c r="E290" s="2"/>
      <c r="F290" s="2"/>
      <c r="G290" s="5"/>
      <c r="H290" s="5"/>
      <c r="I290" s="4"/>
      <c r="J290" s="6" t="str">
        <f t="shared" si="18"/>
        <v/>
      </c>
      <c r="K290" s="4" t="str">
        <f t="shared" ca="1" si="21"/>
        <v/>
      </c>
      <c r="L290" s="7" t="str">
        <f t="shared" ca="1" si="20"/>
        <v/>
      </c>
      <c r="M290" s="4" t="str">
        <f>IF($I290="Complete","Green",IF($H290="","Amber",IF($H290&lt;'[2]Read Me'!$B$4,"Red",IF($H290-'[2]Read Me'!$B$4&lt;=21,"Amber","Green"))))</f>
        <v>Amber</v>
      </c>
      <c r="N290" s="3"/>
      <c r="O290" t="str">
        <f>IF($I290&lt;&gt;"Complete",IF(COUNTIFS($A$4:$A289,$A290,$B$4:$B289,$B290,$I$4:$I289,"&lt;&gt;Complete")=0,$A290&amp;"|"&amp;$B290,""),"")</f>
        <v>|</v>
      </c>
      <c r="P290" t="str">
        <f ca="1">IF($K290="Yes",COUNTIFS($K$4:$K290,"Yes"),"")</f>
        <v/>
      </c>
      <c r="Q290">
        <f t="shared" ca="1" si="19"/>
        <v>0</v>
      </c>
      <c r="R290" t="str">
        <f ca="1">IF($Q290=1,SUM($Q$4:$Q290),"")</f>
        <v/>
      </c>
    </row>
    <row r="291" spans="1:18" ht="14.25" customHeight="1" x14ac:dyDescent="0.3">
      <c r="A291" s="2"/>
      <c r="B291" s="2"/>
      <c r="C291" s="3"/>
      <c r="D291" s="3"/>
      <c r="E291" s="2"/>
      <c r="F291" s="2"/>
      <c r="G291" s="5"/>
      <c r="H291" s="5"/>
      <c r="I291" s="4"/>
      <c r="J291" s="6" t="str">
        <f t="shared" si="18"/>
        <v/>
      </c>
      <c r="K291" s="4" t="str">
        <f t="shared" ca="1" si="21"/>
        <v/>
      </c>
      <c r="L291" s="7" t="str">
        <f t="shared" ca="1" si="20"/>
        <v/>
      </c>
      <c r="M291" s="4" t="str">
        <f>IF($I291="Complete","Green",IF($H291="","Amber",IF($H291&lt;'[2]Read Me'!$B$4,"Red",IF($H291-'[2]Read Me'!$B$4&lt;=21,"Amber","Green"))))</f>
        <v>Amber</v>
      </c>
      <c r="N291" s="3"/>
      <c r="O291" t="str">
        <f>IF($I291&lt;&gt;"Complete",IF(COUNTIFS($A$4:$A290,$A291,$B$4:$B290,$B291,$I$4:$I290,"&lt;&gt;Complete")=0,$A291&amp;"|"&amp;$B291,""),"")</f>
        <v>|</v>
      </c>
      <c r="P291" t="str">
        <f ca="1">IF($K291="Yes",COUNTIFS($K$4:$K291,"Yes"),"")</f>
        <v/>
      </c>
      <c r="Q291">
        <f t="shared" ca="1" si="19"/>
        <v>0</v>
      </c>
      <c r="R291" t="str">
        <f ca="1">IF($Q291=1,SUM($Q$4:$Q291),"")</f>
        <v/>
      </c>
    </row>
    <row r="292" spans="1:18" ht="14.25" customHeight="1" x14ac:dyDescent="0.3">
      <c r="A292" s="2"/>
      <c r="B292" s="2"/>
      <c r="C292" s="3"/>
      <c r="D292" s="3"/>
      <c r="E292" s="2"/>
      <c r="F292" s="2"/>
      <c r="G292" s="5"/>
      <c r="H292" s="5"/>
      <c r="I292" s="4"/>
      <c r="J292" s="6" t="str">
        <f t="shared" si="18"/>
        <v/>
      </c>
      <c r="K292" s="4" t="str">
        <f t="shared" ca="1" si="21"/>
        <v/>
      </c>
      <c r="L292" s="7" t="str">
        <f t="shared" ca="1" si="20"/>
        <v/>
      </c>
      <c r="M292" s="4" t="str">
        <f>IF($I292="Complete","Green",IF($H292="","Amber",IF($H292&lt;'[2]Read Me'!$B$4,"Red",IF($H292-'[2]Read Me'!$B$4&lt;=21,"Amber","Green"))))</f>
        <v>Amber</v>
      </c>
      <c r="N292" s="3"/>
      <c r="O292" t="str">
        <f>IF($I292&lt;&gt;"Complete",IF(COUNTIFS($A$4:$A291,$A292,$B$4:$B291,$B292,$I$4:$I291,"&lt;&gt;Complete")=0,$A292&amp;"|"&amp;$B292,""),"")</f>
        <v>|</v>
      </c>
      <c r="P292" t="str">
        <f ca="1">IF($K292="Yes",COUNTIFS($K$4:$K292,"Yes"),"")</f>
        <v/>
      </c>
      <c r="Q292">
        <f t="shared" ca="1" si="19"/>
        <v>0</v>
      </c>
      <c r="R292" t="str">
        <f ca="1">IF($Q292=1,SUM($Q$4:$Q292),"")</f>
        <v/>
      </c>
    </row>
    <row r="293" spans="1:18" ht="22.5" customHeight="1" x14ac:dyDescent="0.3">
      <c r="A293" s="2"/>
      <c r="B293" s="2"/>
      <c r="C293" s="3"/>
      <c r="D293" s="3"/>
      <c r="E293" s="2"/>
      <c r="F293" s="2"/>
      <c r="G293" s="5"/>
      <c r="H293" s="5"/>
      <c r="I293" s="4"/>
      <c r="J293" s="6" t="str">
        <f t="shared" si="18"/>
        <v/>
      </c>
      <c r="K293" s="4" t="str">
        <f t="shared" ca="1" si="21"/>
        <v/>
      </c>
      <c r="L293" s="7" t="str">
        <f t="shared" ca="1" si="20"/>
        <v/>
      </c>
      <c r="M293" s="4" t="str">
        <f>IF($I293="Complete","Green",IF($H293="","Amber",IF($H293&lt;'[2]Read Me'!$B$4,"Red",IF($H293-'[2]Read Me'!$B$4&lt;=21,"Amber","Green"))))</f>
        <v>Amber</v>
      </c>
      <c r="N293" s="3"/>
      <c r="O293" t="str">
        <f>IF($I293&lt;&gt;"Complete",IF(COUNTIFS($A$4:$A292,$A293,$B$4:$B292,$B293,$I$4:$I292,"&lt;&gt;Complete")=0,$A293&amp;"|"&amp;$B293,""),"")</f>
        <v>|</v>
      </c>
      <c r="P293" t="str">
        <f ca="1">IF($K293="Yes",COUNTIFS($K$4:$K293,"Yes"),"")</f>
        <v/>
      </c>
      <c r="Q293">
        <f t="shared" ca="1" si="19"/>
        <v>0</v>
      </c>
      <c r="R293" t="str">
        <f ca="1">IF($Q293=1,SUM($Q$4:$Q293),"")</f>
        <v/>
      </c>
    </row>
    <row r="294" spans="1:18" ht="22.5" customHeight="1" x14ac:dyDescent="0.3">
      <c r="A294" s="2"/>
      <c r="B294" s="2"/>
      <c r="C294" s="3"/>
      <c r="D294" s="3"/>
      <c r="E294" s="2"/>
      <c r="F294" s="2"/>
      <c r="G294" s="5"/>
      <c r="H294" s="5"/>
      <c r="I294" s="4"/>
      <c r="J294" s="6" t="str">
        <f t="shared" si="18"/>
        <v/>
      </c>
      <c r="K294" s="4" t="str">
        <f t="shared" ca="1" si="21"/>
        <v/>
      </c>
      <c r="L294" s="7" t="str">
        <f t="shared" ca="1" si="20"/>
        <v/>
      </c>
      <c r="M294" s="4" t="str">
        <f>IF($I294="Complete","Green",IF($H294="","Amber",IF($H294&lt;'[2]Read Me'!$B$4,"Red",IF($H294-'[2]Read Me'!$B$4&lt;=21,"Amber","Green"))))</f>
        <v>Amber</v>
      </c>
      <c r="N294" s="3"/>
      <c r="O294" t="str">
        <f>IF($I294&lt;&gt;"Complete",IF(COUNTIFS($A$4:$A293,$A294,$B$4:$B293,$B294,$I$4:$I293,"&lt;&gt;Complete")=0,$A294&amp;"|"&amp;$B294,""),"")</f>
        <v>|</v>
      </c>
      <c r="P294" t="str">
        <f ca="1">IF($K294="Yes",COUNTIFS($K$4:$K294,"Yes"),"")</f>
        <v/>
      </c>
      <c r="Q294">
        <f t="shared" ca="1" si="19"/>
        <v>0</v>
      </c>
      <c r="R294" t="str">
        <f ca="1">IF($Q294=1,SUM($Q$4:$Q294),"")</f>
        <v/>
      </c>
    </row>
    <row r="295" spans="1:18" ht="22.5" customHeight="1" x14ac:dyDescent="0.3">
      <c r="A295" s="2"/>
      <c r="B295" s="2"/>
      <c r="C295" s="3"/>
      <c r="D295" s="3"/>
      <c r="E295" s="2"/>
      <c r="F295" s="2"/>
      <c r="G295" s="5"/>
      <c r="H295" s="5"/>
      <c r="I295" s="4"/>
      <c r="J295" s="6" t="str">
        <f t="shared" si="18"/>
        <v/>
      </c>
      <c r="K295" s="4" t="str">
        <f t="shared" ca="1" si="21"/>
        <v/>
      </c>
      <c r="L295" s="7" t="str">
        <f t="shared" ca="1" si="20"/>
        <v/>
      </c>
      <c r="M295" s="4" t="str">
        <f>IF($I295="Complete","Green",IF($H295="","Amber",IF($H295&lt;'[2]Read Me'!$B$4,"Red",IF($H295-'[2]Read Me'!$B$4&lt;=21,"Amber","Green"))))</f>
        <v>Amber</v>
      </c>
      <c r="N295" s="3"/>
      <c r="O295" t="str">
        <f>IF($I295&lt;&gt;"Complete",IF(COUNTIFS($A$4:$A294,$A295,$B$4:$B294,$B295,$I$4:$I294,"&lt;&gt;Complete")=0,$A295&amp;"|"&amp;$B295,""),"")</f>
        <v>|</v>
      </c>
      <c r="P295" t="str">
        <f ca="1">IF($K295="Yes",COUNTIFS($K$4:$K295,"Yes"),"")</f>
        <v/>
      </c>
      <c r="Q295">
        <f t="shared" ca="1" si="19"/>
        <v>0</v>
      </c>
      <c r="R295" t="str">
        <f ca="1">IF($Q295=1,SUM($Q$4:$Q295),"")</f>
        <v/>
      </c>
    </row>
    <row r="296" spans="1:18" ht="22.5" customHeight="1" x14ac:dyDescent="0.3">
      <c r="A296" s="2"/>
      <c r="B296" s="2"/>
      <c r="C296" s="3"/>
      <c r="D296" s="3"/>
      <c r="E296" s="2"/>
      <c r="F296" s="2"/>
      <c r="G296" s="5"/>
      <c r="H296" s="5"/>
      <c r="I296" s="4"/>
      <c r="J296" s="6" t="str">
        <f t="shared" si="18"/>
        <v/>
      </c>
      <c r="K296" s="4" t="str">
        <f t="shared" ca="1" si="21"/>
        <v/>
      </c>
      <c r="L296" s="7" t="str">
        <f t="shared" ca="1" si="20"/>
        <v/>
      </c>
      <c r="M296" s="4" t="str">
        <f>IF($I296="Complete","Green",IF($H296="","Amber",IF($H296&lt;'[2]Read Me'!$B$4,"Red",IF($H296-'[2]Read Me'!$B$4&lt;=21,"Amber","Green"))))</f>
        <v>Amber</v>
      </c>
      <c r="N296" s="3"/>
      <c r="O296" t="str">
        <f>IF($I296&lt;&gt;"Complete",IF(COUNTIFS($A$4:$A295,$A296,$B$4:$B295,$B296,$I$4:$I295,"&lt;&gt;Complete")=0,$A296&amp;"|"&amp;$B296,""),"")</f>
        <v>|</v>
      </c>
      <c r="P296" t="str">
        <f ca="1">IF($K296="Yes",COUNTIFS($K$4:$K296,"Yes"),"")</f>
        <v/>
      </c>
      <c r="Q296">
        <f t="shared" ca="1" si="19"/>
        <v>0</v>
      </c>
      <c r="R296" t="str">
        <f ca="1">IF($Q296=1,SUM($Q$4:$Q296),"")</f>
        <v/>
      </c>
    </row>
    <row r="297" spans="1:18" ht="22.5" customHeight="1" x14ac:dyDescent="0.3">
      <c r="A297" s="2"/>
      <c r="B297" s="2"/>
      <c r="C297" s="3"/>
      <c r="D297" s="3"/>
      <c r="E297" s="2"/>
      <c r="F297" s="2"/>
      <c r="G297" s="5"/>
      <c r="H297" s="5"/>
      <c r="I297" s="4"/>
      <c r="J297" s="6" t="str">
        <f t="shared" si="18"/>
        <v/>
      </c>
      <c r="K297" s="4" t="str">
        <f t="shared" ca="1" si="21"/>
        <v/>
      </c>
      <c r="L297" s="7" t="str">
        <f t="shared" ca="1" si="20"/>
        <v/>
      </c>
      <c r="M297" s="4" t="str">
        <f>IF($I297="Complete","Green",IF($H297="","Amber",IF($H297&lt;'[2]Read Me'!$B$4,"Red",IF($H297-'[2]Read Me'!$B$4&lt;=21,"Amber","Green"))))</f>
        <v>Amber</v>
      </c>
      <c r="N297" s="3"/>
      <c r="O297" t="str">
        <f>IF($I297&lt;&gt;"Complete",IF(COUNTIFS($A$4:$A296,$A297,$B$4:$B296,$B297,$I$4:$I296,"&lt;&gt;Complete")=0,$A297&amp;"|"&amp;$B297,""),"")</f>
        <v>|</v>
      </c>
      <c r="P297" t="str">
        <f ca="1">IF($K297="Yes",COUNTIFS($K$4:$K297,"Yes"),"")</f>
        <v/>
      </c>
      <c r="Q297">
        <f t="shared" ca="1" si="19"/>
        <v>0</v>
      </c>
      <c r="R297" t="str">
        <f ca="1">IF($Q297=1,SUM($Q$4:$Q297),"")</f>
        <v/>
      </c>
    </row>
    <row r="298" spans="1:18" ht="22.5" customHeight="1" x14ac:dyDescent="0.3">
      <c r="A298" s="2"/>
      <c r="B298" s="2"/>
      <c r="C298" s="3"/>
      <c r="D298" s="3"/>
      <c r="E298" s="2"/>
      <c r="F298" s="2"/>
      <c r="G298" s="5"/>
      <c r="H298" s="5"/>
      <c r="I298" s="4"/>
      <c r="J298" s="6" t="str">
        <f t="shared" si="18"/>
        <v/>
      </c>
      <c r="K298" s="4" t="str">
        <f t="shared" ca="1" si="21"/>
        <v/>
      </c>
      <c r="L298" s="7" t="str">
        <f t="shared" ca="1" si="20"/>
        <v/>
      </c>
      <c r="M298" s="4" t="str">
        <f>IF($I298="Complete","Green",IF($H298="","Amber",IF($H298&lt;'[2]Read Me'!$B$4,"Red",IF($H298-'[2]Read Me'!$B$4&lt;=21,"Amber","Green"))))</f>
        <v>Amber</v>
      </c>
      <c r="N298" s="3"/>
      <c r="O298" t="str">
        <f>IF($I298&lt;&gt;"Complete",IF(COUNTIFS($A$4:$A297,$A298,$B$4:$B297,$B298,$I$4:$I297,"&lt;&gt;Complete")=0,$A298&amp;"|"&amp;$B298,""),"")</f>
        <v>|</v>
      </c>
      <c r="P298" t="str">
        <f ca="1">IF($K298="Yes",COUNTIFS($K$4:$K298,"Yes"),"")</f>
        <v/>
      </c>
      <c r="Q298">
        <f t="shared" ca="1" si="19"/>
        <v>0</v>
      </c>
      <c r="R298" t="str">
        <f ca="1">IF($Q298=1,SUM($Q$4:$Q298),"")</f>
        <v/>
      </c>
    </row>
    <row r="299" spans="1:18" ht="22.5" customHeight="1" x14ac:dyDescent="0.3">
      <c r="A299" s="2"/>
      <c r="B299" s="2"/>
      <c r="C299" s="3"/>
      <c r="D299" s="3"/>
      <c r="E299" s="2"/>
      <c r="F299" s="2"/>
      <c r="G299" s="5"/>
      <c r="H299" s="5"/>
      <c r="I299" s="4"/>
      <c r="J299" s="6" t="str">
        <f t="shared" si="18"/>
        <v/>
      </c>
      <c r="K299" s="4" t="str">
        <f t="shared" ca="1" si="21"/>
        <v/>
      </c>
      <c r="L299" s="7" t="str">
        <f t="shared" ca="1" si="20"/>
        <v/>
      </c>
      <c r="M299" s="4" t="str">
        <f>IF($I299="Complete","Green",IF($H299="","Amber",IF($H299&lt;'[2]Read Me'!$B$4,"Red",IF($H299-'[2]Read Me'!$B$4&lt;=21,"Amber","Green"))))</f>
        <v>Amber</v>
      </c>
      <c r="N299" s="3"/>
      <c r="O299" t="str">
        <f>IF($I299&lt;&gt;"Complete",IF(COUNTIFS($A$4:$A298,$A299,$B$4:$B298,$B299,$I$4:$I298,"&lt;&gt;Complete")=0,$A299&amp;"|"&amp;$B299,""),"")</f>
        <v>|</v>
      </c>
      <c r="P299" t="str">
        <f ca="1">IF($K299="Yes",COUNTIFS($K$4:$K299,"Yes"),"")</f>
        <v/>
      </c>
      <c r="Q299">
        <f t="shared" ca="1" si="19"/>
        <v>0</v>
      </c>
      <c r="R299" t="str">
        <f ca="1">IF($Q299=1,SUM($Q$4:$Q299),"")</f>
        <v/>
      </c>
    </row>
    <row r="300" spans="1:18" ht="22.5" customHeight="1" x14ac:dyDescent="0.3">
      <c r="A300" s="2"/>
      <c r="B300" s="2"/>
      <c r="C300" s="3"/>
      <c r="D300" s="3"/>
      <c r="E300" s="2"/>
      <c r="F300" s="2"/>
      <c r="G300" s="5"/>
      <c r="H300" s="5"/>
      <c r="I300" s="4"/>
      <c r="J300" s="6" t="str">
        <f t="shared" si="18"/>
        <v/>
      </c>
      <c r="K300" s="4" t="str">
        <f t="shared" ca="1" si="21"/>
        <v/>
      </c>
      <c r="L300" s="7" t="str">
        <f t="shared" ca="1" si="20"/>
        <v/>
      </c>
      <c r="M300" s="4" t="str">
        <f>IF($I300="Complete","Green",IF($H300="","Amber",IF($H300&lt;'[2]Read Me'!$B$4,"Red",IF($H300-'[2]Read Me'!$B$4&lt;=21,"Amber","Green"))))</f>
        <v>Amber</v>
      </c>
      <c r="N300" s="3"/>
      <c r="O300" t="str">
        <f>IF($I300&lt;&gt;"Complete",IF(COUNTIFS($A$4:$A299,$A300,$B$4:$B299,$B300,$I$4:$I299,"&lt;&gt;Complete")=0,$A300&amp;"|"&amp;$B300,""),"")</f>
        <v>|</v>
      </c>
      <c r="P300" t="str">
        <f ca="1">IF($K300="Yes",COUNTIFS($K$4:$K300,"Yes"),"")</f>
        <v/>
      </c>
      <c r="Q300">
        <f t="shared" ca="1" si="19"/>
        <v>0</v>
      </c>
      <c r="R300" t="str">
        <f ca="1">IF($Q300=1,SUM($Q$4:$Q300),"")</f>
        <v/>
      </c>
    </row>
    <row r="301" spans="1:18" ht="22.5" customHeight="1" x14ac:dyDescent="0.3">
      <c r="A301" s="2"/>
      <c r="B301" s="2"/>
      <c r="C301" s="3"/>
      <c r="D301" s="3"/>
      <c r="E301" s="2"/>
      <c r="F301" s="2"/>
      <c r="G301" s="5"/>
      <c r="H301" s="5"/>
      <c r="I301" s="4"/>
      <c r="J301" s="6" t="str">
        <f t="shared" si="18"/>
        <v/>
      </c>
      <c r="K301" s="4" t="str">
        <f t="shared" ca="1" si="21"/>
        <v/>
      </c>
      <c r="L301" s="7" t="str">
        <f t="shared" ca="1" si="20"/>
        <v/>
      </c>
      <c r="M301" s="4" t="str">
        <f>IF($I301="Complete","Green",IF($H301="","Amber",IF($H301&lt;'[2]Read Me'!$B$4,"Red",IF($H301-'[2]Read Me'!$B$4&lt;=21,"Amber","Green"))))</f>
        <v>Amber</v>
      </c>
      <c r="N301" s="3"/>
      <c r="O301" t="str">
        <f>IF($I301&lt;&gt;"Complete",IF(COUNTIFS($A$4:$A300,$A301,$B$4:$B300,$B301,$I$4:$I300,"&lt;&gt;Complete")=0,$A301&amp;"|"&amp;$B301,""),"")</f>
        <v>|</v>
      </c>
      <c r="P301" t="str">
        <f ca="1">IF($K301="Yes",COUNTIFS($K$4:$K301,"Yes"),"")</f>
        <v/>
      </c>
      <c r="Q301">
        <f t="shared" ca="1" si="19"/>
        <v>0</v>
      </c>
      <c r="R301" t="str">
        <f ca="1">IF($Q301=1,SUM($Q$4:$Q301),"")</f>
        <v/>
      </c>
    </row>
    <row r="302" spans="1:18" ht="22.5" customHeight="1" x14ac:dyDescent="0.3">
      <c r="A302" s="2"/>
      <c r="B302" s="2"/>
      <c r="C302" s="3"/>
      <c r="D302" s="3"/>
      <c r="E302" s="2"/>
      <c r="F302" s="2"/>
      <c r="G302" s="5"/>
      <c r="H302" s="5"/>
      <c r="I302" s="4"/>
      <c r="J302" s="6" t="str">
        <f t="shared" si="18"/>
        <v/>
      </c>
      <c r="K302" s="4" t="str">
        <f t="shared" ca="1" si="21"/>
        <v/>
      </c>
      <c r="L302" s="7" t="str">
        <f t="shared" ca="1" si="20"/>
        <v/>
      </c>
      <c r="M302" s="4" t="str">
        <f>IF($I302="Complete","Green",IF($H302="","Amber",IF($H302&lt;'[2]Read Me'!$B$4,"Red",IF($H302-'[2]Read Me'!$B$4&lt;=21,"Amber","Green"))))</f>
        <v>Amber</v>
      </c>
      <c r="N302" s="3"/>
      <c r="O302" t="str">
        <f>IF($I302&lt;&gt;"Complete",IF(COUNTIFS($A$4:$A301,$A302,$B$4:$B301,$B302,$I$4:$I301,"&lt;&gt;Complete")=0,$A302&amp;"|"&amp;$B302,""),"")</f>
        <v>|</v>
      </c>
      <c r="P302" t="str">
        <f ca="1">IF($K302="Yes",COUNTIFS($K$4:$K302,"Yes"),"")</f>
        <v/>
      </c>
      <c r="Q302">
        <f t="shared" ca="1" si="19"/>
        <v>0</v>
      </c>
      <c r="R302" t="str">
        <f ca="1">IF($Q302=1,SUM($Q$4:$Q302),"")</f>
        <v/>
      </c>
    </row>
    <row r="303" spans="1:18" ht="22.5" customHeight="1" x14ac:dyDescent="0.3">
      <c r="A303" s="2"/>
      <c r="B303" s="2"/>
      <c r="C303" s="3"/>
      <c r="D303" s="3"/>
      <c r="E303" s="2"/>
      <c r="F303" s="2"/>
      <c r="G303" s="5"/>
      <c r="H303" s="5"/>
      <c r="I303" s="4"/>
      <c r="J303" s="6" t="str">
        <f t="shared" si="18"/>
        <v/>
      </c>
      <c r="K303" s="4" t="str">
        <f t="shared" ca="1" si="21"/>
        <v/>
      </c>
      <c r="L303" s="7" t="str">
        <f t="shared" ca="1" si="20"/>
        <v/>
      </c>
      <c r="M303" s="4" t="str">
        <f>IF($I303="Complete","Green",IF($H303="","Amber",IF($H303&lt;'[2]Read Me'!$B$4,"Red",IF($H303-'[2]Read Me'!$B$4&lt;=21,"Amber","Green"))))</f>
        <v>Amber</v>
      </c>
      <c r="N303" s="3"/>
      <c r="O303" t="str">
        <f>IF($I303&lt;&gt;"Complete",IF(COUNTIFS($A$4:$A302,$A303,$B$4:$B302,$B303,$I$4:$I302,"&lt;&gt;Complete")=0,$A303&amp;"|"&amp;$B303,""),"")</f>
        <v>|</v>
      </c>
      <c r="P303" t="str">
        <f ca="1">IF($K303="Yes",COUNTIFS($K$4:$K303,"Yes"),"")</f>
        <v/>
      </c>
      <c r="Q303">
        <f t="shared" ca="1" si="19"/>
        <v>0</v>
      </c>
      <c r="R303" t="str">
        <f ca="1">IF($Q303=1,SUM($Q$4:$Q303),"")</f>
        <v/>
      </c>
    </row>
    <row r="304" spans="1:18" ht="22.5" customHeight="1" x14ac:dyDescent="0.3">
      <c r="A304" s="2"/>
      <c r="B304" s="2"/>
      <c r="C304" s="3"/>
      <c r="D304" s="3"/>
      <c r="E304" s="2"/>
      <c r="F304" s="2"/>
      <c r="G304" s="5"/>
      <c r="H304" s="5"/>
      <c r="I304" s="4"/>
      <c r="J304" s="6" t="str">
        <f t="shared" si="18"/>
        <v/>
      </c>
      <c r="K304" s="4" t="str">
        <f t="shared" ca="1" si="21"/>
        <v/>
      </c>
      <c r="L304" s="7" t="str">
        <f t="shared" ca="1" si="20"/>
        <v/>
      </c>
      <c r="M304" s="4" t="str">
        <f>IF($I304="Complete","Green",IF($H304="","Amber",IF($H304&lt;'[2]Read Me'!$B$4,"Red",IF($H304-'[2]Read Me'!$B$4&lt;=21,"Amber","Green"))))</f>
        <v>Amber</v>
      </c>
      <c r="N304" s="3"/>
      <c r="O304" t="str">
        <f>IF($I304&lt;&gt;"Complete",IF(COUNTIFS($A$4:$A303,$A304,$B$4:$B303,$B304,$I$4:$I303,"&lt;&gt;Complete")=0,$A304&amp;"|"&amp;$B304,""),"")</f>
        <v>|</v>
      </c>
      <c r="P304" t="str">
        <f ca="1">IF($K304="Yes",COUNTIFS($K$4:$K304,"Yes"),"")</f>
        <v/>
      </c>
      <c r="Q304">
        <f t="shared" ca="1" si="19"/>
        <v>0</v>
      </c>
      <c r="R304" t="str">
        <f ca="1">IF($Q304=1,SUM($Q$4:$Q304),"")</f>
        <v/>
      </c>
    </row>
    <row r="305" spans="1:18" ht="22.5" customHeight="1" x14ac:dyDescent="0.3">
      <c r="A305" s="2"/>
      <c r="B305" s="2"/>
      <c r="C305" s="3"/>
      <c r="D305" s="3"/>
      <c r="E305" s="2"/>
      <c r="F305" s="2"/>
      <c r="G305" s="5"/>
      <c r="H305" s="5"/>
      <c r="I305" s="4"/>
      <c r="J305" s="6" t="str">
        <f t="shared" si="18"/>
        <v/>
      </c>
      <c r="K305" s="4" t="str">
        <f t="shared" ca="1" si="21"/>
        <v/>
      </c>
      <c r="L305" s="7" t="str">
        <f t="shared" ca="1" si="20"/>
        <v/>
      </c>
      <c r="M305" s="4" t="str">
        <f>IF($I305="Complete","Green",IF($H305="","Amber",IF($H305&lt;'[2]Read Me'!$B$4,"Red",IF($H305-'[2]Read Me'!$B$4&lt;=21,"Amber","Green"))))</f>
        <v>Amber</v>
      </c>
      <c r="N305" s="3"/>
      <c r="O305" t="str">
        <f>IF($I305&lt;&gt;"Complete",IF(COUNTIFS($A$4:$A304,$A305,$B$4:$B304,$B305,$I$4:$I304,"&lt;&gt;Complete")=0,$A305&amp;"|"&amp;$B305,""),"")</f>
        <v>|</v>
      </c>
      <c r="P305" t="str">
        <f ca="1">IF($K305="Yes",COUNTIFS($K$4:$K305,"Yes"),"")</f>
        <v/>
      </c>
      <c r="Q305">
        <f t="shared" ca="1" si="19"/>
        <v>0</v>
      </c>
      <c r="R305" t="str">
        <f ca="1">IF($Q305=1,SUM($Q$4:$Q305),"")</f>
        <v/>
      </c>
    </row>
    <row r="306" spans="1:18" ht="22.5" customHeight="1" x14ac:dyDescent="0.3">
      <c r="A306" s="2"/>
      <c r="B306" s="2"/>
      <c r="C306" s="3"/>
      <c r="D306" s="3"/>
      <c r="E306" s="2"/>
      <c r="F306" s="2"/>
      <c r="G306" s="5"/>
      <c r="H306" s="5"/>
      <c r="I306" s="4"/>
      <c r="J306" s="6" t="str">
        <f t="shared" si="18"/>
        <v/>
      </c>
      <c r="K306" s="4" t="str">
        <f t="shared" ca="1" si="21"/>
        <v/>
      </c>
      <c r="L306" s="7" t="str">
        <f t="shared" ca="1" si="20"/>
        <v/>
      </c>
      <c r="M306" s="4" t="str">
        <f>IF($I306="Complete","Green",IF($H306="","Amber",IF($H306&lt;'[2]Read Me'!$B$4,"Red",IF($H306-'[2]Read Me'!$B$4&lt;=21,"Amber","Green"))))</f>
        <v>Amber</v>
      </c>
      <c r="N306" s="3"/>
      <c r="O306" t="str">
        <f>IF($I306&lt;&gt;"Complete",IF(COUNTIFS($A$4:$A305,$A306,$B$4:$B305,$B306,$I$4:$I305,"&lt;&gt;Complete")=0,$A306&amp;"|"&amp;$B306,""),"")</f>
        <v>|</v>
      </c>
      <c r="P306" t="str">
        <f ca="1">IF($K306="Yes",COUNTIFS($K$4:$K306,"Yes"),"")</f>
        <v/>
      </c>
      <c r="Q306">
        <f t="shared" ca="1" si="19"/>
        <v>0</v>
      </c>
      <c r="R306" t="str">
        <f ca="1">IF($Q306=1,SUM($Q$4:$Q306),"")</f>
        <v/>
      </c>
    </row>
    <row r="307" spans="1:18" ht="22.5" customHeight="1" x14ac:dyDescent="0.3">
      <c r="A307" s="2"/>
      <c r="B307" s="2"/>
      <c r="C307" s="3"/>
      <c r="D307" s="3"/>
      <c r="E307" s="2"/>
      <c r="F307" s="2"/>
      <c r="G307" s="5"/>
      <c r="H307" s="5"/>
      <c r="I307" s="4"/>
      <c r="J307" s="6" t="str">
        <f t="shared" si="18"/>
        <v/>
      </c>
      <c r="K307" s="4" t="str">
        <f t="shared" ca="1" si="21"/>
        <v/>
      </c>
      <c r="L307" s="7" t="str">
        <f t="shared" ca="1" si="20"/>
        <v/>
      </c>
      <c r="M307" s="4" t="str">
        <f>IF($I307="Complete","Green",IF($H307="","Amber",IF($H307&lt;'[2]Read Me'!$B$4,"Red",IF($H307-'[2]Read Me'!$B$4&lt;=21,"Amber","Green"))))</f>
        <v>Amber</v>
      </c>
      <c r="N307" s="3"/>
      <c r="O307" t="str">
        <f>IF($I307&lt;&gt;"Complete",IF(COUNTIFS($A$4:$A306,$A307,$B$4:$B306,$B307,$I$4:$I306,"&lt;&gt;Complete")=0,$A307&amp;"|"&amp;$B307,""),"")</f>
        <v>|</v>
      </c>
      <c r="P307" t="str">
        <f ca="1">IF($K307="Yes",COUNTIFS($K$4:$K307,"Yes"),"")</f>
        <v/>
      </c>
      <c r="Q307">
        <f t="shared" ca="1" si="19"/>
        <v>0</v>
      </c>
      <c r="R307" t="str">
        <f ca="1">IF($Q307=1,SUM($Q$4:$Q307),"")</f>
        <v/>
      </c>
    </row>
    <row r="308" spans="1:18" ht="22.5" customHeight="1" x14ac:dyDescent="0.3">
      <c r="A308" s="2"/>
      <c r="B308" s="2"/>
      <c r="C308" s="3"/>
      <c r="D308" s="3"/>
      <c r="E308" s="2"/>
      <c r="F308" s="2"/>
      <c r="G308" s="5"/>
      <c r="H308" s="5"/>
      <c r="I308" s="4"/>
      <c r="J308" s="6" t="str">
        <f t="shared" si="18"/>
        <v/>
      </c>
      <c r="K308" s="4" t="str">
        <f t="shared" ca="1" si="21"/>
        <v/>
      </c>
      <c r="L308" s="7" t="str">
        <f t="shared" ca="1" si="20"/>
        <v/>
      </c>
      <c r="M308" s="4" t="str">
        <f>IF($I308="Complete","Green",IF($H308="","Amber",IF($H308&lt;'[2]Read Me'!$B$4,"Red",IF($H308-'[2]Read Me'!$B$4&lt;=21,"Amber","Green"))))</f>
        <v>Amber</v>
      </c>
      <c r="N308" s="3"/>
      <c r="O308" t="str">
        <f>IF($I308&lt;&gt;"Complete",IF(COUNTIFS($A$4:$A307,$A308,$B$4:$B307,$B308,$I$4:$I307,"&lt;&gt;Complete")=0,$A308&amp;"|"&amp;$B308,""),"")</f>
        <v>|</v>
      </c>
      <c r="P308" t="str">
        <f ca="1">IF($K308="Yes",COUNTIFS($K$4:$K308,"Yes"),"")</f>
        <v/>
      </c>
      <c r="Q308">
        <f t="shared" ca="1" si="19"/>
        <v>0</v>
      </c>
      <c r="R308" t="str">
        <f ca="1">IF($Q308=1,SUM($Q$4:$Q308),"")</f>
        <v/>
      </c>
    </row>
    <row r="309" spans="1:18" ht="22.5" customHeight="1" x14ac:dyDescent="0.3">
      <c r="A309" s="2"/>
      <c r="B309" s="2"/>
      <c r="C309" s="3"/>
      <c r="D309" s="3"/>
      <c r="E309" s="2"/>
      <c r="F309" s="2"/>
      <c r="G309" s="5"/>
      <c r="H309" s="5"/>
      <c r="I309" s="4"/>
      <c r="J309" s="6" t="str">
        <f t="shared" si="18"/>
        <v/>
      </c>
      <c r="K309" s="4" t="str">
        <f t="shared" ca="1" si="21"/>
        <v/>
      </c>
      <c r="L309" s="7" t="str">
        <f t="shared" ca="1" si="20"/>
        <v/>
      </c>
      <c r="M309" s="4" t="str">
        <f>IF($I309="Complete","Green",IF($H309="","Amber",IF($H309&lt;'[2]Read Me'!$B$4,"Red",IF($H309-'[2]Read Me'!$B$4&lt;=21,"Amber","Green"))))</f>
        <v>Amber</v>
      </c>
      <c r="N309" s="3"/>
      <c r="O309" t="str">
        <f>IF($I309&lt;&gt;"Complete",IF(COUNTIFS($A$4:$A308,$A309,$B$4:$B308,$B309,$I$4:$I308,"&lt;&gt;Complete")=0,$A309&amp;"|"&amp;$B309,""),"")</f>
        <v>|</v>
      </c>
      <c r="P309" t="str">
        <f ca="1">IF($K309="Yes",COUNTIFS($K$4:$K309,"Yes"),"")</f>
        <v/>
      </c>
      <c r="Q309">
        <f t="shared" ca="1" si="19"/>
        <v>0</v>
      </c>
      <c r="R309" t="str">
        <f ca="1">IF($Q309=1,SUM($Q$4:$Q309),"")</f>
        <v/>
      </c>
    </row>
    <row r="310" spans="1:18" ht="14.25" customHeight="1" x14ac:dyDescent="0.3">
      <c r="A310" s="2"/>
      <c r="B310" s="2"/>
      <c r="C310" s="3"/>
      <c r="D310" s="3"/>
      <c r="E310" s="2"/>
      <c r="F310" s="2"/>
      <c r="G310" s="5"/>
      <c r="H310" s="5"/>
      <c r="I310" s="4"/>
      <c r="J310" s="6" t="str">
        <f t="shared" si="18"/>
        <v/>
      </c>
      <c r="K310" s="4" t="str">
        <f t="shared" ca="1" si="21"/>
        <v/>
      </c>
      <c r="L310" s="7" t="str">
        <f t="shared" ca="1" si="20"/>
        <v/>
      </c>
      <c r="M310" s="4" t="str">
        <f>IF($I310="Complete","Green",IF($H310="","Amber",IF($H310&lt;'[2]Read Me'!$B$4,"Red",IF($H310-'[2]Read Me'!$B$4&lt;=21,"Amber","Green"))))</f>
        <v>Amber</v>
      </c>
      <c r="N310" s="3"/>
      <c r="O310" t="str">
        <f>IF($I310&lt;&gt;"Complete",IF(COUNTIFS($A$4:$A309,$A310,$B$4:$B309,$B310,$I$4:$I309,"&lt;&gt;Complete")=0,$A310&amp;"|"&amp;$B310,""),"")</f>
        <v>|</v>
      </c>
      <c r="P310" t="str">
        <f ca="1">IF($K310="Yes",COUNTIFS($K$4:$K310,"Yes"),"")</f>
        <v/>
      </c>
      <c r="Q310">
        <f t="shared" ca="1" si="19"/>
        <v>0</v>
      </c>
      <c r="R310" t="str">
        <f ca="1">IF($Q310=1,SUM($Q$4:$Q310),"")</f>
        <v/>
      </c>
    </row>
    <row r="311" spans="1:18" ht="14.25" customHeight="1" x14ac:dyDescent="0.3">
      <c r="A311" s="2"/>
      <c r="B311" s="2"/>
      <c r="C311" s="3"/>
      <c r="D311" s="3"/>
      <c r="E311" s="2"/>
      <c r="F311" s="2"/>
      <c r="G311" s="5"/>
      <c r="H311" s="5"/>
      <c r="I311" s="4"/>
      <c r="J311" s="6" t="str">
        <f t="shared" si="18"/>
        <v/>
      </c>
      <c r="K311" s="4" t="str">
        <f t="shared" ca="1" si="21"/>
        <v/>
      </c>
      <c r="L311" s="7" t="str">
        <f t="shared" ca="1" si="20"/>
        <v/>
      </c>
      <c r="M311" s="4" t="str">
        <f>IF($I311="Complete","Green",IF($H311="","Amber",IF($H311&lt;'[2]Read Me'!$B$4,"Red",IF($H311-'[2]Read Me'!$B$4&lt;=21,"Amber","Green"))))</f>
        <v>Amber</v>
      </c>
      <c r="N311" s="3"/>
      <c r="O311" t="str">
        <f>IF($I311&lt;&gt;"Complete",IF(COUNTIFS($A$4:$A310,$A311,$B$4:$B310,$B311,$I$4:$I310,"&lt;&gt;Complete")=0,$A311&amp;"|"&amp;$B311,""),"")</f>
        <v>|</v>
      </c>
      <c r="P311" t="str">
        <f ca="1">IF($K311="Yes",COUNTIFS($K$4:$K311,"Yes"),"")</f>
        <v/>
      </c>
      <c r="Q311">
        <f t="shared" ca="1" si="19"/>
        <v>0</v>
      </c>
      <c r="R311" t="str">
        <f ca="1">IF($Q311=1,SUM($Q$4:$Q311),"")</f>
        <v/>
      </c>
    </row>
    <row r="312" spans="1:18" ht="14.25" customHeight="1" x14ac:dyDescent="0.3">
      <c r="A312" s="2"/>
      <c r="B312" s="2"/>
      <c r="C312" s="3"/>
      <c r="D312" s="3"/>
      <c r="E312" s="2"/>
      <c r="F312" s="2"/>
      <c r="G312" s="5"/>
      <c r="H312" s="5"/>
      <c r="I312" s="4"/>
      <c r="J312" s="6" t="str">
        <f t="shared" si="18"/>
        <v/>
      </c>
      <c r="K312" s="4" t="str">
        <f t="shared" ca="1" si="21"/>
        <v/>
      </c>
      <c r="L312" s="7" t="str">
        <f t="shared" ca="1" si="20"/>
        <v/>
      </c>
      <c r="M312" s="4" t="str">
        <f>IF($I312="Complete","Green",IF($H312="","Amber",IF($H312&lt;'[2]Read Me'!$B$4,"Red",IF($H312-'[2]Read Me'!$B$4&lt;=21,"Amber","Green"))))</f>
        <v>Amber</v>
      </c>
      <c r="N312" s="3"/>
      <c r="O312" t="str">
        <f>IF($I312&lt;&gt;"Complete",IF(COUNTIFS($A$4:$A311,$A312,$B$4:$B311,$B312,$I$4:$I311,"&lt;&gt;Complete")=0,$A312&amp;"|"&amp;$B312,""),"")</f>
        <v>|</v>
      </c>
      <c r="P312" t="str">
        <f ca="1">IF($K312="Yes",COUNTIFS($K$4:$K312,"Yes"),"")</f>
        <v/>
      </c>
      <c r="Q312">
        <f t="shared" ca="1" si="19"/>
        <v>0</v>
      </c>
      <c r="R312" t="str">
        <f ca="1">IF($Q312=1,SUM($Q$4:$Q312),"")</f>
        <v/>
      </c>
    </row>
    <row r="313" spans="1:18" x14ac:dyDescent="0.3">
      <c r="G313" s="9"/>
      <c r="H313" s="9"/>
      <c r="L313" s="7" t="str">
        <f t="shared" ca="1" si="20"/>
        <v/>
      </c>
    </row>
    <row r="314" spans="1:18" x14ac:dyDescent="0.3">
      <c r="G314" s="9"/>
      <c r="H314" s="9"/>
      <c r="L314" s="7" t="str">
        <f t="shared" ca="1" si="20"/>
        <v/>
      </c>
    </row>
    <row r="315" spans="1:18" x14ac:dyDescent="0.3">
      <c r="G315" s="9"/>
      <c r="H315" s="9"/>
      <c r="L315" s="7" t="str">
        <f t="shared" ca="1" si="20"/>
        <v/>
      </c>
    </row>
    <row r="316" spans="1:18" x14ac:dyDescent="0.3">
      <c r="G316" s="9"/>
      <c r="H316" s="9"/>
      <c r="L316" s="7" t="str">
        <f t="shared" ca="1" si="20"/>
        <v/>
      </c>
    </row>
    <row r="317" spans="1:18" x14ac:dyDescent="0.3">
      <c r="G317" s="9"/>
      <c r="H317" s="9"/>
      <c r="L317" s="7" t="str">
        <f t="shared" ca="1" si="20"/>
        <v/>
      </c>
    </row>
    <row r="318" spans="1:18" x14ac:dyDescent="0.3">
      <c r="G318" s="9"/>
      <c r="H318" s="9"/>
      <c r="L318" s="7" t="str">
        <f t="shared" ca="1" si="20"/>
        <v/>
      </c>
    </row>
    <row r="319" spans="1:18" x14ac:dyDescent="0.3">
      <c r="G319" s="9"/>
      <c r="H319" s="9"/>
      <c r="L319" s="7" t="str">
        <f t="shared" ca="1" si="20"/>
        <v/>
      </c>
    </row>
    <row r="320" spans="1:18" x14ac:dyDescent="0.3">
      <c r="G320" s="9"/>
      <c r="H320" s="9"/>
      <c r="L320" s="7" t="str">
        <f t="shared" ca="1" si="20"/>
        <v/>
      </c>
    </row>
    <row r="321" spans="7:12" x14ac:dyDescent="0.3">
      <c r="G321" s="9"/>
      <c r="H321" s="9"/>
      <c r="L321" s="7" t="str">
        <f t="shared" ca="1" si="20"/>
        <v/>
      </c>
    </row>
    <row r="322" spans="7:12" x14ac:dyDescent="0.3">
      <c r="G322" s="9"/>
      <c r="H322" s="9"/>
      <c r="L322" s="7" t="str">
        <f t="shared" ca="1" si="20"/>
        <v/>
      </c>
    </row>
    <row r="323" spans="7:12" x14ac:dyDescent="0.3">
      <c r="G323" s="9"/>
      <c r="H323" s="9"/>
      <c r="L323" s="7" t="str">
        <f t="shared" ca="1" si="20"/>
        <v/>
      </c>
    </row>
    <row r="324" spans="7:12" x14ac:dyDescent="0.3">
      <c r="G324" s="9"/>
      <c r="H324" s="9"/>
      <c r="L324" s="7" t="str">
        <f t="shared" ca="1" si="20"/>
        <v/>
      </c>
    </row>
    <row r="325" spans="7:12" x14ac:dyDescent="0.3">
      <c r="G325" s="9"/>
      <c r="H325" s="9"/>
      <c r="L325" s="7" t="str">
        <f t="shared" ref="L325:L388" ca="1" si="22">IF(I325="Completed",0,IF(H325="","",H325-TODAY()))</f>
        <v/>
      </c>
    </row>
    <row r="326" spans="7:12" x14ac:dyDescent="0.3">
      <c r="G326" s="9"/>
      <c r="H326" s="9"/>
      <c r="L326" s="7" t="str">
        <f t="shared" ca="1" si="22"/>
        <v/>
      </c>
    </row>
    <row r="327" spans="7:12" x14ac:dyDescent="0.3">
      <c r="G327" s="9"/>
      <c r="H327" s="9"/>
      <c r="L327" s="7" t="str">
        <f t="shared" ca="1" si="22"/>
        <v/>
      </c>
    </row>
    <row r="328" spans="7:12" x14ac:dyDescent="0.3">
      <c r="G328" s="9"/>
      <c r="H328" s="9"/>
      <c r="L328" s="7" t="str">
        <f t="shared" ca="1" si="22"/>
        <v/>
      </c>
    </row>
    <row r="329" spans="7:12" x14ac:dyDescent="0.3">
      <c r="G329" s="9"/>
      <c r="H329" s="9"/>
      <c r="L329" s="7" t="str">
        <f t="shared" ca="1" si="22"/>
        <v/>
      </c>
    </row>
    <row r="330" spans="7:12" x14ac:dyDescent="0.3">
      <c r="G330" s="9"/>
      <c r="H330" s="9"/>
      <c r="L330" s="7" t="str">
        <f t="shared" ca="1" si="22"/>
        <v/>
      </c>
    </row>
    <row r="331" spans="7:12" x14ac:dyDescent="0.3">
      <c r="G331" s="9"/>
      <c r="H331" s="9"/>
      <c r="L331" s="7" t="str">
        <f t="shared" ca="1" si="22"/>
        <v/>
      </c>
    </row>
    <row r="332" spans="7:12" x14ac:dyDescent="0.3">
      <c r="G332" s="9"/>
      <c r="H332" s="9"/>
      <c r="L332" s="7" t="str">
        <f t="shared" ca="1" si="22"/>
        <v/>
      </c>
    </row>
    <row r="333" spans="7:12" x14ac:dyDescent="0.3">
      <c r="G333" s="9"/>
      <c r="H333" s="9"/>
      <c r="L333" s="7" t="str">
        <f t="shared" ca="1" si="22"/>
        <v/>
      </c>
    </row>
    <row r="334" spans="7:12" x14ac:dyDescent="0.3">
      <c r="G334" s="9"/>
      <c r="H334" s="9"/>
      <c r="L334" s="7" t="str">
        <f t="shared" ca="1" si="22"/>
        <v/>
      </c>
    </row>
    <row r="335" spans="7:12" x14ac:dyDescent="0.3">
      <c r="G335" s="9"/>
      <c r="H335" s="9"/>
      <c r="L335" s="7" t="str">
        <f t="shared" ca="1" si="22"/>
        <v/>
      </c>
    </row>
    <row r="336" spans="7:12" x14ac:dyDescent="0.3">
      <c r="G336" s="9"/>
      <c r="H336" s="9"/>
      <c r="L336" s="7" t="str">
        <f t="shared" ca="1" si="22"/>
        <v/>
      </c>
    </row>
    <row r="337" spans="7:12" x14ac:dyDescent="0.3">
      <c r="G337" s="9"/>
      <c r="H337" s="9"/>
      <c r="L337" s="7" t="str">
        <f t="shared" ca="1" si="22"/>
        <v/>
      </c>
    </row>
    <row r="338" spans="7:12" x14ac:dyDescent="0.3">
      <c r="G338" s="9"/>
      <c r="H338" s="9"/>
      <c r="L338" s="7" t="str">
        <f t="shared" ca="1" si="22"/>
        <v/>
      </c>
    </row>
    <row r="339" spans="7:12" x14ac:dyDescent="0.3">
      <c r="G339" s="9"/>
      <c r="H339" s="9"/>
      <c r="L339" s="7" t="str">
        <f t="shared" ca="1" si="22"/>
        <v/>
      </c>
    </row>
    <row r="340" spans="7:12" x14ac:dyDescent="0.3">
      <c r="G340" s="9"/>
      <c r="H340" s="9"/>
      <c r="L340" s="7" t="str">
        <f t="shared" ca="1" si="22"/>
        <v/>
      </c>
    </row>
    <row r="341" spans="7:12" x14ac:dyDescent="0.3">
      <c r="G341" s="9"/>
      <c r="H341" s="9"/>
      <c r="L341" s="7" t="str">
        <f t="shared" ca="1" si="22"/>
        <v/>
      </c>
    </row>
    <row r="342" spans="7:12" x14ac:dyDescent="0.3">
      <c r="G342" s="9"/>
      <c r="H342" s="9"/>
      <c r="L342" s="7" t="str">
        <f t="shared" ca="1" si="22"/>
        <v/>
      </c>
    </row>
    <row r="343" spans="7:12" x14ac:dyDescent="0.3">
      <c r="G343" s="9"/>
      <c r="H343" s="9"/>
      <c r="L343" s="7" t="str">
        <f t="shared" ca="1" si="22"/>
        <v/>
      </c>
    </row>
    <row r="344" spans="7:12" x14ac:dyDescent="0.3">
      <c r="G344" s="9"/>
      <c r="H344" s="9"/>
      <c r="L344" s="7" t="str">
        <f t="shared" ca="1" si="22"/>
        <v/>
      </c>
    </row>
    <row r="345" spans="7:12" x14ac:dyDescent="0.3">
      <c r="G345" s="9"/>
      <c r="H345" s="9"/>
      <c r="L345" s="7" t="str">
        <f t="shared" ca="1" si="22"/>
        <v/>
      </c>
    </row>
    <row r="346" spans="7:12" x14ac:dyDescent="0.3">
      <c r="G346" s="9"/>
      <c r="H346" s="9"/>
      <c r="L346" s="7" t="str">
        <f t="shared" ca="1" si="22"/>
        <v/>
      </c>
    </row>
    <row r="347" spans="7:12" x14ac:dyDescent="0.3">
      <c r="G347" s="9"/>
      <c r="H347" s="9"/>
      <c r="L347" s="7" t="str">
        <f t="shared" ca="1" si="22"/>
        <v/>
      </c>
    </row>
    <row r="348" spans="7:12" x14ac:dyDescent="0.3">
      <c r="G348" s="9"/>
      <c r="H348" s="9"/>
      <c r="L348" s="7" t="str">
        <f t="shared" ca="1" si="22"/>
        <v/>
      </c>
    </row>
    <row r="349" spans="7:12" x14ac:dyDescent="0.3">
      <c r="G349" s="9"/>
      <c r="H349" s="9"/>
      <c r="L349" s="7" t="str">
        <f t="shared" ca="1" si="22"/>
        <v/>
      </c>
    </row>
    <row r="350" spans="7:12" x14ac:dyDescent="0.3">
      <c r="G350" s="9"/>
      <c r="H350" s="9"/>
      <c r="L350" s="7" t="str">
        <f t="shared" ca="1" si="22"/>
        <v/>
      </c>
    </row>
    <row r="351" spans="7:12" x14ac:dyDescent="0.3">
      <c r="G351" s="9"/>
      <c r="H351" s="9"/>
      <c r="L351" s="7" t="str">
        <f t="shared" ca="1" si="22"/>
        <v/>
      </c>
    </row>
    <row r="352" spans="7:12" x14ac:dyDescent="0.3">
      <c r="G352" s="9"/>
      <c r="H352" s="9"/>
      <c r="L352" s="7" t="str">
        <f t="shared" ca="1" si="22"/>
        <v/>
      </c>
    </row>
    <row r="353" spans="7:12" x14ac:dyDescent="0.3">
      <c r="G353" s="9"/>
      <c r="H353" s="9"/>
      <c r="L353" s="7" t="str">
        <f t="shared" ca="1" si="22"/>
        <v/>
      </c>
    </row>
    <row r="354" spans="7:12" x14ac:dyDescent="0.3">
      <c r="G354" s="9"/>
      <c r="H354" s="9"/>
      <c r="L354" s="7" t="str">
        <f t="shared" ca="1" si="22"/>
        <v/>
      </c>
    </row>
    <row r="355" spans="7:12" x14ac:dyDescent="0.3">
      <c r="G355" s="9"/>
      <c r="H355" s="9"/>
      <c r="L355" s="7" t="str">
        <f t="shared" ca="1" si="22"/>
        <v/>
      </c>
    </row>
    <row r="356" spans="7:12" x14ac:dyDescent="0.3">
      <c r="G356" s="9"/>
      <c r="H356" s="9"/>
      <c r="L356" s="7" t="str">
        <f t="shared" ca="1" si="22"/>
        <v/>
      </c>
    </row>
    <row r="357" spans="7:12" x14ac:dyDescent="0.3">
      <c r="G357" s="9"/>
      <c r="H357" s="9"/>
      <c r="L357" s="7" t="str">
        <f t="shared" ca="1" si="22"/>
        <v/>
      </c>
    </row>
    <row r="358" spans="7:12" x14ac:dyDescent="0.3">
      <c r="G358" s="9"/>
      <c r="H358" s="9"/>
      <c r="L358" s="7" t="str">
        <f t="shared" ca="1" si="22"/>
        <v/>
      </c>
    </row>
    <row r="359" spans="7:12" x14ac:dyDescent="0.3">
      <c r="G359" s="9"/>
      <c r="H359" s="9"/>
      <c r="L359" s="7" t="str">
        <f t="shared" ca="1" si="22"/>
        <v/>
      </c>
    </row>
    <row r="360" spans="7:12" x14ac:dyDescent="0.3">
      <c r="G360" s="9"/>
      <c r="H360" s="9"/>
      <c r="L360" s="7" t="str">
        <f t="shared" ca="1" si="22"/>
        <v/>
      </c>
    </row>
    <row r="361" spans="7:12" x14ac:dyDescent="0.3">
      <c r="G361" s="9"/>
      <c r="H361" s="9"/>
      <c r="L361" s="7" t="str">
        <f t="shared" ca="1" si="22"/>
        <v/>
      </c>
    </row>
    <row r="362" spans="7:12" x14ac:dyDescent="0.3">
      <c r="G362" s="9"/>
      <c r="H362" s="9"/>
      <c r="L362" s="7" t="str">
        <f t="shared" ca="1" si="22"/>
        <v/>
      </c>
    </row>
    <row r="363" spans="7:12" x14ac:dyDescent="0.3">
      <c r="G363" s="9"/>
      <c r="H363" s="9"/>
      <c r="L363" s="7" t="str">
        <f t="shared" ca="1" si="22"/>
        <v/>
      </c>
    </row>
    <row r="364" spans="7:12" x14ac:dyDescent="0.3">
      <c r="G364" s="9"/>
      <c r="H364" s="9"/>
      <c r="L364" s="7" t="str">
        <f t="shared" ca="1" si="22"/>
        <v/>
      </c>
    </row>
    <row r="365" spans="7:12" x14ac:dyDescent="0.3">
      <c r="G365" s="9"/>
      <c r="H365" s="9"/>
      <c r="L365" s="7" t="str">
        <f t="shared" ca="1" si="22"/>
        <v/>
      </c>
    </row>
    <row r="366" spans="7:12" x14ac:dyDescent="0.3">
      <c r="G366" s="9"/>
      <c r="H366" s="9"/>
      <c r="L366" s="7" t="str">
        <f t="shared" ca="1" si="22"/>
        <v/>
      </c>
    </row>
    <row r="367" spans="7:12" x14ac:dyDescent="0.3">
      <c r="G367" s="9"/>
      <c r="H367" s="9"/>
      <c r="L367" s="7" t="str">
        <f t="shared" ca="1" si="22"/>
        <v/>
      </c>
    </row>
    <row r="368" spans="7:12" x14ac:dyDescent="0.3">
      <c r="G368" s="9"/>
      <c r="H368" s="9"/>
      <c r="L368" s="7" t="str">
        <f t="shared" ca="1" si="22"/>
        <v/>
      </c>
    </row>
    <row r="369" spans="7:12" x14ac:dyDescent="0.3">
      <c r="G369" s="9"/>
      <c r="H369" s="9"/>
      <c r="L369" s="7" t="str">
        <f t="shared" ca="1" si="22"/>
        <v/>
      </c>
    </row>
    <row r="370" spans="7:12" x14ac:dyDescent="0.3">
      <c r="G370" s="9"/>
      <c r="H370" s="9"/>
      <c r="L370" s="7" t="str">
        <f t="shared" ca="1" si="22"/>
        <v/>
      </c>
    </row>
    <row r="371" spans="7:12" x14ac:dyDescent="0.3">
      <c r="G371" s="9"/>
      <c r="H371" s="9"/>
      <c r="L371" s="7" t="str">
        <f t="shared" ca="1" si="22"/>
        <v/>
      </c>
    </row>
    <row r="372" spans="7:12" x14ac:dyDescent="0.3">
      <c r="G372" s="9"/>
      <c r="H372" s="9"/>
      <c r="L372" s="7" t="str">
        <f t="shared" ca="1" si="22"/>
        <v/>
      </c>
    </row>
    <row r="373" spans="7:12" x14ac:dyDescent="0.3">
      <c r="G373" s="9"/>
      <c r="H373" s="9"/>
      <c r="L373" s="7" t="str">
        <f t="shared" ca="1" si="22"/>
        <v/>
      </c>
    </row>
    <row r="374" spans="7:12" x14ac:dyDescent="0.3">
      <c r="G374" s="9"/>
      <c r="H374" s="9"/>
      <c r="L374" s="7" t="str">
        <f t="shared" ca="1" si="22"/>
        <v/>
      </c>
    </row>
    <row r="375" spans="7:12" x14ac:dyDescent="0.3">
      <c r="G375" s="9"/>
      <c r="H375" s="9"/>
      <c r="L375" s="7" t="str">
        <f t="shared" ca="1" si="22"/>
        <v/>
      </c>
    </row>
    <row r="376" spans="7:12" x14ac:dyDescent="0.3">
      <c r="G376" s="9"/>
      <c r="H376" s="9"/>
      <c r="L376" s="7" t="str">
        <f t="shared" ca="1" si="22"/>
        <v/>
      </c>
    </row>
    <row r="377" spans="7:12" x14ac:dyDescent="0.3">
      <c r="G377" s="9"/>
      <c r="H377" s="9"/>
      <c r="L377" s="7" t="str">
        <f t="shared" ca="1" si="22"/>
        <v/>
      </c>
    </row>
    <row r="378" spans="7:12" x14ac:dyDescent="0.3">
      <c r="G378" s="9"/>
      <c r="H378" s="9"/>
      <c r="L378" s="7" t="str">
        <f t="shared" ca="1" si="22"/>
        <v/>
      </c>
    </row>
    <row r="379" spans="7:12" x14ac:dyDescent="0.3">
      <c r="G379" s="9"/>
      <c r="H379" s="9"/>
      <c r="L379" s="7" t="str">
        <f t="shared" ca="1" si="22"/>
        <v/>
      </c>
    </row>
    <row r="380" spans="7:12" x14ac:dyDescent="0.3">
      <c r="G380" s="9"/>
      <c r="H380" s="9"/>
      <c r="L380" s="7" t="str">
        <f t="shared" ca="1" si="22"/>
        <v/>
      </c>
    </row>
    <row r="381" spans="7:12" x14ac:dyDescent="0.3">
      <c r="G381" s="9"/>
      <c r="H381" s="9"/>
      <c r="L381" s="7" t="str">
        <f t="shared" ca="1" si="22"/>
        <v/>
      </c>
    </row>
    <row r="382" spans="7:12" x14ac:dyDescent="0.3">
      <c r="G382" s="9"/>
      <c r="H382" s="9"/>
      <c r="L382" s="7" t="str">
        <f t="shared" ca="1" si="22"/>
        <v/>
      </c>
    </row>
    <row r="383" spans="7:12" x14ac:dyDescent="0.3">
      <c r="G383" s="9"/>
      <c r="H383" s="9"/>
      <c r="L383" s="7" t="str">
        <f t="shared" ca="1" si="22"/>
        <v/>
      </c>
    </row>
    <row r="384" spans="7:12" x14ac:dyDescent="0.3">
      <c r="G384" s="9"/>
      <c r="H384" s="9"/>
      <c r="L384" s="7" t="str">
        <f t="shared" ca="1" si="22"/>
        <v/>
      </c>
    </row>
    <row r="385" spans="7:12" x14ac:dyDescent="0.3">
      <c r="G385" s="9"/>
      <c r="H385" s="9"/>
      <c r="L385" s="7" t="str">
        <f t="shared" ca="1" si="22"/>
        <v/>
      </c>
    </row>
    <row r="386" spans="7:12" x14ac:dyDescent="0.3">
      <c r="G386" s="9"/>
      <c r="H386" s="9"/>
      <c r="L386" s="7" t="str">
        <f t="shared" ca="1" si="22"/>
        <v/>
      </c>
    </row>
    <row r="387" spans="7:12" x14ac:dyDescent="0.3">
      <c r="G387" s="9"/>
      <c r="H387" s="9"/>
      <c r="L387" s="7" t="str">
        <f t="shared" ca="1" si="22"/>
        <v/>
      </c>
    </row>
    <row r="388" spans="7:12" x14ac:dyDescent="0.3">
      <c r="G388" s="9"/>
      <c r="H388" s="9"/>
      <c r="L388" s="7" t="str">
        <f t="shared" ca="1" si="22"/>
        <v/>
      </c>
    </row>
    <row r="389" spans="7:12" x14ac:dyDescent="0.3">
      <c r="G389" s="9"/>
      <c r="H389" s="9"/>
      <c r="L389" s="7" t="str">
        <f t="shared" ref="L389:L452" ca="1" si="23">IF(I389="Completed",0,IF(H389="","",H389-TODAY()))</f>
        <v/>
      </c>
    </row>
    <row r="390" spans="7:12" x14ac:dyDescent="0.3">
      <c r="G390" s="9"/>
      <c r="H390" s="9"/>
      <c r="L390" s="7" t="str">
        <f t="shared" ca="1" si="23"/>
        <v/>
      </c>
    </row>
    <row r="391" spans="7:12" x14ac:dyDescent="0.3">
      <c r="G391" s="9"/>
      <c r="H391" s="9"/>
      <c r="L391" s="7" t="str">
        <f t="shared" ca="1" si="23"/>
        <v/>
      </c>
    </row>
    <row r="392" spans="7:12" x14ac:dyDescent="0.3">
      <c r="G392" s="9"/>
      <c r="H392" s="9"/>
      <c r="L392" s="7" t="str">
        <f t="shared" ca="1" si="23"/>
        <v/>
      </c>
    </row>
    <row r="393" spans="7:12" x14ac:dyDescent="0.3">
      <c r="G393" s="9"/>
      <c r="H393" s="9"/>
      <c r="L393" s="7" t="str">
        <f t="shared" ca="1" si="23"/>
        <v/>
      </c>
    </row>
    <row r="394" spans="7:12" x14ac:dyDescent="0.3">
      <c r="G394" s="9"/>
      <c r="H394" s="9"/>
      <c r="L394" s="7" t="str">
        <f t="shared" ca="1" si="23"/>
        <v/>
      </c>
    </row>
    <row r="395" spans="7:12" x14ac:dyDescent="0.3">
      <c r="G395" s="9"/>
      <c r="H395" s="9"/>
      <c r="L395" s="7" t="str">
        <f t="shared" ca="1" si="23"/>
        <v/>
      </c>
    </row>
    <row r="396" spans="7:12" x14ac:dyDescent="0.3">
      <c r="G396" s="9"/>
      <c r="H396" s="9"/>
      <c r="L396" s="7" t="str">
        <f t="shared" ca="1" si="23"/>
        <v/>
      </c>
    </row>
    <row r="397" spans="7:12" x14ac:dyDescent="0.3">
      <c r="G397" s="9"/>
      <c r="H397" s="9"/>
      <c r="L397" s="7" t="str">
        <f t="shared" ca="1" si="23"/>
        <v/>
      </c>
    </row>
    <row r="398" spans="7:12" x14ac:dyDescent="0.3">
      <c r="G398" s="9"/>
      <c r="H398" s="9"/>
      <c r="L398" s="7" t="str">
        <f t="shared" ca="1" si="23"/>
        <v/>
      </c>
    </row>
    <row r="399" spans="7:12" x14ac:dyDescent="0.3">
      <c r="G399" s="9"/>
      <c r="H399" s="9"/>
      <c r="L399" s="7" t="str">
        <f t="shared" ca="1" si="23"/>
        <v/>
      </c>
    </row>
    <row r="400" spans="7:12" x14ac:dyDescent="0.3">
      <c r="G400" s="9"/>
      <c r="H400" s="9"/>
      <c r="L400" s="7" t="str">
        <f t="shared" ca="1" si="23"/>
        <v/>
      </c>
    </row>
    <row r="401" spans="7:12" x14ac:dyDescent="0.3">
      <c r="G401" s="9"/>
      <c r="H401" s="9"/>
      <c r="L401" s="7" t="str">
        <f t="shared" ca="1" si="23"/>
        <v/>
      </c>
    </row>
    <row r="402" spans="7:12" x14ac:dyDescent="0.3">
      <c r="G402" s="9"/>
      <c r="H402" s="9"/>
      <c r="L402" s="7" t="str">
        <f t="shared" ca="1" si="23"/>
        <v/>
      </c>
    </row>
    <row r="403" spans="7:12" x14ac:dyDescent="0.3">
      <c r="G403" s="9"/>
      <c r="H403" s="9"/>
      <c r="L403" s="7" t="str">
        <f t="shared" ca="1" si="23"/>
        <v/>
      </c>
    </row>
    <row r="404" spans="7:12" x14ac:dyDescent="0.3">
      <c r="G404" s="9"/>
      <c r="H404" s="9"/>
      <c r="L404" s="7" t="str">
        <f t="shared" ca="1" si="23"/>
        <v/>
      </c>
    </row>
    <row r="405" spans="7:12" x14ac:dyDescent="0.3">
      <c r="G405" s="9"/>
      <c r="H405" s="9"/>
      <c r="L405" s="7" t="str">
        <f t="shared" ca="1" si="23"/>
        <v/>
      </c>
    </row>
    <row r="406" spans="7:12" x14ac:dyDescent="0.3">
      <c r="G406" s="9"/>
      <c r="H406" s="9"/>
      <c r="L406" s="7" t="str">
        <f t="shared" ca="1" si="23"/>
        <v/>
      </c>
    </row>
    <row r="407" spans="7:12" x14ac:dyDescent="0.3">
      <c r="G407" s="9"/>
      <c r="H407" s="9"/>
      <c r="L407" s="7" t="str">
        <f t="shared" ca="1" si="23"/>
        <v/>
      </c>
    </row>
    <row r="408" spans="7:12" x14ac:dyDescent="0.3">
      <c r="G408" s="9"/>
      <c r="H408" s="9"/>
      <c r="L408" s="7" t="str">
        <f t="shared" ca="1" si="23"/>
        <v/>
      </c>
    </row>
    <row r="409" spans="7:12" x14ac:dyDescent="0.3">
      <c r="G409" s="9"/>
      <c r="H409" s="9"/>
      <c r="L409" s="7" t="str">
        <f t="shared" ca="1" si="23"/>
        <v/>
      </c>
    </row>
    <row r="410" spans="7:12" x14ac:dyDescent="0.3">
      <c r="L410" s="7" t="str">
        <f t="shared" ca="1" si="23"/>
        <v/>
      </c>
    </row>
    <row r="411" spans="7:12" x14ac:dyDescent="0.3">
      <c r="L411" s="7" t="str">
        <f t="shared" ca="1" si="23"/>
        <v/>
      </c>
    </row>
    <row r="412" spans="7:12" x14ac:dyDescent="0.3">
      <c r="L412" s="7" t="str">
        <f t="shared" ca="1" si="23"/>
        <v/>
      </c>
    </row>
    <row r="413" spans="7:12" x14ac:dyDescent="0.3">
      <c r="L413" s="7" t="str">
        <f t="shared" ca="1" si="23"/>
        <v/>
      </c>
    </row>
    <row r="414" spans="7:12" x14ac:dyDescent="0.3">
      <c r="L414" s="7" t="str">
        <f t="shared" ca="1" si="23"/>
        <v/>
      </c>
    </row>
    <row r="415" spans="7:12" x14ac:dyDescent="0.3">
      <c r="L415" s="7" t="str">
        <f t="shared" ca="1" si="23"/>
        <v/>
      </c>
    </row>
    <row r="416" spans="7:12" x14ac:dyDescent="0.3">
      <c r="L416" s="7" t="str">
        <f t="shared" ca="1" si="23"/>
        <v/>
      </c>
    </row>
    <row r="417" spans="12:12" x14ac:dyDescent="0.3">
      <c r="L417" s="7" t="str">
        <f t="shared" ca="1" si="23"/>
        <v/>
      </c>
    </row>
    <row r="418" spans="12:12" x14ac:dyDescent="0.3">
      <c r="L418" s="7" t="str">
        <f t="shared" ca="1" si="23"/>
        <v/>
      </c>
    </row>
    <row r="419" spans="12:12" x14ac:dyDescent="0.3">
      <c r="L419" s="7" t="str">
        <f t="shared" ca="1" si="23"/>
        <v/>
      </c>
    </row>
    <row r="420" spans="12:12" x14ac:dyDescent="0.3">
      <c r="L420" s="7" t="str">
        <f t="shared" ca="1" si="23"/>
        <v/>
      </c>
    </row>
    <row r="421" spans="12:12" x14ac:dyDescent="0.3">
      <c r="L421" s="7" t="str">
        <f t="shared" ca="1" si="23"/>
        <v/>
      </c>
    </row>
    <row r="422" spans="12:12" x14ac:dyDescent="0.3">
      <c r="L422" s="7" t="str">
        <f t="shared" ca="1" si="23"/>
        <v/>
      </c>
    </row>
    <row r="423" spans="12:12" x14ac:dyDescent="0.3">
      <c r="L423" s="7" t="str">
        <f t="shared" ca="1" si="23"/>
        <v/>
      </c>
    </row>
    <row r="424" spans="12:12" x14ac:dyDescent="0.3">
      <c r="L424" s="7" t="str">
        <f t="shared" ca="1" si="23"/>
        <v/>
      </c>
    </row>
    <row r="425" spans="12:12" x14ac:dyDescent="0.3">
      <c r="L425" s="7" t="str">
        <f t="shared" ca="1" si="23"/>
        <v/>
      </c>
    </row>
    <row r="426" spans="12:12" x14ac:dyDescent="0.3">
      <c r="L426" s="7" t="str">
        <f t="shared" ca="1" si="23"/>
        <v/>
      </c>
    </row>
    <row r="427" spans="12:12" x14ac:dyDescent="0.3">
      <c r="L427" s="7" t="str">
        <f t="shared" ca="1" si="23"/>
        <v/>
      </c>
    </row>
    <row r="428" spans="12:12" x14ac:dyDescent="0.3">
      <c r="L428" s="7" t="str">
        <f t="shared" ca="1" si="23"/>
        <v/>
      </c>
    </row>
    <row r="429" spans="12:12" x14ac:dyDescent="0.3">
      <c r="L429" s="7" t="str">
        <f t="shared" ca="1" si="23"/>
        <v/>
      </c>
    </row>
    <row r="430" spans="12:12" x14ac:dyDescent="0.3">
      <c r="L430" s="7" t="str">
        <f t="shared" ca="1" si="23"/>
        <v/>
      </c>
    </row>
    <row r="431" spans="12:12" x14ac:dyDescent="0.3">
      <c r="L431" s="7" t="str">
        <f t="shared" ca="1" si="23"/>
        <v/>
      </c>
    </row>
    <row r="432" spans="12:12" x14ac:dyDescent="0.3">
      <c r="L432" s="7" t="str">
        <f t="shared" ca="1" si="23"/>
        <v/>
      </c>
    </row>
    <row r="433" spans="12:12" x14ac:dyDescent="0.3">
      <c r="L433" s="7" t="str">
        <f t="shared" ca="1" si="23"/>
        <v/>
      </c>
    </row>
    <row r="434" spans="12:12" x14ac:dyDescent="0.3">
      <c r="L434" s="7" t="str">
        <f t="shared" ca="1" si="23"/>
        <v/>
      </c>
    </row>
    <row r="435" spans="12:12" x14ac:dyDescent="0.3">
      <c r="L435" s="7" t="str">
        <f t="shared" ca="1" si="23"/>
        <v/>
      </c>
    </row>
    <row r="436" spans="12:12" x14ac:dyDescent="0.3">
      <c r="L436" s="7" t="str">
        <f t="shared" ca="1" si="23"/>
        <v/>
      </c>
    </row>
    <row r="437" spans="12:12" x14ac:dyDescent="0.3">
      <c r="L437" s="7" t="str">
        <f t="shared" ca="1" si="23"/>
        <v/>
      </c>
    </row>
    <row r="438" spans="12:12" x14ac:dyDescent="0.3">
      <c r="L438" s="7" t="str">
        <f t="shared" ca="1" si="23"/>
        <v/>
      </c>
    </row>
    <row r="439" spans="12:12" x14ac:dyDescent="0.3">
      <c r="L439" s="7" t="str">
        <f t="shared" ca="1" si="23"/>
        <v/>
      </c>
    </row>
    <row r="440" spans="12:12" x14ac:dyDescent="0.3">
      <c r="L440" s="7" t="str">
        <f t="shared" ca="1" si="23"/>
        <v/>
      </c>
    </row>
    <row r="441" spans="12:12" x14ac:dyDescent="0.3">
      <c r="L441" s="7" t="str">
        <f t="shared" ca="1" si="23"/>
        <v/>
      </c>
    </row>
    <row r="442" spans="12:12" x14ac:dyDescent="0.3">
      <c r="L442" s="7" t="str">
        <f t="shared" ca="1" si="23"/>
        <v/>
      </c>
    </row>
    <row r="443" spans="12:12" x14ac:dyDescent="0.3">
      <c r="L443" s="7" t="str">
        <f t="shared" ca="1" si="23"/>
        <v/>
      </c>
    </row>
    <row r="444" spans="12:12" x14ac:dyDescent="0.3">
      <c r="L444" s="7" t="str">
        <f t="shared" ca="1" si="23"/>
        <v/>
      </c>
    </row>
    <row r="445" spans="12:12" x14ac:dyDescent="0.3">
      <c r="L445" s="7" t="str">
        <f t="shared" ca="1" si="23"/>
        <v/>
      </c>
    </row>
    <row r="446" spans="12:12" x14ac:dyDescent="0.3">
      <c r="L446" s="7" t="str">
        <f t="shared" ca="1" si="23"/>
        <v/>
      </c>
    </row>
    <row r="447" spans="12:12" x14ac:dyDescent="0.3">
      <c r="L447" s="7" t="str">
        <f t="shared" ca="1" si="23"/>
        <v/>
      </c>
    </row>
    <row r="448" spans="12:12" x14ac:dyDescent="0.3">
      <c r="L448" s="7" t="str">
        <f t="shared" ca="1" si="23"/>
        <v/>
      </c>
    </row>
    <row r="449" spans="12:12" x14ac:dyDescent="0.3">
      <c r="L449" s="7" t="str">
        <f t="shared" ca="1" si="23"/>
        <v/>
      </c>
    </row>
    <row r="450" spans="12:12" x14ac:dyDescent="0.3">
      <c r="L450" s="7" t="str">
        <f t="shared" ca="1" si="23"/>
        <v/>
      </c>
    </row>
    <row r="451" spans="12:12" x14ac:dyDescent="0.3">
      <c r="L451" s="7" t="str">
        <f t="shared" ca="1" si="23"/>
        <v/>
      </c>
    </row>
    <row r="452" spans="12:12" x14ac:dyDescent="0.3">
      <c r="L452" s="7" t="str">
        <f t="shared" ca="1" si="23"/>
        <v/>
      </c>
    </row>
    <row r="453" spans="12:12" x14ac:dyDescent="0.3">
      <c r="L453" s="7" t="str">
        <f t="shared" ref="L453:L516" ca="1" si="24">IF(I453="Completed",0,IF(H453="","",H453-TODAY()))</f>
        <v/>
      </c>
    </row>
    <row r="454" spans="12:12" x14ac:dyDescent="0.3">
      <c r="L454" s="7" t="str">
        <f t="shared" ca="1" si="24"/>
        <v/>
      </c>
    </row>
    <row r="455" spans="12:12" x14ac:dyDescent="0.3">
      <c r="L455" s="7" t="str">
        <f t="shared" ca="1" si="24"/>
        <v/>
      </c>
    </row>
    <row r="456" spans="12:12" x14ac:dyDescent="0.3">
      <c r="L456" s="7" t="str">
        <f t="shared" ca="1" si="24"/>
        <v/>
      </c>
    </row>
    <row r="457" spans="12:12" x14ac:dyDescent="0.3">
      <c r="L457" s="7" t="str">
        <f t="shared" ca="1" si="24"/>
        <v/>
      </c>
    </row>
    <row r="458" spans="12:12" x14ac:dyDescent="0.3">
      <c r="L458" s="7" t="str">
        <f t="shared" ca="1" si="24"/>
        <v/>
      </c>
    </row>
    <row r="459" spans="12:12" x14ac:dyDescent="0.3">
      <c r="L459" s="7" t="str">
        <f t="shared" ca="1" si="24"/>
        <v/>
      </c>
    </row>
    <row r="460" spans="12:12" x14ac:dyDescent="0.3">
      <c r="L460" s="7" t="str">
        <f t="shared" ca="1" si="24"/>
        <v/>
      </c>
    </row>
    <row r="461" spans="12:12" x14ac:dyDescent="0.3">
      <c r="L461" s="7" t="str">
        <f t="shared" ca="1" si="24"/>
        <v/>
      </c>
    </row>
    <row r="462" spans="12:12" x14ac:dyDescent="0.3">
      <c r="L462" s="7" t="str">
        <f t="shared" ca="1" si="24"/>
        <v/>
      </c>
    </row>
    <row r="463" spans="12:12" x14ac:dyDescent="0.3">
      <c r="L463" s="7" t="str">
        <f t="shared" ca="1" si="24"/>
        <v/>
      </c>
    </row>
    <row r="464" spans="12:12" x14ac:dyDescent="0.3">
      <c r="L464" s="7" t="str">
        <f t="shared" ca="1" si="24"/>
        <v/>
      </c>
    </row>
    <row r="465" spans="12:12" x14ac:dyDescent="0.3">
      <c r="L465" s="7" t="str">
        <f t="shared" ca="1" si="24"/>
        <v/>
      </c>
    </row>
    <row r="466" spans="12:12" x14ac:dyDescent="0.3">
      <c r="L466" s="7" t="str">
        <f t="shared" ca="1" si="24"/>
        <v/>
      </c>
    </row>
    <row r="467" spans="12:12" x14ac:dyDescent="0.3">
      <c r="L467" s="7" t="str">
        <f t="shared" ca="1" si="24"/>
        <v/>
      </c>
    </row>
    <row r="468" spans="12:12" x14ac:dyDescent="0.3">
      <c r="L468" s="7" t="str">
        <f t="shared" ca="1" si="24"/>
        <v/>
      </c>
    </row>
    <row r="469" spans="12:12" x14ac:dyDescent="0.3">
      <c r="L469" s="7" t="str">
        <f t="shared" ca="1" si="24"/>
        <v/>
      </c>
    </row>
    <row r="470" spans="12:12" x14ac:dyDescent="0.3">
      <c r="L470" s="7" t="str">
        <f t="shared" ca="1" si="24"/>
        <v/>
      </c>
    </row>
    <row r="471" spans="12:12" x14ac:dyDescent="0.3">
      <c r="L471" s="7" t="str">
        <f t="shared" ca="1" si="24"/>
        <v/>
      </c>
    </row>
    <row r="472" spans="12:12" x14ac:dyDescent="0.3">
      <c r="L472" s="7" t="str">
        <f t="shared" ca="1" si="24"/>
        <v/>
      </c>
    </row>
    <row r="473" spans="12:12" x14ac:dyDescent="0.3">
      <c r="L473" s="7" t="str">
        <f t="shared" ca="1" si="24"/>
        <v/>
      </c>
    </row>
    <row r="474" spans="12:12" x14ac:dyDescent="0.3">
      <c r="L474" s="7" t="str">
        <f t="shared" ca="1" si="24"/>
        <v/>
      </c>
    </row>
    <row r="475" spans="12:12" x14ac:dyDescent="0.3">
      <c r="L475" s="7" t="str">
        <f t="shared" ca="1" si="24"/>
        <v/>
      </c>
    </row>
    <row r="476" spans="12:12" x14ac:dyDescent="0.3">
      <c r="L476" s="7" t="str">
        <f t="shared" ca="1" si="24"/>
        <v/>
      </c>
    </row>
    <row r="477" spans="12:12" x14ac:dyDescent="0.3">
      <c r="L477" s="7" t="str">
        <f t="shared" ca="1" si="24"/>
        <v/>
      </c>
    </row>
    <row r="478" spans="12:12" x14ac:dyDescent="0.3">
      <c r="L478" s="7" t="str">
        <f t="shared" ca="1" si="24"/>
        <v/>
      </c>
    </row>
    <row r="479" spans="12:12" x14ac:dyDescent="0.3">
      <c r="L479" s="7" t="str">
        <f t="shared" ca="1" si="24"/>
        <v/>
      </c>
    </row>
    <row r="480" spans="12:12" x14ac:dyDescent="0.3">
      <c r="L480" s="7" t="str">
        <f t="shared" ca="1" si="24"/>
        <v/>
      </c>
    </row>
    <row r="481" spans="12:12" x14ac:dyDescent="0.3">
      <c r="L481" s="7" t="str">
        <f t="shared" ca="1" si="24"/>
        <v/>
      </c>
    </row>
    <row r="482" spans="12:12" x14ac:dyDescent="0.3">
      <c r="L482" s="7" t="str">
        <f t="shared" ca="1" si="24"/>
        <v/>
      </c>
    </row>
    <row r="483" spans="12:12" x14ac:dyDescent="0.3">
      <c r="L483" s="7" t="str">
        <f t="shared" ca="1" si="24"/>
        <v/>
      </c>
    </row>
    <row r="484" spans="12:12" x14ac:dyDescent="0.3">
      <c r="L484" s="7" t="str">
        <f t="shared" ca="1" si="24"/>
        <v/>
      </c>
    </row>
    <row r="485" spans="12:12" x14ac:dyDescent="0.3">
      <c r="L485" s="7" t="str">
        <f t="shared" ca="1" si="24"/>
        <v/>
      </c>
    </row>
    <row r="486" spans="12:12" x14ac:dyDescent="0.3">
      <c r="L486" s="7" t="str">
        <f t="shared" ca="1" si="24"/>
        <v/>
      </c>
    </row>
    <row r="487" spans="12:12" x14ac:dyDescent="0.3">
      <c r="L487" s="7" t="str">
        <f t="shared" ca="1" si="24"/>
        <v/>
      </c>
    </row>
    <row r="488" spans="12:12" x14ac:dyDescent="0.3">
      <c r="L488" s="7" t="str">
        <f t="shared" ca="1" si="24"/>
        <v/>
      </c>
    </row>
    <row r="489" spans="12:12" x14ac:dyDescent="0.3">
      <c r="L489" s="7" t="str">
        <f t="shared" ca="1" si="24"/>
        <v/>
      </c>
    </row>
    <row r="490" spans="12:12" x14ac:dyDescent="0.3">
      <c r="L490" s="7" t="str">
        <f t="shared" ca="1" si="24"/>
        <v/>
      </c>
    </row>
    <row r="491" spans="12:12" x14ac:dyDescent="0.3">
      <c r="L491" s="7" t="str">
        <f t="shared" ca="1" si="24"/>
        <v/>
      </c>
    </row>
    <row r="492" spans="12:12" x14ac:dyDescent="0.3">
      <c r="L492" s="7" t="str">
        <f t="shared" ca="1" si="24"/>
        <v/>
      </c>
    </row>
    <row r="493" spans="12:12" x14ac:dyDescent="0.3">
      <c r="L493" s="7" t="str">
        <f t="shared" ca="1" si="24"/>
        <v/>
      </c>
    </row>
    <row r="494" spans="12:12" x14ac:dyDescent="0.3">
      <c r="L494" s="7" t="str">
        <f t="shared" ca="1" si="24"/>
        <v/>
      </c>
    </row>
    <row r="495" spans="12:12" x14ac:dyDescent="0.3">
      <c r="L495" s="7" t="str">
        <f t="shared" ca="1" si="24"/>
        <v/>
      </c>
    </row>
    <row r="496" spans="12:12" x14ac:dyDescent="0.3">
      <c r="L496" s="7" t="str">
        <f t="shared" ca="1" si="24"/>
        <v/>
      </c>
    </row>
    <row r="497" spans="12:12" x14ac:dyDescent="0.3">
      <c r="L497" s="7" t="str">
        <f t="shared" ca="1" si="24"/>
        <v/>
      </c>
    </row>
    <row r="498" spans="12:12" x14ac:dyDescent="0.3">
      <c r="L498" s="7" t="str">
        <f t="shared" ca="1" si="24"/>
        <v/>
      </c>
    </row>
    <row r="499" spans="12:12" x14ac:dyDescent="0.3">
      <c r="L499" s="7" t="str">
        <f t="shared" ca="1" si="24"/>
        <v/>
      </c>
    </row>
    <row r="500" spans="12:12" x14ac:dyDescent="0.3">
      <c r="L500" s="7" t="str">
        <f t="shared" ca="1" si="24"/>
        <v/>
      </c>
    </row>
    <row r="501" spans="12:12" x14ac:dyDescent="0.3">
      <c r="L501" s="7" t="str">
        <f t="shared" ca="1" si="24"/>
        <v/>
      </c>
    </row>
    <row r="502" spans="12:12" x14ac:dyDescent="0.3">
      <c r="L502" s="7" t="str">
        <f t="shared" ca="1" si="24"/>
        <v/>
      </c>
    </row>
    <row r="503" spans="12:12" x14ac:dyDescent="0.3">
      <c r="L503" s="7" t="str">
        <f t="shared" ca="1" si="24"/>
        <v/>
      </c>
    </row>
    <row r="504" spans="12:12" x14ac:dyDescent="0.3">
      <c r="L504" s="7" t="str">
        <f t="shared" ca="1" si="24"/>
        <v/>
      </c>
    </row>
    <row r="505" spans="12:12" x14ac:dyDescent="0.3">
      <c r="L505" s="7" t="str">
        <f t="shared" ca="1" si="24"/>
        <v/>
      </c>
    </row>
    <row r="506" spans="12:12" x14ac:dyDescent="0.3">
      <c r="L506" s="7" t="str">
        <f t="shared" ca="1" si="24"/>
        <v/>
      </c>
    </row>
    <row r="507" spans="12:12" x14ac:dyDescent="0.3">
      <c r="L507" s="7" t="str">
        <f t="shared" ca="1" si="24"/>
        <v/>
      </c>
    </row>
    <row r="508" spans="12:12" x14ac:dyDescent="0.3">
      <c r="L508" s="7" t="str">
        <f t="shared" ca="1" si="24"/>
        <v/>
      </c>
    </row>
    <row r="509" spans="12:12" x14ac:dyDescent="0.3">
      <c r="L509" s="7" t="str">
        <f t="shared" ca="1" si="24"/>
        <v/>
      </c>
    </row>
    <row r="510" spans="12:12" x14ac:dyDescent="0.3">
      <c r="L510" s="7" t="str">
        <f t="shared" ca="1" si="24"/>
        <v/>
      </c>
    </row>
    <row r="511" spans="12:12" x14ac:dyDescent="0.3">
      <c r="L511" s="7" t="str">
        <f t="shared" ca="1" si="24"/>
        <v/>
      </c>
    </row>
    <row r="512" spans="12:12" x14ac:dyDescent="0.3">
      <c r="L512" s="7" t="str">
        <f t="shared" ca="1" si="24"/>
        <v/>
      </c>
    </row>
    <row r="513" spans="12:12" x14ac:dyDescent="0.3">
      <c r="L513" s="7" t="str">
        <f t="shared" ca="1" si="24"/>
        <v/>
      </c>
    </row>
    <row r="514" spans="12:12" x14ac:dyDescent="0.3">
      <c r="L514" s="7" t="str">
        <f t="shared" ca="1" si="24"/>
        <v/>
      </c>
    </row>
    <row r="515" spans="12:12" x14ac:dyDescent="0.3">
      <c r="L515" s="7" t="str">
        <f t="shared" ca="1" si="24"/>
        <v/>
      </c>
    </row>
    <row r="516" spans="12:12" x14ac:dyDescent="0.3">
      <c r="L516" s="7" t="str">
        <f t="shared" ca="1" si="24"/>
        <v/>
      </c>
    </row>
    <row r="517" spans="12:12" x14ac:dyDescent="0.3">
      <c r="L517" s="7" t="str">
        <f t="shared" ref="L517:L580" ca="1" si="25">IF(I517="Completed",0,IF(H517="","",H517-TODAY()))</f>
        <v/>
      </c>
    </row>
    <row r="518" spans="12:12" x14ac:dyDescent="0.3">
      <c r="L518" s="7" t="str">
        <f t="shared" ca="1" si="25"/>
        <v/>
      </c>
    </row>
    <row r="519" spans="12:12" x14ac:dyDescent="0.3">
      <c r="L519" s="7" t="str">
        <f t="shared" ca="1" si="25"/>
        <v/>
      </c>
    </row>
    <row r="520" spans="12:12" x14ac:dyDescent="0.3">
      <c r="L520" s="7" t="str">
        <f t="shared" ca="1" si="25"/>
        <v/>
      </c>
    </row>
    <row r="521" spans="12:12" x14ac:dyDescent="0.3">
      <c r="L521" s="7" t="str">
        <f t="shared" ca="1" si="25"/>
        <v/>
      </c>
    </row>
    <row r="522" spans="12:12" x14ac:dyDescent="0.3">
      <c r="L522" s="7" t="str">
        <f t="shared" ca="1" si="25"/>
        <v/>
      </c>
    </row>
    <row r="523" spans="12:12" x14ac:dyDescent="0.3">
      <c r="L523" s="7" t="str">
        <f t="shared" ca="1" si="25"/>
        <v/>
      </c>
    </row>
    <row r="524" spans="12:12" x14ac:dyDescent="0.3">
      <c r="L524" s="7" t="str">
        <f t="shared" ca="1" si="25"/>
        <v/>
      </c>
    </row>
    <row r="525" spans="12:12" x14ac:dyDescent="0.3">
      <c r="L525" s="7" t="str">
        <f t="shared" ca="1" si="25"/>
        <v/>
      </c>
    </row>
    <row r="526" spans="12:12" x14ac:dyDescent="0.3">
      <c r="L526" s="7" t="str">
        <f t="shared" ca="1" si="25"/>
        <v/>
      </c>
    </row>
    <row r="527" spans="12:12" x14ac:dyDescent="0.3">
      <c r="L527" s="7" t="str">
        <f t="shared" ca="1" si="25"/>
        <v/>
      </c>
    </row>
    <row r="528" spans="12:12" x14ac:dyDescent="0.3">
      <c r="L528" s="7" t="str">
        <f t="shared" ca="1" si="25"/>
        <v/>
      </c>
    </row>
    <row r="529" spans="12:12" x14ac:dyDescent="0.3">
      <c r="L529" s="7" t="str">
        <f t="shared" ca="1" si="25"/>
        <v/>
      </c>
    </row>
    <row r="530" spans="12:12" x14ac:dyDescent="0.3">
      <c r="L530" s="7" t="str">
        <f t="shared" ca="1" si="25"/>
        <v/>
      </c>
    </row>
    <row r="531" spans="12:12" x14ac:dyDescent="0.3">
      <c r="L531" s="7" t="str">
        <f t="shared" ca="1" si="25"/>
        <v/>
      </c>
    </row>
    <row r="532" spans="12:12" x14ac:dyDescent="0.3">
      <c r="L532" s="7" t="str">
        <f t="shared" ca="1" si="25"/>
        <v/>
      </c>
    </row>
    <row r="533" spans="12:12" x14ac:dyDescent="0.3">
      <c r="L533" s="7" t="str">
        <f t="shared" ca="1" si="25"/>
        <v/>
      </c>
    </row>
    <row r="534" spans="12:12" x14ac:dyDescent="0.3">
      <c r="L534" s="7" t="str">
        <f t="shared" ca="1" si="25"/>
        <v/>
      </c>
    </row>
    <row r="535" spans="12:12" x14ac:dyDescent="0.3">
      <c r="L535" s="7" t="str">
        <f t="shared" ca="1" si="25"/>
        <v/>
      </c>
    </row>
    <row r="536" spans="12:12" x14ac:dyDescent="0.3">
      <c r="L536" s="7" t="str">
        <f t="shared" ca="1" si="25"/>
        <v/>
      </c>
    </row>
    <row r="537" spans="12:12" x14ac:dyDescent="0.3">
      <c r="L537" s="7" t="str">
        <f t="shared" ca="1" si="25"/>
        <v/>
      </c>
    </row>
    <row r="538" spans="12:12" x14ac:dyDescent="0.3">
      <c r="L538" s="7" t="str">
        <f t="shared" ca="1" si="25"/>
        <v/>
      </c>
    </row>
    <row r="539" spans="12:12" x14ac:dyDescent="0.3">
      <c r="L539" s="7" t="str">
        <f t="shared" ca="1" si="25"/>
        <v/>
      </c>
    </row>
    <row r="540" spans="12:12" x14ac:dyDescent="0.3">
      <c r="L540" s="7" t="str">
        <f t="shared" ca="1" si="25"/>
        <v/>
      </c>
    </row>
    <row r="541" spans="12:12" x14ac:dyDescent="0.3">
      <c r="L541" s="7" t="str">
        <f t="shared" ca="1" si="25"/>
        <v/>
      </c>
    </row>
    <row r="542" spans="12:12" x14ac:dyDescent="0.3">
      <c r="L542" s="7" t="str">
        <f t="shared" ca="1" si="25"/>
        <v/>
      </c>
    </row>
    <row r="543" spans="12:12" x14ac:dyDescent="0.3">
      <c r="L543" s="7" t="str">
        <f t="shared" ca="1" si="25"/>
        <v/>
      </c>
    </row>
    <row r="544" spans="12:12" x14ac:dyDescent="0.3">
      <c r="L544" s="7" t="str">
        <f t="shared" ca="1" si="25"/>
        <v/>
      </c>
    </row>
    <row r="545" spans="12:12" x14ac:dyDescent="0.3">
      <c r="L545" s="7" t="str">
        <f t="shared" ca="1" si="25"/>
        <v/>
      </c>
    </row>
    <row r="546" spans="12:12" x14ac:dyDescent="0.3">
      <c r="L546" s="7" t="str">
        <f t="shared" ca="1" si="25"/>
        <v/>
      </c>
    </row>
    <row r="547" spans="12:12" x14ac:dyDescent="0.3">
      <c r="L547" s="7" t="str">
        <f t="shared" ca="1" si="25"/>
        <v/>
      </c>
    </row>
    <row r="548" spans="12:12" x14ac:dyDescent="0.3">
      <c r="L548" s="7" t="str">
        <f t="shared" ca="1" si="25"/>
        <v/>
      </c>
    </row>
    <row r="549" spans="12:12" x14ac:dyDescent="0.3">
      <c r="L549" s="7" t="str">
        <f t="shared" ca="1" si="25"/>
        <v/>
      </c>
    </row>
    <row r="550" spans="12:12" x14ac:dyDescent="0.3">
      <c r="L550" s="7" t="str">
        <f t="shared" ca="1" si="25"/>
        <v/>
      </c>
    </row>
    <row r="551" spans="12:12" x14ac:dyDescent="0.3">
      <c r="L551" s="7" t="str">
        <f t="shared" ca="1" si="25"/>
        <v/>
      </c>
    </row>
    <row r="552" spans="12:12" x14ac:dyDescent="0.3">
      <c r="L552" s="7" t="str">
        <f t="shared" ca="1" si="25"/>
        <v/>
      </c>
    </row>
    <row r="553" spans="12:12" x14ac:dyDescent="0.3">
      <c r="L553" s="7" t="str">
        <f t="shared" ca="1" si="25"/>
        <v/>
      </c>
    </row>
    <row r="554" spans="12:12" x14ac:dyDescent="0.3">
      <c r="L554" s="7" t="str">
        <f t="shared" ca="1" si="25"/>
        <v/>
      </c>
    </row>
    <row r="555" spans="12:12" x14ac:dyDescent="0.3">
      <c r="L555" s="7" t="str">
        <f t="shared" ca="1" si="25"/>
        <v/>
      </c>
    </row>
    <row r="556" spans="12:12" x14ac:dyDescent="0.3">
      <c r="L556" s="7" t="str">
        <f t="shared" ca="1" si="25"/>
        <v/>
      </c>
    </row>
    <row r="557" spans="12:12" x14ac:dyDescent="0.3">
      <c r="L557" s="7" t="str">
        <f t="shared" ca="1" si="25"/>
        <v/>
      </c>
    </row>
    <row r="558" spans="12:12" x14ac:dyDescent="0.3">
      <c r="L558" s="7" t="str">
        <f t="shared" ca="1" si="25"/>
        <v/>
      </c>
    </row>
    <row r="559" spans="12:12" x14ac:dyDescent="0.3">
      <c r="L559" s="7" t="str">
        <f t="shared" ca="1" si="25"/>
        <v/>
      </c>
    </row>
    <row r="560" spans="12:12" x14ac:dyDescent="0.3">
      <c r="L560" s="7" t="str">
        <f t="shared" ca="1" si="25"/>
        <v/>
      </c>
    </row>
    <row r="561" spans="12:12" x14ac:dyDescent="0.3">
      <c r="L561" s="7" t="str">
        <f t="shared" ca="1" si="25"/>
        <v/>
      </c>
    </row>
    <row r="562" spans="12:12" x14ac:dyDescent="0.3">
      <c r="L562" s="7" t="str">
        <f t="shared" ca="1" si="25"/>
        <v/>
      </c>
    </row>
    <row r="563" spans="12:12" x14ac:dyDescent="0.3">
      <c r="L563" s="7" t="str">
        <f t="shared" ca="1" si="25"/>
        <v/>
      </c>
    </row>
    <row r="564" spans="12:12" x14ac:dyDescent="0.3">
      <c r="L564" s="7" t="str">
        <f t="shared" ca="1" si="25"/>
        <v/>
      </c>
    </row>
    <row r="565" spans="12:12" x14ac:dyDescent="0.3">
      <c r="L565" s="7" t="str">
        <f t="shared" ca="1" si="25"/>
        <v/>
      </c>
    </row>
    <row r="566" spans="12:12" x14ac:dyDescent="0.3">
      <c r="L566" s="7" t="str">
        <f t="shared" ca="1" si="25"/>
        <v/>
      </c>
    </row>
    <row r="567" spans="12:12" x14ac:dyDescent="0.3">
      <c r="L567" s="7" t="str">
        <f t="shared" ca="1" si="25"/>
        <v/>
      </c>
    </row>
    <row r="568" spans="12:12" x14ac:dyDescent="0.3">
      <c r="L568" s="7" t="str">
        <f t="shared" ca="1" si="25"/>
        <v/>
      </c>
    </row>
    <row r="569" spans="12:12" x14ac:dyDescent="0.3">
      <c r="L569" s="7" t="str">
        <f t="shared" ca="1" si="25"/>
        <v/>
      </c>
    </row>
    <row r="570" spans="12:12" x14ac:dyDescent="0.3">
      <c r="L570" s="7" t="str">
        <f t="shared" ca="1" si="25"/>
        <v/>
      </c>
    </row>
    <row r="571" spans="12:12" x14ac:dyDescent="0.3">
      <c r="L571" s="7" t="str">
        <f t="shared" ca="1" si="25"/>
        <v/>
      </c>
    </row>
    <row r="572" spans="12:12" x14ac:dyDescent="0.3">
      <c r="L572" s="7" t="str">
        <f t="shared" ca="1" si="25"/>
        <v/>
      </c>
    </row>
    <row r="573" spans="12:12" x14ac:dyDescent="0.3">
      <c r="L573" s="7" t="str">
        <f t="shared" ca="1" si="25"/>
        <v/>
      </c>
    </row>
    <row r="574" spans="12:12" x14ac:dyDescent="0.3">
      <c r="L574" s="7" t="str">
        <f t="shared" ca="1" si="25"/>
        <v/>
      </c>
    </row>
    <row r="575" spans="12:12" x14ac:dyDescent="0.3">
      <c r="L575" s="7" t="str">
        <f t="shared" ca="1" si="25"/>
        <v/>
      </c>
    </row>
    <row r="576" spans="12:12" x14ac:dyDescent="0.3">
      <c r="L576" s="7" t="str">
        <f t="shared" ca="1" si="25"/>
        <v/>
      </c>
    </row>
    <row r="577" spans="12:12" x14ac:dyDescent="0.3">
      <c r="L577" s="7" t="str">
        <f t="shared" ca="1" si="25"/>
        <v/>
      </c>
    </row>
    <row r="578" spans="12:12" x14ac:dyDescent="0.3">
      <c r="L578" s="7" t="str">
        <f t="shared" ca="1" si="25"/>
        <v/>
      </c>
    </row>
    <row r="579" spans="12:12" x14ac:dyDescent="0.3">
      <c r="L579" s="7" t="str">
        <f t="shared" ca="1" si="25"/>
        <v/>
      </c>
    </row>
    <row r="580" spans="12:12" x14ac:dyDescent="0.3">
      <c r="L580" s="7" t="str">
        <f t="shared" ca="1" si="25"/>
        <v/>
      </c>
    </row>
    <row r="581" spans="12:12" x14ac:dyDescent="0.3">
      <c r="L581" s="7" t="str">
        <f t="shared" ref="L581:L644" ca="1" si="26">IF(I581="Completed",0,IF(H581="","",H581-TODAY()))</f>
        <v/>
      </c>
    </row>
    <row r="582" spans="12:12" x14ac:dyDescent="0.3">
      <c r="L582" s="7" t="str">
        <f t="shared" ca="1" si="26"/>
        <v/>
      </c>
    </row>
    <row r="583" spans="12:12" x14ac:dyDescent="0.3">
      <c r="L583" s="7" t="str">
        <f t="shared" ca="1" si="26"/>
        <v/>
      </c>
    </row>
    <row r="584" spans="12:12" x14ac:dyDescent="0.3">
      <c r="L584" s="7" t="str">
        <f t="shared" ca="1" si="26"/>
        <v/>
      </c>
    </row>
    <row r="585" spans="12:12" x14ac:dyDescent="0.3">
      <c r="L585" s="7" t="str">
        <f t="shared" ca="1" si="26"/>
        <v/>
      </c>
    </row>
    <row r="586" spans="12:12" x14ac:dyDescent="0.3">
      <c r="L586" s="7" t="str">
        <f t="shared" ca="1" si="26"/>
        <v/>
      </c>
    </row>
    <row r="587" spans="12:12" x14ac:dyDescent="0.3">
      <c r="L587" s="7" t="str">
        <f t="shared" ca="1" si="26"/>
        <v/>
      </c>
    </row>
    <row r="588" spans="12:12" x14ac:dyDescent="0.3">
      <c r="L588" s="7" t="str">
        <f t="shared" ca="1" si="26"/>
        <v/>
      </c>
    </row>
    <row r="589" spans="12:12" x14ac:dyDescent="0.3">
      <c r="L589" s="7" t="str">
        <f t="shared" ca="1" si="26"/>
        <v/>
      </c>
    </row>
    <row r="590" spans="12:12" x14ac:dyDescent="0.3">
      <c r="L590" s="7" t="str">
        <f t="shared" ca="1" si="26"/>
        <v/>
      </c>
    </row>
    <row r="591" spans="12:12" x14ac:dyDescent="0.3">
      <c r="L591" s="7" t="str">
        <f t="shared" ca="1" si="26"/>
        <v/>
      </c>
    </row>
    <row r="592" spans="12:12" x14ac:dyDescent="0.3">
      <c r="L592" s="7" t="str">
        <f t="shared" ca="1" si="26"/>
        <v/>
      </c>
    </row>
    <row r="593" spans="12:12" x14ac:dyDescent="0.3">
      <c r="L593" s="7" t="str">
        <f t="shared" ca="1" si="26"/>
        <v/>
      </c>
    </row>
    <row r="594" spans="12:12" x14ac:dyDescent="0.3">
      <c r="L594" s="7" t="str">
        <f t="shared" ca="1" si="26"/>
        <v/>
      </c>
    </row>
    <row r="595" spans="12:12" x14ac:dyDescent="0.3">
      <c r="L595" s="7" t="str">
        <f t="shared" ca="1" si="26"/>
        <v/>
      </c>
    </row>
    <row r="596" spans="12:12" x14ac:dyDescent="0.3">
      <c r="L596" s="7" t="str">
        <f t="shared" ca="1" si="26"/>
        <v/>
      </c>
    </row>
    <row r="597" spans="12:12" x14ac:dyDescent="0.3">
      <c r="L597" s="7" t="str">
        <f t="shared" ca="1" si="26"/>
        <v/>
      </c>
    </row>
    <row r="598" spans="12:12" x14ac:dyDescent="0.3">
      <c r="L598" s="7" t="str">
        <f t="shared" ca="1" si="26"/>
        <v/>
      </c>
    </row>
    <row r="599" spans="12:12" x14ac:dyDescent="0.3">
      <c r="L599" s="7" t="str">
        <f t="shared" ca="1" si="26"/>
        <v/>
      </c>
    </row>
    <row r="600" spans="12:12" x14ac:dyDescent="0.3">
      <c r="L600" s="7" t="str">
        <f t="shared" ca="1" si="26"/>
        <v/>
      </c>
    </row>
    <row r="601" spans="12:12" x14ac:dyDescent="0.3">
      <c r="L601" s="7" t="str">
        <f t="shared" ca="1" si="26"/>
        <v/>
      </c>
    </row>
    <row r="602" spans="12:12" x14ac:dyDescent="0.3">
      <c r="L602" s="7" t="str">
        <f t="shared" ca="1" si="26"/>
        <v/>
      </c>
    </row>
    <row r="603" spans="12:12" x14ac:dyDescent="0.3">
      <c r="L603" s="7" t="str">
        <f t="shared" ca="1" si="26"/>
        <v/>
      </c>
    </row>
    <row r="604" spans="12:12" x14ac:dyDescent="0.3">
      <c r="L604" s="7" t="str">
        <f t="shared" ca="1" si="26"/>
        <v/>
      </c>
    </row>
    <row r="605" spans="12:12" x14ac:dyDescent="0.3">
      <c r="L605" s="7" t="str">
        <f t="shared" ca="1" si="26"/>
        <v/>
      </c>
    </row>
    <row r="606" spans="12:12" x14ac:dyDescent="0.3">
      <c r="L606" s="7" t="str">
        <f t="shared" ca="1" si="26"/>
        <v/>
      </c>
    </row>
    <row r="607" spans="12:12" x14ac:dyDescent="0.3">
      <c r="L607" s="7" t="str">
        <f t="shared" ca="1" si="26"/>
        <v/>
      </c>
    </row>
    <row r="608" spans="12:12" x14ac:dyDescent="0.3">
      <c r="L608" s="7" t="str">
        <f t="shared" ca="1" si="26"/>
        <v/>
      </c>
    </row>
    <row r="609" spans="12:12" x14ac:dyDescent="0.3">
      <c r="L609" s="7" t="str">
        <f t="shared" ca="1" si="26"/>
        <v/>
      </c>
    </row>
    <row r="610" spans="12:12" x14ac:dyDescent="0.3">
      <c r="L610" s="7" t="str">
        <f t="shared" ca="1" si="26"/>
        <v/>
      </c>
    </row>
    <row r="611" spans="12:12" x14ac:dyDescent="0.3">
      <c r="L611" s="7" t="str">
        <f t="shared" ca="1" si="26"/>
        <v/>
      </c>
    </row>
    <row r="612" spans="12:12" x14ac:dyDescent="0.3">
      <c r="L612" s="7" t="str">
        <f t="shared" ca="1" si="26"/>
        <v/>
      </c>
    </row>
    <row r="613" spans="12:12" x14ac:dyDescent="0.3">
      <c r="L613" s="7" t="str">
        <f t="shared" ca="1" si="26"/>
        <v/>
      </c>
    </row>
    <row r="614" spans="12:12" x14ac:dyDescent="0.3">
      <c r="L614" s="7" t="str">
        <f t="shared" ca="1" si="26"/>
        <v/>
      </c>
    </row>
    <row r="615" spans="12:12" x14ac:dyDescent="0.3">
      <c r="L615" s="7" t="str">
        <f t="shared" ca="1" si="26"/>
        <v/>
      </c>
    </row>
    <row r="616" spans="12:12" x14ac:dyDescent="0.3">
      <c r="L616" s="7" t="str">
        <f t="shared" ca="1" si="26"/>
        <v/>
      </c>
    </row>
    <row r="617" spans="12:12" x14ac:dyDescent="0.3">
      <c r="L617" s="7" t="str">
        <f t="shared" ca="1" si="26"/>
        <v/>
      </c>
    </row>
    <row r="618" spans="12:12" x14ac:dyDescent="0.3">
      <c r="L618" s="7" t="str">
        <f t="shared" ca="1" si="26"/>
        <v/>
      </c>
    </row>
    <row r="619" spans="12:12" x14ac:dyDescent="0.3">
      <c r="L619" s="7" t="str">
        <f t="shared" ca="1" si="26"/>
        <v/>
      </c>
    </row>
    <row r="620" spans="12:12" x14ac:dyDescent="0.3">
      <c r="L620" s="7" t="str">
        <f t="shared" ca="1" si="26"/>
        <v/>
      </c>
    </row>
    <row r="621" spans="12:12" x14ac:dyDescent="0.3">
      <c r="L621" s="7" t="str">
        <f t="shared" ca="1" si="26"/>
        <v/>
      </c>
    </row>
    <row r="622" spans="12:12" x14ac:dyDescent="0.3">
      <c r="L622" s="7" t="str">
        <f t="shared" ca="1" si="26"/>
        <v/>
      </c>
    </row>
    <row r="623" spans="12:12" x14ac:dyDescent="0.3">
      <c r="L623" s="7" t="str">
        <f t="shared" ca="1" si="26"/>
        <v/>
      </c>
    </row>
    <row r="624" spans="12:12" x14ac:dyDescent="0.3">
      <c r="L624" s="7" t="str">
        <f t="shared" ca="1" si="26"/>
        <v/>
      </c>
    </row>
    <row r="625" spans="12:12" x14ac:dyDescent="0.3">
      <c r="L625" s="7" t="str">
        <f t="shared" ca="1" si="26"/>
        <v/>
      </c>
    </row>
    <row r="626" spans="12:12" x14ac:dyDescent="0.3">
      <c r="L626" s="7" t="str">
        <f t="shared" ca="1" si="26"/>
        <v/>
      </c>
    </row>
    <row r="627" spans="12:12" x14ac:dyDescent="0.3">
      <c r="L627" s="7" t="str">
        <f t="shared" ca="1" si="26"/>
        <v/>
      </c>
    </row>
    <row r="628" spans="12:12" x14ac:dyDescent="0.3">
      <c r="L628" s="7" t="str">
        <f t="shared" ca="1" si="26"/>
        <v/>
      </c>
    </row>
    <row r="629" spans="12:12" x14ac:dyDescent="0.3">
      <c r="L629" s="7" t="str">
        <f t="shared" ca="1" si="26"/>
        <v/>
      </c>
    </row>
    <row r="630" spans="12:12" x14ac:dyDescent="0.3">
      <c r="L630" s="7" t="str">
        <f t="shared" ca="1" si="26"/>
        <v/>
      </c>
    </row>
    <row r="631" spans="12:12" x14ac:dyDescent="0.3">
      <c r="L631" s="7" t="str">
        <f t="shared" ca="1" si="26"/>
        <v/>
      </c>
    </row>
    <row r="632" spans="12:12" x14ac:dyDescent="0.3">
      <c r="L632" s="7" t="str">
        <f t="shared" ca="1" si="26"/>
        <v/>
      </c>
    </row>
    <row r="633" spans="12:12" x14ac:dyDescent="0.3">
      <c r="L633" s="7" t="str">
        <f t="shared" ca="1" si="26"/>
        <v/>
      </c>
    </row>
    <row r="634" spans="12:12" x14ac:dyDescent="0.3">
      <c r="L634" s="7" t="str">
        <f t="shared" ca="1" si="26"/>
        <v/>
      </c>
    </row>
    <row r="635" spans="12:12" x14ac:dyDescent="0.3">
      <c r="L635" s="7" t="str">
        <f t="shared" ca="1" si="26"/>
        <v/>
      </c>
    </row>
    <row r="636" spans="12:12" x14ac:dyDescent="0.3">
      <c r="L636" s="7" t="str">
        <f t="shared" ca="1" si="26"/>
        <v/>
      </c>
    </row>
    <row r="637" spans="12:12" x14ac:dyDescent="0.3">
      <c r="L637" s="7" t="str">
        <f t="shared" ca="1" si="26"/>
        <v/>
      </c>
    </row>
    <row r="638" spans="12:12" x14ac:dyDescent="0.3">
      <c r="L638" s="7" t="str">
        <f t="shared" ca="1" si="26"/>
        <v/>
      </c>
    </row>
    <row r="639" spans="12:12" x14ac:dyDescent="0.3">
      <c r="L639" s="7" t="str">
        <f t="shared" ca="1" si="26"/>
        <v/>
      </c>
    </row>
    <row r="640" spans="12:12" x14ac:dyDescent="0.3">
      <c r="L640" s="7" t="str">
        <f t="shared" ca="1" si="26"/>
        <v/>
      </c>
    </row>
    <row r="641" spans="12:12" x14ac:dyDescent="0.3">
      <c r="L641" s="7" t="str">
        <f t="shared" ca="1" si="26"/>
        <v/>
      </c>
    </row>
    <row r="642" spans="12:12" x14ac:dyDescent="0.3">
      <c r="L642" s="7" t="str">
        <f t="shared" ca="1" si="26"/>
        <v/>
      </c>
    </row>
    <row r="643" spans="12:12" x14ac:dyDescent="0.3">
      <c r="L643" s="7" t="str">
        <f t="shared" ca="1" si="26"/>
        <v/>
      </c>
    </row>
    <row r="644" spans="12:12" x14ac:dyDescent="0.3">
      <c r="L644" s="7" t="str">
        <f t="shared" ca="1" si="26"/>
        <v/>
      </c>
    </row>
    <row r="645" spans="12:12" x14ac:dyDescent="0.3">
      <c r="L645" s="7" t="str">
        <f t="shared" ref="L645:L708" ca="1" si="27">IF(I645="Completed",0,IF(H645="","",H645-TODAY()))</f>
        <v/>
      </c>
    </row>
    <row r="646" spans="12:12" x14ac:dyDescent="0.3">
      <c r="L646" s="7" t="str">
        <f t="shared" ca="1" si="27"/>
        <v/>
      </c>
    </row>
    <row r="647" spans="12:12" x14ac:dyDescent="0.3">
      <c r="L647" s="7" t="str">
        <f t="shared" ca="1" si="27"/>
        <v/>
      </c>
    </row>
    <row r="648" spans="12:12" x14ac:dyDescent="0.3">
      <c r="L648" s="7" t="str">
        <f t="shared" ca="1" si="27"/>
        <v/>
      </c>
    </row>
    <row r="649" spans="12:12" x14ac:dyDescent="0.3">
      <c r="L649" s="7" t="str">
        <f t="shared" ca="1" si="27"/>
        <v/>
      </c>
    </row>
    <row r="650" spans="12:12" x14ac:dyDescent="0.3">
      <c r="L650" s="7" t="str">
        <f t="shared" ca="1" si="27"/>
        <v/>
      </c>
    </row>
    <row r="651" spans="12:12" x14ac:dyDescent="0.3">
      <c r="L651" s="7" t="str">
        <f t="shared" ca="1" si="27"/>
        <v/>
      </c>
    </row>
    <row r="652" spans="12:12" x14ac:dyDescent="0.3">
      <c r="L652" s="7" t="str">
        <f t="shared" ca="1" si="27"/>
        <v/>
      </c>
    </row>
    <row r="653" spans="12:12" x14ac:dyDescent="0.3">
      <c r="L653" s="7" t="str">
        <f t="shared" ca="1" si="27"/>
        <v/>
      </c>
    </row>
    <row r="654" spans="12:12" x14ac:dyDescent="0.3">
      <c r="L654" s="7" t="str">
        <f t="shared" ca="1" si="27"/>
        <v/>
      </c>
    </row>
    <row r="655" spans="12:12" x14ac:dyDescent="0.3">
      <c r="L655" s="7" t="str">
        <f t="shared" ca="1" si="27"/>
        <v/>
      </c>
    </row>
    <row r="656" spans="12:12" x14ac:dyDescent="0.3">
      <c r="L656" s="7" t="str">
        <f t="shared" ca="1" si="27"/>
        <v/>
      </c>
    </row>
    <row r="657" spans="12:12" x14ac:dyDescent="0.3">
      <c r="L657" s="7" t="str">
        <f t="shared" ca="1" si="27"/>
        <v/>
      </c>
    </row>
    <row r="658" spans="12:12" x14ac:dyDescent="0.3">
      <c r="L658" s="7" t="str">
        <f t="shared" ca="1" si="27"/>
        <v/>
      </c>
    </row>
    <row r="659" spans="12:12" x14ac:dyDescent="0.3">
      <c r="L659" s="7" t="str">
        <f t="shared" ca="1" si="27"/>
        <v/>
      </c>
    </row>
    <row r="660" spans="12:12" x14ac:dyDescent="0.3">
      <c r="L660" s="7" t="str">
        <f t="shared" ca="1" si="27"/>
        <v/>
      </c>
    </row>
    <row r="661" spans="12:12" x14ac:dyDescent="0.3">
      <c r="L661" s="7" t="str">
        <f t="shared" ca="1" si="27"/>
        <v/>
      </c>
    </row>
    <row r="662" spans="12:12" x14ac:dyDescent="0.3">
      <c r="L662" s="7" t="str">
        <f t="shared" ca="1" si="27"/>
        <v/>
      </c>
    </row>
    <row r="663" spans="12:12" x14ac:dyDescent="0.3">
      <c r="L663" s="7" t="str">
        <f t="shared" ca="1" si="27"/>
        <v/>
      </c>
    </row>
    <row r="664" spans="12:12" x14ac:dyDescent="0.3">
      <c r="L664" s="7" t="str">
        <f t="shared" ca="1" si="27"/>
        <v/>
      </c>
    </row>
    <row r="665" spans="12:12" x14ac:dyDescent="0.3">
      <c r="L665" s="7" t="str">
        <f t="shared" ca="1" si="27"/>
        <v/>
      </c>
    </row>
    <row r="666" spans="12:12" x14ac:dyDescent="0.3">
      <c r="L666" s="7" t="str">
        <f t="shared" ca="1" si="27"/>
        <v/>
      </c>
    </row>
    <row r="667" spans="12:12" x14ac:dyDescent="0.3">
      <c r="L667" s="7" t="str">
        <f t="shared" ca="1" si="27"/>
        <v/>
      </c>
    </row>
    <row r="668" spans="12:12" x14ac:dyDescent="0.3">
      <c r="L668" s="7" t="str">
        <f t="shared" ca="1" si="27"/>
        <v/>
      </c>
    </row>
    <row r="669" spans="12:12" x14ac:dyDescent="0.3">
      <c r="L669" s="7" t="str">
        <f t="shared" ca="1" si="27"/>
        <v/>
      </c>
    </row>
    <row r="670" spans="12:12" x14ac:dyDescent="0.3">
      <c r="L670" s="7" t="str">
        <f t="shared" ca="1" si="27"/>
        <v/>
      </c>
    </row>
    <row r="671" spans="12:12" x14ac:dyDescent="0.3">
      <c r="L671" s="7" t="str">
        <f t="shared" ca="1" si="27"/>
        <v/>
      </c>
    </row>
    <row r="672" spans="12:12" x14ac:dyDescent="0.3">
      <c r="L672" s="7" t="str">
        <f t="shared" ca="1" si="27"/>
        <v/>
      </c>
    </row>
    <row r="673" spans="12:12" x14ac:dyDescent="0.3">
      <c r="L673" s="7" t="str">
        <f t="shared" ca="1" si="27"/>
        <v/>
      </c>
    </row>
    <row r="674" spans="12:12" x14ac:dyDescent="0.3">
      <c r="L674" s="7" t="str">
        <f t="shared" ca="1" si="27"/>
        <v/>
      </c>
    </row>
    <row r="675" spans="12:12" x14ac:dyDescent="0.3">
      <c r="L675" s="7" t="str">
        <f t="shared" ca="1" si="27"/>
        <v/>
      </c>
    </row>
    <row r="676" spans="12:12" x14ac:dyDescent="0.3">
      <c r="L676" s="7" t="str">
        <f t="shared" ca="1" si="27"/>
        <v/>
      </c>
    </row>
    <row r="677" spans="12:12" x14ac:dyDescent="0.3">
      <c r="L677" s="7" t="str">
        <f t="shared" ca="1" si="27"/>
        <v/>
      </c>
    </row>
    <row r="678" spans="12:12" x14ac:dyDescent="0.3">
      <c r="L678" s="7" t="str">
        <f t="shared" ca="1" si="27"/>
        <v/>
      </c>
    </row>
    <row r="679" spans="12:12" x14ac:dyDescent="0.3">
      <c r="L679" s="7" t="str">
        <f t="shared" ca="1" si="27"/>
        <v/>
      </c>
    </row>
    <row r="680" spans="12:12" x14ac:dyDescent="0.3">
      <c r="L680" s="7" t="str">
        <f t="shared" ca="1" si="27"/>
        <v/>
      </c>
    </row>
    <row r="681" spans="12:12" x14ac:dyDescent="0.3">
      <c r="L681" s="7" t="str">
        <f t="shared" ca="1" si="27"/>
        <v/>
      </c>
    </row>
    <row r="682" spans="12:12" x14ac:dyDescent="0.3">
      <c r="L682" s="7" t="str">
        <f t="shared" ca="1" si="27"/>
        <v/>
      </c>
    </row>
    <row r="683" spans="12:12" x14ac:dyDescent="0.3">
      <c r="L683" s="7" t="str">
        <f t="shared" ca="1" si="27"/>
        <v/>
      </c>
    </row>
    <row r="684" spans="12:12" x14ac:dyDescent="0.3">
      <c r="L684" s="7" t="str">
        <f t="shared" ca="1" si="27"/>
        <v/>
      </c>
    </row>
    <row r="685" spans="12:12" x14ac:dyDescent="0.3">
      <c r="L685" s="7" t="str">
        <f t="shared" ca="1" si="27"/>
        <v/>
      </c>
    </row>
    <row r="686" spans="12:12" x14ac:dyDescent="0.3">
      <c r="L686" s="7" t="str">
        <f t="shared" ca="1" si="27"/>
        <v/>
      </c>
    </row>
    <row r="687" spans="12:12" x14ac:dyDescent="0.3">
      <c r="L687" s="7" t="str">
        <f t="shared" ca="1" si="27"/>
        <v/>
      </c>
    </row>
    <row r="688" spans="12:12" x14ac:dyDescent="0.3">
      <c r="L688" s="7" t="str">
        <f t="shared" ca="1" si="27"/>
        <v/>
      </c>
    </row>
    <row r="689" spans="12:12" x14ac:dyDescent="0.3">
      <c r="L689" s="7" t="str">
        <f t="shared" ca="1" si="27"/>
        <v/>
      </c>
    </row>
    <row r="690" spans="12:12" x14ac:dyDescent="0.3">
      <c r="L690" s="7" t="str">
        <f t="shared" ca="1" si="27"/>
        <v/>
      </c>
    </row>
    <row r="691" spans="12:12" x14ac:dyDescent="0.3">
      <c r="L691" s="7" t="str">
        <f t="shared" ca="1" si="27"/>
        <v/>
      </c>
    </row>
    <row r="692" spans="12:12" x14ac:dyDescent="0.3">
      <c r="L692" s="7" t="str">
        <f t="shared" ca="1" si="27"/>
        <v/>
      </c>
    </row>
    <row r="693" spans="12:12" x14ac:dyDescent="0.3">
      <c r="L693" s="7" t="str">
        <f t="shared" ca="1" si="27"/>
        <v/>
      </c>
    </row>
    <row r="694" spans="12:12" x14ac:dyDescent="0.3">
      <c r="L694" s="7" t="str">
        <f t="shared" ca="1" si="27"/>
        <v/>
      </c>
    </row>
    <row r="695" spans="12:12" x14ac:dyDescent="0.3">
      <c r="L695" s="7" t="str">
        <f t="shared" ca="1" si="27"/>
        <v/>
      </c>
    </row>
    <row r="696" spans="12:12" x14ac:dyDescent="0.3">
      <c r="L696" s="7" t="str">
        <f t="shared" ca="1" si="27"/>
        <v/>
      </c>
    </row>
    <row r="697" spans="12:12" x14ac:dyDescent="0.3">
      <c r="L697" s="7" t="str">
        <f t="shared" ca="1" si="27"/>
        <v/>
      </c>
    </row>
    <row r="698" spans="12:12" x14ac:dyDescent="0.3">
      <c r="L698" s="7" t="str">
        <f t="shared" ca="1" si="27"/>
        <v/>
      </c>
    </row>
    <row r="699" spans="12:12" x14ac:dyDescent="0.3">
      <c r="L699" s="7" t="str">
        <f t="shared" ca="1" si="27"/>
        <v/>
      </c>
    </row>
    <row r="700" spans="12:12" x14ac:dyDescent="0.3">
      <c r="L700" s="7" t="str">
        <f t="shared" ca="1" si="27"/>
        <v/>
      </c>
    </row>
    <row r="701" spans="12:12" x14ac:dyDescent="0.3">
      <c r="L701" s="7" t="str">
        <f t="shared" ca="1" si="27"/>
        <v/>
      </c>
    </row>
    <row r="702" spans="12:12" x14ac:dyDescent="0.3">
      <c r="L702" s="7" t="str">
        <f t="shared" ca="1" si="27"/>
        <v/>
      </c>
    </row>
    <row r="703" spans="12:12" x14ac:dyDescent="0.3">
      <c r="L703" s="7" t="str">
        <f t="shared" ca="1" si="27"/>
        <v/>
      </c>
    </row>
    <row r="704" spans="12:12" x14ac:dyDescent="0.3">
      <c r="L704" s="7" t="str">
        <f t="shared" ca="1" si="27"/>
        <v/>
      </c>
    </row>
    <row r="705" spans="12:12" x14ac:dyDescent="0.3">
      <c r="L705" s="7" t="str">
        <f t="shared" ca="1" si="27"/>
        <v/>
      </c>
    </row>
    <row r="706" spans="12:12" x14ac:dyDescent="0.3">
      <c r="L706" s="7" t="str">
        <f t="shared" ca="1" si="27"/>
        <v/>
      </c>
    </row>
    <row r="707" spans="12:12" x14ac:dyDescent="0.3">
      <c r="L707" s="7" t="str">
        <f t="shared" ca="1" si="27"/>
        <v/>
      </c>
    </row>
    <row r="708" spans="12:12" x14ac:dyDescent="0.3">
      <c r="L708" s="7" t="str">
        <f t="shared" ca="1" si="27"/>
        <v/>
      </c>
    </row>
    <row r="709" spans="12:12" x14ac:dyDescent="0.3">
      <c r="L709" s="7" t="str">
        <f t="shared" ref="L709:L772" ca="1" si="28">IF(I709="Completed",0,IF(H709="","",H709-TODAY()))</f>
        <v/>
      </c>
    </row>
    <row r="710" spans="12:12" x14ac:dyDescent="0.3">
      <c r="L710" s="7" t="str">
        <f t="shared" ca="1" si="28"/>
        <v/>
      </c>
    </row>
    <row r="711" spans="12:12" x14ac:dyDescent="0.3">
      <c r="L711" s="7" t="str">
        <f t="shared" ca="1" si="28"/>
        <v/>
      </c>
    </row>
    <row r="712" spans="12:12" x14ac:dyDescent="0.3">
      <c r="L712" s="7" t="str">
        <f t="shared" ca="1" si="28"/>
        <v/>
      </c>
    </row>
    <row r="713" spans="12:12" x14ac:dyDescent="0.3">
      <c r="L713" s="7" t="str">
        <f t="shared" ca="1" si="28"/>
        <v/>
      </c>
    </row>
    <row r="714" spans="12:12" x14ac:dyDescent="0.3">
      <c r="L714" s="7" t="str">
        <f t="shared" ca="1" si="28"/>
        <v/>
      </c>
    </row>
    <row r="715" spans="12:12" x14ac:dyDescent="0.3">
      <c r="L715" s="7" t="str">
        <f t="shared" ca="1" si="28"/>
        <v/>
      </c>
    </row>
    <row r="716" spans="12:12" x14ac:dyDescent="0.3">
      <c r="L716" s="7" t="str">
        <f t="shared" ca="1" si="28"/>
        <v/>
      </c>
    </row>
    <row r="717" spans="12:12" x14ac:dyDescent="0.3">
      <c r="L717" s="7" t="str">
        <f t="shared" ca="1" si="28"/>
        <v/>
      </c>
    </row>
    <row r="718" spans="12:12" x14ac:dyDescent="0.3">
      <c r="L718" s="7" t="str">
        <f t="shared" ca="1" si="28"/>
        <v/>
      </c>
    </row>
    <row r="719" spans="12:12" x14ac:dyDescent="0.3">
      <c r="L719" s="7" t="str">
        <f t="shared" ca="1" si="28"/>
        <v/>
      </c>
    </row>
    <row r="720" spans="12:12" x14ac:dyDescent="0.3">
      <c r="L720" s="7" t="str">
        <f t="shared" ca="1" si="28"/>
        <v/>
      </c>
    </row>
    <row r="721" spans="12:12" x14ac:dyDescent="0.3">
      <c r="L721" s="7" t="str">
        <f t="shared" ca="1" si="28"/>
        <v/>
      </c>
    </row>
    <row r="722" spans="12:12" x14ac:dyDescent="0.3">
      <c r="L722" s="7" t="str">
        <f t="shared" ca="1" si="28"/>
        <v/>
      </c>
    </row>
    <row r="723" spans="12:12" x14ac:dyDescent="0.3">
      <c r="L723" s="7" t="str">
        <f t="shared" ca="1" si="28"/>
        <v/>
      </c>
    </row>
    <row r="724" spans="12:12" x14ac:dyDescent="0.3">
      <c r="L724" s="7" t="str">
        <f t="shared" ca="1" si="28"/>
        <v/>
      </c>
    </row>
    <row r="725" spans="12:12" x14ac:dyDescent="0.3">
      <c r="L725" s="7" t="str">
        <f t="shared" ca="1" si="28"/>
        <v/>
      </c>
    </row>
    <row r="726" spans="12:12" x14ac:dyDescent="0.3">
      <c r="L726" s="7" t="str">
        <f t="shared" ca="1" si="28"/>
        <v/>
      </c>
    </row>
    <row r="727" spans="12:12" x14ac:dyDescent="0.3">
      <c r="L727" s="7" t="str">
        <f t="shared" ca="1" si="28"/>
        <v/>
      </c>
    </row>
    <row r="728" spans="12:12" x14ac:dyDescent="0.3">
      <c r="L728" s="7" t="str">
        <f t="shared" ca="1" si="28"/>
        <v/>
      </c>
    </row>
    <row r="729" spans="12:12" x14ac:dyDescent="0.3">
      <c r="L729" s="7" t="str">
        <f t="shared" ca="1" si="28"/>
        <v/>
      </c>
    </row>
    <row r="730" spans="12:12" x14ac:dyDescent="0.3">
      <c r="L730" s="7" t="str">
        <f t="shared" ca="1" si="28"/>
        <v/>
      </c>
    </row>
    <row r="731" spans="12:12" x14ac:dyDescent="0.3">
      <c r="L731" s="7" t="str">
        <f t="shared" ca="1" si="28"/>
        <v/>
      </c>
    </row>
    <row r="732" spans="12:12" x14ac:dyDescent="0.3">
      <c r="L732" s="7" t="str">
        <f t="shared" ca="1" si="28"/>
        <v/>
      </c>
    </row>
    <row r="733" spans="12:12" x14ac:dyDescent="0.3">
      <c r="L733" s="7" t="str">
        <f t="shared" ca="1" si="28"/>
        <v/>
      </c>
    </row>
    <row r="734" spans="12:12" x14ac:dyDescent="0.3">
      <c r="L734" s="7" t="str">
        <f t="shared" ca="1" si="28"/>
        <v/>
      </c>
    </row>
    <row r="735" spans="12:12" x14ac:dyDescent="0.3">
      <c r="L735" s="7" t="str">
        <f t="shared" ca="1" si="28"/>
        <v/>
      </c>
    </row>
    <row r="736" spans="12:12" x14ac:dyDescent="0.3">
      <c r="L736" s="7" t="str">
        <f t="shared" ca="1" si="28"/>
        <v/>
      </c>
    </row>
    <row r="737" spans="12:12" x14ac:dyDescent="0.3">
      <c r="L737" s="7" t="str">
        <f t="shared" ca="1" si="28"/>
        <v/>
      </c>
    </row>
    <row r="738" spans="12:12" x14ac:dyDescent="0.3">
      <c r="L738" s="7" t="str">
        <f t="shared" ca="1" si="28"/>
        <v/>
      </c>
    </row>
    <row r="739" spans="12:12" x14ac:dyDescent="0.3">
      <c r="L739" s="7" t="str">
        <f t="shared" ca="1" si="28"/>
        <v/>
      </c>
    </row>
    <row r="740" spans="12:12" x14ac:dyDescent="0.3">
      <c r="L740" s="7" t="str">
        <f t="shared" ca="1" si="28"/>
        <v/>
      </c>
    </row>
    <row r="741" spans="12:12" x14ac:dyDescent="0.3">
      <c r="L741" s="7" t="str">
        <f t="shared" ca="1" si="28"/>
        <v/>
      </c>
    </row>
    <row r="742" spans="12:12" x14ac:dyDescent="0.3">
      <c r="L742" s="7" t="str">
        <f t="shared" ca="1" si="28"/>
        <v/>
      </c>
    </row>
    <row r="743" spans="12:12" x14ac:dyDescent="0.3">
      <c r="L743" s="7" t="str">
        <f t="shared" ca="1" si="28"/>
        <v/>
      </c>
    </row>
    <row r="744" spans="12:12" x14ac:dyDescent="0.3">
      <c r="L744" s="7" t="str">
        <f t="shared" ca="1" si="28"/>
        <v/>
      </c>
    </row>
    <row r="745" spans="12:12" x14ac:dyDescent="0.3">
      <c r="L745" s="7" t="str">
        <f t="shared" ca="1" si="28"/>
        <v/>
      </c>
    </row>
    <row r="746" spans="12:12" x14ac:dyDescent="0.3">
      <c r="L746" s="7" t="str">
        <f t="shared" ca="1" si="28"/>
        <v/>
      </c>
    </row>
    <row r="747" spans="12:12" x14ac:dyDescent="0.3">
      <c r="L747" s="7" t="str">
        <f t="shared" ca="1" si="28"/>
        <v/>
      </c>
    </row>
    <row r="748" spans="12:12" x14ac:dyDescent="0.3">
      <c r="L748" s="7" t="str">
        <f t="shared" ca="1" si="28"/>
        <v/>
      </c>
    </row>
    <row r="749" spans="12:12" x14ac:dyDescent="0.3">
      <c r="L749" s="7" t="str">
        <f t="shared" ca="1" si="28"/>
        <v/>
      </c>
    </row>
    <row r="750" spans="12:12" x14ac:dyDescent="0.3">
      <c r="L750" s="7" t="str">
        <f t="shared" ca="1" si="28"/>
        <v/>
      </c>
    </row>
    <row r="751" spans="12:12" x14ac:dyDescent="0.3">
      <c r="L751" s="7" t="str">
        <f t="shared" ca="1" si="28"/>
        <v/>
      </c>
    </row>
    <row r="752" spans="12:12" x14ac:dyDescent="0.3">
      <c r="L752" s="7" t="str">
        <f t="shared" ca="1" si="28"/>
        <v/>
      </c>
    </row>
    <row r="753" spans="12:12" x14ac:dyDescent="0.3">
      <c r="L753" s="7" t="str">
        <f t="shared" ca="1" si="28"/>
        <v/>
      </c>
    </row>
    <row r="754" spans="12:12" x14ac:dyDescent="0.3">
      <c r="L754" s="7" t="str">
        <f t="shared" ca="1" si="28"/>
        <v/>
      </c>
    </row>
    <row r="755" spans="12:12" x14ac:dyDescent="0.3">
      <c r="L755" s="7" t="str">
        <f t="shared" ca="1" si="28"/>
        <v/>
      </c>
    </row>
    <row r="756" spans="12:12" x14ac:dyDescent="0.3">
      <c r="L756" s="7" t="str">
        <f t="shared" ca="1" si="28"/>
        <v/>
      </c>
    </row>
    <row r="757" spans="12:12" x14ac:dyDescent="0.3">
      <c r="L757" s="7" t="str">
        <f t="shared" ca="1" si="28"/>
        <v/>
      </c>
    </row>
    <row r="758" spans="12:12" x14ac:dyDescent="0.3">
      <c r="L758" s="7" t="str">
        <f t="shared" ca="1" si="28"/>
        <v/>
      </c>
    </row>
    <row r="759" spans="12:12" x14ac:dyDescent="0.3">
      <c r="L759" s="7" t="str">
        <f t="shared" ca="1" si="28"/>
        <v/>
      </c>
    </row>
    <row r="760" spans="12:12" x14ac:dyDescent="0.3">
      <c r="L760" s="7" t="str">
        <f t="shared" ca="1" si="28"/>
        <v/>
      </c>
    </row>
    <row r="761" spans="12:12" x14ac:dyDescent="0.3">
      <c r="L761" s="7" t="str">
        <f t="shared" ca="1" si="28"/>
        <v/>
      </c>
    </row>
    <row r="762" spans="12:12" x14ac:dyDescent="0.3">
      <c r="L762" s="7" t="str">
        <f t="shared" ca="1" si="28"/>
        <v/>
      </c>
    </row>
    <row r="763" spans="12:12" x14ac:dyDescent="0.3">
      <c r="L763" s="7" t="str">
        <f t="shared" ca="1" si="28"/>
        <v/>
      </c>
    </row>
    <row r="764" spans="12:12" x14ac:dyDescent="0.3">
      <c r="L764" s="7" t="str">
        <f t="shared" ca="1" si="28"/>
        <v/>
      </c>
    </row>
    <row r="765" spans="12:12" x14ac:dyDescent="0.3">
      <c r="L765" s="7" t="str">
        <f t="shared" ca="1" si="28"/>
        <v/>
      </c>
    </row>
    <row r="766" spans="12:12" x14ac:dyDescent="0.3">
      <c r="L766" s="7" t="str">
        <f t="shared" ca="1" si="28"/>
        <v/>
      </c>
    </row>
    <row r="767" spans="12:12" x14ac:dyDescent="0.3">
      <c r="L767" s="7" t="str">
        <f t="shared" ca="1" si="28"/>
        <v/>
      </c>
    </row>
    <row r="768" spans="12:12" x14ac:dyDescent="0.3">
      <c r="L768" s="7" t="str">
        <f t="shared" ca="1" si="28"/>
        <v/>
      </c>
    </row>
    <row r="769" spans="12:12" x14ac:dyDescent="0.3">
      <c r="L769" s="7" t="str">
        <f t="shared" ca="1" si="28"/>
        <v/>
      </c>
    </row>
    <row r="770" spans="12:12" x14ac:dyDescent="0.3">
      <c r="L770" s="7" t="str">
        <f t="shared" ca="1" si="28"/>
        <v/>
      </c>
    </row>
    <row r="771" spans="12:12" x14ac:dyDescent="0.3">
      <c r="L771" s="7" t="str">
        <f t="shared" ca="1" si="28"/>
        <v/>
      </c>
    </row>
    <row r="772" spans="12:12" x14ac:dyDescent="0.3">
      <c r="L772" s="7" t="str">
        <f t="shared" ca="1" si="28"/>
        <v/>
      </c>
    </row>
    <row r="773" spans="12:12" x14ac:dyDescent="0.3">
      <c r="L773" s="7" t="str">
        <f t="shared" ref="L773:L836" ca="1" si="29">IF(I773="Completed",0,IF(H773="","",H773-TODAY()))</f>
        <v/>
      </c>
    </row>
    <row r="774" spans="12:12" x14ac:dyDescent="0.3">
      <c r="L774" s="7" t="str">
        <f t="shared" ca="1" si="29"/>
        <v/>
      </c>
    </row>
    <row r="775" spans="12:12" x14ac:dyDescent="0.3">
      <c r="L775" s="7" t="str">
        <f t="shared" ca="1" si="29"/>
        <v/>
      </c>
    </row>
    <row r="776" spans="12:12" x14ac:dyDescent="0.3">
      <c r="L776" s="7" t="str">
        <f t="shared" ca="1" si="29"/>
        <v/>
      </c>
    </row>
    <row r="777" spans="12:12" x14ac:dyDescent="0.3">
      <c r="L777" s="7" t="str">
        <f t="shared" ca="1" si="29"/>
        <v/>
      </c>
    </row>
    <row r="778" spans="12:12" x14ac:dyDescent="0.3">
      <c r="L778" s="7" t="str">
        <f t="shared" ca="1" si="29"/>
        <v/>
      </c>
    </row>
    <row r="779" spans="12:12" x14ac:dyDescent="0.3">
      <c r="L779" s="7" t="str">
        <f t="shared" ca="1" si="29"/>
        <v/>
      </c>
    </row>
    <row r="780" spans="12:12" x14ac:dyDescent="0.3">
      <c r="L780" s="7" t="str">
        <f t="shared" ca="1" si="29"/>
        <v/>
      </c>
    </row>
    <row r="781" spans="12:12" x14ac:dyDescent="0.3">
      <c r="L781" s="7" t="str">
        <f t="shared" ca="1" si="29"/>
        <v/>
      </c>
    </row>
    <row r="782" spans="12:12" x14ac:dyDescent="0.3">
      <c r="L782" s="7" t="str">
        <f t="shared" ca="1" si="29"/>
        <v/>
      </c>
    </row>
    <row r="783" spans="12:12" x14ac:dyDescent="0.3">
      <c r="L783" s="7" t="str">
        <f t="shared" ca="1" si="29"/>
        <v/>
      </c>
    </row>
    <row r="784" spans="12:12" x14ac:dyDescent="0.3">
      <c r="L784" s="7" t="str">
        <f t="shared" ca="1" si="29"/>
        <v/>
      </c>
    </row>
    <row r="785" spans="12:12" x14ac:dyDescent="0.3">
      <c r="L785" s="7" t="str">
        <f t="shared" ca="1" si="29"/>
        <v/>
      </c>
    </row>
    <row r="786" spans="12:12" x14ac:dyDescent="0.3">
      <c r="L786" s="7" t="str">
        <f t="shared" ca="1" si="29"/>
        <v/>
      </c>
    </row>
    <row r="787" spans="12:12" x14ac:dyDescent="0.3">
      <c r="L787" s="7" t="str">
        <f t="shared" ca="1" si="29"/>
        <v/>
      </c>
    </row>
    <row r="788" spans="12:12" x14ac:dyDescent="0.3">
      <c r="L788" s="7" t="str">
        <f t="shared" ca="1" si="29"/>
        <v/>
      </c>
    </row>
    <row r="789" spans="12:12" x14ac:dyDescent="0.3">
      <c r="L789" s="7" t="str">
        <f t="shared" ca="1" si="29"/>
        <v/>
      </c>
    </row>
    <row r="790" spans="12:12" x14ac:dyDescent="0.3">
      <c r="L790" s="7" t="str">
        <f t="shared" ca="1" si="29"/>
        <v/>
      </c>
    </row>
    <row r="791" spans="12:12" x14ac:dyDescent="0.3">
      <c r="L791" s="7" t="str">
        <f t="shared" ca="1" si="29"/>
        <v/>
      </c>
    </row>
    <row r="792" spans="12:12" x14ac:dyDescent="0.3">
      <c r="L792" s="7" t="str">
        <f t="shared" ca="1" si="29"/>
        <v/>
      </c>
    </row>
    <row r="793" spans="12:12" x14ac:dyDescent="0.3">
      <c r="L793" s="7" t="str">
        <f t="shared" ca="1" si="29"/>
        <v/>
      </c>
    </row>
    <row r="794" spans="12:12" x14ac:dyDescent="0.3">
      <c r="L794" s="7" t="str">
        <f t="shared" ca="1" si="29"/>
        <v/>
      </c>
    </row>
    <row r="795" spans="12:12" x14ac:dyDescent="0.3">
      <c r="L795" s="7" t="str">
        <f t="shared" ca="1" si="29"/>
        <v/>
      </c>
    </row>
    <row r="796" spans="12:12" x14ac:dyDescent="0.3">
      <c r="L796" s="7" t="str">
        <f t="shared" ca="1" si="29"/>
        <v/>
      </c>
    </row>
    <row r="797" spans="12:12" x14ac:dyDescent="0.3">
      <c r="L797" s="7" t="str">
        <f t="shared" ca="1" si="29"/>
        <v/>
      </c>
    </row>
    <row r="798" spans="12:12" x14ac:dyDescent="0.3">
      <c r="L798" s="7" t="str">
        <f t="shared" ca="1" si="29"/>
        <v/>
      </c>
    </row>
    <row r="799" spans="12:12" x14ac:dyDescent="0.3">
      <c r="L799" s="7" t="str">
        <f t="shared" ca="1" si="29"/>
        <v/>
      </c>
    </row>
    <row r="800" spans="12:12" x14ac:dyDescent="0.3">
      <c r="L800" s="7" t="str">
        <f t="shared" ca="1" si="29"/>
        <v/>
      </c>
    </row>
    <row r="801" spans="12:12" x14ac:dyDescent="0.3">
      <c r="L801" s="7" t="str">
        <f t="shared" ca="1" si="29"/>
        <v/>
      </c>
    </row>
    <row r="802" spans="12:12" x14ac:dyDescent="0.3">
      <c r="L802" s="7" t="str">
        <f t="shared" ca="1" si="29"/>
        <v/>
      </c>
    </row>
    <row r="803" spans="12:12" x14ac:dyDescent="0.3">
      <c r="L803" s="7" t="str">
        <f t="shared" ca="1" si="29"/>
        <v/>
      </c>
    </row>
    <row r="804" spans="12:12" x14ac:dyDescent="0.3">
      <c r="L804" s="7" t="str">
        <f t="shared" ca="1" si="29"/>
        <v/>
      </c>
    </row>
    <row r="805" spans="12:12" x14ac:dyDescent="0.3">
      <c r="L805" s="7" t="str">
        <f t="shared" ca="1" si="29"/>
        <v/>
      </c>
    </row>
    <row r="806" spans="12:12" x14ac:dyDescent="0.3">
      <c r="L806" s="7" t="str">
        <f t="shared" ca="1" si="29"/>
        <v/>
      </c>
    </row>
    <row r="807" spans="12:12" x14ac:dyDescent="0.3">
      <c r="L807" s="7" t="str">
        <f t="shared" ca="1" si="29"/>
        <v/>
      </c>
    </row>
    <row r="808" spans="12:12" x14ac:dyDescent="0.3">
      <c r="L808" s="7" t="str">
        <f t="shared" ca="1" si="29"/>
        <v/>
      </c>
    </row>
    <row r="809" spans="12:12" x14ac:dyDescent="0.3">
      <c r="L809" s="7" t="str">
        <f t="shared" ca="1" si="29"/>
        <v/>
      </c>
    </row>
    <row r="810" spans="12:12" x14ac:dyDescent="0.3">
      <c r="L810" s="7" t="str">
        <f t="shared" ca="1" si="29"/>
        <v/>
      </c>
    </row>
    <row r="811" spans="12:12" x14ac:dyDescent="0.3">
      <c r="L811" s="7" t="str">
        <f t="shared" ca="1" si="29"/>
        <v/>
      </c>
    </row>
    <row r="812" spans="12:12" x14ac:dyDescent="0.3">
      <c r="L812" s="7" t="str">
        <f t="shared" ca="1" si="29"/>
        <v/>
      </c>
    </row>
    <row r="813" spans="12:12" x14ac:dyDescent="0.3">
      <c r="L813" s="7" t="str">
        <f t="shared" ca="1" si="29"/>
        <v/>
      </c>
    </row>
    <row r="814" spans="12:12" x14ac:dyDescent="0.3">
      <c r="L814" s="7" t="str">
        <f t="shared" ca="1" si="29"/>
        <v/>
      </c>
    </row>
    <row r="815" spans="12:12" x14ac:dyDescent="0.3">
      <c r="L815" s="7" t="str">
        <f t="shared" ca="1" si="29"/>
        <v/>
      </c>
    </row>
    <row r="816" spans="12:12" x14ac:dyDescent="0.3">
      <c r="L816" s="7" t="str">
        <f t="shared" ca="1" si="29"/>
        <v/>
      </c>
    </row>
    <row r="817" spans="12:12" x14ac:dyDescent="0.3">
      <c r="L817" s="7" t="str">
        <f t="shared" ca="1" si="29"/>
        <v/>
      </c>
    </row>
    <row r="818" spans="12:12" x14ac:dyDescent="0.3">
      <c r="L818" s="7" t="str">
        <f t="shared" ca="1" si="29"/>
        <v/>
      </c>
    </row>
    <row r="819" spans="12:12" x14ac:dyDescent="0.3">
      <c r="L819" s="7" t="str">
        <f t="shared" ca="1" si="29"/>
        <v/>
      </c>
    </row>
    <row r="820" spans="12:12" x14ac:dyDescent="0.3">
      <c r="L820" s="7" t="str">
        <f t="shared" ca="1" si="29"/>
        <v/>
      </c>
    </row>
    <row r="821" spans="12:12" x14ac:dyDescent="0.3">
      <c r="L821" s="7" t="str">
        <f t="shared" ca="1" si="29"/>
        <v/>
      </c>
    </row>
    <row r="822" spans="12:12" x14ac:dyDescent="0.3">
      <c r="L822" s="7" t="str">
        <f t="shared" ca="1" si="29"/>
        <v/>
      </c>
    </row>
    <row r="823" spans="12:12" x14ac:dyDescent="0.3">
      <c r="L823" s="7" t="str">
        <f t="shared" ca="1" si="29"/>
        <v/>
      </c>
    </row>
    <row r="824" spans="12:12" x14ac:dyDescent="0.3">
      <c r="L824" s="7" t="str">
        <f t="shared" ca="1" si="29"/>
        <v/>
      </c>
    </row>
    <row r="825" spans="12:12" x14ac:dyDescent="0.3">
      <c r="L825" s="7" t="str">
        <f t="shared" ca="1" si="29"/>
        <v/>
      </c>
    </row>
    <row r="826" spans="12:12" x14ac:dyDescent="0.3">
      <c r="L826" s="7" t="str">
        <f t="shared" ca="1" si="29"/>
        <v/>
      </c>
    </row>
    <row r="827" spans="12:12" x14ac:dyDescent="0.3">
      <c r="L827" s="7" t="str">
        <f t="shared" ca="1" si="29"/>
        <v/>
      </c>
    </row>
    <row r="828" spans="12:12" x14ac:dyDescent="0.3">
      <c r="L828" s="7" t="str">
        <f t="shared" ca="1" si="29"/>
        <v/>
      </c>
    </row>
    <row r="829" spans="12:12" x14ac:dyDescent="0.3">
      <c r="L829" s="7" t="str">
        <f t="shared" ca="1" si="29"/>
        <v/>
      </c>
    </row>
    <row r="830" spans="12:12" x14ac:dyDescent="0.3">
      <c r="L830" s="7" t="str">
        <f t="shared" ca="1" si="29"/>
        <v/>
      </c>
    </row>
    <row r="831" spans="12:12" x14ac:dyDescent="0.3">
      <c r="L831" s="7" t="str">
        <f t="shared" ca="1" si="29"/>
        <v/>
      </c>
    </row>
    <row r="832" spans="12:12" x14ac:dyDescent="0.3">
      <c r="L832" s="7" t="str">
        <f t="shared" ca="1" si="29"/>
        <v/>
      </c>
    </row>
    <row r="833" spans="12:12" x14ac:dyDescent="0.3">
      <c r="L833" s="7" t="str">
        <f t="shared" ca="1" si="29"/>
        <v/>
      </c>
    </row>
    <row r="834" spans="12:12" x14ac:dyDescent="0.3">
      <c r="L834" s="7" t="str">
        <f t="shared" ca="1" si="29"/>
        <v/>
      </c>
    </row>
    <row r="835" spans="12:12" x14ac:dyDescent="0.3">
      <c r="L835" s="7" t="str">
        <f t="shared" ca="1" si="29"/>
        <v/>
      </c>
    </row>
    <row r="836" spans="12:12" x14ac:dyDescent="0.3">
      <c r="L836" s="7" t="str">
        <f t="shared" ca="1" si="29"/>
        <v/>
      </c>
    </row>
    <row r="837" spans="12:12" x14ac:dyDescent="0.3">
      <c r="L837" s="7" t="str">
        <f t="shared" ref="L837:L900" ca="1" si="30">IF(I837="Completed",0,IF(H837="","",H837-TODAY()))</f>
        <v/>
      </c>
    </row>
    <row r="838" spans="12:12" x14ac:dyDescent="0.3">
      <c r="L838" s="7" t="str">
        <f t="shared" ca="1" si="30"/>
        <v/>
      </c>
    </row>
    <row r="839" spans="12:12" x14ac:dyDescent="0.3">
      <c r="L839" s="7" t="str">
        <f t="shared" ca="1" si="30"/>
        <v/>
      </c>
    </row>
    <row r="840" spans="12:12" x14ac:dyDescent="0.3">
      <c r="L840" s="7" t="str">
        <f t="shared" ca="1" si="30"/>
        <v/>
      </c>
    </row>
    <row r="841" spans="12:12" x14ac:dyDescent="0.3">
      <c r="L841" s="7" t="str">
        <f t="shared" ca="1" si="30"/>
        <v/>
      </c>
    </row>
    <row r="842" spans="12:12" x14ac:dyDescent="0.3">
      <c r="L842" s="7" t="str">
        <f t="shared" ca="1" si="30"/>
        <v/>
      </c>
    </row>
    <row r="843" spans="12:12" x14ac:dyDescent="0.3">
      <c r="L843" s="7" t="str">
        <f t="shared" ca="1" si="30"/>
        <v/>
      </c>
    </row>
    <row r="844" spans="12:12" x14ac:dyDescent="0.3">
      <c r="L844" s="7" t="str">
        <f t="shared" ca="1" si="30"/>
        <v/>
      </c>
    </row>
    <row r="845" spans="12:12" x14ac:dyDescent="0.3">
      <c r="L845" s="7" t="str">
        <f t="shared" ca="1" si="30"/>
        <v/>
      </c>
    </row>
    <row r="846" spans="12:12" x14ac:dyDescent="0.3">
      <c r="L846" s="7" t="str">
        <f t="shared" ca="1" si="30"/>
        <v/>
      </c>
    </row>
    <row r="847" spans="12:12" x14ac:dyDescent="0.3">
      <c r="L847" s="7" t="str">
        <f t="shared" ca="1" si="30"/>
        <v/>
      </c>
    </row>
    <row r="848" spans="12:12" x14ac:dyDescent="0.3">
      <c r="L848" s="7" t="str">
        <f t="shared" ca="1" si="30"/>
        <v/>
      </c>
    </row>
    <row r="849" spans="12:12" x14ac:dyDescent="0.3">
      <c r="L849" s="7" t="str">
        <f t="shared" ca="1" si="30"/>
        <v/>
      </c>
    </row>
    <row r="850" spans="12:12" x14ac:dyDescent="0.3">
      <c r="L850" s="7" t="str">
        <f t="shared" ca="1" si="30"/>
        <v/>
      </c>
    </row>
    <row r="851" spans="12:12" x14ac:dyDescent="0.3">
      <c r="L851" s="7" t="str">
        <f t="shared" ca="1" si="30"/>
        <v/>
      </c>
    </row>
    <row r="852" spans="12:12" x14ac:dyDescent="0.3">
      <c r="L852" s="7" t="str">
        <f t="shared" ca="1" si="30"/>
        <v/>
      </c>
    </row>
    <row r="853" spans="12:12" x14ac:dyDescent="0.3">
      <c r="L853" s="7" t="str">
        <f t="shared" ca="1" si="30"/>
        <v/>
      </c>
    </row>
    <row r="854" spans="12:12" x14ac:dyDescent="0.3">
      <c r="L854" s="7" t="str">
        <f t="shared" ca="1" si="30"/>
        <v/>
      </c>
    </row>
    <row r="855" spans="12:12" x14ac:dyDescent="0.3">
      <c r="L855" s="7" t="str">
        <f t="shared" ca="1" si="30"/>
        <v/>
      </c>
    </row>
    <row r="856" spans="12:12" x14ac:dyDescent="0.3">
      <c r="L856" s="7" t="str">
        <f t="shared" ca="1" si="30"/>
        <v/>
      </c>
    </row>
    <row r="857" spans="12:12" x14ac:dyDescent="0.3">
      <c r="L857" s="7" t="str">
        <f t="shared" ca="1" si="30"/>
        <v/>
      </c>
    </row>
    <row r="858" spans="12:12" x14ac:dyDescent="0.3">
      <c r="L858" s="7" t="str">
        <f t="shared" ca="1" si="30"/>
        <v/>
      </c>
    </row>
    <row r="859" spans="12:12" x14ac:dyDescent="0.3">
      <c r="L859" s="7" t="str">
        <f t="shared" ca="1" si="30"/>
        <v/>
      </c>
    </row>
    <row r="860" spans="12:12" x14ac:dyDescent="0.3">
      <c r="L860" s="7" t="str">
        <f t="shared" ca="1" si="30"/>
        <v/>
      </c>
    </row>
    <row r="861" spans="12:12" x14ac:dyDescent="0.3">
      <c r="L861" s="7" t="str">
        <f t="shared" ca="1" si="30"/>
        <v/>
      </c>
    </row>
    <row r="862" spans="12:12" x14ac:dyDescent="0.3">
      <c r="L862" s="7" t="str">
        <f t="shared" ca="1" si="30"/>
        <v/>
      </c>
    </row>
    <row r="863" spans="12:12" x14ac:dyDescent="0.3">
      <c r="L863" s="7" t="str">
        <f t="shared" ca="1" si="30"/>
        <v/>
      </c>
    </row>
    <row r="864" spans="12:12" x14ac:dyDescent="0.3">
      <c r="L864" s="7" t="str">
        <f t="shared" ca="1" si="30"/>
        <v/>
      </c>
    </row>
    <row r="865" spans="12:12" x14ac:dyDescent="0.3">
      <c r="L865" s="7" t="str">
        <f t="shared" ca="1" si="30"/>
        <v/>
      </c>
    </row>
    <row r="866" spans="12:12" x14ac:dyDescent="0.3">
      <c r="L866" s="7" t="str">
        <f t="shared" ca="1" si="30"/>
        <v/>
      </c>
    </row>
    <row r="867" spans="12:12" x14ac:dyDescent="0.3">
      <c r="L867" s="7" t="str">
        <f t="shared" ca="1" si="30"/>
        <v/>
      </c>
    </row>
    <row r="868" spans="12:12" x14ac:dyDescent="0.3">
      <c r="L868" s="7" t="str">
        <f t="shared" ca="1" si="30"/>
        <v/>
      </c>
    </row>
    <row r="869" spans="12:12" x14ac:dyDescent="0.3">
      <c r="L869" s="7" t="str">
        <f t="shared" ca="1" si="30"/>
        <v/>
      </c>
    </row>
    <row r="870" spans="12:12" x14ac:dyDescent="0.3">
      <c r="L870" s="7" t="str">
        <f t="shared" ca="1" si="30"/>
        <v/>
      </c>
    </row>
    <row r="871" spans="12:12" x14ac:dyDescent="0.3">
      <c r="L871" s="7" t="str">
        <f t="shared" ca="1" si="30"/>
        <v/>
      </c>
    </row>
    <row r="872" spans="12:12" x14ac:dyDescent="0.3">
      <c r="L872" s="7" t="str">
        <f t="shared" ca="1" si="30"/>
        <v/>
      </c>
    </row>
    <row r="873" spans="12:12" x14ac:dyDescent="0.3">
      <c r="L873" s="7" t="str">
        <f t="shared" ca="1" si="30"/>
        <v/>
      </c>
    </row>
    <row r="874" spans="12:12" x14ac:dyDescent="0.3">
      <c r="L874" s="7" t="str">
        <f t="shared" ca="1" si="30"/>
        <v/>
      </c>
    </row>
    <row r="875" spans="12:12" x14ac:dyDescent="0.3">
      <c r="L875" s="7" t="str">
        <f t="shared" ca="1" si="30"/>
        <v/>
      </c>
    </row>
    <row r="876" spans="12:12" x14ac:dyDescent="0.3">
      <c r="L876" s="7" t="str">
        <f t="shared" ca="1" si="30"/>
        <v/>
      </c>
    </row>
    <row r="877" spans="12:12" x14ac:dyDescent="0.3">
      <c r="L877" s="7" t="str">
        <f t="shared" ca="1" si="30"/>
        <v/>
      </c>
    </row>
    <row r="878" spans="12:12" x14ac:dyDescent="0.3">
      <c r="L878" s="7" t="str">
        <f t="shared" ca="1" si="30"/>
        <v/>
      </c>
    </row>
    <row r="879" spans="12:12" x14ac:dyDescent="0.3">
      <c r="L879" s="7" t="str">
        <f t="shared" ca="1" si="30"/>
        <v/>
      </c>
    </row>
    <row r="880" spans="12:12" x14ac:dyDescent="0.3">
      <c r="L880" s="7" t="str">
        <f t="shared" ca="1" si="30"/>
        <v/>
      </c>
    </row>
    <row r="881" spans="12:12" x14ac:dyDescent="0.3">
      <c r="L881" s="7" t="str">
        <f t="shared" ca="1" si="30"/>
        <v/>
      </c>
    </row>
    <row r="882" spans="12:12" x14ac:dyDescent="0.3">
      <c r="L882" s="7" t="str">
        <f t="shared" ca="1" si="30"/>
        <v/>
      </c>
    </row>
    <row r="883" spans="12:12" x14ac:dyDescent="0.3">
      <c r="L883" s="7" t="str">
        <f t="shared" ca="1" si="30"/>
        <v/>
      </c>
    </row>
    <row r="884" spans="12:12" x14ac:dyDescent="0.3">
      <c r="L884" s="7" t="str">
        <f t="shared" ca="1" si="30"/>
        <v/>
      </c>
    </row>
    <row r="885" spans="12:12" x14ac:dyDescent="0.3">
      <c r="L885" s="7" t="str">
        <f t="shared" ca="1" si="30"/>
        <v/>
      </c>
    </row>
    <row r="886" spans="12:12" x14ac:dyDescent="0.3">
      <c r="L886" s="7" t="str">
        <f t="shared" ca="1" si="30"/>
        <v/>
      </c>
    </row>
    <row r="887" spans="12:12" x14ac:dyDescent="0.3">
      <c r="L887" s="7" t="str">
        <f t="shared" ca="1" si="30"/>
        <v/>
      </c>
    </row>
    <row r="888" spans="12:12" x14ac:dyDescent="0.3">
      <c r="L888" s="7" t="str">
        <f t="shared" ca="1" si="30"/>
        <v/>
      </c>
    </row>
    <row r="889" spans="12:12" x14ac:dyDescent="0.3">
      <c r="L889" s="7" t="str">
        <f t="shared" ca="1" si="30"/>
        <v/>
      </c>
    </row>
    <row r="890" spans="12:12" x14ac:dyDescent="0.3">
      <c r="L890" s="7" t="str">
        <f t="shared" ca="1" si="30"/>
        <v/>
      </c>
    </row>
    <row r="891" spans="12:12" x14ac:dyDescent="0.3">
      <c r="L891" s="7" t="str">
        <f t="shared" ca="1" si="30"/>
        <v/>
      </c>
    </row>
    <row r="892" spans="12:12" x14ac:dyDescent="0.3">
      <c r="L892" s="7" t="str">
        <f t="shared" ca="1" si="30"/>
        <v/>
      </c>
    </row>
    <row r="893" spans="12:12" x14ac:dyDescent="0.3">
      <c r="L893" s="7" t="str">
        <f t="shared" ca="1" si="30"/>
        <v/>
      </c>
    </row>
    <row r="894" spans="12:12" x14ac:dyDescent="0.3">
      <c r="L894" s="7" t="str">
        <f t="shared" ca="1" si="30"/>
        <v/>
      </c>
    </row>
    <row r="895" spans="12:12" x14ac:dyDescent="0.3">
      <c r="L895" s="7" t="str">
        <f t="shared" ca="1" si="30"/>
        <v/>
      </c>
    </row>
    <row r="896" spans="12:12" x14ac:dyDescent="0.3">
      <c r="L896" s="7" t="str">
        <f t="shared" ca="1" si="30"/>
        <v/>
      </c>
    </row>
    <row r="897" spans="12:12" x14ac:dyDescent="0.3">
      <c r="L897" s="7" t="str">
        <f t="shared" ca="1" si="30"/>
        <v/>
      </c>
    </row>
    <row r="898" spans="12:12" x14ac:dyDescent="0.3">
      <c r="L898" s="7" t="str">
        <f t="shared" ca="1" si="30"/>
        <v/>
      </c>
    </row>
    <row r="899" spans="12:12" x14ac:dyDescent="0.3">
      <c r="L899" s="7" t="str">
        <f t="shared" ca="1" si="30"/>
        <v/>
      </c>
    </row>
    <row r="900" spans="12:12" x14ac:dyDescent="0.3">
      <c r="L900" s="7" t="str">
        <f t="shared" ca="1" si="30"/>
        <v/>
      </c>
    </row>
    <row r="901" spans="12:12" x14ac:dyDescent="0.3">
      <c r="L901" s="7" t="str">
        <f t="shared" ref="L901:L964" ca="1" si="31">IF(I901="Completed",0,IF(H901="","",H901-TODAY()))</f>
        <v/>
      </c>
    </row>
    <row r="902" spans="12:12" x14ac:dyDescent="0.3">
      <c r="L902" s="7" t="str">
        <f t="shared" ca="1" si="31"/>
        <v/>
      </c>
    </row>
    <row r="903" spans="12:12" x14ac:dyDescent="0.3">
      <c r="L903" s="7" t="str">
        <f t="shared" ca="1" si="31"/>
        <v/>
      </c>
    </row>
    <row r="904" spans="12:12" x14ac:dyDescent="0.3">
      <c r="L904" s="7" t="str">
        <f t="shared" ca="1" si="31"/>
        <v/>
      </c>
    </row>
    <row r="905" spans="12:12" x14ac:dyDescent="0.3">
      <c r="L905" s="7" t="str">
        <f t="shared" ca="1" si="31"/>
        <v/>
      </c>
    </row>
    <row r="906" spans="12:12" x14ac:dyDescent="0.3">
      <c r="L906" s="7" t="str">
        <f t="shared" ca="1" si="31"/>
        <v/>
      </c>
    </row>
    <row r="907" spans="12:12" x14ac:dyDescent="0.3">
      <c r="L907" s="7" t="str">
        <f t="shared" ca="1" si="31"/>
        <v/>
      </c>
    </row>
    <row r="908" spans="12:12" x14ac:dyDescent="0.3">
      <c r="L908" s="7" t="str">
        <f t="shared" ca="1" si="31"/>
        <v/>
      </c>
    </row>
    <row r="909" spans="12:12" x14ac:dyDescent="0.3">
      <c r="L909" s="7" t="str">
        <f t="shared" ca="1" si="31"/>
        <v/>
      </c>
    </row>
    <row r="910" spans="12:12" x14ac:dyDescent="0.3">
      <c r="L910" s="7" t="str">
        <f t="shared" ca="1" si="31"/>
        <v/>
      </c>
    </row>
    <row r="911" spans="12:12" x14ac:dyDescent="0.3">
      <c r="L911" s="7" t="str">
        <f t="shared" ca="1" si="31"/>
        <v/>
      </c>
    </row>
    <row r="912" spans="12:12" x14ac:dyDescent="0.3">
      <c r="L912" s="7" t="str">
        <f t="shared" ca="1" si="31"/>
        <v/>
      </c>
    </row>
    <row r="913" spans="12:12" x14ac:dyDescent="0.3">
      <c r="L913" s="7" t="str">
        <f t="shared" ca="1" si="31"/>
        <v/>
      </c>
    </row>
    <row r="914" spans="12:12" x14ac:dyDescent="0.3">
      <c r="L914" s="7" t="str">
        <f t="shared" ca="1" si="31"/>
        <v/>
      </c>
    </row>
    <row r="915" spans="12:12" x14ac:dyDescent="0.3">
      <c r="L915" s="7" t="str">
        <f t="shared" ca="1" si="31"/>
        <v/>
      </c>
    </row>
    <row r="916" spans="12:12" x14ac:dyDescent="0.3">
      <c r="L916" s="7" t="str">
        <f t="shared" ca="1" si="31"/>
        <v/>
      </c>
    </row>
    <row r="917" spans="12:12" x14ac:dyDescent="0.3">
      <c r="L917" s="7" t="str">
        <f t="shared" ca="1" si="31"/>
        <v/>
      </c>
    </row>
    <row r="918" spans="12:12" x14ac:dyDescent="0.3">
      <c r="L918" s="7" t="str">
        <f t="shared" ca="1" si="31"/>
        <v/>
      </c>
    </row>
    <row r="919" spans="12:12" x14ac:dyDescent="0.3">
      <c r="L919" s="7" t="str">
        <f t="shared" ca="1" si="31"/>
        <v/>
      </c>
    </row>
    <row r="920" spans="12:12" x14ac:dyDescent="0.3">
      <c r="L920" s="7" t="str">
        <f t="shared" ca="1" si="31"/>
        <v/>
      </c>
    </row>
    <row r="921" spans="12:12" x14ac:dyDescent="0.3">
      <c r="L921" s="7" t="str">
        <f t="shared" ca="1" si="31"/>
        <v/>
      </c>
    </row>
    <row r="922" spans="12:12" x14ac:dyDescent="0.3">
      <c r="L922" s="7" t="str">
        <f t="shared" ca="1" si="31"/>
        <v/>
      </c>
    </row>
    <row r="923" spans="12:12" x14ac:dyDescent="0.3">
      <c r="L923" s="7" t="str">
        <f t="shared" ca="1" si="31"/>
        <v/>
      </c>
    </row>
    <row r="924" spans="12:12" x14ac:dyDescent="0.3">
      <c r="L924" s="7" t="str">
        <f t="shared" ca="1" si="31"/>
        <v/>
      </c>
    </row>
    <row r="925" spans="12:12" x14ac:dyDescent="0.3">
      <c r="L925" s="7" t="str">
        <f t="shared" ca="1" si="31"/>
        <v/>
      </c>
    </row>
    <row r="926" spans="12:12" x14ac:dyDescent="0.3">
      <c r="L926" s="7" t="str">
        <f t="shared" ca="1" si="31"/>
        <v/>
      </c>
    </row>
    <row r="927" spans="12:12" x14ac:dyDescent="0.3">
      <c r="L927" s="7" t="str">
        <f t="shared" ca="1" si="31"/>
        <v/>
      </c>
    </row>
    <row r="928" spans="12:12" x14ac:dyDescent="0.3">
      <c r="L928" s="7" t="str">
        <f t="shared" ca="1" si="31"/>
        <v/>
      </c>
    </row>
    <row r="929" spans="12:12" x14ac:dyDescent="0.3">
      <c r="L929" s="7" t="str">
        <f t="shared" ca="1" si="31"/>
        <v/>
      </c>
    </row>
    <row r="930" spans="12:12" x14ac:dyDescent="0.3">
      <c r="L930" s="7" t="str">
        <f t="shared" ca="1" si="31"/>
        <v/>
      </c>
    </row>
    <row r="931" spans="12:12" x14ac:dyDescent="0.3">
      <c r="L931" s="7" t="str">
        <f t="shared" ca="1" si="31"/>
        <v/>
      </c>
    </row>
    <row r="932" spans="12:12" x14ac:dyDescent="0.3">
      <c r="L932" s="7" t="str">
        <f t="shared" ca="1" si="31"/>
        <v/>
      </c>
    </row>
    <row r="933" spans="12:12" x14ac:dyDescent="0.3">
      <c r="L933" s="7" t="str">
        <f t="shared" ca="1" si="31"/>
        <v/>
      </c>
    </row>
    <row r="934" spans="12:12" x14ac:dyDescent="0.3">
      <c r="L934" s="7" t="str">
        <f t="shared" ca="1" si="31"/>
        <v/>
      </c>
    </row>
    <row r="935" spans="12:12" x14ac:dyDescent="0.3">
      <c r="L935" s="7" t="str">
        <f t="shared" ca="1" si="31"/>
        <v/>
      </c>
    </row>
    <row r="936" spans="12:12" x14ac:dyDescent="0.3">
      <c r="L936" s="7" t="str">
        <f t="shared" ca="1" si="31"/>
        <v/>
      </c>
    </row>
    <row r="937" spans="12:12" x14ac:dyDescent="0.3">
      <c r="L937" s="7" t="str">
        <f t="shared" ca="1" si="31"/>
        <v/>
      </c>
    </row>
    <row r="938" spans="12:12" x14ac:dyDescent="0.3">
      <c r="L938" s="7" t="str">
        <f t="shared" ca="1" si="31"/>
        <v/>
      </c>
    </row>
    <row r="939" spans="12:12" x14ac:dyDescent="0.3">
      <c r="L939" s="7" t="str">
        <f t="shared" ca="1" si="31"/>
        <v/>
      </c>
    </row>
    <row r="940" spans="12:12" x14ac:dyDescent="0.3">
      <c r="L940" s="7" t="str">
        <f t="shared" ca="1" si="31"/>
        <v/>
      </c>
    </row>
    <row r="941" spans="12:12" x14ac:dyDescent="0.3">
      <c r="L941" s="7" t="str">
        <f t="shared" ca="1" si="31"/>
        <v/>
      </c>
    </row>
    <row r="942" spans="12:12" x14ac:dyDescent="0.3">
      <c r="L942" s="7" t="str">
        <f t="shared" ca="1" si="31"/>
        <v/>
      </c>
    </row>
    <row r="943" spans="12:12" x14ac:dyDescent="0.3">
      <c r="L943" s="7" t="str">
        <f t="shared" ca="1" si="31"/>
        <v/>
      </c>
    </row>
    <row r="944" spans="12:12" x14ac:dyDescent="0.3">
      <c r="L944" s="7" t="str">
        <f t="shared" ca="1" si="31"/>
        <v/>
      </c>
    </row>
    <row r="945" spans="12:12" x14ac:dyDescent="0.3">
      <c r="L945" s="7" t="str">
        <f t="shared" ca="1" si="31"/>
        <v/>
      </c>
    </row>
    <row r="946" spans="12:12" x14ac:dyDescent="0.3">
      <c r="L946" s="7" t="str">
        <f t="shared" ca="1" si="31"/>
        <v/>
      </c>
    </row>
    <row r="947" spans="12:12" x14ac:dyDescent="0.3">
      <c r="L947" s="7" t="str">
        <f t="shared" ca="1" si="31"/>
        <v/>
      </c>
    </row>
    <row r="948" spans="12:12" x14ac:dyDescent="0.3">
      <c r="L948" s="7" t="str">
        <f t="shared" ca="1" si="31"/>
        <v/>
      </c>
    </row>
    <row r="949" spans="12:12" x14ac:dyDescent="0.3">
      <c r="L949" s="7" t="str">
        <f t="shared" ca="1" si="31"/>
        <v/>
      </c>
    </row>
    <row r="950" spans="12:12" x14ac:dyDescent="0.3">
      <c r="L950" s="7" t="str">
        <f t="shared" ca="1" si="31"/>
        <v/>
      </c>
    </row>
    <row r="951" spans="12:12" x14ac:dyDescent="0.3">
      <c r="L951" s="7" t="str">
        <f t="shared" ca="1" si="31"/>
        <v/>
      </c>
    </row>
    <row r="952" spans="12:12" x14ac:dyDescent="0.3">
      <c r="L952" s="7" t="str">
        <f t="shared" ca="1" si="31"/>
        <v/>
      </c>
    </row>
    <row r="953" spans="12:12" x14ac:dyDescent="0.3">
      <c r="L953" s="7" t="str">
        <f t="shared" ca="1" si="31"/>
        <v/>
      </c>
    </row>
    <row r="954" spans="12:12" x14ac:dyDescent="0.3">
      <c r="L954" s="7" t="str">
        <f t="shared" ca="1" si="31"/>
        <v/>
      </c>
    </row>
    <row r="955" spans="12:12" x14ac:dyDescent="0.3">
      <c r="L955" s="7" t="str">
        <f t="shared" ca="1" si="31"/>
        <v/>
      </c>
    </row>
    <row r="956" spans="12:12" x14ac:dyDescent="0.3">
      <c r="L956" s="7" t="str">
        <f t="shared" ca="1" si="31"/>
        <v/>
      </c>
    </row>
    <row r="957" spans="12:12" x14ac:dyDescent="0.3">
      <c r="L957" s="7" t="str">
        <f t="shared" ca="1" si="31"/>
        <v/>
      </c>
    </row>
    <row r="958" spans="12:12" x14ac:dyDescent="0.3">
      <c r="L958" s="7" t="str">
        <f t="shared" ca="1" si="31"/>
        <v/>
      </c>
    </row>
    <row r="959" spans="12:12" x14ac:dyDescent="0.3">
      <c r="L959" s="7" t="str">
        <f t="shared" ca="1" si="31"/>
        <v/>
      </c>
    </row>
    <row r="960" spans="12:12" x14ac:dyDescent="0.3">
      <c r="L960" s="7" t="str">
        <f t="shared" ca="1" si="31"/>
        <v/>
      </c>
    </row>
    <row r="961" spans="12:12" x14ac:dyDescent="0.3">
      <c r="L961" s="7" t="str">
        <f t="shared" ca="1" si="31"/>
        <v/>
      </c>
    </row>
    <row r="962" spans="12:12" x14ac:dyDescent="0.3">
      <c r="L962" s="7" t="str">
        <f t="shared" ca="1" si="31"/>
        <v/>
      </c>
    </row>
    <row r="963" spans="12:12" x14ac:dyDescent="0.3">
      <c r="L963" s="7" t="str">
        <f t="shared" ca="1" si="31"/>
        <v/>
      </c>
    </row>
    <row r="964" spans="12:12" x14ac:dyDescent="0.3">
      <c r="L964" s="7" t="str">
        <f t="shared" ca="1" si="31"/>
        <v/>
      </c>
    </row>
    <row r="965" spans="12:12" x14ac:dyDescent="0.3">
      <c r="L965" s="7" t="str">
        <f t="shared" ref="L965:L1028" ca="1" si="32">IF(I965="Completed",0,IF(H965="","",H965-TODAY()))</f>
        <v/>
      </c>
    </row>
    <row r="966" spans="12:12" x14ac:dyDescent="0.3">
      <c r="L966" s="7" t="str">
        <f t="shared" ca="1" si="32"/>
        <v/>
      </c>
    </row>
    <row r="967" spans="12:12" x14ac:dyDescent="0.3">
      <c r="L967" s="7" t="str">
        <f t="shared" ca="1" si="32"/>
        <v/>
      </c>
    </row>
    <row r="968" spans="12:12" x14ac:dyDescent="0.3">
      <c r="L968" s="7" t="str">
        <f t="shared" ca="1" si="32"/>
        <v/>
      </c>
    </row>
    <row r="969" spans="12:12" x14ac:dyDescent="0.3">
      <c r="L969" s="7" t="str">
        <f t="shared" ca="1" si="32"/>
        <v/>
      </c>
    </row>
    <row r="970" spans="12:12" x14ac:dyDescent="0.3">
      <c r="L970" s="7" t="str">
        <f t="shared" ca="1" si="32"/>
        <v/>
      </c>
    </row>
    <row r="971" spans="12:12" x14ac:dyDescent="0.3">
      <c r="L971" s="7" t="str">
        <f t="shared" ca="1" si="32"/>
        <v/>
      </c>
    </row>
    <row r="972" spans="12:12" x14ac:dyDescent="0.3">
      <c r="L972" s="7" t="str">
        <f t="shared" ca="1" si="32"/>
        <v/>
      </c>
    </row>
    <row r="973" spans="12:12" x14ac:dyDescent="0.3">
      <c r="L973" s="7" t="str">
        <f t="shared" ca="1" si="32"/>
        <v/>
      </c>
    </row>
    <row r="974" spans="12:12" x14ac:dyDescent="0.3">
      <c r="L974" s="7" t="str">
        <f t="shared" ca="1" si="32"/>
        <v/>
      </c>
    </row>
    <row r="975" spans="12:12" x14ac:dyDescent="0.3">
      <c r="L975" s="7" t="str">
        <f t="shared" ca="1" si="32"/>
        <v/>
      </c>
    </row>
    <row r="976" spans="12:12" x14ac:dyDescent="0.3">
      <c r="L976" s="7" t="str">
        <f t="shared" ca="1" si="32"/>
        <v/>
      </c>
    </row>
    <row r="977" spans="12:12" x14ac:dyDescent="0.3">
      <c r="L977" s="7" t="str">
        <f t="shared" ca="1" si="32"/>
        <v/>
      </c>
    </row>
    <row r="978" spans="12:12" x14ac:dyDescent="0.3">
      <c r="L978" s="7" t="str">
        <f t="shared" ca="1" si="32"/>
        <v/>
      </c>
    </row>
    <row r="979" spans="12:12" x14ac:dyDescent="0.3">
      <c r="L979" s="7" t="str">
        <f t="shared" ca="1" si="32"/>
        <v/>
      </c>
    </row>
    <row r="980" spans="12:12" x14ac:dyDescent="0.3">
      <c r="L980" s="7" t="str">
        <f t="shared" ca="1" si="32"/>
        <v/>
      </c>
    </row>
    <row r="981" spans="12:12" x14ac:dyDescent="0.3">
      <c r="L981" s="7" t="str">
        <f t="shared" ca="1" si="32"/>
        <v/>
      </c>
    </row>
    <row r="982" spans="12:12" x14ac:dyDescent="0.3">
      <c r="L982" s="7" t="str">
        <f t="shared" ca="1" si="32"/>
        <v/>
      </c>
    </row>
    <row r="983" spans="12:12" x14ac:dyDescent="0.3">
      <c r="L983" s="7" t="str">
        <f t="shared" ca="1" si="32"/>
        <v/>
      </c>
    </row>
    <row r="984" spans="12:12" x14ac:dyDescent="0.3">
      <c r="L984" s="7" t="str">
        <f t="shared" ca="1" si="32"/>
        <v/>
      </c>
    </row>
    <row r="985" spans="12:12" x14ac:dyDescent="0.3">
      <c r="L985" s="7" t="str">
        <f t="shared" ca="1" si="32"/>
        <v/>
      </c>
    </row>
    <row r="986" spans="12:12" x14ac:dyDescent="0.3">
      <c r="L986" s="7" t="str">
        <f t="shared" ca="1" si="32"/>
        <v/>
      </c>
    </row>
    <row r="987" spans="12:12" x14ac:dyDescent="0.3">
      <c r="L987" s="7" t="str">
        <f t="shared" ca="1" si="32"/>
        <v/>
      </c>
    </row>
    <row r="988" spans="12:12" x14ac:dyDescent="0.3">
      <c r="L988" s="7" t="str">
        <f t="shared" ca="1" si="32"/>
        <v/>
      </c>
    </row>
    <row r="989" spans="12:12" x14ac:dyDescent="0.3">
      <c r="L989" s="7" t="str">
        <f t="shared" ca="1" si="32"/>
        <v/>
      </c>
    </row>
    <row r="990" spans="12:12" x14ac:dyDescent="0.3">
      <c r="L990" s="7" t="str">
        <f t="shared" ca="1" si="32"/>
        <v/>
      </c>
    </row>
    <row r="991" spans="12:12" x14ac:dyDescent="0.3">
      <c r="L991" s="7" t="str">
        <f t="shared" ca="1" si="32"/>
        <v/>
      </c>
    </row>
    <row r="992" spans="12:12" x14ac:dyDescent="0.3">
      <c r="L992" s="7" t="str">
        <f t="shared" ca="1" si="32"/>
        <v/>
      </c>
    </row>
    <row r="993" spans="12:12" x14ac:dyDescent="0.3">
      <c r="L993" s="7" t="str">
        <f t="shared" ca="1" si="32"/>
        <v/>
      </c>
    </row>
    <row r="994" spans="12:12" x14ac:dyDescent="0.3">
      <c r="L994" s="7" t="str">
        <f t="shared" ca="1" si="32"/>
        <v/>
      </c>
    </row>
    <row r="995" spans="12:12" x14ac:dyDescent="0.3">
      <c r="L995" s="7" t="str">
        <f t="shared" ca="1" si="32"/>
        <v/>
      </c>
    </row>
    <row r="996" spans="12:12" x14ac:dyDescent="0.3">
      <c r="L996" s="7" t="str">
        <f t="shared" ca="1" si="32"/>
        <v/>
      </c>
    </row>
    <row r="997" spans="12:12" x14ac:dyDescent="0.3">
      <c r="L997" s="7" t="str">
        <f t="shared" ca="1" si="32"/>
        <v/>
      </c>
    </row>
    <row r="998" spans="12:12" x14ac:dyDescent="0.3">
      <c r="L998" s="7" t="str">
        <f t="shared" ca="1" si="32"/>
        <v/>
      </c>
    </row>
    <row r="999" spans="12:12" x14ac:dyDescent="0.3">
      <c r="L999" s="7" t="str">
        <f t="shared" ca="1" si="32"/>
        <v/>
      </c>
    </row>
    <row r="1000" spans="12:12" x14ac:dyDescent="0.3">
      <c r="L1000" s="7" t="str">
        <f t="shared" ca="1" si="32"/>
        <v/>
      </c>
    </row>
    <row r="1001" spans="12:12" x14ac:dyDescent="0.3">
      <c r="L1001" s="7" t="str">
        <f t="shared" ca="1" si="32"/>
        <v/>
      </c>
    </row>
    <row r="1002" spans="12:12" x14ac:dyDescent="0.3">
      <c r="L1002" s="7" t="str">
        <f t="shared" ca="1" si="32"/>
        <v/>
      </c>
    </row>
    <row r="1003" spans="12:12" x14ac:dyDescent="0.3">
      <c r="L1003" s="7" t="str">
        <f t="shared" ca="1" si="32"/>
        <v/>
      </c>
    </row>
    <row r="1004" spans="12:12" x14ac:dyDescent="0.3">
      <c r="L1004" s="7" t="str">
        <f t="shared" ca="1" si="32"/>
        <v/>
      </c>
    </row>
    <row r="1005" spans="12:12" x14ac:dyDescent="0.3">
      <c r="L1005" s="7" t="str">
        <f t="shared" ca="1" si="32"/>
        <v/>
      </c>
    </row>
    <row r="1006" spans="12:12" x14ac:dyDescent="0.3">
      <c r="L1006" s="7" t="str">
        <f t="shared" ca="1" si="32"/>
        <v/>
      </c>
    </row>
    <row r="1007" spans="12:12" x14ac:dyDescent="0.3">
      <c r="L1007" s="7" t="str">
        <f t="shared" ca="1" si="32"/>
        <v/>
      </c>
    </row>
    <row r="1008" spans="12:12" x14ac:dyDescent="0.3">
      <c r="L1008" s="7" t="str">
        <f t="shared" ca="1" si="32"/>
        <v/>
      </c>
    </row>
    <row r="1009" spans="12:12" x14ac:dyDescent="0.3">
      <c r="L1009" s="7" t="str">
        <f t="shared" ca="1" si="32"/>
        <v/>
      </c>
    </row>
    <row r="1010" spans="12:12" x14ac:dyDescent="0.3">
      <c r="L1010" s="7" t="str">
        <f t="shared" ca="1" si="32"/>
        <v/>
      </c>
    </row>
    <row r="1011" spans="12:12" x14ac:dyDescent="0.3">
      <c r="L1011" s="7" t="str">
        <f t="shared" ca="1" si="32"/>
        <v/>
      </c>
    </row>
    <row r="1012" spans="12:12" x14ac:dyDescent="0.3">
      <c r="L1012" s="7" t="str">
        <f t="shared" ca="1" si="32"/>
        <v/>
      </c>
    </row>
    <row r="1013" spans="12:12" x14ac:dyDescent="0.3">
      <c r="L1013" s="7" t="str">
        <f t="shared" ca="1" si="32"/>
        <v/>
      </c>
    </row>
    <row r="1014" spans="12:12" x14ac:dyDescent="0.3">
      <c r="L1014" s="7" t="str">
        <f t="shared" ca="1" si="32"/>
        <v/>
      </c>
    </row>
    <row r="1015" spans="12:12" x14ac:dyDescent="0.3">
      <c r="L1015" s="7" t="str">
        <f t="shared" ca="1" si="32"/>
        <v/>
      </c>
    </row>
    <row r="1016" spans="12:12" x14ac:dyDescent="0.3">
      <c r="L1016" s="7" t="str">
        <f t="shared" ca="1" si="32"/>
        <v/>
      </c>
    </row>
    <row r="1017" spans="12:12" x14ac:dyDescent="0.3">
      <c r="L1017" s="7" t="str">
        <f t="shared" ca="1" si="32"/>
        <v/>
      </c>
    </row>
    <row r="1018" spans="12:12" x14ac:dyDescent="0.3">
      <c r="L1018" s="7" t="str">
        <f t="shared" ca="1" si="32"/>
        <v/>
      </c>
    </row>
    <row r="1019" spans="12:12" x14ac:dyDescent="0.3">
      <c r="L1019" s="7" t="str">
        <f t="shared" ca="1" si="32"/>
        <v/>
      </c>
    </row>
    <row r="1020" spans="12:12" x14ac:dyDescent="0.3">
      <c r="L1020" s="7" t="str">
        <f t="shared" ca="1" si="32"/>
        <v/>
      </c>
    </row>
    <row r="1021" spans="12:12" x14ac:dyDescent="0.3">
      <c r="L1021" s="7" t="str">
        <f t="shared" ca="1" si="32"/>
        <v/>
      </c>
    </row>
    <row r="1022" spans="12:12" x14ac:dyDescent="0.3">
      <c r="L1022" s="7" t="str">
        <f t="shared" ca="1" si="32"/>
        <v/>
      </c>
    </row>
    <row r="1023" spans="12:12" x14ac:dyDescent="0.3">
      <c r="L1023" s="7" t="str">
        <f t="shared" ca="1" si="32"/>
        <v/>
      </c>
    </row>
    <row r="1024" spans="12:12" x14ac:dyDescent="0.3">
      <c r="L1024" s="7" t="str">
        <f t="shared" ca="1" si="32"/>
        <v/>
      </c>
    </row>
    <row r="1025" spans="12:12" x14ac:dyDescent="0.3">
      <c r="L1025" s="7" t="str">
        <f t="shared" ca="1" si="32"/>
        <v/>
      </c>
    </row>
    <row r="1026" spans="12:12" x14ac:dyDescent="0.3">
      <c r="L1026" s="7" t="str">
        <f t="shared" ca="1" si="32"/>
        <v/>
      </c>
    </row>
    <row r="1027" spans="12:12" x14ac:dyDescent="0.3">
      <c r="L1027" s="7" t="str">
        <f t="shared" ca="1" si="32"/>
        <v/>
      </c>
    </row>
    <row r="1028" spans="12:12" x14ac:dyDescent="0.3">
      <c r="L1028" s="7" t="str">
        <f t="shared" ca="1" si="32"/>
        <v/>
      </c>
    </row>
    <row r="1029" spans="12:12" x14ac:dyDescent="0.3">
      <c r="L1029" s="7" t="str">
        <f t="shared" ref="L1029:L1092" ca="1" si="33">IF(I1029="Completed",0,IF(H1029="","",H1029-TODAY()))</f>
        <v/>
      </c>
    </row>
    <row r="1030" spans="12:12" x14ac:dyDescent="0.3">
      <c r="L1030" s="7" t="str">
        <f t="shared" ca="1" si="33"/>
        <v/>
      </c>
    </row>
    <row r="1031" spans="12:12" x14ac:dyDescent="0.3">
      <c r="L1031" s="7" t="str">
        <f t="shared" ca="1" si="33"/>
        <v/>
      </c>
    </row>
    <row r="1032" spans="12:12" x14ac:dyDescent="0.3">
      <c r="L1032" s="7" t="str">
        <f t="shared" ca="1" si="33"/>
        <v/>
      </c>
    </row>
    <row r="1033" spans="12:12" x14ac:dyDescent="0.3">
      <c r="L1033" s="7" t="str">
        <f t="shared" ca="1" si="33"/>
        <v/>
      </c>
    </row>
    <row r="1034" spans="12:12" x14ac:dyDescent="0.3">
      <c r="L1034" s="7" t="str">
        <f t="shared" ca="1" si="33"/>
        <v/>
      </c>
    </row>
    <row r="1035" spans="12:12" x14ac:dyDescent="0.3">
      <c r="L1035" s="7" t="str">
        <f t="shared" ca="1" si="33"/>
        <v/>
      </c>
    </row>
    <row r="1036" spans="12:12" x14ac:dyDescent="0.3">
      <c r="L1036" s="7" t="str">
        <f t="shared" ca="1" si="33"/>
        <v/>
      </c>
    </row>
    <row r="1037" spans="12:12" x14ac:dyDescent="0.3">
      <c r="L1037" s="7" t="str">
        <f t="shared" ca="1" si="33"/>
        <v/>
      </c>
    </row>
    <row r="1038" spans="12:12" x14ac:dyDescent="0.3">
      <c r="L1038" s="7" t="str">
        <f t="shared" ca="1" si="33"/>
        <v/>
      </c>
    </row>
    <row r="1039" spans="12:12" x14ac:dyDescent="0.3">
      <c r="L1039" s="7" t="str">
        <f t="shared" ca="1" si="33"/>
        <v/>
      </c>
    </row>
    <row r="1040" spans="12:12" x14ac:dyDescent="0.3">
      <c r="L1040" s="7" t="str">
        <f t="shared" ca="1" si="33"/>
        <v/>
      </c>
    </row>
    <row r="1041" spans="12:12" x14ac:dyDescent="0.3">
      <c r="L1041" s="7" t="str">
        <f t="shared" ca="1" si="33"/>
        <v/>
      </c>
    </row>
    <row r="1042" spans="12:12" x14ac:dyDescent="0.3">
      <c r="L1042" s="7" t="str">
        <f t="shared" ca="1" si="33"/>
        <v/>
      </c>
    </row>
    <row r="1043" spans="12:12" x14ac:dyDescent="0.3">
      <c r="L1043" s="7" t="str">
        <f t="shared" ca="1" si="33"/>
        <v/>
      </c>
    </row>
    <row r="1044" spans="12:12" x14ac:dyDescent="0.3">
      <c r="L1044" s="7" t="str">
        <f t="shared" ca="1" si="33"/>
        <v/>
      </c>
    </row>
    <row r="1045" spans="12:12" x14ac:dyDescent="0.3">
      <c r="L1045" s="7" t="str">
        <f t="shared" ca="1" si="33"/>
        <v/>
      </c>
    </row>
    <row r="1046" spans="12:12" x14ac:dyDescent="0.3">
      <c r="L1046" s="7" t="str">
        <f t="shared" ca="1" si="33"/>
        <v/>
      </c>
    </row>
    <row r="1047" spans="12:12" x14ac:dyDescent="0.3">
      <c r="L1047" s="7" t="str">
        <f t="shared" ca="1" si="33"/>
        <v/>
      </c>
    </row>
    <row r="1048" spans="12:12" x14ac:dyDescent="0.3">
      <c r="L1048" s="7" t="str">
        <f t="shared" ca="1" si="33"/>
        <v/>
      </c>
    </row>
    <row r="1049" spans="12:12" x14ac:dyDescent="0.3">
      <c r="L1049" s="7" t="str">
        <f t="shared" ca="1" si="33"/>
        <v/>
      </c>
    </row>
    <row r="1050" spans="12:12" x14ac:dyDescent="0.3">
      <c r="L1050" s="7" t="str">
        <f t="shared" ca="1" si="33"/>
        <v/>
      </c>
    </row>
    <row r="1051" spans="12:12" x14ac:dyDescent="0.3">
      <c r="L1051" s="7" t="str">
        <f t="shared" ca="1" si="33"/>
        <v/>
      </c>
    </row>
    <row r="1052" spans="12:12" x14ac:dyDescent="0.3">
      <c r="L1052" s="7" t="str">
        <f t="shared" ca="1" si="33"/>
        <v/>
      </c>
    </row>
    <row r="1053" spans="12:12" x14ac:dyDescent="0.3">
      <c r="L1053" s="7" t="str">
        <f t="shared" ca="1" si="33"/>
        <v/>
      </c>
    </row>
    <row r="1054" spans="12:12" x14ac:dyDescent="0.3">
      <c r="L1054" s="7" t="str">
        <f t="shared" ca="1" si="33"/>
        <v/>
      </c>
    </row>
    <row r="1055" spans="12:12" x14ac:dyDescent="0.3">
      <c r="L1055" s="7" t="str">
        <f t="shared" ca="1" si="33"/>
        <v/>
      </c>
    </row>
    <row r="1056" spans="12:12" x14ac:dyDescent="0.3">
      <c r="L1056" s="7" t="str">
        <f t="shared" ca="1" si="33"/>
        <v/>
      </c>
    </row>
    <row r="1057" spans="12:12" x14ac:dyDescent="0.3">
      <c r="L1057" s="7" t="str">
        <f t="shared" ca="1" si="33"/>
        <v/>
      </c>
    </row>
    <row r="1058" spans="12:12" x14ac:dyDescent="0.3">
      <c r="L1058" s="7" t="str">
        <f t="shared" ca="1" si="33"/>
        <v/>
      </c>
    </row>
    <row r="1059" spans="12:12" x14ac:dyDescent="0.3">
      <c r="L1059" s="7" t="str">
        <f t="shared" ca="1" si="33"/>
        <v/>
      </c>
    </row>
    <row r="1060" spans="12:12" x14ac:dyDescent="0.3">
      <c r="L1060" s="7" t="str">
        <f t="shared" ca="1" si="33"/>
        <v/>
      </c>
    </row>
    <row r="1061" spans="12:12" x14ac:dyDescent="0.3">
      <c r="L1061" s="7" t="str">
        <f t="shared" ca="1" si="33"/>
        <v/>
      </c>
    </row>
    <row r="1062" spans="12:12" x14ac:dyDescent="0.3">
      <c r="L1062" s="7" t="str">
        <f t="shared" ca="1" si="33"/>
        <v/>
      </c>
    </row>
    <row r="1063" spans="12:12" x14ac:dyDescent="0.3">
      <c r="L1063" s="7" t="str">
        <f t="shared" ca="1" si="33"/>
        <v/>
      </c>
    </row>
    <row r="1064" spans="12:12" x14ac:dyDescent="0.3">
      <c r="L1064" s="7" t="str">
        <f t="shared" ca="1" si="33"/>
        <v/>
      </c>
    </row>
    <row r="1065" spans="12:12" x14ac:dyDescent="0.3">
      <c r="L1065" s="7" t="str">
        <f t="shared" ca="1" si="33"/>
        <v/>
      </c>
    </row>
    <row r="1066" spans="12:12" x14ac:dyDescent="0.3">
      <c r="L1066" s="7" t="str">
        <f t="shared" ca="1" si="33"/>
        <v/>
      </c>
    </row>
    <row r="1067" spans="12:12" x14ac:dyDescent="0.3">
      <c r="L1067" s="7" t="str">
        <f t="shared" ca="1" si="33"/>
        <v/>
      </c>
    </row>
    <row r="1068" spans="12:12" x14ac:dyDescent="0.3">
      <c r="L1068" s="7" t="str">
        <f t="shared" ca="1" si="33"/>
        <v/>
      </c>
    </row>
    <row r="1069" spans="12:12" x14ac:dyDescent="0.3">
      <c r="L1069" s="7" t="str">
        <f t="shared" ca="1" si="33"/>
        <v/>
      </c>
    </row>
    <row r="1070" spans="12:12" x14ac:dyDescent="0.3">
      <c r="L1070" s="7" t="str">
        <f t="shared" ca="1" si="33"/>
        <v/>
      </c>
    </row>
    <row r="1071" spans="12:12" x14ac:dyDescent="0.3">
      <c r="L1071" s="7" t="str">
        <f t="shared" ca="1" si="33"/>
        <v/>
      </c>
    </row>
    <row r="1072" spans="12:12" x14ac:dyDescent="0.3">
      <c r="L1072" s="7" t="str">
        <f t="shared" ca="1" si="33"/>
        <v/>
      </c>
    </row>
    <row r="1073" spans="12:12" x14ac:dyDescent="0.3">
      <c r="L1073" s="7" t="str">
        <f t="shared" ca="1" si="33"/>
        <v/>
      </c>
    </row>
    <row r="1074" spans="12:12" x14ac:dyDescent="0.3">
      <c r="L1074" s="7" t="str">
        <f t="shared" ca="1" si="33"/>
        <v/>
      </c>
    </row>
    <row r="1075" spans="12:12" x14ac:dyDescent="0.3">
      <c r="L1075" s="7" t="str">
        <f t="shared" ca="1" si="33"/>
        <v/>
      </c>
    </row>
    <row r="1076" spans="12:12" x14ac:dyDescent="0.3">
      <c r="L1076" s="7" t="str">
        <f t="shared" ca="1" si="33"/>
        <v/>
      </c>
    </row>
    <row r="1077" spans="12:12" x14ac:dyDescent="0.3">
      <c r="L1077" s="7" t="str">
        <f t="shared" ca="1" si="33"/>
        <v/>
      </c>
    </row>
    <row r="1078" spans="12:12" x14ac:dyDescent="0.3">
      <c r="L1078" s="7" t="str">
        <f t="shared" ca="1" si="33"/>
        <v/>
      </c>
    </row>
    <row r="1079" spans="12:12" x14ac:dyDescent="0.3">
      <c r="L1079" s="7" t="str">
        <f t="shared" ca="1" si="33"/>
        <v/>
      </c>
    </row>
    <row r="1080" spans="12:12" x14ac:dyDescent="0.3">
      <c r="L1080" s="7" t="str">
        <f t="shared" ca="1" si="33"/>
        <v/>
      </c>
    </row>
    <row r="1081" spans="12:12" x14ac:dyDescent="0.3">
      <c r="L1081" s="7" t="str">
        <f t="shared" ca="1" si="33"/>
        <v/>
      </c>
    </row>
    <row r="1082" spans="12:12" x14ac:dyDescent="0.3">
      <c r="L1082" s="7" t="str">
        <f t="shared" ca="1" si="33"/>
        <v/>
      </c>
    </row>
    <row r="1083" spans="12:12" x14ac:dyDescent="0.3">
      <c r="L1083" s="7" t="str">
        <f t="shared" ca="1" si="33"/>
        <v/>
      </c>
    </row>
    <row r="1084" spans="12:12" x14ac:dyDescent="0.3">
      <c r="L1084" s="7" t="str">
        <f t="shared" ca="1" si="33"/>
        <v/>
      </c>
    </row>
    <row r="1085" spans="12:12" x14ac:dyDescent="0.3">
      <c r="L1085" s="7" t="str">
        <f t="shared" ca="1" si="33"/>
        <v/>
      </c>
    </row>
    <row r="1086" spans="12:12" x14ac:dyDescent="0.3">
      <c r="L1086" s="7" t="str">
        <f t="shared" ca="1" si="33"/>
        <v/>
      </c>
    </row>
    <row r="1087" spans="12:12" x14ac:dyDescent="0.3">
      <c r="L1087" s="7" t="str">
        <f t="shared" ca="1" si="33"/>
        <v/>
      </c>
    </row>
    <row r="1088" spans="12:12" x14ac:dyDescent="0.3">
      <c r="L1088" s="7" t="str">
        <f t="shared" ca="1" si="33"/>
        <v/>
      </c>
    </row>
    <row r="1089" spans="12:12" x14ac:dyDescent="0.3">
      <c r="L1089" s="7" t="str">
        <f t="shared" ca="1" si="33"/>
        <v/>
      </c>
    </row>
    <row r="1090" spans="12:12" x14ac:dyDescent="0.3">
      <c r="L1090" s="7" t="str">
        <f t="shared" ca="1" si="33"/>
        <v/>
      </c>
    </row>
    <row r="1091" spans="12:12" x14ac:dyDescent="0.3">
      <c r="L1091" s="7" t="str">
        <f t="shared" ca="1" si="33"/>
        <v/>
      </c>
    </row>
    <row r="1092" spans="12:12" x14ac:dyDescent="0.3">
      <c r="L1092" s="7" t="str">
        <f t="shared" ca="1" si="33"/>
        <v/>
      </c>
    </row>
    <row r="1093" spans="12:12" x14ac:dyDescent="0.3">
      <c r="L1093" s="7" t="str">
        <f t="shared" ref="L1093:L1109" ca="1" si="34">IF(I1093="Completed",0,IF(H1093="","",H1093-TODAY()))</f>
        <v/>
      </c>
    </row>
    <row r="1094" spans="12:12" x14ac:dyDescent="0.3">
      <c r="L1094" s="7" t="str">
        <f t="shared" ca="1" si="34"/>
        <v/>
      </c>
    </row>
    <row r="1095" spans="12:12" x14ac:dyDescent="0.3">
      <c r="L1095" s="7" t="str">
        <f t="shared" ca="1" si="34"/>
        <v/>
      </c>
    </row>
    <row r="1096" spans="12:12" x14ac:dyDescent="0.3">
      <c r="L1096" s="7" t="str">
        <f t="shared" ca="1" si="34"/>
        <v/>
      </c>
    </row>
    <row r="1097" spans="12:12" x14ac:dyDescent="0.3">
      <c r="L1097" s="7" t="str">
        <f t="shared" ca="1" si="34"/>
        <v/>
      </c>
    </row>
    <row r="1098" spans="12:12" x14ac:dyDescent="0.3">
      <c r="L1098" s="7" t="str">
        <f t="shared" ca="1" si="34"/>
        <v/>
      </c>
    </row>
    <row r="1099" spans="12:12" x14ac:dyDescent="0.3">
      <c r="L1099" s="7" t="str">
        <f t="shared" ca="1" si="34"/>
        <v/>
      </c>
    </row>
    <row r="1100" spans="12:12" x14ac:dyDescent="0.3">
      <c r="L1100" s="7" t="str">
        <f t="shared" ca="1" si="34"/>
        <v/>
      </c>
    </row>
    <row r="1101" spans="12:12" x14ac:dyDescent="0.3">
      <c r="L1101" s="7" t="str">
        <f t="shared" ca="1" si="34"/>
        <v/>
      </c>
    </row>
    <row r="1102" spans="12:12" x14ac:dyDescent="0.3">
      <c r="L1102" s="7" t="str">
        <f t="shared" ca="1" si="34"/>
        <v/>
      </c>
    </row>
    <row r="1103" spans="12:12" x14ac:dyDescent="0.3">
      <c r="L1103" s="7" t="str">
        <f t="shared" ca="1" si="34"/>
        <v/>
      </c>
    </row>
    <row r="1104" spans="12:12" x14ac:dyDescent="0.3">
      <c r="L1104" s="7" t="str">
        <f t="shared" ca="1" si="34"/>
        <v/>
      </c>
    </row>
    <row r="1105" spans="12:12" x14ac:dyDescent="0.3">
      <c r="L1105" s="7" t="str">
        <f t="shared" ca="1" si="34"/>
        <v/>
      </c>
    </row>
    <row r="1106" spans="12:12" x14ac:dyDescent="0.3">
      <c r="L1106" s="7" t="str">
        <f t="shared" ca="1" si="34"/>
        <v/>
      </c>
    </row>
    <row r="1107" spans="12:12" x14ac:dyDescent="0.3">
      <c r="L1107" s="7" t="str">
        <f t="shared" ca="1" si="34"/>
        <v/>
      </c>
    </row>
    <row r="1108" spans="12:12" x14ac:dyDescent="0.3">
      <c r="L1108" s="7" t="str">
        <f t="shared" ca="1" si="34"/>
        <v/>
      </c>
    </row>
    <row r="1109" spans="12:12" x14ac:dyDescent="0.3">
      <c r="L1109" s="7" t="str">
        <f t="shared" ca="1" si="34"/>
        <v/>
      </c>
    </row>
  </sheetData>
  <autoFilter ref="A3:N312" xr:uid="{00000000-0001-0000-0700-000000000000}"/>
  <mergeCells count="1">
    <mergeCell ref="A2:N2"/>
  </mergeCells>
  <conditionalFormatting sqref="M4:M312">
    <cfRule type="cellIs" dxfId="261" priority="29" operator="equal">
      <formula>"Green"</formula>
    </cfRule>
    <cfRule type="cellIs" dxfId="260" priority="30" operator="equal">
      <formula>"Amber"</formula>
    </cfRule>
    <cfRule type="cellIs" dxfId="259" priority="31" operator="equal">
      <formula>"Red"</formula>
    </cfRule>
  </conditionalFormatting>
  <conditionalFormatting sqref="I4:I142">
    <cfRule type="expression" dxfId="258" priority="11">
      <formula>EXACT($I4,"Completed")</formula>
    </cfRule>
  </conditionalFormatting>
  <conditionalFormatting sqref="I4:I142">
    <cfRule type="expression" dxfId="257" priority="12">
      <formula>EXACT($I4,"Inprogress")</formula>
    </cfRule>
  </conditionalFormatting>
  <conditionalFormatting sqref="I4:I142">
    <cfRule type="expression" dxfId="256" priority="32">
      <formula>EXACT($I4,"Not Started")</formula>
    </cfRule>
  </conditionalFormatting>
  <conditionalFormatting sqref="I4:I142">
    <cfRule type="expression" dxfId="255" priority="33">
      <formula>EXACT($I4,"Overdue")</formula>
    </cfRule>
  </conditionalFormatting>
  <conditionalFormatting sqref="K4:K243">
    <cfRule type="expression" dxfId="254" priority="7">
      <formula>EXACT($K4,"No")</formula>
    </cfRule>
  </conditionalFormatting>
  <conditionalFormatting sqref="K4:K243">
    <cfRule type="expression" dxfId="253" priority="8">
      <formula>EXACT($K4,"Yes")</formula>
    </cfRule>
  </conditionalFormatting>
  <conditionalFormatting sqref="K4:K243">
    <cfRule type="expression" dxfId="252" priority="36">
      <formula>EXACT($K4,"-")</formula>
    </cfRule>
  </conditionalFormatting>
  <conditionalFormatting sqref="A4:A2000">
    <cfRule type="expression" dxfId="251" priority="26" stopIfTrue="1">
      <formula>A4=""</formula>
    </cfRule>
    <cfRule type="expression" dxfId="250" priority="28">
      <formula>C4=""</formula>
    </cfRule>
  </conditionalFormatting>
  <conditionalFormatting sqref="B4:B2000">
    <cfRule type="expression" dxfId="249" priority="23" stopIfTrue="1">
      <formula>$A4=""</formula>
    </cfRule>
    <cfRule type="expression" dxfId="248" priority="24">
      <formula>$C4=""</formula>
    </cfRule>
  </conditionalFormatting>
  <conditionalFormatting sqref="C4:C2000">
    <cfRule type="expression" dxfId="247" priority="25" stopIfTrue="1">
      <formula>$A4=""</formula>
    </cfRule>
    <cfRule type="expression" dxfId="246" priority="27">
      <formula>$C4=""</formula>
    </cfRule>
  </conditionalFormatting>
  <conditionalFormatting sqref="D4:D2000">
    <cfRule type="expression" dxfId="245" priority="21" stopIfTrue="1">
      <formula>$A4=""</formula>
    </cfRule>
    <cfRule type="expression" dxfId="244" priority="22">
      <formula>$C4=""</formula>
    </cfRule>
  </conditionalFormatting>
  <conditionalFormatting sqref="E4:E2000">
    <cfRule type="expression" dxfId="243" priority="19" stopIfTrue="1">
      <formula>$A4=""</formula>
    </cfRule>
    <cfRule type="expression" dxfId="242" priority="20">
      <formula>$C4=""</formula>
    </cfRule>
  </conditionalFormatting>
  <conditionalFormatting sqref="F4:F2000">
    <cfRule type="expression" dxfId="241" priority="17" stopIfTrue="1">
      <formula>$A4=""</formula>
    </cfRule>
    <cfRule type="expression" dxfId="240" priority="18">
      <formula>$C4=""</formula>
    </cfRule>
  </conditionalFormatting>
  <conditionalFormatting sqref="G4:G2000">
    <cfRule type="expression" dxfId="239" priority="15" stopIfTrue="1">
      <formula>$A4=""</formula>
    </cfRule>
    <cfRule type="expression" dxfId="238" priority="16">
      <formula>$C4=""</formula>
    </cfRule>
  </conditionalFormatting>
  <conditionalFormatting sqref="H4:H2000">
    <cfRule type="expression" dxfId="237" priority="13" stopIfTrue="1">
      <formula>$A4=""</formula>
    </cfRule>
    <cfRule type="expression" dxfId="236" priority="14">
      <formula>$C4=""</formula>
    </cfRule>
  </conditionalFormatting>
  <conditionalFormatting sqref="I4:I2000">
    <cfRule type="expression" dxfId="235" priority="34" stopIfTrue="1">
      <formula>$A4=""</formula>
    </cfRule>
    <cfRule type="expression" dxfId="234" priority="35">
      <formula>$C4=""</formula>
    </cfRule>
  </conditionalFormatting>
  <conditionalFormatting sqref="J4:J2000">
    <cfRule type="expression" dxfId="233" priority="9" stopIfTrue="1">
      <formula>$A4=""</formula>
    </cfRule>
    <cfRule type="expression" dxfId="232" priority="10">
      <formula>$C4=""</formula>
    </cfRule>
  </conditionalFormatting>
  <conditionalFormatting sqref="K4:K2000">
    <cfRule type="expression" dxfId="231" priority="37" stopIfTrue="1">
      <formula>$A4=""</formula>
    </cfRule>
    <cfRule type="expression" dxfId="230" priority="38">
      <formula>$C4=""</formula>
    </cfRule>
  </conditionalFormatting>
  <conditionalFormatting sqref="L1110:L2000">
    <cfRule type="expression" dxfId="229" priority="5" stopIfTrue="1">
      <formula>$A1110=""</formula>
    </cfRule>
    <cfRule type="expression" dxfId="228" priority="6">
      <formula>$C1110=""</formula>
    </cfRule>
  </conditionalFormatting>
  <conditionalFormatting sqref="L4:L1109">
    <cfRule type="expression" dxfId="227" priority="1" stopIfTrue="1">
      <formula>$A4=""</formula>
    </cfRule>
    <cfRule type="expression" dxfId="226" priority="2">
      <formula>$C4=""</formula>
    </cfRule>
  </conditionalFormatting>
  <dataValidations count="1">
    <dataValidation type="list" allowBlank="1" sqref="I4:I312" xr:uid="{3894BF03-FBDE-4DD1-B7B5-A4AE7DD386D6}">
      <formula1>"Not Started,In Progress,Complete"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B913B-27BE-4521-A7F3-8E38D66AF5F8}">
  <sheetPr codeName="Sheet6" filterMode="1">
    <tabColor rgb="FF777777"/>
  </sheetPr>
  <dimension ref="A1:R1606"/>
  <sheetViews>
    <sheetView showGridLines="0" zoomScaleNormal="100" workbookViewId="0">
      <pane xSplit="3" ySplit="3" topLeftCell="D34" activePane="bottomRight" state="frozen"/>
      <selection pane="topRight" activeCell="D1" sqref="D1"/>
      <selection pane="bottomLeft" activeCell="A4" sqref="A4"/>
      <selection pane="bottomRight" activeCell="D94" sqref="D94"/>
    </sheetView>
  </sheetViews>
  <sheetFormatPr defaultColWidth="8.6640625" defaultRowHeight="14.4" x14ac:dyDescent="0.3"/>
  <cols>
    <col min="1" max="1" width="20" customWidth="1"/>
    <col min="2" max="2" width="17" customWidth="1"/>
    <col min="3" max="3" width="34" customWidth="1"/>
    <col min="4" max="4" width="30" customWidth="1"/>
    <col min="5" max="5" width="12" customWidth="1"/>
    <col min="6" max="6" width="11" customWidth="1"/>
    <col min="7" max="7" width="15.109375" bestFit="1" customWidth="1"/>
    <col min="8" max="8" width="16.77734375" customWidth="1"/>
    <col min="9" max="9" width="12" customWidth="1"/>
    <col min="10" max="11" width="8" customWidth="1"/>
    <col min="12" max="13" width="7" customWidth="1"/>
    <col min="14" max="14" width="26" customWidth="1"/>
    <col min="15" max="18" width="3" hidden="1" customWidth="1"/>
  </cols>
  <sheetData>
    <row r="1" spans="1:18" ht="24" customHeight="1" x14ac:dyDescent="0.3">
      <c r="A1" s="10" t="s">
        <v>403</v>
      </c>
      <c r="B1" s="10"/>
      <c r="C1" s="10"/>
      <c r="D1" s="10"/>
      <c r="E1" s="10"/>
      <c r="F1" s="10"/>
      <c r="G1" s="11">
        <f>+MAX(G4:G2000)</f>
        <v>46511</v>
      </c>
      <c r="H1" s="11">
        <f>+MAX(H4:H2000)</f>
        <v>46511</v>
      </c>
      <c r="I1" s="10"/>
      <c r="J1" s="12">
        <f t="shared" ref="J1" si="0">IF(OR($G1="",$H1=""),"",$H1-$G1)</f>
        <v>0</v>
      </c>
      <c r="K1" s="10"/>
      <c r="L1" s="10"/>
      <c r="M1" s="10"/>
      <c r="N1" s="10"/>
    </row>
    <row r="2" spans="1:18" ht="14.25" customHeight="1" x14ac:dyDescent="0.3">
      <c r="A2" s="17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8" ht="30" customHeight="1" x14ac:dyDescent="0.3">
      <c r="A3" s="1" t="s">
        <v>0</v>
      </c>
      <c r="B3" s="1" t="s">
        <v>24</v>
      </c>
      <c r="C3" s="1" t="s">
        <v>25</v>
      </c>
      <c r="D3" s="1" t="s">
        <v>26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59</v>
      </c>
      <c r="M3" s="1" t="s">
        <v>8</v>
      </c>
      <c r="N3" s="1" t="s">
        <v>9</v>
      </c>
      <c r="O3" s="1" t="s">
        <v>10</v>
      </c>
      <c r="P3" s="1" t="s">
        <v>11</v>
      </c>
      <c r="Q3" s="1" t="s">
        <v>12</v>
      </c>
      <c r="R3" s="1" t="s">
        <v>13</v>
      </c>
    </row>
    <row r="4" spans="1:18" ht="33.75" hidden="1" customHeight="1" x14ac:dyDescent="0.3">
      <c r="A4" s="2" t="s">
        <v>405</v>
      </c>
      <c r="B4" s="2" t="s">
        <v>62</v>
      </c>
      <c r="C4" s="3"/>
      <c r="D4" s="3"/>
      <c r="E4" s="2"/>
      <c r="F4" s="2"/>
      <c r="G4" s="5">
        <v>45945.5</v>
      </c>
      <c r="H4" s="5">
        <v>45460</v>
      </c>
      <c r="I4" s="2"/>
      <c r="J4" s="6">
        <f t="shared" ref="J4:J67" si="1">IF(OR($G4="",$H4=""),"",$H4-$G4)</f>
        <v>-485.5</v>
      </c>
      <c r="K4" s="4" t="str">
        <f t="shared" ref="K4:K67" ca="1" si="2">IF(C4="","",IF(H4="","",IF($I4="completed","-",IF($H4&gt;TODAY(),"No","Yes"))))</f>
        <v/>
      </c>
      <c r="L4" s="7">
        <f ca="1">IF(I4="Completed",0,IF(H4="","",H4-TODAY()))</f>
        <v>-748</v>
      </c>
      <c r="M4" s="4" t="str">
        <f>IF($I4="Complete","Green",IF($H4="","Amber",IF($H4&lt;'[2]Read Me'!$B$4,"Red",IF($H4-'[2]Read Me'!$B$4&lt;=21,"Amber","Green"))))</f>
        <v>Red</v>
      </c>
      <c r="N4" s="3"/>
      <c r="O4" t="e">
        <f>IF($I4&lt;&gt;"Complete",IF(COUNTIFS(#REF!,$A4,#REF!,$B4,#REF!,"&lt;&gt;Complete")=0,$A4&amp;"|"&amp;$B4,""),"")</f>
        <v>#REF!</v>
      </c>
      <c r="P4" t="str">
        <f ca="1">IF($K4="Yes",COUNTIFS($K$4:$K4,"Yes"),"")</f>
        <v/>
      </c>
      <c r="Q4">
        <f t="shared" ref="Q4:Q67" ca="1" si="3">IF(OR($I4="In Progress",$K4="Yes"),1,0)</f>
        <v>0</v>
      </c>
      <c r="R4" t="str">
        <f ca="1">IF($Q4=1,SUM($Q$4:$Q4),"")</f>
        <v/>
      </c>
    </row>
    <row r="5" spans="1:18" ht="33.75" hidden="1" customHeight="1" x14ac:dyDescent="0.3">
      <c r="A5" s="2" t="s">
        <v>405</v>
      </c>
      <c r="B5" s="2" t="s">
        <v>62</v>
      </c>
      <c r="C5" s="3" t="s">
        <v>406</v>
      </c>
      <c r="D5" s="3" t="s">
        <v>407</v>
      </c>
      <c r="E5" s="2"/>
      <c r="F5" s="2"/>
      <c r="G5" s="5">
        <v>45306</v>
      </c>
      <c r="H5" s="5">
        <v>45306</v>
      </c>
      <c r="I5" s="2" t="s">
        <v>31</v>
      </c>
      <c r="J5" s="6">
        <f t="shared" si="1"/>
        <v>0</v>
      </c>
      <c r="K5" s="4" t="str">
        <f t="shared" ca="1" si="2"/>
        <v>-</v>
      </c>
      <c r="L5" s="7">
        <f t="shared" ref="L5:L68" ca="1" si="4">IF(I5="Completed",0,IF(H5="","",H5-TODAY()))</f>
        <v>0</v>
      </c>
      <c r="M5" s="4" t="str">
        <f>IF($I5="Complete","Green",IF($H5="","Amber",IF($H5&lt;'[2]Read Me'!$B$4,"Red",IF($H5-'[2]Read Me'!$B$4&lt;=21,"Amber","Green"))))</f>
        <v>Red</v>
      </c>
      <c r="N5" s="3"/>
      <c r="O5" t="str">
        <f>IF($I5&lt;&gt;"Complete",IF(COUNTIFS($A$4:$A4,$A5,$B$4:$B4,$B5,$I$4:$I4,"&lt;&gt;Complete")=0,$A5&amp;"|"&amp;$B5,""),"")</f>
        <v/>
      </c>
      <c r="P5" t="str">
        <f ca="1">IF($K5="Yes",COUNTIFS($K$4:$K5,"Yes"),"")</f>
        <v/>
      </c>
      <c r="Q5">
        <f t="shared" ca="1" si="3"/>
        <v>0</v>
      </c>
      <c r="R5" t="str">
        <f ca="1">IF($Q5=1,SUM($Q$4:$Q5),"")</f>
        <v/>
      </c>
    </row>
    <row r="6" spans="1:18" ht="33.75" hidden="1" customHeight="1" x14ac:dyDescent="0.3">
      <c r="A6" s="2" t="s">
        <v>405</v>
      </c>
      <c r="B6" s="2" t="s">
        <v>62</v>
      </c>
      <c r="C6" s="3" t="s">
        <v>406</v>
      </c>
      <c r="D6" s="3" t="s">
        <v>58</v>
      </c>
      <c r="E6" s="2"/>
      <c r="F6" s="2"/>
      <c r="G6" s="5">
        <v>45320</v>
      </c>
      <c r="H6" s="5">
        <v>45320</v>
      </c>
      <c r="I6" s="2" t="s">
        <v>31</v>
      </c>
      <c r="J6" s="6">
        <f t="shared" si="1"/>
        <v>0</v>
      </c>
      <c r="K6" s="4" t="str">
        <f t="shared" ca="1" si="2"/>
        <v>-</v>
      </c>
      <c r="L6" s="7">
        <f t="shared" ca="1" si="4"/>
        <v>0</v>
      </c>
      <c r="M6" s="4" t="str">
        <f>IF($I6="Complete","Green",IF($H6="","Amber",IF($H6&lt;'[2]Read Me'!$B$4,"Red",IF($H6-'[2]Read Me'!$B$4&lt;=21,"Amber","Green"))))</f>
        <v>Red</v>
      </c>
      <c r="N6" s="3"/>
      <c r="O6" t="str">
        <f>IF($I6&lt;&gt;"Complete",IF(COUNTIFS($A$4:$A5,$A6,$B$4:$B5,$B6,$I$4:$I5,"&lt;&gt;Complete")=0,$A6&amp;"|"&amp;$B6,""),"")</f>
        <v/>
      </c>
      <c r="P6" t="str">
        <f ca="1">IF($K6="Yes",COUNTIFS($K$4:$K6,"Yes"),"")</f>
        <v/>
      </c>
      <c r="Q6">
        <f t="shared" ca="1" si="3"/>
        <v>0</v>
      </c>
      <c r="R6" t="str">
        <f ca="1">IF($Q6=1,SUM($Q$4:$Q6),"")</f>
        <v/>
      </c>
    </row>
    <row r="7" spans="1:18" ht="33.75" hidden="1" customHeight="1" x14ac:dyDescent="0.3">
      <c r="A7" s="2" t="s">
        <v>405</v>
      </c>
      <c r="B7" s="2" t="s">
        <v>62</v>
      </c>
      <c r="C7" s="3" t="s">
        <v>406</v>
      </c>
      <c r="D7" s="3" t="s">
        <v>408</v>
      </c>
      <c r="E7" s="2"/>
      <c r="F7" s="2"/>
      <c r="G7" s="5">
        <v>45348</v>
      </c>
      <c r="H7" s="5">
        <v>45348</v>
      </c>
      <c r="I7" s="2" t="s">
        <v>31</v>
      </c>
      <c r="J7" s="6">
        <f t="shared" si="1"/>
        <v>0</v>
      </c>
      <c r="K7" s="4" t="str">
        <f t="shared" ca="1" si="2"/>
        <v>-</v>
      </c>
      <c r="L7" s="7">
        <f t="shared" ca="1" si="4"/>
        <v>0</v>
      </c>
      <c r="M7" s="4" t="str">
        <f>IF($I7="Complete","Green",IF($H7="","Amber",IF($H7&lt;'[2]Read Me'!$B$4,"Red",IF($H7-'[2]Read Me'!$B$4&lt;=21,"Amber","Green"))))</f>
        <v>Red</v>
      </c>
      <c r="N7" s="3"/>
      <c r="O7" t="str">
        <f>IF($I7&lt;&gt;"Complete",IF(COUNTIFS($A$4:$A6,$A7,$B$4:$B6,$B7,$I$4:$I6,"&lt;&gt;Complete")=0,$A7&amp;"|"&amp;$B7,""),"")</f>
        <v/>
      </c>
      <c r="P7" t="str">
        <f ca="1">IF($K7="Yes",COUNTIFS($K$4:$K7,"Yes"),"")</f>
        <v/>
      </c>
      <c r="Q7">
        <f t="shared" ca="1" si="3"/>
        <v>0</v>
      </c>
      <c r="R7" t="str">
        <f ca="1">IF($Q7=1,SUM($Q$4:$Q7),"")</f>
        <v/>
      </c>
    </row>
    <row r="8" spans="1:18" ht="33.75" hidden="1" customHeight="1" x14ac:dyDescent="0.3">
      <c r="A8" s="2" t="s">
        <v>405</v>
      </c>
      <c r="B8" s="2" t="s">
        <v>62</v>
      </c>
      <c r="C8" s="3" t="s">
        <v>406</v>
      </c>
      <c r="D8" s="3" t="s">
        <v>58</v>
      </c>
      <c r="E8" s="2"/>
      <c r="F8" s="2"/>
      <c r="G8" s="5">
        <v>45362</v>
      </c>
      <c r="H8" s="5">
        <v>45362</v>
      </c>
      <c r="I8" s="2" t="s">
        <v>31</v>
      </c>
      <c r="J8" s="6">
        <f t="shared" si="1"/>
        <v>0</v>
      </c>
      <c r="K8" s="4" t="str">
        <f t="shared" ca="1" si="2"/>
        <v>-</v>
      </c>
      <c r="L8" s="7">
        <f t="shared" ca="1" si="4"/>
        <v>0</v>
      </c>
      <c r="M8" s="4" t="str">
        <f>IF($I8="Complete","Green",IF($H8="","Amber",IF($H8&lt;'[2]Read Me'!$B$4,"Red",IF($H8-'[2]Read Me'!$B$4&lt;=21,"Amber","Green"))))</f>
        <v>Red</v>
      </c>
      <c r="N8" s="3"/>
      <c r="O8" t="str">
        <f>IF($I8&lt;&gt;"Complete",IF(COUNTIFS($A$4:$A7,$A8,$B$4:$B7,$B8,$I$4:$I7,"&lt;&gt;Complete")=0,$A8&amp;"|"&amp;$B8,""),"")</f>
        <v/>
      </c>
      <c r="P8" t="str">
        <f ca="1">IF($K8="Yes",COUNTIFS($K$4:$K8,"Yes"),"")</f>
        <v/>
      </c>
      <c r="Q8">
        <f t="shared" ca="1" si="3"/>
        <v>0</v>
      </c>
      <c r="R8" t="str">
        <f ca="1">IF($Q8=1,SUM($Q$4:$Q8),"")</f>
        <v/>
      </c>
    </row>
    <row r="9" spans="1:18" ht="33.75" hidden="1" customHeight="1" x14ac:dyDescent="0.3">
      <c r="A9" s="2" t="s">
        <v>405</v>
      </c>
      <c r="B9" s="2" t="s">
        <v>62</v>
      </c>
      <c r="C9" s="3" t="s">
        <v>406</v>
      </c>
      <c r="D9" s="3" t="s">
        <v>409</v>
      </c>
      <c r="E9" s="2"/>
      <c r="F9" s="2"/>
      <c r="G9" s="5">
        <v>45362</v>
      </c>
      <c r="H9" s="5">
        <v>45362</v>
      </c>
      <c r="I9" s="2" t="s">
        <v>31</v>
      </c>
      <c r="J9" s="6">
        <f t="shared" si="1"/>
        <v>0</v>
      </c>
      <c r="K9" s="4" t="str">
        <f t="shared" ca="1" si="2"/>
        <v>-</v>
      </c>
      <c r="L9" s="7">
        <f t="shared" ca="1" si="4"/>
        <v>0</v>
      </c>
      <c r="M9" s="4" t="str">
        <f>IF($I9="Complete","Green",IF($H9="","Amber",IF($H9&lt;'[2]Read Me'!$B$4,"Red",IF($H9-'[2]Read Me'!$B$4&lt;=21,"Amber","Green"))))</f>
        <v>Red</v>
      </c>
      <c r="N9" s="3"/>
      <c r="O9" t="str">
        <f>IF($I9&lt;&gt;"Complete",IF(COUNTIFS($A$4:$A8,$A9,$B$4:$B8,$B9,$I$4:$I8,"&lt;&gt;Complete")=0,$A9&amp;"|"&amp;$B9,""),"")</f>
        <v/>
      </c>
      <c r="P9" t="str">
        <f ca="1">IF($K9="Yes",COUNTIFS($K$4:$K9,"Yes"),"")</f>
        <v/>
      </c>
      <c r="Q9">
        <f t="shared" ca="1" si="3"/>
        <v>0</v>
      </c>
      <c r="R9" t="str">
        <f ca="1">IF($Q9=1,SUM($Q$4:$Q9),"")</f>
        <v/>
      </c>
    </row>
    <row r="10" spans="1:18" ht="33.75" hidden="1" customHeight="1" x14ac:dyDescent="0.3">
      <c r="A10" s="2" t="s">
        <v>405</v>
      </c>
      <c r="B10" s="2" t="s">
        <v>62</v>
      </c>
      <c r="C10" s="3" t="s">
        <v>406</v>
      </c>
      <c r="D10" s="3" t="s">
        <v>410</v>
      </c>
      <c r="E10" s="2"/>
      <c r="F10" s="2"/>
      <c r="G10" s="5">
        <v>45390</v>
      </c>
      <c r="H10" s="5">
        <v>45390</v>
      </c>
      <c r="I10" s="2" t="s">
        <v>31</v>
      </c>
      <c r="J10" s="6">
        <f t="shared" si="1"/>
        <v>0</v>
      </c>
      <c r="K10" s="4" t="str">
        <f t="shared" ca="1" si="2"/>
        <v>-</v>
      </c>
      <c r="L10" s="7">
        <f t="shared" ca="1" si="4"/>
        <v>0</v>
      </c>
      <c r="M10" s="4" t="str">
        <f>IF($I10="Complete","Green",IF($H10="","Amber",IF($H10&lt;'[2]Read Me'!$B$4,"Red",IF($H10-'[2]Read Me'!$B$4&lt;=21,"Amber","Green"))))</f>
        <v>Red</v>
      </c>
      <c r="N10" s="3"/>
      <c r="O10" t="str">
        <f>IF($I10&lt;&gt;"Complete",IF(COUNTIFS($A$4:$A9,$A10,$B$4:$B9,$B10,$I$4:$I9,"&lt;&gt;Complete")=0,$A10&amp;"|"&amp;$B10,""),"")</f>
        <v/>
      </c>
      <c r="P10" t="str">
        <f ca="1">IF($K10="Yes",COUNTIFS($K$4:$K10,"Yes"),"")</f>
        <v/>
      </c>
      <c r="Q10">
        <f t="shared" ca="1" si="3"/>
        <v>0</v>
      </c>
      <c r="R10" t="str">
        <f ca="1">IF($Q10=1,SUM($Q$4:$Q10),"")</f>
        <v/>
      </c>
    </row>
    <row r="11" spans="1:18" ht="33.75" hidden="1" customHeight="1" x14ac:dyDescent="0.3">
      <c r="A11" s="2" t="s">
        <v>405</v>
      </c>
      <c r="B11" s="2" t="s">
        <v>62</v>
      </c>
      <c r="C11" s="3" t="s">
        <v>406</v>
      </c>
      <c r="D11" s="3" t="s">
        <v>58</v>
      </c>
      <c r="E11" s="2"/>
      <c r="F11" s="2"/>
      <c r="G11" s="5">
        <v>45404</v>
      </c>
      <c r="H11" s="5">
        <v>45404</v>
      </c>
      <c r="I11" s="2" t="s">
        <v>31</v>
      </c>
      <c r="J11" s="6">
        <f t="shared" si="1"/>
        <v>0</v>
      </c>
      <c r="K11" s="4" t="str">
        <f t="shared" ca="1" si="2"/>
        <v>-</v>
      </c>
      <c r="L11" s="7">
        <f t="shared" ca="1" si="4"/>
        <v>0</v>
      </c>
      <c r="M11" s="4" t="str">
        <f>IF($I11="Complete","Green",IF($H11="","Amber",IF($H11&lt;'[2]Read Me'!$B$4,"Red",IF($H11-'[2]Read Me'!$B$4&lt;=21,"Amber","Green"))))</f>
        <v>Red</v>
      </c>
      <c r="N11" s="3"/>
      <c r="O11" t="str">
        <f>IF($I11&lt;&gt;"Complete",IF(COUNTIFS($A$4:$A10,$A11,$B$4:$B10,$B11,$I$4:$I10,"&lt;&gt;Complete")=0,$A11&amp;"|"&amp;$B11,""),"")</f>
        <v/>
      </c>
      <c r="P11" t="str">
        <f ca="1">IF($K11="Yes",COUNTIFS($K$4:$K11,"Yes"),"")</f>
        <v/>
      </c>
      <c r="Q11">
        <f t="shared" ca="1" si="3"/>
        <v>0</v>
      </c>
      <c r="R11" t="str">
        <f ca="1">IF($Q11=1,SUM($Q$4:$Q11),"")</f>
        <v/>
      </c>
    </row>
    <row r="12" spans="1:18" ht="33.75" hidden="1" customHeight="1" x14ac:dyDescent="0.3">
      <c r="A12" s="2" t="s">
        <v>405</v>
      </c>
      <c r="B12" s="2" t="s">
        <v>62</v>
      </c>
      <c r="C12" s="3" t="s">
        <v>406</v>
      </c>
      <c r="D12" s="3" t="s">
        <v>411</v>
      </c>
      <c r="E12" s="2"/>
      <c r="F12" s="2"/>
      <c r="G12" s="5">
        <v>45418</v>
      </c>
      <c r="H12" s="5">
        <v>45418</v>
      </c>
      <c r="I12" s="2" t="s">
        <v>31</v>
      </c>
      <c r="J12" s="6">
        <f t="shared" si="1"/>
        <v>0</v>
      </c>
      <c r="K12" s="4" t="str">
        <f t="shared" ca="1" si="2"/>
        <v>-</v>
      </c>
      <c r="L12" s="7">
        <f t="shared" ca="1" si="4"/>
        <v>0</v>
      </c>
      <c r="M12" s="4" t="str">
        <f>IF($I12="Complete","Green",IF($H12="","Amber",IF($H12&lt;'[2]Read Me'!$B$4,"Red",IF($H12-'[2]Read Me'!$B$4&lt;=21,"Amber","Green"))))</f>
        <v>Red</v>
      </c>
      <c r="N12" s="3"/>
      <c r="O12" t="str">
        <f>IF($I12&lt;&gt;"Complete",IF(COUNTIFS($A$4:$A11,$A12,$B$4:$B11,$B12,$I$4:$I11,"&lt;&gt;Complete")=0,$A12&amp;"|"&amp;$B12,""),"")</f>
        <v/>
      </c>
      <c r="P12" t="str">
        <f ca="1">IF($K12="Yes",COUNTIFS($K$4:$K12,"Yes"),"")</f>
        <v/>
      </c>
      <c r="Q12">
        <f t="shared" ca="1" si="3"/>
        <v>0</v>
      </c>
      <c r="R12" t="str">
        <f ca="1">IF($Q12=1,SUM($Q$4:$Q12),"")</f>
        <v/>
      </c>
    </row>
    <row r="13" spans="1:18" ht="33.75" hidden="1" customHeight="1" x14ac:dyDescent="0.3">
      <c r="A13" s="2" t="s">
        <v>405</v>
      </c>
      <c r="B13" s="2" t="s">
        <v>62</v>
      </c>
      <c r="C13" s="3" t="s">
        <v>406</v>
      </c>
      <c r="D13" s="3" t="s">
        <v>58</v>
      </c>
      <c r="E13" s="2"/>
      <c r="F13" s="2"/>
      <c r="G13" s="5">
        <v>45432</v>
      </c>
      <c r="H13" s="5">
        <v>45432</v>
      </c>
      <c r="I13" s="2" t="s">
        <v>31</v>
      </c>
      <c r="J13" s="6">
        <f t="shared" si="1"/>
        <v>0</v>
      </c>
      <c r="K13" s="4" t="str">
        <f t="shared" ca="1" si="2"/>
        <v>-</v>
      </c>
      <c r="L13" s="7">
        <f t="shared" ca="1" si="4"/>
        <v>0</v>
      </c>
      <c r="M13" s="4" t="str">
        <f>IF($I13="Complete","Green",IF($H13="","Amber",IF($H13&lt;'[2]Read Me'!$B$4,"Red",IF($H13-'[2]Read Me'!$B$4&lt;=21,"Amber","Green"))))</f>
        <v>Red</v>
      </c>
      <c r="N13" s="3"/>
      <c r="O13" t="str">
        <f>IF($I13&lt;&gt;"Complete",IF(COUNTIFS($A$4:$A12,$A13,$B$4:$B12,$B13,$I$4:$I12,"&lt;&gt;Complete")=0,$A13&amp;"|"&amp;$B13,""),"")</f>
        <v/>
      </c>
      <c r="P13" t="str">
        <f ca="1">IF($K13="Yes",COUNTIFS($K$4:$K13,"Yes"),"")</f>
        <v/>
      </c>
      <c r="Q13">
        <f t="shared" ca="1" si="3"/>
        <v>0</v>
      </c>
      <c r="R13" t="str">
        <f ca="1">IF($Q13=1,SUM($Q$4:$Q13),"")</f>
        <v/>
      </c>
    </row>
    <row r="14" spans="1:18" ht="33.75" hidden="1" customHeight="1" x14ac:dyDescent="0.3">
      <c r="A14" s="2" t="s">
        <v>405</v>
      </c>
      <c r="B14" s="2" t="s">
        <v>62</v>
      </c>
      <c r="C14" s="3" t="s">
        <v>406</v>
      </c>
      <c r="D14" s="3" t="s">
        <v>412</v>
      </c>
      <c r="E14" s="2"/>
      <c r="F14" s="2"/>
      <c r="G14" s="5">
        <v>45432</v>
      </c>
      <c r="H14" s="5">
        <v>45432</v>
      </c>
      <c r="I14" s="2" t="s">
        <v>31</v>
      </c>
      <c r="J14" s="6">
        <f t="shared" si="1"/>
        <v>0</v>
      </c>
      <c r="K14" s="4" t="str">
        <f t="shared" ca="1" si="2"/>
        <v>-</v>
      </c>
      <c r="L14" s="7">
        <f t="shared" ca="1" si="4"/>
        <v>0</v>
      </c>
      <c r="M14" s="4" t="str">
        <f>IF($I14="Complete","Green",IF($H14="","Amber",IF($H14&lt;'[2]Read Me'!$B$4,"Red",IF($H14-'[2]Read Me'!$B$4&lt;=21,"Amber","Green"))))</f>
        <v>Red</v>
      </c>
      <c r="N14" s="3"/>
      <c r="O14" t="str">
        <f>IF($I14&lt;&gt;"Complete",IF(COUNTIFS($A$4:$A13,$A14,$B$4:$B13,$B14,$I$4:$I13,"&lt;&gt;Complete")=0,$A14&amp;"|"&amp;$B14,""),"")</f>
        <v/>
      </c>
      <c r="P14" t="str">
        <f ca="1">IF($K14="Yes",COUNTIFS($K$4:$K14,"Yes"),"")</f>
        <v/>
      </c>
      <c r="Q14">
        <f t="shared" ca="1" si="3"/>
        <v>0</v>
      </c>
      <c r="R14" t="str">
        <f ca="1">IF($Q14=1,SUM($Q$4:$Q14),"")</f>
        <v/>
      </c>
    </row>
    <row r="15" spans="1:18" ht="33.75" hidden="1" customHeight="1" x14ac:dyDescent="0.3">
      <c r="A15" s="2" t="s">
        <v>405</v>
      </c>
      <c r="B15" s="2" t="s">
        <v>62</v>
      </c>
      <c r="C15" s="3" t="s">
        <v>406</v>
      </c>
      <c r="D15" s="3" t="s">
        <v>22</v>
      </c>
      <c r="E15" s="2"/>
      <c r="F15" s="2"/>
      <c r="G15" s="5">
        <v>45404</v>
      </c>
      <c r="H15" s="5">
        <v>45404</v>
      </c>
      <c r="I15" s="2" t="s">
        <v>31</v>
      </c>
      <c r="J15" s="6">
        <f t="shared" si="1"/>
        <v>0</v>
      </c>
      <c r="K15" s="4" t="str">
        <f t="shared" ca="1" si="2"/>
        <v>-</v>
      </c>
      <c r="L15" s="7">
        <f t="shared" ca="1" si="4"/>
        <v>0</v>
      </c>
      <c r="M15" s="4" t="str">
        <f>IF($I15="Complete","Green",IF($H15="","Amber",IF($H15&lt;'[2]Read Me'!$B$4,"Red",IF($H15-'[2]Read Me'!$B$4&lt;=21,"Amber","Green"))))</f>
        <v>Red</v>
      </c>
      <c r="N15" s="3"/>
      <c r="O15" t="str">
        <f>IF($I15&lt;&gt;"Complete",IF(COUNTIFS($A$4:$A14,$A15,$B$4:$B14,$B15,$I$4:$I14,"&lt;&gt;Complete")=0,$A15&amp;"|"&amp;$B15,""),"")</f>
        <v/>
      </c>
      <c r="P15" t="str">
        <f ca="1">IF($K15="Yes",COUNTIFS($K$4:$K15,"Yes"),"")</f>
        <v/>
      </c>
      <c r="Q15">
        <f t="shared" ca="1" si="3"/>
        <v>0</v>
      </c>
      <c r="R15" t="str">
        <f ca="1">IF($Q15=1,SUM($Q$4:$Q15),"")</f>
        <v/>
      </c>
    </row>
    <row r="16" spans="1:18" ht="33.75" hidden="1" customHeight="1" x14ac:dyDescent="0.3">
      <c r="A16" s="2" t="s">
        <v>405</v>
      </c>
      <c r="B16" s="2" t="s">
        <v>62</v>
      </c>
      <c r="C16" s="3" t="s">
        <v>406</v>
      </c>
      <c r="D16" s="3" t="s">
        <v>16</v>
      </c>
      <c r="E16" s="2"/>
      <c r="F16" s="2"/>
      <c r="G16" s="5">
        <v>45446</v>
      </c>
      <c r="H16" s="5">
        <v>45446</v>
      </c>
      <c r="I16" s="2" t="s">
        <v>31</v>
      </c>
      <c r="J16" s="6">
        <f t="shared" si="1"/>
        <v>0</v>
      </c>
      <c r="K16" s="4" t="str">
        <f t="shared" ca="1" si="2"/>
        <v>-</v>
      </c>
      <c r="L16" s="7">
        <f t="shared" ca="1" si="4"/>
        <v>0</v>
      </c>
      <c r="M16" s="4" t="str">
        <f>IF($I16="Complete","Green",IF($H16="","Amber",IF($H16&lt;'[2]Read Me'!$B$4,"Red",IF($H16-'[2]Read Me'!$B$4&lt;=21,"Amber","Green"))))</f>
        <v>Red</v>
      </c>
      <c r="N16" s="3"/>
      <c r="O16" t="str">
        <f>IF($I16&lt;&gt;"Complete",IF(COUNTIFS($A$4:$A15,$A16,$B$4:$B15,$B16,$I$4:$I15,"&lt;&gt;Complete")=0,$A16&amp;"|"&amp;$B16,""),"")</f>
        <v/>
      </c>
      <c r="P16" t="str">
        <f ca="1">IF($K16="Yes",COUNTIFS($K$4:$K16,"Yes"),"")</f>
        <v/>
      </c>
      <c r="Q16">
        <f t="shared" ca="1" si="3"/>
        <v>0</v>
      </c>
      <c r="R16" t="str">
        <f ca="1">IF($Q16=1,SUM($Q$4:$Q16),"")</f>
        <v/>
      </c>
    </row>
    <row r="17" spans="1:18" ht="33.75" hidden="1" customHeight="1" x14ac:dyDescent="0.3">
      <c r="A17" s="2" t="s">
        <v>405</v>
      </c>
      <c r="B17" s="2" t="s">
        <v>62</v>
      </c>
      <c r="C17" s="3" t="s">
        <v>406</v>
      </c>
      <c r="D17" s="3" t="s">
        <v>58</v>
      </c>
      <c r="E17" s="2"/>
      <c r="F17" s="2"/>
      <c r="G17" s="5">
        <v>45460</v>
      </c>
      <c r="H17" s="5">
        <v>45460</v>
      </c>
      <c r="I17" s="2" t="s">
        <v>31</v>
      </c>
      <c r="J17" s="6">
        <f t="shared" si="1"/>
        <v>0</v>
      </c>
      <c r="K17" s="4" t="str">
        <f t="shared" ca="1" si="2"/>
        <v>-</v>
      </c>
      <c r="L17" s="7">
        <f t="shared" ca="1" si="4"/>
        <v>0</v>
      </c>
      <c r="M17" s="4" t="str">
        <f>IF($I17="Complete","Green",IF($H17="","Amber",IF($H17&lt;'[2]Read Me'!$B$4,"Red",IF($H17-'[2]Read Me'!$B$4&lt;=21,"Amber","Green"))))</f>
        <v>Red</v>
      </c>
      <c r="N17" s="3"/>
      <c r="O17" t="str">
        <f>IF($I17&lt;&gt;"Complete",IF(COUNTIFS($A$4:$A16,$A17,$B$4:$B16,$B17,$I$4:$I16,"&lt;&gt;Complete")=0,$A17&amp;"|"&amp;$B17,""),"")</f>
        <v/>
      </c>
      <c r="P17" t="str">
        <f ca="1">IF($K17="Yes",COUNTIFS($K$4:$K17,"Yes"),"")</f>
        <v/>
      </c>
      <c r="Q17">
        <f t="shared" ca="1" si="3"/>
        <v>0</v>
      </c>
      <c r="R17" t="str">
        <f ca="1">IF($Q17=1,SUM($Q$4:$Q17),"")</f>
        <v/>
      </c>
    </row>
    <row r="18" spans="1:18" ht="33.75" hidden="1" customHeight="1" x14ac:dyDescent="0.3">
      <c r="A18" s="2" t="s">
        <v>405</v>
      </c>
      <c r="B18" s="2" t="s">
        <v>49</v>
      </c>
      <c r="C18" s="3"/>
      <c r="D18" s="3"/>
      <c r="E18" s="2"/>
      <c r="F18" s="2"/>
      <c r="G18" s="5">
        <v>45945.5</v>
      </c>
      <c r="H18" s="5">
        <v>46099</v>
      </c>
      <c r="I18" s="2"/>
      <c r="J18" s="6">
        <f t="shared" si="1"/>
        <v>153.5</v>
      </c>
      <c r="K18" s="4" t="str">
        <f t="shared" ca="1" si="2"/>
        <v/>
      </c>
      <c r="L18" s="7">
        <f t="shared" ca="1" si="4"/>
        <v>-109</v>
      </c>
      <c r="M18" s="4" t="str">
        <f>IF($I18="Complete","Green",IF($H18="","Amber",IF($H18&lt;'[2]Read Me'!$B$4,"Red",IF($H18-'[2]Read Me'!$B$4&lt;=21,"Amber","Green"))))</f>
        <v>Red</v>
      </c>
      <c r="N18" s="3"/>
      <c r="O18" t="str">
        <f>IF($I18&lt;&gt;"Complete",IF(COUNTIFS($A$4:$A17,$A18,$B$4:$B17,$B18,$I$4:$I17,"&lt;&gt;Complete")=0,$A18&amp;"|"&amp;$B18,""),"")</f>
        <v>Ph.01&amp;02|Authorities</v>
      </c>
      <c r="P18" t="str">
        <f ca="1">IF($K18="Yes",COUNTIFS($K$4:$K18,"Yes"),"")</f>
        <v/>
      </c>
      <c r="Q18">
        <f t="shared" ca="1" si="3"/>
        <v>0</v>
      </c>
      <c r="R18" t="str">
        <f ca="1">IF($Q18=1,SUM($Q$4:$Q18),"")</f>
        <v/>
      </c>
    </row>
    <row r="19" spans="1:18" ht="33.75" hidden="1" customHeight="1" x14ac:dyDescent="0.3">
      <c r="A19" s="2" t="s">
        <v>405</v>
      </c>
      <c r="B19" s="2" t="s">
        <v>49</v>
      </c>
      <c r="C19" s="3" t="s">
        <v>50</v>
      </c>
      <c r="D19" s="3" t="s">
        <v>287</v>
      </c>
      <c r="E19" s="2"/>
      <c r="F19" s="2"/>
      <c r="G19" s="5">
        <v>45568.5</v>
      </c>
      <c r="H19" s="5">
        <v>45763.5</v>
      </c>
      <c r="I19" s="2" t="s">
        <v>31</v>
      </c>
      <c r="J19" s="6">
        <f t="shared" si="1"/>
        <v>195</v>
      </c>
      <c r="K19" s="4" t="str">
        <f t="shared" ca="1" si="2"/>
        <v>-</v>
      </c>
      <c r="L19" s="7">
        <f t="shared" ca="1" si="4"/>
        <v>0</v>
      </c>
      <c r="M19" s="4" t="str">
        <f>IF($I19="Complete","Green",IF($H19="","Amber",IF($H19&lt;'[2]Read Me'!$B$4,"Red",IF($H19-'[2]Read Me'!$B$4&lt;=21,"Amber","Green"))))</f>
        <v>Red</v>
      </c>
      <c r="N19" s="3"/>
      <c r="O19" t="str">
        <f>IF($I19&lt;&gt;"Complete",IF(COUNTIFS($A$4:$A18,$A19,$B$4:$B18,$B19,$I$4:$I18,"&lt;&gt;Complete")=0,$A19&amp;"|"&amp;$B19,""),"")</f>
        <v/>
      </c>
      <c r="P19" t="str">
        <f ca="1">IF($K19="Yes",COUNTIFS($K$4:$K19,"Yes"),"")</f>
        <v/>
      </c>
      <c r="Q19">
        <f t="shared" ca="1" si="3"/>
        <v>0</v>
      </c>
      <c r="R19" t="str">
        <f ca="1">IF($Q19=1,SUM($Q$4:$Q19),"")</f>
        <v/>
      </c>
    </row>
    <row r="20" spans="1:18" ht="33.75" hidden="1" customHeight="1" x14ac:dyDescent="0.3">
      <c r="A20" s="2" t="s">
        <v>405</v>
      </c>
      <c r="B20" s="2" t="s">
        <v>49</v>
      </c>
      <c r="C20" s="3" t="s">
        <v>50</v>
      </c>
      <c r="D20" s="3" t="s">
        <v>288</v>
      </c>
      <c r="E20" s="2"/>
      <c r="F20" s="2"/>
      <c r="G20" s="5">
        <v>45614</v>
      </c>
      <c r="H20" s="5">
        <v>45809</v>
      </c>
      <c r="I20" s="2" t="s">
        <v>31</v>
      </c>
      <c r="J20" s="6">
        <f t="shared" si="1"/>
        <v>195</v>
      </c>
      <c r="K20" s="4" t="str">
        <f t="shared" ca="1" si="2"/>
        <v>-</v>
      </c>
      <c r="L20" s="7">
        <f t="shared" ca="1" si="4"/>
        <v>0</v>
      </c>
      <c r="M20" s="4" t="str">
        <f>IF($I20="Complete","Green",IF($H20="","Amber",IF($H20&lt;'[2]Read Me'!$B$4,"Red",IF($H20-'[2]Read Me'!$B$4&lt;=21,"Amber","Green"))))</f>
        <v>Red</v>
      </c>
      <c r="N20" s="3"/>
      <c r="O20" t="str">
        <f>IF($I20&lt;&gt;"Complete",IF(COUNTIFS($A$4:$A19,$A20,$B$4:$B19,$B20,$I$4:$I19,"&lt;&gt;Complete")=0,$A20&amp;"|"&amp;$B20,""),"")</f>
        <v/>
      </c>
      <c r="P20" t="str">
        <f ca="1">IF($K20="Yes",COUNTIFS($K$4:$K20,"Yes"),"")</f>
        <v/>
      </c>
      <c r="Q20">
        <f t="shared" ca="1" si="3"/>
        <v>0</v>
      </c>
      <c r="R20" t="str">
        <f ca="1">IF($Q20=1,SUM($Q$4:$Q20),"")</f>
        <v/>
      </c>
    </row>
    <row r="21" spans="1:18" ht="33.75" hidden="1" customHeight="1" x14ac:dyDescent="0.3">
      <c r="A21" s="2" t="s">
        <v>405</v>
      </c>
      <c r="B21" s="2" t="s">
        <v>49</v>
      </c>
      <c r="C21" s="3" t="s">
        <v>50</v>
      </c>
      <c r="D21" s="3" t="s">
        <v>51</v>
      </c>
      <c r="E21" s="2"/>
      <c r="F21" s="2"/>
      <c r="G21" s="5">
        <v>45659.5</v>
      </c>
      <c r="H21" s="5">
        <v>45854.5</v>
      </c>
      <c r="I21" s="2" t="s">
        <v>31</v>
      </c>
      <c r="J21" s="6">
        <f t="shared" si="1"/>
        <v>195</v>
      </c>
      <c r="K21" s="4" t="str">
        <f t="shared" ca="1" si="2"/>
        <v>-</v>
      </c>
      <c r="L21" s="7">
        <f t="shared" ca="1" si="4"/>
        <v>0</v>
      </c>
      <c r="M21" s="4" t="str">
        <f>IF($I21="Complete","Green",IF($H21="","Amber",IF($H21&lt;'[2]Read Me'!$B$4,"Red",IF($H21-'[2]Read Me'!$B$4&lt;=21,"Amber","Green"))))</f>
        <v>Red</v>
      </c>
      <c r="N21" s="3"/>
      <c r="O21" t="str">
        <f>IF($I21&lt;&gt;"Complete",IF(COUNTIFS($A$4:$A20,$A21,$B$4:$B20,$B21,$I$4:$I20,"&lt;&gt;Complete")=0,$A21&amp;"|"&amp;$B21,""),"")</f>
        <v/>
      </c>
      <c r="P21" t="str">
        <f ca="1">IF($K21="Yes",COUNTIFS($K$4:$K21,"Yes"),"")</f>
        <v/>
      </c>
      <c r="Q21">
        <f t="shared" ca="1" si="3"/>
        <v>0</v>
      </c>
      <c r="R21" t="str">
        <f ca="1">IF($Q21=1,SUM($Q$4:$Q21),"")</f>
        <v/>
      </c>
    </row>
    <row r="22" spans="1:18" ht="33.75" hidden="1" customHeight="1" x14ac:dyDescent="0.3">
      <c r="A22" s="2" t="s">
        <v>405</v>
      </c>
      <c r="B22" s="2" t="s">
        <v>49</v>
      </c>
      <c r="C22" s="3" t="s">
        <v>50</v>
      </c>
      <c r="D22" s="3" t="s">
        <v>413</v>
      </c>
      <c r="E22" s="2"/>
      <c r="F22" s="2"/>
      <c r="G22" s="5">
        <v>45945.5</v>
      </c>
      <c r="H22" s="5">
        <v>45992</v>
      </c>
      <c r="I22" s="2" t="s">
        <v>31</v>
      </c>
      <c r="J22" s="6">
        <f t="shared" si="1"/>
        <v>46.5</v>
      </c>
      <c r="K22" s="4" t="str">
        <f t="shared" ca="1" si="2"/>
        <v>-</v>
      </c>
      <c r="L22" s="7">
        <f t="shared" ca="1" si="4"/>
        <v>0</v>
      </c>
      <c r="M22" s="4" t="str">
        <f>IF($I22="Complete","Green",IF($H22="","Amber",IF($H22&lt;'[2]Read Me'!$B$4,"Red",IF($H22-'[2]Read Me'!$B$4&lt;=21,"Amber","Green"))))</f>
        <v>Red</v>
      </c>
      <c r="N22" s="3"/>
      <c r="O22" t="str">
        <f>IF($I22&lt;&gt;"Complete",IF(COUNTIFS($A$4:$A21,$A22,$B$4:$B21,$B22,$I$4:$I21,"&lt;&gt;Complete")=0,$A22&amp;"|"&amp;$B22,""),"")</f>
        <v/>
      </c>
      <c r="P22" t="str">
        <f ca="1">IF($K22="Yes",COUNTIFS($K$4:$K22,"Yes"),"")</f>
        <v/>
      </c>
      <c r="Q22">
        <f t="shared" ca="1" si="3"/>
        <v>0</v>
      </c>
      <c r="R22" t="str">
        <f ca="1">IF($Q22=1,SUM($Q$4:$Q22),"")</f>
        <v/>
      </c>
    </row>
    <row r="23" spans="1:18" ht="33.75" hidden="1" customHeight="1" x14ac:dyDescent="0.3">
      <c r="A23" s="2" t="s">
        <v>405</v>
      </c>
      <c r="B23" s="2" t="s">
        <v>49</v>
      </c>
      <c r="C23" s="3" t="s">
        <v>50</v>
      </c>
      <c r="D23" s="3" t="s">
        <v>414</v>
      </c>
      <c r="E23" s="2"/>
      <c r="F23" s="2"/>
      <c r="G23" s="5">
        <v>45945.5</v>
      </c>
      <c r="H23" s="5">
        <v>46022</v>
      </c>
      <c r="I23" s="2" t="s">
        <v>31</v>
      </c>
      <c r="J23" s="6">
        <f t="shared" si="1"/>
        <v>76.5</v>
      </c>
      <c r="K23" s="4" t="str">
        <f t="shared" ca="1" si="2"/>
        <v>-</v>
      </c>
      <c r="L23" s="7">
        <f t="shared" ca="1" si="4"/>
        <v>0</v>
      </c>
      <c r="M23" s="4" t="str">
        <f>IF($I23="Complete","Green",IF($H23="","Amber",IF($H23&lt;'[2]Read Me'!$B$4,"Red",IF($H23-'[2]Read Me'!$B$4&lt;=21,"Amber","Green"))))</f>
        <v>Red</v>
      </c>
      <c r="N23" s="3"/>
      <c r="O23" t="str">
        <f>IF($I23&lt;&gt;"Complete",IF(COUNTIFS($A$4:$A22,$A23,$B$4:$B22,$B23,$I$4:$I22,"&lt;&gt;Complete")=0,$A23&amp;"|"&amp;$B23,""),"")</f>
        <v/>
      </c>
      <c r="P23" t="str">
        <f ca="1">IF($K23="Yes",COUNTIFS($K$4:$K23,"Yes"),"")</f>
        <v/>
      </c>
      <c r="Q23">
        <f t="shared" ca="1" si="3"/>
        <v>0</v>
      </c>
      <c r="R23" t="str">
        <f ca="1">IF($Q23=1,SUM($Q$4:$Q23),"")</f>
        <v/>
      </c>
    </row>
    <row r="24" spans="1:18" ht="33.75" hidden="1" customHeight="1" x14ac:dyDescent="0.3">
      <c r="A24" s="2" t="s">
        <v>405</v>
      </c>
      <c r="B24" s="2" t="s">
        <v>49</v>
      </c>
      <c r="C24" s="3" t="s">
        <v>50</v>
      </c>
      <c r="D24" s="3" t="s">
        <v>415</v>
      </c>
      <c r="E24" s="2"/>
      <c r="F24" s="2"/>
      <c r="G24" s="5"/>
      <c r="H24" s="5">
        <v>46099</v>
      </c>
      <c r="I24" s="2" t="s">
        <v>31</v>
      </c>
      <c r="J24" s="6" t="str">
        <f t="shared" si="1"/>
        <v/>
      </c>
      <c r="K24" s="4" t="str">
        <f t="shared" ca="1" si="2"/>
        <v>-</v>
      </c>
      <c r="L24" s="7">
        <f t="shared" ca="1" si="4"/>
        <v>0</v>
      </c>
      <c r="M24" s="4" t="str">
        <f>IF($I24="Complete","Green",IF($H24="","Amber",IF($H24&lt;'[2]Read Me'!$B$4,"Red",IF($H24-'[2]Read Me'!$B$4&lt;=21,"Amber","Green"))))</f>
        <v>Red</v>
      </c>
      <c r="N24" s="3"/>
      <c r="O24" t="str">
        <f>IF($I24&lt;&gt;"Complete",IF(COUNTIFS($A$4:$A23,$A24,$B$4:$B23,$B24,$I$4:$I23,"&lt;&gt;Complete")=0,$A24&amp;"|"&amp;$B24,""),"")</f>
        <v/>
      </c>
      <c r="P24" t="str">
        <f ca="1">IF($K24="Yes",COUNTIFS($K$4:$K24,"Yes"),"")</f>
        <v/>
      </c>
      <c r="Q24">
        <f t="shared" ca="1" si="3"/>
        <v>0</v>
      </c>
      <c r="R24" t="str">
        <f ca="1">IF($Q24=1,SUM($Q$4:$Q24),"")</f>
        <v/>
      </c>
    </row>
    <row r="25" spans="1:18" ht="33.75" hidden="1" customHeight="1" x14ac:dyDescent="0.3">
      <c r="A25" s="2" t="s">
        <v>405</v>
      </c>
      <c r="B25" s="2" t="s">
        <v>140</v>
      </c>
      <c r="C25" s="3"/>
      <c r="D25" s="3"/>
      <c r="E25" s="2"/>
      <c r="F25" s="2"/>
      <c r="G25" s="5">
        <v>45515.875</v>
      </c>
      <c r="H25" s="5">
        <v>45515.875</v>
      </c>
      <c r="I25" s="2"/>
      <c r="J25" s="6">
        <f t="shared" si="1"/>
        <v>0</v>
      </c>
      <c r="K25" s="4" t="str">
        <f t="shared" ca="1" si="2"/>
        <v/>
      </c>
      <c r="L25" s="7">
        <f t="shared" ca="1" si="4"/>
        <v>-692.125</v>
      </c>
      <c r="M25" s="4" t="str">
        <f>IF($I25="Complete","Green",IF($H25="","Amber",IF($H25&lt;'[2]Read Me'!$B$4,"Red",IF($H25-'[2]Read Me'!$B$4&lt;=21,"Amber","Green"))))</f>
        <v>Red</v>
      </c>
      <c r="N25" s="3"/>
      <c r="O25" t="str">
        <f>IF($I25&lt;&gt;"Complete",IF(COUNTIFS($A$4:$A24,$A25,$B$4:$B24,$B25,$I$4:$I24,"&lt;&gt;Complete")=0,$A25&amp;"|"&amp;$B25,""),"")</f>
        <v>Ph.01&amp;02|Masterplan</v>
      </c>
      <c r="P25" t="str">
        <f ca="1">IF($K25="Yes",COUNTIFS($K$4:$K25,"Yes"),"")</f>
        <v/>
      </c>
      <c r="Q25">
        <f t="shared" ca="1" si="3"/>
        <v>0</v>
      </c>
      <c r="R25" t="str">
        <f ca="1">IF($Q25=1,SUM($Q$4:$Q25),"")</f>
        <v/>
      </c>
    </row>
    <row r="26" spans="1:18" ht="33.75" hidden="1" customHeight="1" x14ac:dyDescent="0.3">
      <c r="A26" s="2" t="s">
        <v>405</v>
      </c>
      <c r="B26" s="2" t="s">
        <v>140</v>
      </c>
      <c r="C26" s="3" t="s">
        <v>416</v>
      </c>
      <c r="D26" s="3" t="s">
        <v>58</v>
      </c>
      <c r="E26" s="2"/>
      <c r="F26" s="2"/>
      <c r="G26" s="5">
        <v>45522.875</v>
      </c>
      <c r="H26" s="5">
        <v>45522.875</v>
      </c>
      <c r="I26" s="2" t="s">
        <v>31</v>
      </c>
      <c r="J26" s="6">
        <f t="shared" si="1"/>
        <v>0</v>
      </c>
      <c r="K26" s="4" t="str">
        <f t="shared" ca="1" si="2"/>
        <v>-</v>
      </c>
      <c r="L26" s="7">
        <f t="shared" ca="1" si="4"/>
        <v>0</v>
      </c>
      <c r="M26" s="4" t="str">
        <f>IF($I26="Complete","Green",IF($H26="","Amber",IF($H26&lt;'[2]Read Me'!$B$4,"Red",IF($H26-'[2]Read Me'!$B$4&lt;=21,"Amber","Green"))))</f>
        <v>Red</v>
      </c>
      <c r="N26" s="3"/>
      <c r="O26" t="str">
        <f>IF($I26&lt;&gt;"Complete",IF(COUNTIFS($A$4:$A25,$A26,$B$4:$B25,$B26,$I$4:$I25,"&lt;&gt;Complete")=0,$A26&amp;"|"&amp;$B26,""),"")</f>
        <v/>
      </c>
      <c r="P26" t="str">
        <f ca="1">IF($K26="Yes",COUNTIFS($K$4:$K26,"Yes"),"")</f>
        <v/>
      </c>
      <c r="Q26">
        <f t="shared" ca="1" si="3"/>
        <v>0</v>
      </c>
      <c r="R26" t="str">
        <f ca="1">IF($Q26=1,SUM($Q$4:$Q26),"")</f>
        <v/>
      </c>
    </row>
    <row r="27" spans="1:18" ht="33.75" hidden="1" customHeight="1" x14ac:dyDescent="0.3">
      <c r="A27" s="2" t="s">
        <v>405</v>
      </c>
      <c r="B27" s="2" t="s">
        <v>140</v>
      </c>
      <c r="C27" s="3" t="s">
        <v>416</v>
      </c>
      <c r="D27" s="3" t="s">
        <v>417</v>
      </c>
      <c r="E27" s="2"/>
      <c r="F27" s="2"/>
      <c r="G27" s="5">
        <v>45536.875</v>
      </c>
      <c r="H27" s="5">
        <v>45536.875</v>
      </c>
      <c r="I27" s="2" t="s">
        <v>31</v>
      </c>
      <c r="J27" s="6">
        <f t="shared" si="1"/>
        <v>0</v>
      </c>
      <c r="K27" s="4" t="str">
        <f t="shared" ca="1" si="2"/>
        <v>-</v>
      </c>
      <c r="L27" s="7">
        <f t="shared" ca="1" si="4"/>
        <v>0</v>
      </c>
      <c r="M27" s="4" t="str">
        <f>IF($I27="Complete","Green",IF($H27="","Amber",IF($H27&lt;'[2]Read Me'!$B$4,"Red",IF($H27-'[2]Read Me'!$B$4&lt;=21,"Amber","Green"))))</f>
        <v>Red</v>
      </c>
      <c r="N27" s="3"/>
      <c r="O27" t="str">
        <f>IF($I27&lt;&gt;"Complete",IF(COUNTIFS($A$4:$A26,$A27,$B$4:$B26,$B27,$I$4:$I26,"&lt;&gt;Complete")=0,$A27&amp;"|"&amp;$B27,""),"")</f>
        <v/>
      </c>
      <c r="P27" t="str">
        <f ca="1">IF($K27="Yes",COUNTIFS($K$4:$K27,"Yes"),"")</f>
        <v/>
      </c>
      <c r="Q27">
        <f t="shared" ca="1" si="3"/>
        <v>0</v>
      </c>
      <c r="R27" t="str">
        <f ca="1">IF($Q27=1,SUM($Q$4:$Q27),"")</f>
        <v/>
      </c>
    </row>
    <row r="28" spans="1:18" ht="33.75" hidden="1" customHeight="1" x14ac:dyDescent="0.3">
      <c r="A28" s="2" t="s">
        <v>405</v>
      </c>
      <c r="B28" s="2" t="s">
        <v>140</v>
      </c>
      <c r="C28" s="3" t="s">
        <v>416</v>
      </c>
      <c r="D28" s="3" t="s">
        <v>58</v>
      </c>
      <c r="E28" s="2"/>
      <c r="F28" s="2"/>
      <c r="G28" s="5">
        <v>45550.875</v>
      </c>
      <c r="H28" s="5">
        <v>45550.875</v>
      </c>
      <c r="I28" s="2" t="s">
        <v>31</v>
      </c>
      <c r="J28" s="6">
        <f t="shared" si="1"/>
        <v>0</v>
      </c>
      <c r="K28" s="4" t="str">
        <f t="shared" ca="1" si="2"/>
        <v>-</v>
      </c>
      <c r="L28" s="7">
        <f t="shared" ca="1" si="4"/>
        <v>0</v>
      </c>
      <c r="M28" s="4" t="str">
        <f>IF($I28="Complete","Green",IF($H28="","Amber",IF($H28&lt;'[2]Read Me'!$B$4,"Red",IF($H28-'[2]Read Me'!$B$4&lt;=21,"Amber","Green"))))</f>
        <v>Red</v>
      </c>
      <c r="N28" s="3"/>
      <c r="O28" t="str">
        <f>IF($I28&lt;&gt;"Complete",IF(COUNTIFS($A$4:$A27,$A28,$B$4:$B27,$B28,$I$4:$I27,"&lt;&gt;Complete")=0,$A28&amp;"|"&amp;$B28,""),"")</f>
        <v/>
      </c>
      <c r="P28" t="str">
        <f ca="1">IF($K28="Yes",COUNTIFS($K$4:$K28,"Yes"),"")</f>
        <v/>
      </c>
      <c r="Q28">
        <f t="shared" ca="1" si="3"/>
        <v>0</v>
      </c>
      <c r="R28" t="str">
        <f ca="1">IF($Q28=1,SUM($Q$4:$Q28),"")</f>
        <v/>
      </c>
    </row>
    <row r="29" spans="1:18" ht="33.75" hidden="1" customHeight="1" x14ac:dyDescent="0.3">
      <c r="A29" s="2" t="s">
        <v>405</v>
      </c>
      <c r="B29" s="2" t="s">
        <v>140</v>
      </c>
      <c r="C29" s="3" t="s">
        <v>416</v>
      </c>
      <c r="D29" s="3" t="s">
        <v>418</v>
      </c>
      <c r="E29" s="2"/>
      <c r="F29" s="2"/>
      <c r="G29" s="5">
        <v>45578.875</v>
      </c>
      <c r="H29" s="5">
        <v>45578.875</v>
      </c>
      <c r="I29" s="2" t="s">
        <v>31</v>
      </c>
      <c r="J29" s="6">
        <f t="shared" si="1"/>
        <v>0</v>
      </c>
      <c r="K29" s="4" t="str">
        <f t="shared" ca="1" si="2"/>
        <v>-</v>
      </c>
      <c r="L29" s="7">
        <f t="shared" ca="1" si="4"/>
        <v>0</v>
      </c>
      <c r="M29" s="4" t="str">
        <f>IF($I29="Complete","Green",IF($H29="","Amber",IF($H29&lt;'[2]Read Me'!$B$4,"Red",IF($H29-'[2]Read Me'!$B$4&lt;=21,"Amber","Green"))))</f>
        <v>Red</v>
      </c>
      <c r="N29" s="3"/>
      <c r="O29" t="str">
        <f>IF($I29&lt;&gt;"Complete",IF(COUNTIFS($A$4:$A28,$A29,$B$4:$B28,$B29,$I$4:$I28,"&lt;&gt;Complete")=0,$A29&amp;"|"&amp;$B29,""),"")</f>
        <v/>
      </c>
      <c r="P29" t="str">
        <f ca="1">IF($K29="Yes",COUNTIFS($K$4:$K29,"Yes"),"")</f>
        <v/>
      </c>
      <c r="Q29">
        <f t="shared" ca="1" si="3"/>
        <v>0</v>
      </c>
      <c r="R29" t="str">
        <f ca="1">IF($Q29=1,SUM($Q$4:$Q29),"")</f>
        <v/>
      </c>
    </row>
    <row r="30" spans="1:18" ht="33.75" hidden="1" customHeight="1" x14ac:dyDescent="0.3">
      <c r="A30" s="2" t="s">
        <v>405</v>
      </c>
      <c r="B30" s="2" t="s">
        <v>140</v>
      </c>
      <c r="C30" s="3" t="s">
        <v>416</v>
      </c>
      <c r="D30" s="3" t="s">
        <v>58</v>
      </c>
      <c r="E30" s="2"/>
      <c r="F30" s="2"/>
      <c r="G30" s="5">
        <v>45592.875</v>
      </c>
      <c r="H30" s="5">
        <v>45592.875</v>
      </c>
      <c r="I30" s="2" t="s">
        <v>31</v>
      </c>
      <c r="J30" s="6">
        <f t="shared" si="1"/>
        <v>0</v>
      </c>
      <c r="K30" s="4" t="str">
        <f t="shared" ca="1" si="2"/>
        <v>-</v>
      </c>
      <c r="L30" s="7">
        <f t="shared" ca="1" si="4"/>
        <v>0</v>
      </c>
      <c r="M30" s="4" t="str">
        <f>IF($I30="Complete","Green",IF($H30="","Amber",IF($H30&lt;'[2]Read Me'!$B$4,"Red",IF($H30-'[2]Read Me'!$B$4&lt;=21,"Amber","Green"))))</f>
        <v>Red</v>
      </c>
      <c r="N30" s="3"/>
      <c r="O30" t="str">
        <f>IF($I30&lt;&gt;"Complete",IF(COUNTIFS($A$4:$A29,$A30,$B$4:$B29,$B30,$I$4:$I29,"&lt;&gt;Complete")=0,$A30&amp;"|"&amp;$B30,""),"")</f>
        <v/>
      </c>
      <c r="P30" t="str">
        <f ca="1">IF($K30="Yes",COUNTIFS($K$4:$K30,"Yes"),"")</f>
        <v/>
      </c>
      <c r="Q30">
        <f t="shared" ca="1" si="3"/>
        <v>0</v>
      </c>
      <c r="R30" t="str">
        <f ca="1">IF($Q30=1,SUM($Q$4:$Q30),"")</f>
        <v/>
      </c>
    </row>
    <row r="31" spans="1:18" ht="14.25" hidden="1" customHeight="1" x14ac:dyDescent="0.3">
      <c r="A31" s="2" t="s">
        <v>405</v>
      </c>
      <c r="B31" s="2" t="s">
        <v>140</v>
      </c>
      <c r="C31" s="3" t="s">
        <v>416</v>
      </c>
      <c r="D31" s="3" t="s">
        <v>57</v>
      </c>
      <c r="E31" s="2"/>
      <c r="F31" s="2"/>
      <c r="G31" s="5">
        <v>45606.875</v>
      </c>
      <c r="H31" s="5">
        <v>45606.875</v>
      </c>
      <c r="I31" s="2" t="s">
        <v>31</v>
      </c>
      <c r="J31" s="6">
        <f t="shared" si="1"/>
        <v>0</v>
      </c>
      <c r="K31" s="4" t="str">
        <f t="shared" ca="1" si="2"/>
        <v>-</v>
      </c>
      <c r="L31" s="7">
        <f t="shared" ca="1" si="4"/>
        <v>0</v>
      </c>
      <c r="M31" s="4" t="str">
        <f>IF($I31="Complete","Green",IF($H31="","Amber",IF($H31&lt;'[2]Read Me'!$B$4,"Red",IF($H31-'[2]Read Me'!$B$4&lt;=21,"Amber","Green"))))</f>
        <v>Red</v>
      </c>
      <c r="N31" s="3"/>
      <c r="O31" t="str">
        <f>IF($I31&lt;&gt;"Complete",IF(COUNTIFS($A$4:$A30,$A31,$B$4:$B30,$B31,$I$4:$I30,"&lt;&gt;Complete")=0,$A31&amp;"|"&amp;$B31,""),"")</f>
        <v/>
      </c>
      <c r="P31" t="str">
        <f ca="1">IF($K31="Yes",COUNTIFS($K$4:$K31,"Yes"),"")</f>
        <v/>
      </c>
      <c r="Q31">
        <f t="shared" ca="1" si="3"/>
        <v>0</v>
      </c>
      <c r="R31" t="str">
        <f ca="1">IF($Q31=1,SUM($Q$4:$Q31),"")</f>
        <v/>
      </c>
    </row>
    <row r="32" spans="1:18" ht="14.25" hidden="1" customHeight="1" x14ac:dyDescent="0.3">
      <c r="A32" s="2" t="s">
        <v>405</v>
      </c>
      <c r="B32" s="2" t="s">
        <v>140</v>
      </c>
      <c r="C32" s="3" t="s">
        <v>416</v>
      </c>
      <c r="D32" s="3" t="s">
        <v>58</v>
      </c>
      <c r="E32" s="2"/>
      <c r="F32" s="2"/>
      <c r="G32" s="5">
        <v>45620.875</v>
      </c>
      <c r="H32" s="5">
        <v>45620.875</v>
      </c>
      <c r="I32" s="2" t="s">
        <v>31</v>
      </c>
      <c r="J32" s="6">
        <f t="shared" si="1"/>
        <v>0</v>
      </c>
      <c r="K32" s="4" t="str">
        <f t="shared" ca="1" si="2"/>
        <v>-</v>
      </c>
      <c r="L32" s="7">
        <f t="shared" ca="1" si="4"/>
        <v>0</v>
      </c>
      <c r="M32" s="4" t="str">
        <f>IF($I32="Complete","Green",IF($H32="","Amber",IF($H32&lt;'[2]Read Me'!$B$4,"Red",IF($H32-'[2]Read Me'!$B$4&lt;=21,"Amber","Green"))))</f>
        <v>Red</v>
      </c>
      <c r="N32" s="3"/>
      <c r="O32" t="str">
        <f>IF($I32&lt;&gt;"Complete",IF(COUNTIFS($A$4:$A31,$A32,$B$4:$B31,$B32,$I$4:$I31,"&lt;&gt;Complete")=0,$A32&amp;"|"&amp;$B32,""),"")</f>
        <v/>
      </c>
      <c r="P32" t="str">
        <f ca="1">IF($K32="Yes",COUNTIFS($K$4:$K32,"Yes"),"")</f>
        <v/>
      </c>
      <c r="Q32">
        <f t="shared" ca="1" si="3"/>
        <v>0</v>
      </c>
      <c r="R32" t="str">
        <f ca="1">IF($Q32=1,SUM($Q$4:$Q32),"")</f>
        <v/>
      </c>
    </row>
    <row r="33" spans="1:18" ht="14.25" hidden="1" customHeight="1" x14ac:dyDescent="0.3">
      <c r="A33" s="2" t="s">
        <v>405</v>
      </c>
      <c r="B33" s="2" t="s">
        <v>140</v>
      </c>
      <c r="C33" s="3" t="s">
        <v>416</v>
      </c>
      <c r="D33" s="3" t="s">
        <v>388</v>
      </c>
      <c r="E33" s="2"/>
      <c r="F33" s="2"/>
      <c r="G33" s="5">
        <v>45634.875</v>
      </c>
      <c r="H33" s="5">
        <v>45634.875</v>
      </c>
      <c r="I33" s="2" t="s">
        <v>31</v>
      </c>
      <c r="J33" s="6">
        <f t="shared" si="1"/>
        <v>0</v>
      </c>
      <c r="K33" s="4" t="str">
        <f t="shared" ca="1" si="2"/>
        <v>-</v>
      </c>
      <c r="L33" s="7">
        <f t="shared" ca="1" si="4"/>
        <v>0</v>
      </c>
      <c r="M33" s="4" t="str">
        <f>IF($I33="Complete","Green",IF($H33="","Amber",IF($H33&lt;'[2]Read Me'!$B$4,"Red",IF($H33-'[2]Read Me'!$B$4&lt;=21,"Amber","Green"))))</f>
        <v>Red</v>
      </c>
      <c r="N33" s="3"/>
      <c r="O33" t="str">
        <f>IF($I33&lt;&gt;"Complete",IF(COUNTIFS($A$4:$A32,$A33,$B$4:$B32,$B33,$I$4:$I32,"&lt;&gt;Complete")=0,$A33&amp;"|"&amp;$B33,""),"")</f>
        <v/>
      </c>
      <c r="P33" t="str">
        <f ca="1">IF($K33="Yes",COUNTIFS($K$4:$K33,"Yes"),"")</f>
        <v/>
      </c>
      <c r="Q33">
        <f t="shared" ca="1" si="3"/>
        <v>0</v>
      </c>
      <c r="R33" t="str">
        <f ca="1">IF($Q33=1,SUM($Q$4:$Q33),"")</f>
        <v/>
      </c>
    </row>
    <row r="34" spans="1:18" ht="14.25" hidden="1" customHeight="1" x14ac:dyDescent="0.3">
      <c r="A34" s="2" t="s">
        <v>419</v>
      </c>
      <c r="B34" s="2" t="s">
        <v>62</v>
      </c>
      <c r="C34" s="3"/>
      <c r="D34" s="3"/>
      <c r="E34" s="2"/>
      <c r="F34" s="2"/>
      <c r="G34" s="5">
        <v>46132</v>
      </c>
      <c r="H34" s="5">
        <v>46314</v>
      </c>
      <c r="I34" s="2"/>
      <c r="J34" s="6">
        <f t="shared" si="1"/>
        <v>182</v>
      </c>
      <c r="K34" s="4" t="str">
        <f t="shared" ca="1" si="2"/>
        <v/>
      </c>
      <c r="L34" s="7">
        <f t="shared" ca="1" si="4"/>
        <v>106</v>
      </c>
      <c r="M34" s="4" t="str">
        <f>IF($I34="Complete","Green",IF($H34="","Amber",IF($H34&lt;'[2]Read Me'!$B$4,"Red",IF($H34-'[2]Read Me'!$B$4&lt;=21,"Amber","Green"))))</f>
        <v>Green</v>
      </c>
      <c r="N34" s="3"/>
      <c r="O34" t="str">
        <f>IF($I34&lt;&gt;"Complete",IF(COUNTIFS($A$4:$A33,$A34,$B$4:$B33,$B34,$I$4:$I33,"&lt;&gt;Complete")=0,$A34&amp;"|"&amp;$B34,""),"")</f>
        <v>Ph.03&amp;04|Buildings</v>
      </c>
      <c r="P34" t="str">
        <f ca="1">IF($K34="Yes",COUNTIFS($K$4:$K34,"Yes"),"")</f>
        <v/>
      </c>
      <c r="Q34">
        <f t="shared" ca="1" si="3"/>
        <v>0</v>
      </c>
      <c r="R34" t="str">
        <f ca="1">IF($Q34=1,SUM($Q$4:$Q34),"")</f>
        <v/>
      </c>
    </row>
    <row r="35" spans="1:18" ht="14.25" hidden="1" customHeight="1" x14ac:dyDescent="0.3">
      <c r="A35" s="2" t="s">
        <v>419</v>
      </c>
      <c r="B35" s="2" t="s">
        <v>62</v>
      </c>
      <c r="C35" s="3" t="s">
        <v>420</v>
      </c>
      <c r="D35" s="3" t="s">
        <v>407</v>
      </c>
      <c r="E35" s="2"/>
      <c r="F35" s="2" t="s">
        <v>197</v>
      </c>
      <c r="G35" s="5">
        <v>45728</v>
      </c>
      <c r="H35" s="5">
        <v>45761</v>
      </c>
      <c r="I35" s="2" t="s">
        <v>31</v>
      </c>
      <c r="J35" s="6">
        <f t="shared" si="1"/>
        <v>33</v>
      </c>
      <c r="K35" s="4" t="str">
        <f t="shared" ca="1" si="2"/>
        <v>-</v>
      </c>
      <c r="L35" s="7">
        <f t="shared" ca="1" si="4"/>
        <v>0</v>
      </c>
      <c r="M35" s="4" t="str">
        <f>IF($I35="Complete","Green",IF($H35="","Amber",IF($H35&lt;'[2]Read Me'!$B$4,"Red",IF($H35-'[2]Read Me'!$B$4&lt;=21,"Amber","Green"))))</f>
        <v>Red</v>
      </c>
      <c r="N35" s="3"/>
      <c r="O35" t="str">
        <f>IF($I35&lt;&gt;"Complete",IF(COUNTIFS($A$4:$A34,$A35,$B$4:$B34,$B35,$I$4:$I34,"&lt;&gt;Complete")=0,$A35&amp;"|"&amp;$B35,""),"")</f>
        <v/>
      </c>
      <c r="P35" t="str">
        <f ca="1">IF($K35="Yes",COUNTIFS($K$4:$K35,"Yes"),"")</f>
        <v/>
      </c>
      <c r="Q35">
        <f t="shared" ca="1" si="3"/>
        <v>0</v>
      </c>
      <c r="R35" t="str">
        <f ca="1">IF($Q35=1,SUM($Q$4:$Q35),"")</f>
        <v/>
      </c>
    </row>
    <row r="36" spans="1:18" ht="14.25" hidden="1" customHeight="1" x14ac:dyDescent="0.3">
      <c r="A36" s="2" t="s">
        <v>419</v>
      </c>
      <c r="B36" s="2" t="s">
        <v>62</v>
      </c>
      <c r="C36" s="3" t="s">
        <v>420</v>
      </c>
      <c r="D36" s="3" t="s">
        <v>58</v>
      </c>
      <c r="E36" s="2"/>
      <c r="F36" s="2"/>
      <c r="G36" s="5">
        <v>45742</v>
      </c>
      <c r="H36" s="5">
        <v>45778</v>
      </c>
      <c r="I36" s="2" t="s">
        <v>31</v>
      </c>
      <c r="J36" s="6">
        <f t="shared" si="1"/>
        <v>36</v>
      </c>
      <c r="K36" s="4" t="str">
        <f t="shared" ca="1" si="2"/>
        <v>-</v>
      </c>
      <c r="L36" s="7">
        <f t="shared" ca="1" si="4"/>
        <v>0</v>
      </c>
      <c r="M36" s="4" t="str">
        <f>IF($I36="Complete","Green",IF($H36="","Amber",IF($H36&lt;'[2]Read Me'!$B$4,"Red",IF($H36-'[2]Read Me'!$B$4&lt;=21,"Amber","Green"))))</f>
        <v>Red</v>
      </c>
      <c r="N36" s="3"/>
      <c r="O36" t="str">
        <f>IF($I36&lt;&gt;"Complete",IF(COUNTIFS($A$4:$A35,$A36,$B$4:$B35,$B36,$I$4:$I35,"&lt;&gt;Complete")=0,$A36&amp;"|"&amp;$B36,""),"")</f>
        <v/>
      </c>
      <c r="P36" t="str">
        <f ca="1">IF($K36="Yes",COUNTIFS($K$4:$K36,"Yes"),"")</f>
        <v/>
      </c>
      <c r="Q36">
        <f t="shared" ca="1" si="3"/>
        <v>0</v>
      </c>
      <c r="R36" t="str">
        <f ca="1">IF($Q36=1,SUM($Q$4:$Q36),"")</f>
        <v/>
      </c>
    </row>
    <row r="37" spans="1:18" ht="14.25" hidden="1" customHeight="1" x14ac:dyDescent="0.3">
      <c r="A37" s="2" t="s">
        <v>419</v>
      </c>
      <c r="B37" s="2" t="s">
        <v>62</v>
      </c>
      <c r="C37" s="3" t="s">
        <v>420</v>
      </c>
      <c r="D37" s="3" t="s">
        <v>408</v>
      </c>
      <c r="E37" s="2"/>
      <c r="F37" s="2" t="s">
        <v>197</v>
      </c>
      <c r="G37" s="5">
        <v>45770</v>
      </c>
      <c r="H37" s="5">
        <v>45808</v>
      </c>
      <c r="I37" s="2" t="s">
        <v>31</v>
      </c>
      <c r="J37" s="6">
        <f t="shared" si="1"/>
        <v>38</v>
      </c>
      <c r="K37" s="4" t="str">
        <f t="shared" ca="1" si="2"/>
        <v>-</v>
      </c>
      <c r="L37" s="7">
        <f t="shared" ca="1" si="4"/>
        <v>0</v>
      </c>
      <c r="M37" s="4" t="str">
        <f>IF($I37="Complete","Green",IF($H37="","Amber",IF($H37&lt;'[2]Read Me'!$B$4,"Red",IF($H37-'[2]Read Me'!$B$4&lt;=21,"Amber","Green"))))</f>
        <v>Red</v>
      </c>
      <c r="N37" s="3"/>
      <c r="O37" t="str">
        <f>IF($I37&lt;&gt;"Complete",IF(COUNTIFS($A$4:$A36,$A37,$B$4:$B36,$B37,$I$4:$I36,"&lt;&gt;Complete")=0,$A37&amp;"|"&amp;$B37,""),"")</f>
        <v/>
      </c>
      <c r="P37" t="str">
        <f ca="1">IF($K37="Yes",COUNTIFS($K$4:$K37,"Yes"),"")</f>
        <v/>
      </c>
      <c r="Q37">
        <f t="shared" ca="1" si="3"/>
        <v>0</v>
      </c>
      <c r="R37" t="str">
        <f ca="1">IF($Q37=1,SUM($Q$4:$Q37),"")</f>
        <v/>
      </c>
    </row>
    <row r="38" spans="1:18" ht="14.25" hidden="1" customHeight="1" x14ac:dyDescent="0.3">
      <c r="A38" s="2" t="s">
        <v>419</v>
      </c>
      <c r="B38" s="2" t="s">
        <v>62</v>
      </c>
      <c r="C38" s="3" t="s">
        <v>420</v>
      </c>
      <c r="D38" s="3" t="s">
        <v>58</v>
      </c>
      <c r="E38" s="2"/>
      <c r="F38" s="2"/>
      <c r="G38" s="5">
        <v>45784</v>
      </c>
      <c r="H38" s="5">
        <v>45822</v>
      </c>
      <c r="I38" s="2" t="s">
        <v>31</v>
      </c>
      <c r="J38" s="6">
        <f t="shared" si="1"/>
        <v>38</v>
      </c>
      <c r="K38" s="4" t="str">
        <f t="shared" ca="1" si="2"/>
        <v>-</v>
      </c>
      <c r="L38" s="7">
        <f t="shared" ca="1" si="4"/>
        <v>0</v>
      </c>
      <c r="M38" s="4" t="str">
        <f>IF($I38="Complete","Green",IF($H38="","Amber",IF($H38&lt;'[2]Read Me'!$B$4,"Red",IF($H38-'[2]Read Me'!$B$4&lt;=21,"Amber","Green"))))</f>
        <v>Red</v>
      </c>
      <c r="N38" s="3"/>
      <c r="O38" t="str">
        <f>IF($I38&lt;&gt;"Complete",IF(COUNTIFS($A$4:$A37,$A38,$B$4:$B37,$B38,$I$4:$I37,"&lt;&gt;Complete")=0,$A38&amp;"|"&amp;$B38,""),"")</f>
        <v/>
      </c>
      <c r="P38" t="str">
        <f ca="1">IF($K38="Yes",COUNTIFS($K$4:$K38,"Yes"),"")</f>
        <v/>
      </c>
      <c r="Q38">
        <f t="shared" ca="1" si="3"/>
        <v>0</v>
      </c>
      <c r="R38" t="str">
        <f ca="1">IF($Q38=1,SUM($Q$4:$Q38),"")</f>
        <v/>
      </c>
    </row>
    <row r="39" spans="1:18" ht="14.25" hidden="1" customHeight="1" x14ac:dyDescent="0.3">
      <c r="A39" s="2" t="s">
        <v>419</v>
      </c>
      <c r="B39" s="2" t="s">
        <v>62</v>
      </c>
      <c r="C39" s="3" t="s">
        <v>420</v>
      </c>
      <c r="D39" s="3" t="s">
        <v>409</v>
      </c>
      <c r="E39" s="2"/>
      <c r="F39" s="2"/>
      <c r="G39" s="5">
        <v>45784</v>
      </c>
      <c r="H39" s="5">
        <v>45822</v>
      </c>
      <c r="I39" s="2" t="s">
        <v>31</v>
      </c>
      <c r="J39" s="6">
        <f t="shared" si="1"/>
        <v>38</v>
      </c>
      <c r="K39" s="4" t="str">
        <f t="shared" ca="1" si="2"/>
        <v>-</v>
      </c>
      <c r="L39" s="7">
        <f t="shared" ca="1" si="4"/>
        <v>0</v>
      </c>
      <c r="M39" s="4" t="str">
        <f>IF($I39="Complete","Green",IF($H39="","Amber",IF($H39&lt;'[2]Read Me'!$B$4,"Red",IF($H39-'[2]Read Me'!$B$4&lt;=21,"Amber","Green"))))</f>
        <v>Red</v>
      </c>
      <c r="N39" s="3"/>
      <c r="O39" t="str">
        <f>IF($I39&lt;&gt;"Complete",IF(COUNTIFS($A$4:$A38,$A39,$B$4:$B38,$B39,$I$4:$I38,"&lt;&gt;Complete")=0,$A39&amp;"|"&amp;$B39,""),"")</f>
        <v/>
      </c>
      <c r="P39" t="str">
        <f ca="1">IF($K39="Yes",COUNTIFS($K$4:$K39,"Yes"),"")</f>
        <v/>
      </c>
      <c r="Q39">
        <f t="shared" ca="1" si="3"/>
        <v>0</v>
      </c>
      <c r="R39" t="str">
        <f ca="1">IF($Q39=1,SUM($Q$4:$Q39),"")</f>
        <v/>
      </c>
    </row>
    <row r="40" spans="1:18" ht="14.25" hidden="1" customHeight="1" x14ac:dyDescent="0.3">
      <c r="A40" s="2" t="s">
        <v>419</v>
      </c>
      <c r="B40" s="2" t="s">
        <v>62</v>
      </c>
      <c r="C40" s="3" t="s">
        <v>420</v>
      </c>
      <c r="D40" s="3" t="s">
        <v>410</v>
      </c>
      <c r="E40" s="2"/>
      <c r="F40" s="2" t="s">
        <v>197</v>
      </c>
      <c r="G40" s="5">
        <v>45812</v>
      </c>
      <c r="H40" s="5">
        <v>45852</v>
      </c>
      <c r="I40" s="2" t="s">
        <v>31</v>
      </c>
      <c r="J40" s="6">
        <f t="shared" si="1"/>
        <v>40</v>
      </c>
      <c r="K40" s="4" t="str">
        <f t="shared" ca="1" si="2"/>
        <v>-</v>
      </c>
      <c r="L40" s="7">
        <f t="shared" ca="1" si="4"/>
        <v>0</v>
      </c>
      <c r="M40" s="4" t="str">
        <f>IF($I40="Complete","Green",IF($H40="","Amber",IF($H40&lt;'[2]Read Me'!$B$4,"Red",IF($H40-'[2]Read Me'!$B$4&lt;=21,"Amber","Green"))))</f>
        <v>Red</v>
      </c>
      <c r="N40" s="3"/>
      <c r="O40" t="str">
        <f>IF($I40&lt;&gt;"Complete",IF(COUNTIFS($A$4:$A39,$A40,$B$4:$B39,$B40,$I$4:$I39,"&lt;&gt;Complete")=0,$A40&amp;"|"&amp;$B40,""),"")</f>
        <v/>
      </c>
      <c r="P40" t="str">
        <f ca="1">IF($K40="Yes",COUNTIFS($K$4:$K40,"Yes"),"")</f>
        <v/>
      </c>
      <c r="Q40">
        <f t="shared" ca="1" si="3"/>
        <v>0</v>
      </c>
      <c r="R40" t="str">
        <f ca="1">IF($Q40=1,SUM($Q$4:$Q40),"")</f>
        <v/>
      </c>
    </row>
    <row r="41" spans="1:18" ht="14.25" hidden="1" customHeight="1" x14ac:dyDescent="0.3">
      <c r="A41" s="2" t="s">
        <v>419</v>
      </c>
      <c r="B41" s="2" t="s">
        <v>62</v>
      </c>
      <c r="C41" s="3" t="s">
        <v>420</v>
      </c>
      <c r="D41" s="3" t="s">
        <v>58</v>
      </c>
      <c r="E41" s="2"/>
      <c r="F41" s="2"/>
      <c r="G41" s="5">
        <v>45826</v>
      </c>
      <c r="H41" s="5">
        <v>45868</v>
      </c>
      <c r="I41" s="2" t="s">
        <v>31</v>
      </c>
      <c r="J41" s="6">
        <f t="shared" si="1"/>
        <v>42</v>
      </c>
      <c r="K41" s="4" t="str">
        <f t="shared" ca="1" si="2"/>
        <v>-</v>
      </c>
      <c r="L41" s="7">
        <f t="shared" ca="1" si="4"/>
        <v>0</v>
      </c>
      <c r="M41" s="4" t="str">
        <f>IF($I41="Complete","Green",IF($H41="","Amber",IF($H41&lt;'[2]Read Me'!$B$4,"Red",IF($H41-'[2]Read Me'!$B$4&lt;=21,"Amber","Green"))))</f>
        <v>Red</v>
      </c>
      <c r="N41" s="3"/>
      <c r="O41" t="str">
        <f>IF($I41&lt;&gt;"Complete",IF(COUNTIFS($A$4:$A40,$A41,$B$4:$B40,$B41,$I$4:$I40,"&lt;&gt;Complete")=0,$A41&amp;"|"&amp;$B41,""),"")</f>
        <v/>
      </c>
      <c r="P41" t="str">
        <f ca="1">IF($K41="Yes",COUNTIFS($K$4:$K41,"Yes"),"")</f>
        <v/>
      </c>
      <c r="Q41">
        <f t="shared" ca="1" si="3"/>
        <v>0</v>
      </c>
      <c r="R41" t="str">
        <f ca="1">IF($Q41=1,SUM($Q$4:$Q41),"")</f>
        <v/>
      </c>
    </row>
    <row r="42" spans="1:18" ht="22.5" hidden="1" customHeight="1" x14ac:dyDescent="0.3">
      <c r="A42" s="2" t="s">
        <v>419</v>
      </c>
      <c r="B42" s="2" t="s">
        <v>62</v>
      </c>
      <c r="C42" s="3" t="s">
        <v>420</v>
      </c>
      <c r="D42" s="3" t="s">
        <v>411</v>
      </c>
      <c r="E42" s="2"/>
      <c r="F42" s="2" t="s">
        <v>197</v>
      </c>
      <c r="G42" s="5">
        <v>45840</v>
      </c>
      <c r="H42" s="5">
        <v>45901</v>
      </c>
      <c r="I42" s="2" t="s">
        <v>31</v>
      </c>
      <c r="J42" s="6">
        <f t="shared" si="1"/>
        <v>61</v>
      </c>
      <c r="K42" s="4" t="str">
        <f t="shared" ca="1" si="2"/>
        <v>-</v>
      </c>
      <c r="L42" s="7">
        <f t="shared" ca="1" si="4"/>
        <v>0</v>
      </c>
      <c r="M42" s="4" t="str">
        <f>IF($I42="Complete","Green",IF($H42="","Amber",IF($H42&lt;'[2]Read Me'!$B$4,"Red",IF($H42-'[2]Read Me'!$B$4&lt;=21,"Amber","Green"))))</f>
        <v>Red</v>
      </c>
      <c r="N42" s="3"/>
      <c r="O42" t="str">
        <f>IF($I42&lt;&gt;"Complete",IF(COUNTIFS($A$4:$A41,$A42,$B$4:$B41,$B42,$I$4:$I41,"&lt;&gt;Complete")=0,$A42&amp;"|"&amp;$B42,""),"")</f>
        <v/>
      </c>
      <c r="P42" t="str">
        <f ca="1">IF($K42="Yes",COUNTIFS($K$4:$K42,"Yes"),"")</f>
        <v/>
      </c>
      <c r="Q42">
        <f t="shared" ca="1" si="3"/>
        <v>0</v>
      </c>
      <c r="R42" t="str">
        <f ca="1">IF($Q42=1,SUM($Q$4:$Q42),"")</f>
        <v/>
      </c>
    </row>
    <row r="43" spans="1:18" ht="22.5" hidden="1" customHeight="1" x14ac:dyDescent="0.3">
      <c r="A43" s="2" t="s">
        <v>419</v>
      </c>
      <c r="B43" s="2" t="s">
        <v>62</v>
      </c>
      <c r="C43" s="3" t="s">
        <v>420</v>
      </c>
      <c r="D43" s="3" t="s">
        <v>58</v>
      </c>
      <c r="E43" s="2"/>
      <c r="F43" s="2"/>
      <c r="G43" s="5">
        <v>45854</v>
      </c>
      <c r="H43" s="5">
        <v>45914</v>
      </c>
      <c r="I43" s="2" t="s">
        <v>31</v>
      </c>
      <c r="J43" s="6">
        <f t="shared" si="1"/>
        <v>60</v>
      </c>
      <c r="K43" s="4" t="str">
        <f t="shared" ca="1" si="2"/>
        <v>-</v>
      </c>
      <c r="L43" s="7">
        <f t="shared" ca="1" si="4"/>
        <v>0</v>
      </c>
      <c r="M43" s="4" t="str">
        <f>IF($I43="Complete","Green",IF($H43="","Amber",IF($H43&lt;'[2]Read Me'!$B$4,"Red",IF($H43-'[2]Read Me'!$B$4&lt;=21,"Amber","Green"))))</f>
        <v>Red</v>
      </c>
      <c r="N43" s="3"/>
      <c r="O43" t="str">
        <f>IF($I43&lt;&gt;"Complete",IF(COUNTIFS($A$4:$A42,$A43,$B$4:$B42,$B43,$I$4:$I42,"&lt;&gt;Complete")=0,$A43&amp;"|"&amp;$B43,""),"")</f>
        <v/>
      </c>
      <c r="P43" t="str">
        <f ca="1">IF($K43="Yes",COUNTIFS($K$4:$K43,"Yes"),"")</f>
        <v/>
      </c>
      <c r="Q43">
        <f t="shared" ca="1" si="3"/>
        <v>0</v>
      </c>
      <c r="R43" t="str">
        <f ca="1">IF($Q43=1,SUM($Q$4:$Q43),"")</f>
        <v/>
      </c>
    </row>
    <row r="44" spans="1:18" ht="14.25" hidden="1" customHeight="1" x14ac:dyDescent="0.3">
      <c r="A44" s="2" t="s">
        <v>419</v>
      </c>
      <c r="B44" s="2" t="s">
        <v>62</v>
      </c>
      <c r="C44" s="3" t="s">
        <v>420</v>
      </c>
      <c r="D44" s="3" t="s">
        <v>412</v>
      </c>
      <c r="E44" s="2"/>
      <c r="F44" s="2"/>
      <c r="G44" s="5">
        <v>45854</v>
      </c>
      <c r="H44" s="5">
        <v>45915</v>
      </c>
      <c r="I44" s="4" t="s">
        <v>31</v>
      </c>
      <c r="J44" s="6">
        <f t="shared" si="1"/>
        <v>61</v>
      </c>
      <c r="K44" s="4" t="str">
        <f t="shared" ca="1" si="2"/>
        <v>-</v>
      </c>
      <c r="L44" s="7">
        <f t="shared" ca="1" si="4"/>
        <v>0</v>
      </c>
      <c r="M44" s="4" t="str">
        <f>IF($I44="Complete","Green",IF($H44="","Amber",IF($H44&lt;'[2]Read Me'!$B$4,"Red",IF($H44-'[2]Read Me'!$B$4&lt;=21,"Amber","Green"))))</f>
        <v>Red</v>
      </c>
      <c r="N44" s="3"/>
      <c r="O44" t="str">
        <f>IF($I44&lt;&gt;"Complete",IF(COUNTIFS($A$4:$A43,$A44,$B$4:$B43,$B44,$I$4:$I43,"&lt;&gt;Complete")=0,$A44&amp;"|"&amp;$B44,""),"")</f>
        <v/>
      </c>
      <c r="P44" t="str">
        <f ca="1">IF($K44="Yes",COUNTIFS($K$4:$K44,"Yes"),"")</f>
        <v/>
      </c>
      <c r="Q44">
        <f t="shared" ca="1" si="3"/>
        <v>0</v>
      </c>
      <c r="R44" t="str">
        <f ca="1">IF($Q44=1,SUM($Q$4:$Q44),"")</f>
        <v/>
      </c>
    </row>
    <row r="45" spans="1:18" ht="14.25" hidden="1" customHeight="1" x14ac:dyDescent="0.3">
      <c r="A45" s="2" t="s">
        <v>419</v>
      </c>
      <c r="B45" s="2" t="s">
        <v>62</v>
      </c>
      <c r="C45" s="3" t="s">
        <v>420</v>
      </c>
      <c r="D45" s="3" t="s">
        <v>108</v>
      </c>
      <c r="E45" s="2"/>
      <c r="F45" s="2" t="s">
        <v>197</v>
      </c>
      <c r="G45" s="5">
        <v>45868</v>
      </c>
      <c r="H45" s="5">
        <v>46135</v>
      </c>
      <c r="I45" s="4" t="s">
        <v>31</v>
      </c>
      <c r="J45" s="6">
        <f t="shared" si="1"/>
        <v>267</v>
      </c>
      <c r="K45" s="4" t="str">
        <f t="shared" ca="1" si="2"/>
        <v>-</v>
      </c>
      <c r="L45" s="7">
        <f t="shared" ca="1" si="4"/>
        <v>0</v>
      </c>
      <c r="M45" s="4" t="str">
        <f>IF($I45="Complete","Green",IF($H45="","Amber",IF($H45&lt;'[2]Read Me'!$B$4,"Red",IF($H45-'[2]Read Me'!$B$4&lt;=21,"Amber","Green"))))</f>
        <v>Red</v>
      </c>
      <c r="N45" s="3"/>
      <c r="O45" t="str">
        <f>IF($I45&lt;&gt;"Complete",IF(COUNTIFS($A$4:$A44,$A45,$B$4:$B44,$B45,$I$4:$I44,"&lt;&gt;Complete")=0,$A45&amp;"|"&amp;$B45,""),"")</f>
        <v/>
      </c>
      <c r="P45" t="str">
        <f ca="1">IF($K45="Yes",COUNTIFS($K$4:$K45,"Yes"),"")</f>
        <v/>
      </c>
      <c r="Q45">
        <f t="shared" ca="1" si="3"/>
        <v>0</v>
      </c>
      <c r="R45" t="str">
        <f ca="1">IF($Q45=1,SUM($Q$4:$Q45),"")</f>
        <v/>
      </c>
    </row>
    <row r="46" spans="1:18" ht="22.5" hidden="1" customHeight="1" x14ac:dyDescent="0.3">
      <c r="A46" s="2" t="s">
        <v>419</v>
      </c>
      <c r="B46" s="2" t="s">
        <v>62</v>
      </c>
      <c r="C46" s="3" t="s">
        <v>420</v>
      </c>
      <c r="D46" s="3" t="s">
        <v>58</v>
      </c>
      <c r="E46" s="2"/>
      <c r="F46" s="2"/>
      <c r="G46" s="5">
        <v>45942</v>
      </c>
      <c r="H46" s="5">
        <v>46146</v>
      </c>
      <c r="I46" s="4" t="s">
        <v>31</v>
      </c>
      <c r="J46" s="6">
        <f t="shared" si="1"/>
        <v>204</v>
      </c>
      <c r="K46" s="4" t="str">
        <f t="shared" ca="1" si="2"/>
        <v>-</v>
      </c>
      <c r="L46" s="7">
        <f t="shared" ca="1" si="4"/>
        <v>0</v>
      </c>
      <c r="M46" s="4" t="str">
        <f>IF($I46="Complete","Green",IF($H46="","Amber",IF($H46&lt;'[2]Read Me'!$B$4,"Red",IF($H46-'[2]Read Me'!$B$4&lt;=21,"Amber","Green"))))</f>
        <v>Red</v>
      </c>
      <c r="N46" s="3"/>
      <c r="O46" t="str">
        <f>IF($I46&lt;&gt;"Complete",IF(COUNTIFS($A$4:$A45,$A46,$B$4:$B45,$B46,$I$4:$I45,"&lt;&gt;Complete")=0,$A46&amp;"|"&amp;$B46,""),"")</f>
        <v/>
      </c>
      <c r="P46" t="str">
        <f ca="1">IF($K46="Yes",COUNTIFS($K$4:$K46,"Yes"),"")</f>
        <v/>
      </c>
      <c r="Q46">
        <f t="shared" ca="1" si="3"/>
        <v>0</v>
      </c>
      <c r="R46" t="str">
        <f ca="1">IF($Q46=1,SUM($Q$4:$Q46),"")</f>
        <v/>
      </c>
    </row>
    <row r="47" spans="1:18" ht="14.25" hidden="1" customHeight="1" x14ac:dyDescent="0.3">
      <c r="A47" s="2" t="s">
        <v>419</v>
      </c>
      <c r="B47" s="2" t="s">
        <v>62</v>
      </c>
      <c r="C47" s="3" t="s">
        <v>420</v>
      </c>
      <c r="D47" s="3" t="s">
        <v>421</v>
      </c>
      <c r="E47" s="2"/>
      <c r="F47" s="2"/>
      <c r="G47" s="5">
        <v>45868</v>
      </c>
      <c r="H47" s="5">
        <v>46079</v>
      </c>
      <c r="I47" s="4" t="s">
        <v>31</v>
      </c>
      <c r="J47" s="6">
        <f t="shared" si="1"/>
        <v>211</v>
      </c>
      <c r="K47" s="4" t="str">
        <f t="shared" ca="1" si="2"/>
        <v>-</v>
      </c>
      <c r="L47" s="7">
        <f t="shared" ca="1" si="4"/>
        <v>0</v>
      </c>
      <c r="M47" s="4" t="str">
        <f>IF($I47="Complete","Green",IF($H47="","Amber",IF($H47&lt;'[2]Read Me'!$B$4,"Red",IF($H47-'[2]Read Me'!$B$4&lt;=21,"Amber","Green"))))</f>
        <v>Red</v>
      </c>
      <c r="N47" s="3"/>
      <c r="O47" t="str">
        <f>IF($I47&lt;&gt;"Complete",IF(COUNTIFS($A$4:$A46,$A47,$B$4:$B46,$B47,$I$4:$I46,"&lt;&gt;Complete")=0,$A47&amp;"|"&amp;$B47,""),"")</f>
        <v/>
      </c>
      <c r="P47" t="str">
        <f ca="1">IF($K47="Yes",COUNTIFS($K$4:$K47,"Yes"),"")</f>
        <v/>
      </c>
      <c r="Q47">
        <f t="shared" ca="1" si="3"/>
        <v>0</v>
      </c>
      <c r="R47" t="str">
        <f ca="1">IF($Q47=1,SUM($Q$4:$Q47),"")</f>
        <v/>
      </c>
    </row>
    <row r="48" spans="1:18" ht="14.25" hidden="1" customHeight="1" x14ac:dyDescent="0.3">
      <c r="A48" s="2" t="s">
        <v>419</v>
      </c>
      <c r="B48" s="2" t="s">
        <v>62</v>
      </c>
      <c r="C48" s="3" t="s">
        <v>420</v>
      </c>
      <c r="D48" s="3" t="s">
        <v>58</v>
      </c>
      <c r="E48" s="2"/>
      <c r="F48" s="2"/>
      <c r="G48" s="5">
        <v>45942</v>
      </c>
      <c r="H48" s="5">
        <v>46096</v>
      </c>
      <c r="I48" s="4" t="s">
        <v>31</v>
      </c>
      <c r="J48" s="6">
        <f t="shared" si="1"/>
        <v>154</v>
      </c>
      <c r="K48" s="4" t="str">
        <f t="shared" ca="1" si="2"/>
        <v>-</v>
      </c>
      <c r="L48" s="7">
        <f t="shared" ca="1" si="4"/>
        <v>0</v>
      </c>
      <c r="M48" s="4" t="str">
        <f>IF($I48="Complete","Green",IF($H48="","Amber",IF($H48&lt;'[2]Read Me'!$B$4,"Red",IF($H48-'[2]Read Me'!$B$4&lt;=21,"Amber","Green"))))</f>
        <v>Red</v>
      </c>
      <c r="N48" s="3"/>
      <c r="O48" t="str">
        <f>IF($I48&lt;&gt;"Complete",IF(COUNTIFS($A$4:$A47,$A48,$B$4:$B47,$B48,$I$4:$I47,"&lt;&gt;Complete")=0,$A48&amp;"|"&amp;$B48,""),"")</f>
        <v/>
      </c>
      <c r="P48" t="str">
        <f ca="1">IF($K48="Yes",COUNTIFS($K$4:$K48,"Yes"),"")</f>
        <v/>
      </c>
      <c r="Q48">
        <f t="shared" ca="1" si="3"/>
        <v>0</v>
      </c>
      <c r="R48" t="str">
        <f ca="1">IF($Q48=1,SUM($Q$4:$Q48),"")</f>
        <v/>
      </c>
    </row>
    <row r="49" spans="1:18" ht="14.25" hidden="1" customHeight="1" x14ac:dyDescent="0.3">
      <c r="A49" s="2" t="s">
        <v>419</v>
      </c>
      <c r="B49" s="2" t="s">
        <v>49</v>
      </c>
      <c r="C49" s="3"/>
      <c r="D49" s="3"/>
      <c r="E49" s="2"/>
      <c r="F49" s="2"/>
      <c r="G49" s="5">
        <v>46132</v>
      </c>
      <c r="H49" s="5">
        <v>46225</v>
      </c>
      <c r="I49" s="4"/>
      <c r="J49" s="6">
        <f t="shared" si="1"/>
        <v>93</v>
      </c>
      <c r="K49" s="4" t="str">
        <f t="shared" ca="1" si="2"/>
        <v/>
      </c>
      <c r="L49" s="7">
        <f t="shared" ca="1" si="4"/>
        <v>17</v>
      </c>
      <c r="M49" s="4" t="str">
        <f>IF($I49="Complete","Green",IF($H49="","Amber",IF($H49&lt;'[2]Read Me'!$B$4,"Red",IF($H49-'[2]Read Me'!$B$4&lt;=21,"Amber","Green"))))</f>
        <v>Green</v>
      </c>
      <c r="N49" s="3"/>
      <c r="O49" t="str">
        <f>IF($I49&lt;&gt;"Complete",IF(COUNTIFS($A$4:$A48,$A49,$B$4:$B48,$B49,$I$4:$I48,"&lt;&gt;Complete")=0,$A49&amp;"|"&amp;$B49,""),"")</f>
        <v>Ph.03&amp;04|Authorities</v>
      </c>
      <c r="P49" t="str">
        <f ca="1">IF($K49="Yes",COUNTIFS($K$4:$K49,"Yes"),"")</f>
        <v/>
      </c>
      <c r="Q49">
        <f t="shared" ca="1" si="3"/>
        <v>0</v>
      </c>
      <c r="R49" t="str">
        <f ca="1">IF($Q49=1,SUM($Q$4:$Q49),"")</f>
        <v/>
      </c>
    </row>
    <row r="50" spans="1:18" ht="14.25" hidden="1" customHeight="1" x14ac:dyDescent="0.3">
      <c r="A50" s="2" t="s">
        <v>419</v>
      </c>
      <c r="B50" s="2" t="s">
        <v>49</v>
      </c>
      <c r="C50" s="3" t="s">
        <v>422</v>
      </c>
      <c r="D50" s="3" t="s">
        <v>287</v>
      </c>
      <c r="E50" s="2"/>
      <c r="F50" s="2"/>
      <c r="G50" s="5">
        <v>45950</v>
      </c>
      <c r="H50" s="5">
        <v>46091</v>
      </c>
      <c r="I50" s="4" t="s">
        <v>31</v>
      </c>
      <c r="J50" s="6">
        <f t="shared" si="1"/>
        <v>141</v>
      </c>
      <c r="K50" s="4" t="str">
        <f t="shared" ca="1" si="2"/>
        <v>-</v>
      </c>
      <c r="L50" s="7">
        <f t="shared" ca="1" si="4"/>
        <v>0</v>
      </c>
      <c r="M50" s="4" t="str">
        <f>IF($I50="Complete","Green",IF($H50="","Amber",IF($H50&lt;'[2]Read Me'!$B$4,"Red",IF($H50-'[2]Read Me'!$B$4&lt;=21,"Amber","Green"))))</f>
        <v>Red</v>
      </c>
      <c r="N50" s="3"/>
      <c r="O50" t="str">
        <f>IF($I50&lt;&gt;"Complete",IF(COUNTIFS($A$4:$A49,$A50,$B$4:$B49,$B50,$I$4:$I49,"&lt;&gt;Complete")=0,$A50&amp;"|"&amp;$B50,""),"")</f>
        <v/>
      </c>
      <c r="P50" t="str">
        <f ca="1">IF($K50="Yes",COUNTIFS($K$4:$K50,"Yes"),"")</f>
        <v/>
      </c>
      <c r="Q50">
        <f t="shared" ca="1" si="3"/>
        <v>0</v>
      </c>
      <c r="R50" t="str">
        <f ca="1">IF($Q50=1,SUM($Q$4:$Q50),"")</f>
        <v/>
      </c>
    </row>
    <row r="51" spans="1:18" ht="22.5" hidden="1" customHeight="1" x14ac:dyDescent="0.3">
      <c r="A51" s="2" t="s">
        <v>419</v>
      </c>
      <c r="B51" s="2" t="s">
        <v>49</v>
      </c>
      <c r="C51" s="3" t="s">
        <v>422</v>
      </c>
      <c r="D51" s="3" t="s">
        <v>423</v>
      </c>
      <c r="E51" s="2"/>
      <c r="F51" s="2"/>
      <c r="G51" s="5">
        <v>45995.5</v>
      </c>
      <c r="H51" s="5">
        <v>46124</v>
      </c>
      <c r="I51" s="4" t="s">
        <v>31</v>
      </c>
      <c r="J51" s="6">
        <f t="shared" si="1"/>
        <v>128.5</v>
      </c>
      <c r="K51" s="4" t="str">
        <f t="shared" ca="1" si="2"/>
        <v>-</v>
      </c>
      <c r="L51" s="7">
        <f t="shared" ca="1" si="4"/>
        <v>0</v>
      </c>
      <c r="M51" s="4" t="str">
        <f>IF($I51="Complete","Green",IF($H51="","Amber",IF($H51&lt;'[2]Read Me'!$B$4,"Red",IF($H51-'[2]Read Me'!$B$4&lt;=21,"Amber","Green"))))</f>
        <v>Red</v>
      </c>
      <c r="N51" s="3"/>
      <c r="O51" t="str">
        <f>IF($I51&lt;&gt;"Complete",IF(COUNTIFS($A$4:$A50,$A51,$B$4:$B50,$B51,$I$4:$I50,"&lt;&gt;Complete")=0,$A51&amp;"|"&amp;$B51,""),"")</f>
        <v/>
      </c>
      <c r="P51" t="str">
        <f ca="1">IF($K51="Yes",COUNTIFS($K$4:$K51,"Yes"),"")</f>
        <v/>
      </c>
      <c r="Q51">
        <f t="shared" ca="1" si="3"/>
        <v>0</v>
      </c>
      <c r="R51" t="str">
        <f ca="1">IF($Q51=1,SUM($Q$4:$Q51),"")</f>
        <v/>
      </c>
    </row>
    <row r="52" spans="1:18" ht="33.75" hidden="1" customHeight="1" x14ac:dyDescent="0.3">
      <c r="A52" s="2" t="s">
        <v>419</v>
      </c>
      <c r="B52" s="2" t="s">
        <v>49</v>
      </c>
      <c r="C52" s="3" t="s">
        <v>422</v>
      </c>
      <c r="D52" s="3" t="s">
        <v>51</v>
      </c>
      <c r="E52" s="2"/>
      <c r="F52" s="2"/>
      <c r="G52" s="5">
        <v>46041</v>
      </c>
      <c r="H52" s="5">
        <v>46141</v>
      </c>
      <c r="I52" s="4" t="s">
        <v>31</v>
      </c>
      <c r="J52" s="6">
        <f t="shared" si="1"/>
        <v>100</v>
      </c>
      <c r="K52" s="4" t="str">
        <f t="shared" ca="1" si="2"/>
        <v>-</v>
      </c>
      <c r="L52" s="7">
        <f t="shared" ca="1" si="4"/>
        <v>0</v>
      </c>
      <c r="M52" s="4" t="str">
        <f>IF($I52="Complete","Green",IF($H52="","Amber",IF($H52&lt;'[2]Read Me'!$B$4,"Red",IF($H52-'[2]Read Me'!$B$4&lt;=21,"Amber","Green"))))</f>
        <v>Red</v>
      </c>
      <c r="N52" s="3"/>
      <c r="O52" t="str">
        <f>IF($I52&lt;&gt;"Complete",IF(COUNTIFS($A$4:$A51,$A52,$B$4:$B51,$B52,$I$4:$I51,"&lt;&gt;Complete")=0,$A52&amp;"|"&amp;$B52,""),"")</f>
        <v/>
      </c>
      <c r="P52" t="str">
        <f ca="1">IF($K52="Yes",COUNTIFS($K$4:$K52,"Yes"),"")</f>
        <v/>
      </c>
      <c r="Q52">
        <f t="shared" ca="1" si="3"/>
        <v>0</v>
      </c>
      <c r="R52" t="str">
        <f ca="1">IF($Q52=1,SUM($Q$4:$Q52),"")</f>
        <v/>
      </c>
    </row>
    <row r="53" spans="1:18" ht="14.25" hidden="1" customHeight="1" x14ac:dyDescent="0.3">
      <c r="A53" s="2" t="s">
        <v>419</v>
      </c>
      <c r="B53" s="2" t="s">
        <v>49</v>
      </c>
      <c r="C53" s="3" t="s">
        <v>422</v>
      </c>
      <c r="D53" s="3" t="s">
        <v>413</v>
      </c>
      <c r="E53" s="2"/>
      <c r="F53" s="2"/>
      <c r="G53" s="5">
        <v>46132</v>
      </c>
      <c r="H53" s="5">
        <v>46225</v>
      </c>
      <c r="I53" s="4" t="s">
        <v>46</v>
      </c>
      <c r="J53" s="6">
        <f t="shared" si="1"/>
        <v>93</v>
      </c>
      <c r="K53" s="4" t="str">
        <f t="shared" ca="1" si="2"/>
        <v>No</v>
      </c>
      <c r="L53" s="7">
        <f t="shared" ca="1" si="4"/>
        <v>17</v>
      </c>
      <c r="M53" s="4" t="str">
        <f>IF($I53="Complete","Green",IF($H53="","Amber",IF($H53&lt;'[2]Read Me'!$B$4,"Red",IF($H53-'[2]Read Me'!$B$4&lt;=21,"Amber","Green"))))</f>
        <v>Green</v>
      </c>
      <c r="N53" s="3"/>
      <c r="O53" t="str">
        <f>IF($I53&lt;&gt;"Complete",IF(COUNTIFS($A$4:$A52,$A53,$B$4:$B52,$B53,$I$4:$I52,"&lt;&gt;Complete")=0,$A53&amp;"|"&amp;$B53,""),"")</f>
        <v/>
      </c>
      <c r="P53" t="str">
        <f ca="1">IF($K53="Yes",COUNTIFS($K$4:$K53,"Yes"),"")</f>
        <v/>
      </c>
      <c r="Q53">
        <f t="shared" ca="1" si="3"/>
        <v>0</v>
      </c>
      <c r="R53" t="str">
        <f ca="1">IF($Q53=1,SUM($Q$4:$Q53),"")</f>
        <v/>
      </c>
    </row>
    <row r="54" spans="1:18" ht="14.25" hidden="1" customHeight="1" x14ac:dyDescent="0.3">
      <c r="A54" s="2" t="s">
        <v>424</v>
      </c>
      <c r="B54" s="2" t="s">
        <v>41</v>
      </c>
      <c r="C54" s="3"/>
      <c r="D54" s="3"/>
      <c r="E54" s="2"/>
      <c r="F54" s="2"/>
      <c r="G54" s="5">
        <v>46324</v>
      </c>
      <c r="H54" s="5">
        <v>46363</v>
      </c>
      <c r="I54" s="4"/>
      <c r="J54" s="6">
        <f t="shared" si="1"/>
        <v>39</v>
      </c>
      <c r="K54" s="4" t="str">
        <f t="shared" ca="1" si="2"/>
        <v/>
      </c>
      <c r="L54" s="7">
        <f t="shared" ca="1" si="4"/>
        <v>155</v>
      </c>
      <c r="M54" s="4" t="str">
        <f>IF($I54="Complete","Green",IF($H54="","Amber",IF($H54&lt;'[2]Read Me'!$B$4,"Red",IF($H54-'[2]Read Me'!$B$4&lt;=21,"Amber","Green"))))</f>
        <v>Green</v>
      </c>
      <c r="N54" s="3"/>
      <c r="O54" t="str">
        <f>IF($I54&lt;&gt;"Complete",IF(COUNTIFS($A$4:$A53,$A54,$B$4:$B53,$B54,$I$4:$I53,"&lt;&gt;Complete")=0,$A54&amp;"|"&amp;$B54,""),"")</f>
        <v>Ph. 01, 02, 03 &amp; 04|Fit-out</v>
      </c>
      <c r="P54" t="str">
        <f ca="1">IF($K54="Yes",COUNTIFS($K$4:$K54,"Yes"),"")</f>
        <v/>
      </c>
      <c r="Q54">
        <f t="shared" ca="1" si="3"/>
        <v>0</v>
      </c>
      <c r="R54" t="str">
        <f ca="1">IF($Q54=1,SUM($Q$4:$Q54),"")</f>
        <v/>
      </c>
    </row>
    <row r="55" spans="1:18" ht="14.25" hidden="1" customHeight="1" x14ac:dyDescent="0.3">
      <c r="A55" s="2" t="s">
        <v>424</v>
      </c>
      <c r="B55" s="2" t="s">
        <v>41</v>
      </c>
      <c r="C55" s="3" t="s">
        <v>425</v>
      </c>
      <c r="D55" s="3" t="s">
        <v>18</v>
      </c>
      <c r="E55" s="2" t="s">
        <v>426</v>
      </c>
      <c r="F55" s="2" t="s">
        <v>197</v>
      </c>
      <c r="G55" s="5">
        <v>46156</v>
      </c>
      <c r="H55" s="5">
        <v>46177</v>
      </c>
      <c r="I55" s="4" t="s">
        <v>31</v>
      </c>
      <c r="J55" s="6">
        <f t="shared" si="1"/>
        <v>21</v>
      </c>
      <c r="K55" s="4" t="str">
        <f t="shared" ca="1" si="2"/>
        <v>-</v>
      </c>
      <c r="L55" s="7">
        <f t="shared" ca="1" si="4"/>
        <v>0</v>
      </c>
      <c r="M55" s="4" t="str">
        <f>IF($I55="Complete","Green",IF($H55="","Amber",IF($H55&lt;'[2]Read Me'!$B$4,"Red",IF($H55-'[2]Read Me'!$B$4&lt;=21,"Amber","Green"))))</f>
        <v>Red</v>
      </c>
      <c r="N55" s="3"/>
      <c r="O55" t="str">
        <f>IF($I55&lt;&gt;"Complete",IF(COUNTIFS($A$4:$A54,$A55,$B$4:$B54,$B55,$I$4:$I54,"&lt;&gt;Complete")=0,$A55&amp;"|"&amp;$B55,""),"")</f>
        <v/>
      </c>
      <c r="P55" t="str">
        <f ca="1">IF($K55="Yes",COUNTIFS($K$4:$K55,"Yes"),"")</f>
        <v/>
      </c>
      <c r="Q55">
        <f t="shared" ca="1" si="3"/>
        <v>0</v>
      </c>
      <c r="R55" t="str">
        <f ca="1">IF($Q55=1,SUM($Q$4:$Q55),"")</f>
        <v/>
      </c>
    </row>
    <row r="56" spans="1:18" ht="14.25" hidden="1" customHeight="1" x14ac:dyDescent="0.3">
      <c r="A56" s="2" t="s">
        <v>424</v>
      </c>
      <c r="B56" s="2" t="s">
        <v>41</v>
      </c>
      <c r="C56" s="3" t="s">
        <v>425</v>
      </c>
      <c r="D56" s="3" t="s">
        <v>32</v>
      </c>
      <c r="E56" s="2" t="s">
        <v>426</v>
      </c>
      <c r="F56" s="2"/>
      <c r="G56" s="5">
        <v>46163</v>
      </c>
      <c r="H56" s="5">
        <v>46202</v>
      </c>
      <c r="I56" s="4" t="s">
        <v>46</v>
      </c>
      <c r="J56" s="6">
        <f t="shared" si="1"/>
        <v>39</v>
      </c>
      <c r="K56" s="4" t="str">
        <f t="shared" ca="1" si="2"/>
        <v>Yes</v>
      </c>
      <c r="L56" s="7">
        <f t="shared" ca="1" si="4"/>
        <v>-6</v>
      </c>
      <c r="M56" s="4" t="str">
        <f>IF($I56="Complete","Green",IF($H56="","Amber",IF($H56&lt;'[2]Read Me'!$B$4,"Red",IF($H56-'[2]Read Me'!$B$4&lt;=21,"Amber","Green"))))</f>
        <v>Amber</v>
      </c>
      <c r="N56" s="3"/>
      <c r="O56" t="str">
        <f>IF($I56&lt;&gt;"Complete",IF(COUNTIFS($A$4:$A55,$A56,$B$4:$B55,$B56,$I$4:$I55,"&lt;&gt;Complete")=0,$A56&amp;"|"&amp;$B56,""),"")</f>
        <v/>
      </c>
      <c r="P56">
        <f ca="1">IF($K56="Yes",COUNTIFS($K$4:$K56,"Yes"),"")</f>
        <v>1</v>
      </c>
      <c r="Q56">
        <f t="shared" ca="1" si="3"/>
        <v>1</v>
      </c>
      <c r="R56">
        <f ca="1">IF($Q56=1,SUM($Q$4:$Q56),"")</f>
        <v>1</v>
      </c>
    </row>
    <row r="57" spans="1:18" ht="14.25" hidden="1" customHeight="1" x14ac:dyDescent="0.3">
      <c r="A57" s="2" t="s">
        <v>424</v>
      </c>
      <c r="B57" s="2" t="s">
        <v>41</v>
      </c>
      <c r="C57" s="3" t="s">
        <v>425</v>
      </c>
      <c r="D57" s="3" t="s">
        <v>15</v>
      </c>
      <c r="E57" s="2" t="s">
        <v>426</v>
      </c>
      <c r="F57" s="2" t="s">
        <v>197</v>
      </c>
      <c r="G57" s="5">
        <v>46177</v>
      </c>
      <c r="H57" s="5">
        <v>46216</v>
      </c>
      <c r="I57" s="4" t="s">
        <v>17</v>
      </c>
      <c r="J57" s="6">
        <f t="shared" si="1"/>
        <v>39</v>
      </c>
      <c r="K57" s="4" t="str">
        <f t="shared" ca="1" si="2"/>
        <v>No</v>
      </c>
      <c r="L57" s="7">
        <f t="shared" ca="1" si="4"/>
        <v>8</v>
      </c>
      <c r="M57" s="4" t="str">
        <f>IF($I57="Complete","Green",IF($H57="","Amber",IF($H57&lt;'[2]Read Me'!$B$4,"Red",IF($H57-'[2]Read Me'!$B$4&lt;=21,"Amber","Green"))))</f>
        <v>Green</v>
      </c>
      <c r="N57" s="3"/>
      <c r="O57" t="str">
        <f>IF($I57&lt;&gt;"Complete",IF(COUNTIFS($A$4:$A56,$A57,$B$4:$B56,$B57,$I$4:$I56,"&lt;&gt;Complete")=0,$A57&amp;"|"&amp;$B57,""),"")</f>
        <v/>
      </c>
      <c r="P57" t="str">
        <f ca="1">IF($K57="Yes",COUNTIFS($K$4:$K57,"Yes"),"")</f>
        <v/>
      </c>
      <c r="Q57">
        <f t="shared" ca="1" si="3"/>
        <v>0</v>
      </c>
      <c r="R57" t="str">
        <f ca="1">IF($Q57=1,SUM($Q$4:$Q57),"")</f>
        <v/>
      </c>
    </row>
    <row r="58" spans="1:18" ht="14.25" hidden="1" customHeight="1" x14ac:dyDescent="0.3">
      <c r="A58" s="2" t="s">
        <v>424</v>
      </c>
      <c r="B58" s="2" t="s">
        <v>41</v>
      </c>
      <c r="C58" s="3" t="s">
        <v>425</v>
      </c>
      <c r="D58" s="3" t="s">
        <v>35</v>
      </c>
      <c r="E58" s="2" t="s">
        <v>426</v>
      </c>
      <c r="F58" s="2"/>
      <c r="G58" s="5">
        <v>46191</v>
      </c>
      <c r="H58" s="5">
        <v>46230</v>
      </c>
      <c r="I58" s="4" t="s">
        <v>17</v>
      </c>
      <c r="J58" s="6">
        <f t="shared" si="1"/>
        <v>39</v>
      </c>
      <c r="K58" s="4" t="str">
        <f t="shared" ca="1" si="2"/>
        <v>No</v>
      </c>
      <c r="L58" s="7">
        <f t="shared" ca="1" si="4"/>
        <v>22</v>
      </c>
      <c r="M58" s="4" t="str">
        <f>IF($I58="Complete","Green",IF($H58="","Amber",IF($H58&lt;'[2]Read Me'!$B$4,"Red",IF($H58-'[2]Read Me'!$B$4&lt;=21,"Amber","Green"))))</f>
        <v>Green</v>
      </c>
      <c r="N58" s="3"/>
      <c r="O58" t="str">
        <f>IF($I58&lt;&gt;"Complete",IF(COUNTIFS($A$4:$A57,$A58,$B$4:$B57,$B58,$I$4:$I57,"&lt;&gt;Complete")=0,$A58&amp;"|"&amp;$B58,""),"")</f>
        <v/>
      </c>
      <c r="P58" t="str">
        <f ca="1">IF($K58="Yes",COUNTIFS($K$4:$K58,"Yes"),"")</f>
        <v/>
      </c>
      <c r="Q58">
        <f t="shared" ca="1" si="3"/>
        <v>0</v>
      </c>
      <c r="R58" t="str">
        <f ca="1">IF($Q58=1,SUM($Q$4:$Q58),"")</f>
        <v/>
      </c>
    </row>
    <row r="59" spans="1:18" ht="14.25" hidden="1" customHeight="1" x14ac:dyDescent="0.3">
      <c r="A59" s="2" t="s">
        <v>424</v>
      </c>
      <c r="B59" s="2" t="s">
        <v>41</v>
      </c>
      <c r="C59" s="3" t="s">
        <v>425</v>
      </c>
      <c r="D59" s="3" t="s">
        <v>16</v>
      </c>
      <c r="E59" s="2" t="s">
        <v>426</v>
      </c>
      <c r="F59" s="2" t="s">
        <v>197</v>
      </c>
      <c r="G59" s="5">
        <v>46205</v>
      </c>
      <c r="H59" s="5">
        <v>46244</v>
      </c>
      <c r="I59" s="4" t="s">
        <v>17</v>
      </c>
      <c r="J59" s="6">
        <f t="shared" si="1"/>
        <v>39</v>
      </c>
      <c r="K59" s="4" t="str">
        <f t="shared" ca="1" si="2"/>
        <v>No</v>
      </c>
      <c r="L59" s="7">
        <f t="shared" ca="1" si="4"/>
        <v>36</v>
      </c>
      <c r="M59" s="4" t="str">
        <f>IF($I59="Complete","Green",IF($H59="","Amber",IF($H59&lt;'[2]Read Me'!$B$4,"Red",IF($H59-'[2]Read Me'!$B$4&lt;=21,"Amber","Green"))))</f>
        <v>Green</v>
      </c>
      <c r="N59" s="3"/>
      <c r="O59" t="str">
        <f>IF($I59&lt;&gt;"Complete",IF(COUNTIFS($A$4:$A58,$A59,$B$4:$B58,$B59,$I$4:$I58,"&lt;&gt;Complete")=0,$A59&amp;"|"&amp;$B59,""),"")</f>
        <v/>
      </c>
      <c r="P59" t="str">
        <f ca="1">IF($K59="Yes",COUNTIFS($K$4:$K59,"Yes"),"")</f>
        <v/>
      </c>
      <c r="Q59">
        <f t="shared" ca="1" si="3"/>
        <v>0</v>
      </c>
      <c r="R59" t="str">
        <f ca="1">IF($Q59=1,SUM($Q$4:$Q59),"")</f>
        <v/>
      </c>
    </row>
    <row r="60" spans="1:18" ht="14.25" hidden="1" customHeight="1" x14ac:dyDescent="0.3">
      <c r="A60" s="2" t="s">
        <v>424</v>
      </c>
      <c r="B60" s="2" t="s">
        <v>41</v>
      </c>
      <c r="C60" s="3" t="s">
        <v>425</v>
      </c>
      <c r="D60" s="3" t="s">
        <v>37</v>
      </c>
      <c r="E60" s="2" t="s">
        <v>426</v>
      </c>
      <c r="F60" s="2"/>
      <c r="G60" s="5">
        <v>46212</v>
      </c>
      <c r="H60" s="5">
        <v>46251</v>
      </c>
      <c r="I60" s="4" t="s">
        <v>17</v>
      </c>
      <c r="J60" s="6">
        <f t="shared" si="1"/>
        <v>39</v>
      </c>
      <c r="K60" s="4" t="str">
        <f t="shared" ca="1" si="2"/>
        <v>No</v>
      </c>
      <c r="L60" s="7">
        <f t="shared" ca="1" si="4"/>
        <v>43</v>
      </c>
      <c r="M60" s="4" t="str">
        <f>IF($I60="Complete","Green",IF($H60="","Amber",IF($H60&lt;'[2]Read Me'!$B$4,"Red",IF($H60-'[2]Read Me'!$B$4&lt;=21,"Amber","Green"))))</f>
        <v>Green</v>
      </c>
      <c r="N60" s="3"/>
      <c r="O60" t="str">
        <f>IF($I60&lt;&gt;"Complete",IF(COUNTIFS($A$4:$A59,$A60,$B$4:$B59,$B60,$I$4:$I59,"&lt;&gt;Complete")=0,$A60&amp;"|"&amp;$B60,""),"")</f>
        <v/>
      </c>
      <c r="P60" t="str">
        <f ca="1">IF($K60="Yes",COUNTIFS($K$4:$K60,"Yes"),"")</f>
        <v/>
      </c>
      <c r="Q60">
        <f t="shared" ca="1" si="3"/>
        <v>0</v>
      </c>
      <c r="R60" t="str">
        <f ca="1">IF($Q60=1,SUM($Q$4:$Q60),"")</f>
        <v/>
      </c>
    </row>
    <row r="61" spans="1:18" ht="14.25" hidden="1" customHeight="1" x14ac:dyDescent="0.3">
      <c r="A61" s="2" t="s">
        <v>424</v>
      </c>
      <c r="B61" s="2" t="s">
        <v>140</v>
      </c>
      <c r="C61" s="3"/>
      <c r="D61" s="3"/>
      <c r="E61" s="2"/>
      <c r="F61" s="2"/>
      <c r="G61" s="5">
        <v>45907.9</v>
      </c>
      <c r="H61" s="5">
        <v>45907.9</v>
      </c>
      <c r="I61" s="4"/>
      <c r="J61" s="6">
        <f t="shared" si="1"/>
        <v>0</v>
      </c>
      <c r="K61" s="4" t="str">
        <f t="shared" ca="1" si="2"/>
        <v/>
      </c>
      <c r="L61" s="7">
        <f t="shared" ca="1" si="4"/>
        <v>-300.09999999999854</v>
      </c>
      <c r="M61" s="4" t="str">
        <f>IF($I61="Complete","Green",IF($H61="","Amber",IF($H61&lt;'[2]Read Me'!$B$4,"Red",IF($H61-'[2]Read Me'!$B$4&lt;=21,"Amber","Green"))))</f>
        <v>Red</v>
      </c>
      <c r="N61" s="3"/>
      <c r="O61" t="str">
        <f>IF($I61&lt;&gt;"Complete",IF(COUNTIFS($A$4:$A60,$A61,$B$4:$B60,$B61,$I$4:$I60,"&lt;&gt;Complete")=0,$A61&amp;"|"&amp;$B61,""),"")</f>
        <v>Ph. 01, 02, 03 &amp; 04|Masterplan</v>
      </c>
      <c r="P61" t="str">
        <f ca="1">IF($K61="Yes",COUNTIFS($K$4:$K61,"Yes"),"")</f>
        <v/>
      </c>
      <c r="Q61">
        <f t="shared" ca="1" si="3"/>
        <v>0</v>
      </c>
      <c r="R61" t="str">
        <f ca="1">IF($Q61=1,SUM($Q$4:$Q61),"")</f>
        <v/>
      </c>
    </row>
    <row r="62" spans="1:18" ht="14.25" hidden="1" customHeight="1" x14ac:dyDescent="0.3">
      <c r="A62" s="2" t="s">
        <v>424</v>
      </c>
      <c r="B62" s="2" t="s">
        <v>140</v>
      </c>
      <c r="C62" s="3" t="s">
        <v>427</v>
      </c>
      <c r="D62" s="3" t="s">
        <v>416</v>
      </c>
      <c r="E62" s="2" t="s">
        <v>426</v>
      </c>
      <c r="F62" s="2"/>
      <c r="G62" s="5">
        <v>45802.9</v>
      </c>
      <c r="H62" s="5">
        <v>45802.9</v>
      </c>
      <c r="I62" s="4" t="s">
        <v>31</v>
      </c>
      <c r="J62" s="6">
        <f t="shared" si="1"/>
        <v>0</v>
      </c>
      <c r="K62" s="4" t="str">
        <f t="shared" ca="1" si="2"/>
        <v>-</v>
      </c>
      <c r="L62" s="7">
        <f t="shared" ca="1" si="4"/>
        <v>0</v>
      </c>
      <c r="M62" s="4" t="str">
        <f>IF($I62="Complete","Green",IF($H62="","Amber",IF($H62&lt;'[2]Read Me'!$B$4,"Red",IF($H62-'[2]Read Me'!$B$4&lt;=21,"Amber","Green"))))</f>
        <v>Red</v>
      </c>
      <c r="N62" s="3"/>
      <c r="O62" t="str">
        <f>IF($I62&lt;&gt;"Complete",IF(COUNTIFS($A$4:$A61,$A62,$B$4:$B61,$B62,$I$4:$I61,"&lt;&gt;Complete")=0,$A62&amp;"|"&amp;$B62,""),"")</f>
        <v/>
      </c>
      <c r="P62" t="str">
        <f ca="1">IF($K62="Yes",COUNTIFS($K$4:$K62,"Yes"),"")</f>
        <v/>
      </c>
      <c r="Q62">
        <f t="shared" ca="1" si="3"/>
        <v>0</v>
      </c>
      <c r="R62" t="str">
        <f ca="1">IF($Q62=1,SUM($Q$4:$Q62),"")</f>
        <v/>
      </c>
    </row>
    <row r="63" spans="1:18" ht="22.5" hidden="1" customHeight="1" x14ac:dyDescent="0.3">
      <c r="A63" s="2" t="s">
        <v>424</v>
      </c>
      <c r="B63" s="2" t="s">
        <v>140</v>
      </c>
      <c r="C63" s="3" t="s">
        <v>427</v>
      </c>
      <c r="D63" s="3" t="s">
        <v>58</v>
      </c>
      <c r="E63" s="2" t="s">
        <v>426</v>
      </c>
      <c r="F63" s="2"/>
      <c r="G63" s="5">
        <v>45809.9</v>
      </c>
      <c r="H63" s="5">
        <v>45809.9</v>
      </c>
      <c r="I63" s="4" t="s">
        <v>31</v>
      </c>
      <c r="J63" s="6">
        <f t="shared" si="1"/>
        <v>0</v>
      </c>
      <c r="K63" s="4" t="str">
        <f t="shared" ca="1" si="2"/>
        <v>-</v>
      </c>
      <c r="L63" s="7">
        <f t="shared" ca="1" si="4"/>
        <v>0</v>
      </c>
      <c r="M63" s="4" t="str">
        <f>IF($I63="Complete","Green",IF($H63="","Amber",IF($H63&lt;'[2]Read Me'!$B$4,"Red",IF($H63-'[2]Read Me'!$B$4&lt;=21,"Amber","Green"))))</f>
        <v>Red</v>
      </c>
      <c r="N63" s="3"/>
      <c r="O63" t="str">
        <f>IF($I63&lt;&gt;"Complete",IF(COUNTIFS($A$4:$A62,$A63,$B$4:$B62,$B63,$I$4:$I62,"&lt;&gt;Complete")=0,$A63&amp;"|"&amp;$B63,""),"")</f>
        <v/>
      </c>
      <c r="P63" t="str">
        <f ca="1">IF($K63="Yes",COUNTIFS($K$4:$K63,"Yes"),"")</f>
        <v/>
      </c>
      <c r="Q63">
        <f t="shared" ca="1" si="3"/>
        <v>0</v>
      </c>
      <c r="R63" t="str">
        <f ca="1">IF($Q63=1,SUM($Q$4:$Q63),"")</f>
        <v/>
      </c>
    </row>
    <row r="64" spans="1:18" ht="22.5" hidden="1" customHeight="1" x14ac:dyDescent="0.3">
      <c r="A64" s="2" t="s">
        <v>424</v>
      </c>
      <c r="B64" s="2" t="s">
        <v>140</v>
      </c>
      <c r="C64" s="3" t="s">
        <v>427</v>
      </c>
      <c r="D64" s="3" t="s">
        <v>417</v>
      </c>
      <c r="E64" s="2" t="s">
        <v>426</v>
      </c>
      <c r="F64" s="2"/>
      <c r="G64" s="5">
        <v>45823.9</v>
      </c>
      <c r="H64" s="5">
        <v>45823.9</v>
      </c>
      <c r="I64" s="4" t="s">
        <v>31</v>
      </c>
      <c r="J64" s="6">
        <f t="shared" si="1"/>
        <v>0</v>
      </c>
      <c r="K64" s="4" t="str">
        <f t="shared" ca="1" si="2"/>
        <v>-</v>
      </c>
      <c r="L64" s="7">
        <f t="shared" ca="1" si="4"/>
        <v>0</v>
      </c>
      <c r="M64" s="4" t="str">
        <f>IF($I64="Complete","Green",IF($H64="","Amber",IF($H64&lt;'[2]Read Me'!$B$4,"Red",IF($H64-'[2]Read Me'!$B$4&lt;=21,"Amber","Green"))))</f>
        <v>Red</v>
      </c>
      <c r="N64" s="3"/>
      <c r="O64" t="str">
        <f>IF($I64&lt;&gt;"Complete",IF(COUNTIFS($A$4:$A63,$A64,$B$4:$B63,$B64,$I$4:$I63,"&lt;&gt;Complete")=0,$A64&amp;"|"&amp;$B64,""),"")</f>
        <v/>
      </c>
      <c r="P64" t="str">
        <f ca="1">IF($K64="Yes",COUNTIFS($K$4:$K64,"Yes"),"")</f>
        <v/>
      </c>
      <c r="Q64">
        <f t="shared" ca="1" si="3"/>
        <v>0</v>
      </c>
      <c r="R64" t="str">
        <f ca="1">IF($Q64=1,SUM($Q$4:$Q64),"")</f>
        <v/>
      </c>
    </row>
    <row r="65" spans="1:18" ht="22.5" hidden="1" customHeight="1" x14ac:dyDescent="0.3">
      <c r="A65" s="2" t="s">
        <v>424</v>
      </c>
      <c r="B65" s="2" t="s">
        <v>140</v>
      </c>
      <c r="C65" s="3" t="s">
        <v>427</v>
      </c>
      <c r="D65" s="3" t="s">
        <v>58</v>
      </c>
      <c r="E65" s="2" t="s">
        <v>426</v>
      </c>
      <c r="F65" s="2"/>
      <c r="G65" s="5">
        <v>45837.9</v>
      </c>
      <c r="H65" s="5">
        <v>45837.9</v>
      </c>
      <c r="I65" s="4" t="s">
        <v>31</v>
      </c>
      <c r="J65" s="6">
        <f t="shared" si="1"/>
        <v>0</v>
      </c>
      <c r="K65" s="4" t="str">
        <f t="shared" ca="1" si="2"/>
        <v>-</v>
      </c>
      <c r="L65" s="7">
        <f t="shared" ca="1" si="4"/>
        <v>0</v>
      </c>
      <c r="M65" s="4" t="str">
        <f>IF($I65="Complete","Green",IF($H65="","Amber",IF($H65&lt;'[2]Read Me'!$B$4,"Red",IF($H65-'[2]Read Me'!$B$4&lt;=21,"Amber","Green"))))</f>
        <v>Red</v>
      </c>
      <c r="N65" s="3"/>
      <c r="O65" t="str">
        <f>IF($I65&lt;&gt;"Complete",IF(COUNTIFS($A$4:$A64,$A65,$B$4:$B64,$B65,$I$4:$I64,"&lt;&gt;Complete")=0,$A65&amp;"|"&amp;$B65,""),"")</f>
        <v/>
      </c>
      <c r="P65" t="str">
        <f ca="1">IF($K65="Yes",COUNTIFS($K$4:$K65,"Yes"),"")</f>
        <v/>
      </c>
      <c r="Q65">
        <f t="shared" ca="1" si="3"/>
        <v>0</v>
      </c>
      <c r="R65" t="str">
        <f ca="1">IF($Q65=1,SUM($Q$4:$Q65),"")</f>
        <v/>
      </c>
    </row>
    <row r="66" spans="1:18" ht="22.5" hidden="1" customHeight="1" x14ac:dyDescent="0.3">
      <c r="A66" s="2" t="s">
        <v>424</v>
      </c>
      <c r="B66" s="2" t="s">
        <v>140</v>
      </c>
      <c r="C66" s="3" t="s">
        <v>427</v>
      </c>
      <c r="D66" s="3" t="s">
        <v>418</v>
      </c>
      <c r="E66" s="2" t="s">
        <v>426</v>
      </c>
      <c r="F66" s="2"/>
      <c r="G66" s="5">
        <v>45865.9</v>
      </c>
      <c r="H66" s="5">
        <v>45865.9</v>
      </c>
      <c r="I66" s="4" t="s">
        <v>31</v>
      </c>
      <c r="J66" s="6">
        <f t="shared" si="1"/>
        <v>0</v>
      </c>
      <c r="K66" s="4" t="str">
        <f t="shared" ca="1" si="2"/>
        <v>-</v>
      </c>
      <c r="L66" s="7">
        <f t="shared" ca="1" si="4"/>
        <v>0</v>
      </c>
      <c r="M66" s="4" t="str">
        <f>IF($I66="Complete","Green",IF($H66="","Amber",IF($H66&lt;'[2]Read Me'!$B$4,"Red",IF($H66-'[2]Read Me'!$B$4&lt;=21,"Amber","Green"))))</f>
        <v>Red</v>
      </c>
      <c r="N66" s="3"/>
      <c r="O66" t="str">
        <f>IF($I66&lt;&gt;"Complete",IF(COUNTIFS($A$4:$A65,$A66,$B$4:$B65,$B66,$I$4:$I65,"&lt;&gt;Complete")=0,$A66&amp;"|"&amp;$B66,""),"")</f>
        <v/>
      </c>
      <c r="P66" t="str">
        <f ca="1">IF($K66="Yes",COUNTIFS($K$4:$K66,"Yes"),"")</f>
        <v/>
      </c>
      <c r="Q66">
        <f t="shared" ca="1" si="3"/>
        <v>0</v>
      </c>
      <c r="R66" t="str">
        <f ca="1">IF($Q66=1,SUM($Q$4:$Q66),"")</f>
        <v/>
      </c>
    </row>
    <row r="67" spans="1:18" ht="22.5" hidden="1" customHeight="1" x14ac:dyDescent="0.3">
      <c r="A67" s="2" t="s">
        <v>424</v>
      </c>
      <c r="B67" s="2" t="s">
        <v>140</v>
      </c>
      <c r="C67" s="3" t="s">
        <v>427</v>
      </c>
      <c r="D67" s="3" t="s">
        <v>58</v>
      </c>
      <c r="E67" s="2" t="s">
        <v>426</v>
      </c>
      <c r="F67" s="2"/>
      <c r="G67" s="5">
        <v>45879.9</v>
      </c>
      <c r="H67" s="5">
        <v>45879.9</v>
      </c>
      <c r="I67" s="4" t="s">
        <v>31</v>
      </c>
      <c r="J67" s="6">
        <f t="shared" si="1"/>
        <v>0</v>
      </c>
      <c r="K67" s="4" t="str">
        <f t="shared" ca="1" si="2"/>
        <v>-</v>
      </c>
      <c r="L67" s="7">
        <f t="shared" ca="1" si="4"/>
        <v>0</v>
      </c>
      <c r="M67" s="4" t="str">
        <f>IF($I67="Complete","Green",IF($H67="","Amber",IF($H67&lt;'[2]Read Me'!$B$4,"Red",IF($H67-'[2]Read Me'!$B$4&lt;=21,"Amber","Green"))))</f>
        <v>Red</v>
      </c>
      <c r="N67" s="3"/>
      <c r="O67" t="str">
        <f>IF($I67&lt;&gt;"Complete",IF(COUNTIFS($A$4:$A66,$A67,$B$4:$B66,$B67,$I$4:$I66,"&lt;&gt;Complete")=0,$A67&amp;"|"&amp;$B67,""),"")</f>
        <v/>
      </c>
      <c r="P67" t="str">
        <f ca="1">IF($K67="Yes",COUNTIFS($K$4:$K67,"Yes"),"")</f>
        <v/>
      </c>
      <c r="Q67">
        <f t="shared" ca="1" si="3"/>
        <v>0</v>
      </c>
      <c r="R67" t="str">
        <f ca="1">IF($Q67=1,SUM($Q$4:$Q67),"")</f>
        <v/>
      </c>
    </row>
    <row r="68" spans="1:18" ht="22.5" hidden="1" customHeight="1" x14ac:dyDescent="0.3">
      <c r="A68" s="2" t="s">
        <v>424</v>
      </c>
      <c r="B68" s="2" t="s">
        <v>140</v>
      </c>
      <c r="C68" s="3" t="s">
        <v>427</v>
      </c>
      <c r="D68" s="3" t="s">
        <v>57</v>
      </c>
      <c r="E68" s="2" t="s">
        <v>426</v>
      </c>
      <c r="F68" s="2"/>
      <c r="G68" s="5">
        <v>45893.9</v>
      </c>
      <c r="H68" s="5">
        <v>45893.9</v>
      </c>
      <c r="I68" s="4" t="s">
        <v>31</v>
      </c>
      <c r="J68" s="6">
        <f t="shared" ref="J68:J131" si="5">IF(OR($G68="",$H68=""),"",$H68-$G68)</f>
        <v>0</v>
      </c>
      <c r="K68" s="4" t="str">
        <f t="shared" ref="K68:K131" ca="1" si="6">IF(C68="","",IF(H68="","",IF($I68="completed","-",IF($H68&gt;TODAY(),"No","Yes"))))</f>
        <v>-</v>
      </c>
      <c r="L68" s="7">
        <f t="shared" ca="1" si="4"/>
        <v>0</v>
      </c>
      <c r="M68" s="4" t="str">
        <f>IF($I68="Complete","Green",IF($H68="","Amber",IF($H68&lt;'[2]Read Me'!$B$4,"Red",IF($H68-'[2]Read Me'!$B$4&lt;=21,"Amber","Green"))))</f>
        <v>Red</v>
      </c>
      <c r="N68" s="3"/>
      <c r="O68" t="str">
        <f>IF($I68&lt;&gt;"Complete",IF(COUNTIFS($A$4:$A67,$A68,$B$4:$B67,$B68,$I$4:$I67,"&lt;&gt;Complete")=0,$A68&amp;"|"&amp;$B68,""),"")</f>
        <v/>
      </c>
      <c r="P68" t="str">
        <f ca="1">IF($K68="Yes",COUNTIFS($K$4:$K68,"Yes"),"")</f>
        <v/>
      </c>
      <c r="Q68">
        <f t="shared" ref="Q68:Q131" ca="1" si="7">IF(OR($I68="In Progress",$K68="Yes"),1,0)</f>
        <v>0</v>
      </c>
      <c r="R68" t="str">
        <f ca="1">IF($Q68=1,SUM($Q$4:$Q68),"")</f>
        <v/>
      </c>
    </row>
    <row r="69" spans="1:18" ht="22.5" hidden="1" customHeight="1" x14ac:dyDescent="0.3">
      <c r="A69" s="2" t="s">
        <v>424</v>
      </c>
      <c r="B69" s="2" t="s">
        <v>140</v>
      </c>
      <c r="C69" s="3" t="s">
        <v>427</v>
      </c>
      <c r="D69" s="3" t="s">
        <v>58</v>
      </c>
      <c r="E69" s="2" t="s">
        <v>426</v>
      </c>
      <c r="F69" s="2"/>
      <c r="G69" s="5">
        <v>45907.9</v>
      </c>
      <c r="H69" s="5">
        <v>45907.9</v>
      </c>
      <c r="I69" s="4" t="s">
        <v>31</v>
      </c>
      <c r="J69" s="6">
        <f t="shared" si="5"/>
        <v>0</v>
      </c>
      <c r="K69" s="4" t="str">
        <f t="shared" ca="1" si="6"/>
        <v>-</v>
      </c>
      <c r="L69" s="7">
        <f t="shared" ref="L69:L132" ca="1" si="8">IF(I69="Completed",0,IF(H69="","",H69-TODAY()))</f>
        <v>0</v>
      </c>
      <c r="M69" s="4" t="str">
        <f>IF($I69="Complete","Green",IF($H69="","Amber",IF($H69&lt;'[2]Read Me'!$B$4,"Red",IF($H69-'[2]Read Me'!$B$4&lt;=21,"Amber","Green"))))</f>
        <v>Red</v>
      </c>
      <c r="N69" s="3"/>
      <c r="O69" t="str">
        <f>IF($I69&lt;&gt;"Complete",IF(COUNTIFS($A$4:$A68,$A69,$B$4:$B68,$B69,$I$4:$I68,"&lt;&gt;Complete")=0,$A69&amp;"|"&amp;$B69,""),"")</f>
        <v/>
      </c>
      <c r="P69" t="str">
        <f ca="1">IF($K69="Yes",COUNTIFS($K$4:$K69,"Yes"),"")</f>
        <v/>
      </c>
      <c r="Q69">
        <f t="shared" ca="1" si="7"/>
        <v>0</v>
      </c>
      <c r="R69" t="str">
        <f ca="1">IF($Q69=1,SUM($Q$4:$Q69),"")</f>
        <v/>
      </c>
    </row>
    <row r="70" spans="1:18" ht="22.5" hidden="1" customHeight="1" x14ac:dyDescent="0.3">
      <c r="A70" s="2" t="s">
        <v>424</v>
      </c>
      <c r="B70" s="2" t="s">
        <v>186</v>
      </c>
      <c r="C70" s="3" t="s">
        <v>427</v>
      </c>
      <c r="D70" s="3" t="s">
        <v>428</v>
      </c>
      <c r="E70" s="2"/>
      <c r="F70" s="2"/>
      <c r="G70" s="5"/>
      <c r="H70" s="5">
        <v>46135</v>
      </c>
      <c r="I70" s="4" t="s">
        <v>31</v>
      </c>
      <c r="J70" s="6" t="str">
        <f t="shared" si="5"/>
        <v/>
      </c>
      <c r="K70" s="4" t="str">
        <f t="shared" ca="1" si="6"/>
        <v>-</v>
      </c>
      <c r="L70" s="7">
        <f t="shared" ca="1" si="8"/>
        <v>0</v>
      </c>
      <c r="M70" s="4" t="str">
        <f>IF($I70="Complete","Green",IF($H70="","Amber",IF($H70&lt;'[2]Read Me'!$B$4,"Red",IF($H70-'[2]Read Me'!$B$4&lt;=21,"Amber","Green"))))</f>
        <v>Red</v>
      </c>
      <c r="N70" s="3"/>
      <c r="O70" t="str">
        <f>IF($I70&lt;&gt;"Complete",IF(COUNTIFS($A$4:$A69,$A70,$B$4:$B69,$B70,$I$4:$I69,"&lt;&gt;Complete")=0,$A70&amp;"|"&amp;$B70,""),"")</f>
        <v>Ph. 01, 02, 03 &amp; 04|Plot Fences</v>
      </c>
      <c r="P70" t="str">
        <f ca="1">IF($K70="Yes",COUNTIFS($K$4:$K70,"Yes"),"")</f>
        <v/>
      </c>
      <c r="Q70">
        <f t="shared" ca="1" si="7"/>
        <v>0</v>
      </c>
      <c r="R70" t="str">
        <f ca="1">IF($Q70=1,SUM($Q$4:$Q70),"")</f>
        <v/>
      </c>
    </row>
    <row r="71" spans="1:18" ht="22.5" hidden="1" customHeight="1" x14ac:dyDescent="0.3">
      <c r="A71" s="2" t="s">
        <v>424</v>
      </c>
      <c r="B71" s="2" t="s">
        <v>186</v>
      </c>
      <c r="C71" s="3" t="s">
        <v>427</v>
      </c>
      <c r="D71" s="3" t="s">
        <v>58</v>
      </c>
      <c r="E71" s="2"/>
      <c r="F71" s="2"/>
      <c r="G71" s="5"/>
      <c r="H71" s="5">
        <v>46146</v>
      </c>
      <c r="I71" s="4" t="s">
        <v>31</v>
      </c>
      <c r="J71" s="6" t="str">
        <f t="shared" si="5"/>
        <v/>
      </c>
      <c r="K71" s="4" t="str">
        <f t="shared" ca="1" si="6"/>
        <v>-</v>
      </c>
      <c r="L71" s="7">
        <f t="shared" ca="1" si="8"/>
        <v>0</v>
      </c>
      <c r="M71" s="4" t="str">
        <f>IF($I71="Complete","Green",IF($H71="","Amber",IF($H71&lt;'[2]Read Me'!$B$4,"Red",IF($H71-'[2]Read Me'!$B$4&lt;=21,"Amber","Green"))))</f>
        <v>Red</v>
      </c>
      <c r="N71" s="3"/>
      <c r="O71" t="str">
        <f>IF($I71&lt;&gt;"Complete",IF(COUNTIFS($A$4:$A70,$A71,$B$4:$B70,$B71,$I$4:$I70,"&lt;&gt;Complete")=0,$A71&amp;"|"&amp;$B71,""),"")</f>
        <v/>
      </c>
      <c r="P71" t="str">
        <f ca="1">IF($K71="Yes",COUNTIFS($K$4:$K71,"Yes"),"")</f>
        <v/>
      </c>
      <c r="Q71">
        <f t="shared" ca="1" si="7"/>
        <v>0</v>
      </c>
      <c r="R71" t="str">
        <f ca="1">IF($Q71=1,SUM($Q$4:$Q71),"")</f>
        <v/>
      </c>
    </row>
    <row r="72" spans="1:18" ht="33.75" hidden="1" customHeight="1" x14ac:dyDescent="0.3">
      <c r="A72" s="2" t="s">
        <v>424</v>
      </c>
      <c r="B72" s="2" t="s">
        <v>171</v>
      </c>
      <c r="C72" s="3"/>
      <c r="D72" s="3"/>
      <c r="E72" s="2"/>
      <c r="F72" s="2"/>
      <c r="G72" s="5">
        <v>45969</v>
      </c>
      <c r="H72" s="5">
        <v>46174</v>
      </c>
      <c r="I72" s="4"/>
      <c r="J72" s="6">
        <f t="shared" si="5"/>
        <v>205</v>
      </c>
      <c r="K72" s="4" t="str">
        <f t="shared" ca="1" si="6"/>
        <v/>
      </c>
      <c r="L72" s="7">
        <f t="shared" ca="1" si="8"/>
        <v>-34</v>
      </c>
      <c r="M72" s="4" t="str">
        <f>IF($I72="Complete","Green",IF($H72="","Amber",IF($H72&lt;'[2]Read Me'!$B$4,"Red",IF($H72-'[2]Read Me'!$B$4&lt;=21,"Amber","Green"))))</f>
        <v>Red</v>
      </c>
      <c r="N72" s="3"/>
      <c r="O72" t="str">
        <f>IF($I72&lt;&gt;"Complete",IF(COUNTIFS($A$4:$A71,$A72,$B$4:$B71,$B72,$I$4:$I71,"&lt;&gt;Complete")=0,$A72&amp;"|"&amp;$B72,""),"")</f>
        <v>Ph. 01, 02, 03 &amp; 04|Infrastructure</v>
      </c>
      <c r="P72" t="str">
        <f ca="1">IF($K72="Yes",COUNTIFS($K$4:$K72,"Yes"),"")</f>
        <v/>
      </c>
      <c r="Q72">
        <f t="shared" ca="1" si="7"/>
        <v>0</v>
      </c>
      <c r="R72" t="str">
        <f ca="1">IF($Q72=1,SUM($Q$4:$Q72),"")</f>
        <v/>
      </c>
    </row>
    <row r="73" spans="1:18" ht="33.75" hidden="1" customHeight="1" x14ac:dyDescent="0.3">
      <c r="A73" s="2" t="s">
        <v>424</v>
      </c>
      <c r="B73" s="2" t="s">
        <v>171</v>
      </c>
      <c r="C73" s="3" t="s">
        <v>429</v>
      </c>
      <c r="D73" s="3" t="s">
        <v>430</v>
      </c>
      <c r="E73" s="2" t="s">
        <v>426</v>
      </c>
      <c r="F73" s="2" t="s">
        <v>197</v>
      </c>
      <c r="G73" s="5">
        <v>45386.875</v>
      </c>
      <c r="H73" s="5">
        <v>45728</v>
      </c>
      <c r="I73" s="4" t="s">
        <v>31</v>
      </c>
      <c r="J73" s="6">
        <f t="shared" si="5"/>
        <v>341.125</v>
      </c>
      <c r="K73" s="4" t="str">
        <f t="shared" ca="1" si="6"/>
        <v>-</v>
      </c>
      <c r="L73" s="7">
        <f t="shared" ca="1" si="8"/>
        <v>0</v>
      </c>
      <c r="M73" s="4" t="str">
        <f>IF($I73="Complete","Green",IF($H73="","Amber",IF($H73&lt;'[2]Read Me'!$B$4,"Red",IF($H73-'[2]Read Me'!$B$4&lt;=21,"Amber","Green"))))</f>
        <v>Red</v>
      </c>
      <c r="N73" s="3"/>
      <c r="O73" t="str">
        <f>IF($I73&lt;&gt;"Complete",IF(COUNTIFS($A$4:$A72,$A73,$B$4:$B72,$B73,$I$4:$I72,"&lt;&gt;Complete")=0,$A73&amp;"|"&amp;$B73,""),"")</f>
        <v/>
      </c>
      <c r="P73" t="str">
        <f ca="1">IF($K73="Yes",COUNTIFS($K$4:$K73,"Yes"),"")</f>
        <v/>
      </c>
      <c r="Q73">
        <f t="shared" ca="1" si="7"/>
        <v>0</v>
      </c>
      <c r="R73" t="str">
        <f ca="1">IF($Q73=1,SUM($Q$4:$Q73),"")</f>
        <v/>
      </c>
    </row>
    <row r="74" spans="1:18" ht="33.75" hidden="1" customHeight="1" x14ac:dyDescent="0.3">
      <c r="A74" s="2" t="s">
        <v>424</v>
      </c>
      <c r="B74" s="2" t="s">
        <v>171</v>
      </c>
      <c r="C74" s="3" t="s">
        <v>429</v>
      </c>
      <c r="D74" s="3" t="s">
        <v>58</v>
      </c>
      <c r="E74" s="2" t="s">
        <v>426</v>
      </c>
      <c r="F74" s="2"/>
      <c r="G74" s="5">
        <v>45400.875</v>
      </c>
      <c r="H74" s="5">
        <v>45746</v>
      </c>
      <c r="I74" s="4" t="s">
        <v>31</v>
      </c>
      <c r="J74" s="6">
        <f t="shared" si="5"/>
        <v>345.125</v>
      </c>
      <c r="K74" s="4" t="str">
        <f t="shared" ca="1" si="6"/>
        <v>-</v>
      </c>
      <c r="L74" s="7">
        <f t="shared" ca="1" si="8"/>
        <v>0</v>
      </c>
      <c r="M74" s="4" t="str">
        <f>IF($I74="Complete","Green",IF($H74="","Amber",IF($H74&lt;'[2]Read Me'!$B$4,"Red",IF($H74-'[2]Read Me'!$B$4&lt;=21,"Amber","Green"))))</f>
        <v>Red</v>
      </c>
      <c r="N74" s="3"/>
      <c r="O74" t="str">
        <f>IF($I74&lt;&gt;"Complete",IF(COUNTIFS($A$4:$A73,$A74,$B$4:$B73,$B74,$I$4:$I73,"&lt;&gt;Complete")=0,$A74&amp;"|"&amp;$B74,""),"")</f>
        <v/>
      </c>
      <c r="P74" t="str">
        <f ca="1">IF($K74="Yes",COUNTIFS($K$4:$K74,"Yes"),"")</f>
        <v/>
      </c>
      <c r="Q74">
        <f t="shared" ca="1" si="7"/>
        <v>0</v>
      </c>
      <c r="R74" t="str">
        <f ca="1">IF($Q74=1,SUM($Q$4:$Q74),"")</f>
        <v/>
      </c>
    </row>
    <row r="75" spans="1:18" ht="14.25" hidden="1" customHeight="1" x14ac:dyDescent="0.3">
      <c r="A75" s="2" t="s">
        <v>424</v>
      </c>
      <c r="B75" s="2" t="s">
        <v>171</v>
      </c>
      <c r="C75" s="3" t="s">
        <v>429</v>
      </c>
      <c r="D75" s="3" t="s">
        <v>408</v>
      </c>
      <c r="E75" s="2" t="s">
        <v>426</v>
      </c>
      <c r="F75" s="2" t="s">
        <v>197</v>
      </c>
      <c r="G75" s="5">
        <v>45550.875</v>
      </c>
      <c r="H75" s="5">
        <v>45777</v>
      </c>
      <c r="I75" s="4" t="s">
        <v>31</v>
      </c>
      <c r="J75" s="6">
        <f t="shared" si="5"/>
        <v>226.125</v>
      </c>
      <c r="K75" s="4" t="str">
        <f t="shared" ca="1" si="6"/>
        <v>-</v>
      </c>
      <c r="L75" s="7">
        <f t="shared" ca="1" si="8"/>
        <v>0</v>
      </c>
      <c r="M75" s="4" t="str">
        <f>IF($I75="Complete","Green",IF($H75="","Amber",IF($H75&lt;'[2]Read Me'!$B$4,"Red",IF($H75-'[2]Read Me'!$B$4&lt;=21,"Amber","Green"))))</f>
        <v>Red</v>
      </c>
      <c r="N75" s="3"/>
      <c r="O75" t="str">
        <f>IF($I75&lt;&gt;"Complete",IF(COUNTIFS($A$4:$A74,$A75,$B$4:$B74,$B75,$I$4:$I74,"&lt;&gt;Complete")=0,$A75&amp;"|"&amp;$B75,""),"")</f>
        <v/>
      </c>
      <c r="P75" t="str">
        <f ca="1">IF($K75="Yes",COUNTIFS($K$4:$K75,"Yes"),"")</f>
        <v/>
      </c>
      <c r="Q75">
        <f t="shared" ca="1" si="7"/>
        <v>0</v>
      </c>
      <c r="R75" t="str">
        <f ca="1">IF($Q75=1,SUM($Q$4:$Q75),"")</f>
        <v/>
      </c>
    </row>
    <row r="76" spans="1:18" ht="14.25" hidden="1" customHeight="1" x14ac:dyDescent="0.3">
      <c r="A76" s="2" t="s">
        <v>424</v>
      </c>
      <c r="B76" s="2" t="s">
        <v>171</v>
      </c>
      <c r="C76" s="3" t="s">
        <v>429</v>
      </c>
      <c r="D76" s="3" t="s">
        <v>58</v>
      </c>
      <c r="E76" s="2" t="s">
        <v>426</v>
      </c>
      <c r="F76" s="2"/>
      <c r="G76" s="5">
        <v>45564.875</v>
      </c>
      <c r="H76" s="5">
        <v>45791</v>
      </c>
      <c r="I76" s="4" t="s">
        <v>31</v>
      </c>
      <c r="J76" s="6">
        <f t="shared" si="5"/>
        <v>226.125</v>
      </c>
      <c r="K76" s="4" t="str">
        <f t="shared" ca="1" si="6"/>
        <v>-</v>
      </c>
      <c r="L76" s="7">
        <f t="shared" ca="1" si="8"/>
        <v>0</v>
      </c>
      <c r="M76" s="4" t="str">
        <f>IF($I76="Complete","Green",IF($H76="","Amber",IF($H76&lt;'[2]Read Me'!$B$4,"Red",IF($H76-'[2]Read Me'!$B$4&lt;=21,"Amber","Green"))))</f>
        <v>Red</v>
      </c>
      <c r="N76" s="3"/>
      <c r="O76" t="str">
        <f>IF($I76&lt;&gt;"Complete",IF(COUNTIFS($A$4:$A75,$A76,$B$4:$B75,$B76,$I$4:$I75,"&lt;&gt;Complete")=0,$A76&amp;"|"&amp;$B76,""),"")</f>
        <v/>
      </c>
      <c r="P76" t="str">
        <f ca="1">IF($K76="Yes",COUNTIFS($K$4:$K76,"Yes"),"")</f>
        <v/>
      </c>
      <c r="Q76">
        <f t="shared" ca="1" si="7"/>
        <v>0</v>
      </c>
      <c r="R76" t="str">
        <f ca="1">IF($Q76=1,SUM($Q$4:$Q76),"")</f>
        <v/>
      </c>
    </row>
    <row r="77" spans="1:18" ht="22.5" hidden="1" customHeight="1" x14ac:dyDescent="0.3">
      <c r="A77" s="2" t="s">
        <v>424</v>
      </c>
      <c r="B77" s="2" t="s">
        <v>171</v>
      </c>
      <c r="C77" s="3" t="s">
        <v>429</v>
      </c>
      <c r="D77" s="3" t="s">
        <v>410</v>
      </c>
      <c r="E77" s="2" t="s">
        <v>426</v>
      </c>
      <c r="F77" s="2" t="s">
        <v>197</v>
      </c>
      <c r="G77" s="5">
        <v>45578.875</v>
      </c>
      <c r="H77" s="5">
        <v>45806</v>
      </c>
      <c r="I77" s="4" t="s">
        <v>31</v>
      </c>
      <c r="J77" s="6">
        <f t="shared" si="5"/>
        <v>227.125</v>
      </c>
      <c r="K77" s="4" t="str">
        <f t="shared" ca="1" si="6"/>
        <v>-</v>
      </c>
      <c r="L77" s="7">
        <f t="shared" ca="1" si="8"/>
        <v>0</v>
      </c>
      <c r="M77" s="4" t="str">
        <f>IF($I77="Complete","Green",IF($H77="","Amber",IF($H77&lt;'[2]Read Me'!$B$4,"Red",IF($H77-'[2]Read Me'!$B$4&lt;=21,"Amber","Green"))))</f>
        <v>Red</v>
      </c>
      <c r="N77" s="3"/>
      <c r="O77" t="str">
        <f>IF($I77&lt;&gt;"Complete",IF(COUNTIFS($A$4:$A76,$A77,$B$4:$B76,$B77,$I$4:$I76,"&lt;&gt;Complete")=0,$A77&amp;"|"&amp;$B77,""),"")</f>
        <v/>
      </c>
      <c r="P77" t="str">
        <f ca="1">IF($K77="Yes",COUNTIFS($K$4:$K77,"Yes"),"")</f>
        <v/>
      </c>
      <c r="Q77">
        <f t="shared" ca="1" si="7"/>
        <v>0</v>
      </c>
      <c r="R77" t="str">
        <f ca="1">IF($Q77=1,SUM($Q$4:$Q77),"")</f>
        <v/>
      </c>
    </row>
    <row r="78" spans="1:18" ht="14.25" hidden="1" customHeight="1" x14ac:dyDescent="0.3">
      <c r="A78" s="2" t="s">
        <v>424</v>
      </c>
      <c r="B78" s="2" t="s">
        <v>171</v>
      </c>
      <c r="C78" s="3" t="s">
        <v>429</v>
      </c>
      <c r="D78" s="3" t="s">
        <v>58</v>
      </c>
      <c r="E78" s="2" t="s">
        <v>426</v>
      </c>
      <c r="F78" s="2"/>
      <c r="G78" s="5">
        <v>45592.875</v>
      </c>
      <c r="H78" s="5">
        <v>45822</v>
      </c>
      <c r="I78" s="4" t="s">
        <v>31</v>
      </c>
      <c r="J78" s="6">
        <f t="shared" si="5"/>
        <v>229.125</v>
      </c>
      <c r="K78" s="4" t="str">
        <f t="shared" ca="1" si="6"/>
        <v>-</v>
      </c>
      <c r="L78" s="7">
        <f t="shared" ca="1" si="8"/>
        <v>0</v>
      </c>
      <c r="M78" s="4" t="str">
        <f>IF($I78="Complete","Green",IF($H78="","Amber",IF($H78&lt;'[2]Read Me'!$B$4,"Red",IF($H78-'[2]Read Me'!$B$4&lt;=21,"Amber","Green"))))</f>
        <v>Red</v>
      </c>
      <c r="N78" s="3"/>
      <c r="O78" t="str">
        <f>IF($I78&lt;&gt;"Complete",IF(COUNTIFS($A$4:$A77,$A78,$B$4:$B77,$B78,$I$4:$I77,"&lt;&gt;Complete")=0,$A78&amp;"|"&amp;$B78,""),"")</f>
        <v/>
      </c>
      <c r="P78" t="str">
        <f ca="1">IF($K78="Yes",COUNTIFS($K$4:$K78,"Yes"),"")</f>
        <v/>
      </c>
      <c r="Q78">
        <f t="shared" ca="1" si="7"/>
        <v>0</v>
      </c>
      <c r="R78" t="str">
        <f ca="1">IF($Q78=1,SUM($Q$4:$Q78),"")</f>
        <v/>
      </c>
    </row>
    <row r="79" spans="1:18" ht="33.75" hidden="1" customHeight="1" x14ac:dyDescent="0.3">
      <c r="A79" s="2" t="s">
        <v>424</v>
      </c>
      <c r="B79" s="2" t="s">
        <v>171</v>
      </c>
      <c r="C79" s="3" t="s">
        <v>429</v>
      </c>
      <c r="D79" s="3" t="s">
        <v>411</v>
      </c>
      <c r="E79" s="2" t="s">
        <v>426</v>
      </c>
      <c r="F79" s="2" t="s">
        <v>197</v>
      </c>
      <c r="G79" s="5">
        <v>45620.875</v>
      </c>
      <c r="H79" s="5">
        <v>45852</v>
      </c>
      <c r="I79" s="4" t="s">
        <v>31</v>
      </c>
      <c r="J79" s="6">
        <f t="shared" si="5"/>
        <v>231.125</v>
      </c>
      <c r="K79" s="4" t="str">
        <f t="shared" ca="1" si="6"/>
        <v>-</v>
      </c>
      <c r="L79" s="7">
        <f t="shared" ca="1" si="8"/>
        <v>0</v>
      </c>
      <c r="M79" s="4" t="str">
        <f>IF($I79="Complete","Green",IF($H79="","Amber",IF($H79&lt;'[2]Read Me'!$B$4,"Red",IF($H79-'[2]Read Me'!$B$4&lt;=21,"Amber","Green"))))</f>
        <v>Red</v>
      </c>
      <c r="N79" s="3"/>
      <c r="O79" t="str">
        <f>IF($I79&lt;&gt;"Complete",IF(COUNTIFS($A$4:$A78,$A79,$B$4:$B78,$B79,$I$4:$I78,"&lt;&gt;Complete")=0,$A79&amp;"|"&amp;$B79,""),"")</f>
        <v/>
      </c>
      <c r="P79" t="str">
        <f ca="1">IF($K79="Yes",COUNTIFS($K$4:$K79,"Yes"),"")</f>
        <v/>
      </c>
      <c r="Q79">
        <f t="shared" ca="1" si="7"/>
        <v>0</v>
      </c>
      <c r="R79" t="str">
        <f ca="1">IF($Q79=1,SUM($Q$4:$Q79),"")</f>
        <v/>
      </c>
    </row>
    <row r="80" spans="1:18" ht="33.75" hidden="1" customHeight="1" x14ac:dyDescent="0.3">
      <c r="A80" s="2" t="s">
        <v>424</v>
      </c>
      <c r="B80" s="2" t="s">
        <v>171</v>
      </c>
      <c r="C80" s="3" t="s">
        <v>429</v>
      </c>
      <c r="D80" s="3" t="s">
        <v>58</v>
      </c>
      <c r="E80" s="2" t="s">
        <v>426</v>
      </c>
      <c r="F80" s="2"/>
      <c r="G80" s="5">
        <v>45634.875</v>
      </c>
      <c r="H80" s="5">
        <v>45868</v>
      </c>
      <c r="I80" s="4" t="s">
        <v>31</v>
      </c>
      <c r="J80" s="6">
        <f t="shared" si="5"/>
        <v>233.125</v>
      </c>
      <c r="K80" s="4" t="str">
        <f t="shared" ca="1" si="6"/>
        <v>-</v>
      </c>
      <c r="L80" s="7">
        <f t="shared" ca="1" si="8"/>
        <v>0</v>
      </c>
      <c r="M80" s="4" t="str">
        <f>IF($I80="Complete","Green",IF($H80="","Amber",IF($H80&lt;'[2]Read Me'!$B$4,"Red",IF($H80-'[2]Read Me'!$B$4&lt;=21,"Amber","Green"))))</f>
        <v>Red</v>
      </c>
      <c r="N80" s="3"/>
      <c r="O80" t="str">
        <f>IF($I80&lt;&gt;"Complete",IF(COUNTIFS($A$4:$A79,$A80,$B$4:$B79,$B80,$I$4:$I79,"&lt;&gt;Complete")=0,$A80&amp;"|"&amp;$B80,""),"")</f>
        <v/>
      </c>
      <c r="P80" t="str">
        <f ca="1">IF($K80="Yes",COUNTIFS($K$4:$K80,"Yes"),"")</f>
        <v/>
      </c>
      <c r="Q80">
        <f t="shared" ca="1" si="7"/>
        <v>0</v>
      </c>
      <c r="R80" t="str">
        <f ca="1">IF($Q80=1,SUM($Q$4:$Q80),"")</f>
        <v/>
      </c>
    </row>
    <row r="81" spans="1:18" ht="33.75" hidden="1" customHeight="1" x14ac:dyDescent="0.3">
      <c r="A81" s="2" t="s">
        <v>424</v>
      </c>
      <c r="B81" s="2" t="s">
        <v>171</v>
      </c>
      <c r="C81" s="3" t="s">
        <v>429</v>
      </c>
      <c r="D81" s="3" t="s">
        <v>431</v>
      </c>
      <c r="E81" s="2" t="s">
        <v>426</v>
      </c>
      <c r="F81" s="2" t="s">
        <v>197</v>
      </c>
      <c r="G81" s="5">
        <v>45648.875</v>
      </c>
      <c r="H81" s="5">
        <v>45883</v>
      </c>
      <c r="I81" s="4" t="s">
        <v>31</v>
      </c>
      <c r="J81" s="6">
        <f t="shared" si="5"/>
        <v>234.125</v>
      </c>
      <c r="K81" s="4" t="str">
        <f t="shared" ca="1" si="6"/>
        <v>-</v>
      </c>
      <c r="L81" s="7">
        <f t="shared" ca="1" si="8"/>
        <v>0</v>
      </c>
      <c r="M81" s="4" t="str">
        <f>IF($I81="Complete","Green",IF($H81="","Amber",IF($H81&lt;'[2]Read Me'!$B$4,"Red",IF($H81-'[2]Read Me'!$B$4&lt;=21,"Amber","Green"))))</f>
        <v>Red</v>
      </c>
      <c r="N81" s="3"/>
      <c r="O81" t="str">
        <f>IF($I81&lt;&gt;"Complete",IF(COUNTIFS($A$4:$A80,$A81,$B$4:$B80,$B81,$I$4:$I80,"&lt;&gt;Complete")=0,$A81&amp;"|"&amp;$B81,""),"")</f>
        <v/>
      </c>
      <c r="P81" t="str">
        <f ca="1">IF($K81="Yes",COUNTIFS($K$4:$K81,"Yes"),"")</f>
        <v/>
      </c>
      <c r="Q81">
        <f t="shared" ca="1" si="7"/>
        <v>0</v>
      </c>
      <c r="R81" t="str">
        <f ca="1">IF($Q81=1,SUM($Q$4:$Q81),"")</f>
        <v/>
      </c>
    </row>
    <row r="82" spans="1:18" ht="33.75" hidden="1" customHeight="1" x14ac:dyDescent="0.3">
      <c r="A82" s="2" t="s">
        <v>424</v>
      </c>
      <c r="B82" s="2" t="s">
        <v>171</v>
      </c>
      <c r="C82" s="3" t="s">
        <v>429</v>
      </c>
      <c r="D82" s="3" t="s">
        <v>432</v>
      </c>
      <c r="E82" s="2" t="s">
        <v>426</v>
      </c>
      <c r="F82" s="2"/>
      <c r="G82" s="5">
        <v>45941</v>
      </c>
      <c r="H82" s="5">
        <v>45988</v>
      </c>
      <c r="I82" s="4" t="s">
        <v>31</v>
      </c>
      <c r="J82" s="6">
        <f t="shared" si="5"/>
        <v>47</v>
      </c>
      <c r="K82" s="4" t="str">
        <f t="shared" ca="1" si="6"/>
        <v>-</v>
      </c>
      <c r="L82" s="7">
        <f t="shared" ca="1" si="8"/>
        <v>0</v>
      </c>
      <c r="M82" s="4" t="str">
        <f>IF($I82="Complete","Green",IF($H82="","Amber",IF($H82&lt;'[2]Read Me'!$B$4,"Red",IF($H82-'[2]Read Me'!$B$4&lt;=21,"Amber","Green"))))</f>
        <v>Red</v>
      </c>
      <c r="N82" s="3"/>
      <c r="O82" t="str">
        <f>IF($I82&lt;&gt;"Complete",IF(COUNTIFS($A$4:$A81,$A82,$B$4:$B81,$B82,$I$4:$I81,"&lt;&gt;Complete")=0,$A82&amp;"|"&amp;$B82,""),"")</f>
        <v/>
      </c>
      <c r="P82" t="str">
        <f ca="1">IF($K82="Yes",COUNTIFS($K$4:$K82,"Yes"),"")</f>
        <v/>
      </c>
      <c r="Q82">
        <f t="shared" ca="1" si="7"/>
        <v>0</v>
      </c>
      <c r="R82" t="str">
        <f ca="1">IF($Q82=1,SUM($Q$4:$Q82),"")</f>
        <v/>
      </c>
    </row>
    <row r="83" spans="1:18" ht="33.75" hidden="1" customHeight="1" x14ac:dyDescent="0.3">
      <c r="A83" s="2" t="s">
        <v>424</v>
      </c>
      <c r="B83" s="2" t="s">
        <v>171</v>
      </c>
      <c r="C83" s="3" t="s">
        <v>429</v>
      </c>
      <c r="D83" s="3" t="s">
        <v>433</v>
      </c>
      <c r="E83" s="2" t="s">
        <v>426</v>
      </c>
      <c r="F83" s="2" t="s">
        <v>197</v>
      </c>
      <c r="G83" s="5">
        <v>45955</v>
      </c>
      <c r="H83" s="5">
        <v>46139</v>
      </c>
      <c r="I83" s="4" t="s">
        <v>31</v>
      </c>
      <c r="J83" s="6">
        <f t="shared" si="5"/>
        <v>184</v>
      </c>
      <c r="K83" s="4" t="str">
        <f t="shared" ca="1" si="6"/>
        <v>-</v>
      </c>
      <c r="L83" s="7">
        <f t="shared" ca="1" si="8"/>
        <v>0</v>
      </c>
      <c r="M83" s="4" t="str">
        <f>IF($I83="Complete","Green",IF($H83="","Amber",IF($H83&lt;'[2]Read Me'!$B$4,"Red",IF($H83-'[2]Read Me'!$B$4&lt;=21,"Amber","Green"))))</f>
        <v>Red</v>
      </c>
      <c r="N83" s="3"/>
      <c r="O83" t="str">
        <f>IF($I83&lt;&gt;"Complete",IF(COUNTIFS($A$4:$A82,$A83,$B$4:$B82,$B83,$I$4:$I82,"&lt;&gt;Complete")=0,$A83&amp;"|"&amp;$B83,""),"")</f>
        <v/>
      </c>
      <c r="P83" t="str">
        <f ca="1">IF($K83="Yes",COUNTIFS($K$4:$K83,"Yes"),"")</f>
        <v/>
      </c>
      <c r="Q83">
        <f t="shared" ca="1" si="7"/>
        <v>0</v>
      </c>
      <c r="R83" t="str">
        <f ca="1">IF($Q83=1,SUM($Q$4:$Q83),"")</f>
        <v/>
      </c>
    </row>
    <row r="84" spans="1:18" ht="33.75" hidden="1" customHeight="1" x14ac:dyDescent="0.3">
      <c r="A84" s="2" t="s">
        <v>424</v>
      </c>
      <c r="B84" s="2" t="s">
        <v>171</v>
      </c>
      <c r="C84" s="3" t="s">
        <v>429</v>
      </c>
      <c r="D84" s="3" t="s">
        <v>58</v>
      </c>
      <c r="E84" s="2" t="s">
        <v>426</v>
      </c>
      <c r="F84" s="2"/>
      <c r="G84" s="5">
        <v>45969</v>
      </c>
      <c r="H84" s="5">
        <v>46146</v>
      </c>
      <c r="I84" s="4" t="s">
        <v>31</v>
      </c>
      <c r="J84" s="6">
        <f t="shared" si="5"/>
        <v>177</v>
      </c>
      <c r="K84" s="4" t="str">
        <f t="shared" ca="1" si="6"/>
        <v>-</v>
      </c>
      <c r="L84" s="7">
        <f t="shared" ca="1" si="8"/>
        <v>0</v>
      </c>
      <c r="M84" s="4" t="str">
        <f>IF($I84="Complete","Green",IF($H84="","Amber",IF($H84&lt;'[2]Read Me'!$B$4,"Red",IF($H84-'[2]Read Me'!$B$4&lt;=21,"Amber","Green"))))</f>
        <v>Red</v>
      </c>
      <c r="N84" s="3"/>
      <c r="O84" t="str">
        <f>IF($I84&lt;&gt;"Complete",IF(COUNTIFS($A$4:$A83,$A84,$B$4:$B83,$B84,$I$4:$I83,"&lt;&gt;Complete")=0,$A84&amp;"|"&amp;$B84,""),"")</f>
        <v/>
      </c>
      <c r="P84" t="str">
        <f ca="1">IF($K84="Yes",COUNTIFS($K$4:$K84,"Yes"),"")</f>
        <v/>
      </c>
      <c r="Q84">
        <f t="shared" ca="1" si="7"/>
        <v>0</v>
      </c>
      <c r="R84" t="str">
        <f ca="1">IF($Q84=1,SUM($Q$4:$Q84),"")</f>
        <v/>
      </c>
    </row>
    <row r="85" spans="1:18" ht="33.75" hidden="1" customHeight="1" x14ac:dyDescent="0.3">
      <c r="A85" s="2" t="s">
        <v>424</v>
      </c>
      <c r="B85" s="2" t="s">
        <v>171</v>
      </c>
      <c r="C85" s="3" t="s">
        <v>429</v>
      </c>
      <c r="D85" s="3" t="s">
        <v>434</v>
      </c>
      <c r="E85" s="2" t="s">
        <v>426</v>
      </c>
      <c r="F85" s="2"/>
      <c r="G85" s="5">
        <v>45969</v>
      </c>
      <c r="H85" s="5">
        <v>46174</v>
      </c>
      <c r="I85" s="4" t="s">
        <v>31</v>
      </c>
      <c r="J85" s="6">
        <f t="shared" si="5"/>
        <v>205</v>
      </c>
      <c r="K85" s="4" t="str">
        <f t="shared" ca="1" si="6"/>
        <v>-</v>
      </c>
      <c r="L85" s="7">
        <f t="shared" ca="1" si="8"/>
        <v>0</v>
      </c>
      <c r="M85" s="4" t="str">
        <f>IF($I85="Complete","Green",IF($H85="","Amber",IF($H85&lt;'[2]Read Me'!$B$4,"Red",IF($H85-'[2]Read Me'!$B$4&lt;=21,"Amber","Green"))))</f>
        <v>Red</v>
      </c>
      <c r="N85" s="3"/>
      <c r="O85" t="str">
        <f>IF($I85&lt;&gt;"Complete",IF(COUNTIFS($A$4:$A84,$A85,$B$4:$B84,$B85,$I$4:$I84,"&lt;&gt;Complete")=0,$A85&amp;"|"&amp;$B85,""),"")</f>
        <v/>
      </c>
      <c r="P85" t="str">
        <f ca="1">IF($K85="Yes",COUNTIFS($K$4:$K85,"Yes"),"")</f>
        <v/>
      </c>
      <c r="Q85">
        <f t="shared" ca="1" si="7"/>
        <v>0</v>
      </c>
      <c r="R85" t="str">
        <f ca="1">IF($Q85=1,SUM($Q$4:$Q85),"")</f>
        <v/>
      </c>
    </row>
    <row r="86" spans="1:18" ht="33.75" customHeight="1" x14ac:dyDescent="0.3">
      <c r="A86" s="2" t="s">
        <v>435</v>
      </c>
      <c r="B86" s="2" t="s">
        <v>21</v>
      </c>
      <c r="C86" s="3"/>
      <c r="D86" s="3"/>
      <c r="E86" s="2"/>
      <c r="F86" s="2"/>
      <c r="G86" s="5">
        <v>46020</v>
      </c>
      <c r="H86" s="5">
        <v>46198</v>
      </c>
      <c r="I86" s="4"/>
      <c r="J86" s="6">
        <f t="shared" si="5"/>
        <v>178</v>
      </c>
      <c r="K86" s="4" t="str">
        <f t="shared" ca="1" si="6"/>
        <v/>
      </c>
      <c r="L86" s="7">
        <f t="shared" ca="1" si="8"/>
        <v>-10</v>
      </c>
      <c r="M86" s="4" t="str">
        <f>IF($I86="Complete","Green",IF($H86="","Amber",IF($H86&lt;'[2]Read Me'!$B$4,"Red",IF($H86-'[2]Read Me'!$B$4&lt;=21,"Amber","Green"))))</f>
        <v>Amber</v>
      </c>
      <c r="N86" s="3"/>
      <c r="O86" t="str">
        <f>IF($I86&lt;&gt;"Complete",IF(COUNTIFS($A$4:$A85,$A86,$B$4:$B85,$B86,$I$4:$I85,"&lt;&gt;Complete")=0,$A86&amp;"|"&amp;$B86,""),"")</f>
        <v>Valleys|Landscape</v>
      </c>
      <c r="P86" t="str">
        <f ca="1">IF($K86="Yes",COUNTIFS($K$4:$K86,"Yes"),"")</f>
        <v/>
      </c>
      <c r="Q86">
        <f t="shared" ca="1" si="7"/>
        <v>0</v>
      </c>
      <c r="R86" t="str">
        <f ca="1">IF($Q86=1,SUM($Q$4:$Q86),"")</f>
        <v/>
      </c>
    </row>
    <row r="87" spans="1:18" ht="33.75" customHeight="1" x14ac:dyDescent="0.3">
      <c r="A87" s="2"/>
      <c r="B87" s="2"/>
      <c r="C87" s="3"/>
      <c r="D87" s="3"/>
      <c r="E87" s="2"/>
      <c r="F87" s="2"/>
      <c r="G87" s="5"/>
      <c r="H87" s="5"/>
      <c r="I87" s="4" t="s">
        <v>17</v>
      </c>
      <c r="J87" s="6" t="str">
        <f t="shared" si="5"/>
        <v/>
      </c>
      <c r="K87" s="4" t="str">
        <f t="shared" ca="1" si="6"/>
        <v/>
      </c>
      <c r="L87" s="7" t="str">
        <f t="shared" ca="1" si="8"/>
        <v/>
      </c>
      <c r="M87" s="4" t="str">
        <f>IF($I87="Complete","Green",IF($H87="","Amber",IF($H87&lt;'[2]Read Me'!$B$4,"Red",IF($H87-'[2]Read Me'!$B$4&lt;=21,"Amber","Green"))))</f>
        <v>Amber</v>
      </c>
      <c r="N87" s="3"/>
      <c r="O87" t="str">
        <f>IF($I87&lt;&gt;"Complete",IF(COUNTIFS($A$4:$A86,$A87,$B$4:$B86,$B87,$I$4:$I86,"&lt;&gt;Complete")=0,$A87&amp;"|"&amp;$B87,""),"")</f>
        <v>|</v>
      </c>
      <c r="P87" t="str">
        <f ca="1">IF($K87="Yes",COUNTIFS($K$4:$K87,"Yes"),"")</f>
        <v/>
      </c>
      <c r="Q87">
        <f t="shared" ca="1" si="7"/>
        <v>0</v>
      </c>
      <c r="R87" t="str">
        <f ca="1">IF($Q87=1,SUM($Q$4:$Q87),"")</f>
        <v/>
      </c>
    </row>
    <row r="88" spans="1:18" ht="33.75" customHeight="1" x14ac:dyDescent="0.3">
      <c r="A88" s="2" t="s">
        <v>435</v>
      </c>
      <c r="B88" s="2" t="s">
        <v>21</v>
      </c>
      <c r="C88" s="3" t="s">
        <v>436</v>
      </c>
      <c r="D88" s="3" t="s">
        <v>438</v>
      </c>
      <c r="E88" s="2" t="s">
        <v>395</v>
      </c>
      <c r="F88" s="2" t="s">
        <v>182</v>
      </c>
      <c r="G88" s="5">
        <v>45795</v>
      </c>
      <c r="H88" s="5">
        <v>45883</v>
      </c>
      <c r="I88" s="4" t="s">
        <v>31</v>
      </c>
      <c r="J88" s="6">
        <f t="shared" si="5"/>
        <v>88</v>
      </c>
      <c r="K88" s="4" t="str">
        <f t="shared" ca="1" si="6"/>
        <v>-</v>
      </c>
      <c r="L88" s="7">
        <f t="shared" ca="1" si="8"/>
        <v>0</v>
      </c>
      <c r="M88" s="4" t="str">
        <f>IF($I88="Complete","Green",IF($H88="","Amber",IF($H88&lt;'[2]Read Me'!$B$4,"Red",IF($H88-'[2]Read Me'!$B$4&lt;=21,"Amber","Green"))))</f>
        <v>Red</v>
      </c>
      <c r="N88" s="3"/>
      <c r="O88" t="str">
        <f>IF($I88&lt;&gt;"Complete",IF(COUNTIFS($A$4:$A87,$A88,$B$4:$B87,$B88,$I$4:$I87,"&lt;&gt;Complete")=0,$A88&amp;"|"&amp;$B88,""),"")</f>
        <v/>
      </c>
      <c r="P88" t="str">
        <f ca="1">IF($K88="Yes",COUNTIFS($K$4:$K88,"Yes"),"")</f>
        <v/>
      </c>
      <c r="Q88">
        <f t="shared" ca="1" si="7"/>
        <v>0</v>
      </c>
      <c r="R88" t="str">
        <f ca="1">IF($Q88=1,SUM($Q$4:$Q88),"")</f>
        <v/>
      </c>
    </row>
    <row r="89" spans="1:18" ht="33.75" customHeight="1" x14ac:dyDescent="0.3">
      <c r="A89" s="2" t="s">
        <v>435</v>
      </c>
      <c r="B89" s="2" t="s">
        <v>21</v>
      </c>
      <c r="C89" s="3" t="s">
        <v>436</v>
      </c>
      <c r="D89" s="3" t="s">
        <v>58</v>
      </c>
      <c r="E89" s="2" t="s">
        <v>395</v>
      </c>
      <c r="F89" s="2"/>
      <c r="G89" s="5">
        <v>45809</v>
      </c>
      <c r="H89" s="5">
        <v>45908</v>
      </c>
      <c r="I89" s="4" t="s">
        <v>31</v>
      </c>
      <c r="J89" s="6">
        <f t="shared" si="5"/>
        <v>99</v>
      </c>
      <c r="K89" s="4" t="str">
        <f t="shared" ca="1" si="6"/>
        <v>-</v>
      </c>
      <c r="L89" s="7">
        <f t="shared" ca="1" si="8"/>
        <v>0</v>
      </c>
      <c r="M89" s="4" t="str">
        <f>IF($I89="Complete","Green",IF($H89="","Amber",IF($H89&lt;'[2]Read Me'!$B$4,"Red",IF($H89-'[2]Read Me'!$B$4&lt;=21,"Amber","Green"))))</f>
        <v>Red</v>
      </c>
      <c r="N89" s="3"/>
      <c r="O89" t="str">
        <f>IF($I89&lt;&gt;"Complete",IF(COUNTIFS($A$4:$A88,$A89,$B$4:$B88,$B89,$I$4:$I88,"&lt;&gt;Complete")=0,$A89&amp;"|"&amp;$B89,""),"")</f>
        <v/>
      </c>
      <c r="P89" t="str">
        <f ca="1">IF($K89="Yes",COUNTIFS($K$4:$K89,"Yes"),"")</f>
        <v/>
      </c>
      <c r="Q89">
        <f t="shared" ca="1" si="7"/>
        <v>0</v>
      </c>
      <c r="R89" t="str">
        <f ca="1">IF($Q89=1,SUM($Q$4:$Q89),"")</f>
        <v/>
      </c>
    </row>
    <row r="90" spans="1:18" ht="33.75" customHeight="1" x14ac:dyDescent="0.3">
      <c r="A90" s="2" t="s">
        <v>435</v>
      </c>
      <c r="B90" s="2" t="s">
        <v>21</v>
      </c>
      <c r="C90" s="3" t="s">
        <v>436</v>
      </c>
      <c r="D90" s="3" t="s">
        <v>282</v>
      </c>
      <c r="E90" s="2" t="s">
        <v>395</v>
      </c>
      <c r="F90" s="2"/>
      <c r="G90" s="5">
        <v>45897</v>
      </c>
      <c r="H90" s="5">
        <v>45897</v>
      </c>
      <c r="I90" s="4" t="s">
        <v>31</v>
      </c>
      <c r="J90" s="6">
        <f t="shared" si="5"/>
        <v>0</v>
      </c>
      <c r="K90" s="4" t="str">
        <f t="shared" ca="1" si="6"/>
        <v>-</v>
      </c>
      <c r="L90" s="7">
        <f t="shared" ca="1" si="8"/>
        <v>0</v>
      </c>
      <c r="M90" s="4" t="str">
        <f>IF($I90="Complete","Green",IF($H90="","Amber",IF($H90&lt;'[2]Read Me'!$B$4,"Red",IF($H90-'[2]Read Me'!$B$4&lt;=21,"Amber","Green"))))</f>
        <v>Red</v>
      </c>
      <c r="N90" s="3"/>
      <c r="O90" t="str">
        <f>IF($I90&lt;&gt;"Complete",IF(COUNTIFS($A$4:$A89,$A90,$B$4:$B89,$B90,$I$4:$I89,"&lt;&gt;Complete")=0,$A90&amp;"|"&amp;$B90,""),"")</f>
        <v/>
      </c>
      <c r="P90" t="str">
        <f ca="1">IF($K90="Yes",COUNTIFS($K$4:$K90,"Yes"),"")</f>
        <v/>
      </c>
      <c r="Q90">
        <f t="shared" ca="1" si="7"/>
        <v>0</v>
      </c>
      <c r="R90" t="str">
        <f ca="1">IF($Q90=1,SUM($Q$4:$Q90),"")</f>
        <v/>
      </c>
    </row>
    <row r="91" spans="1:18" ht="33.75" customHeight="1" x14ac:dyDescent="0.3">
      <c r="A91" s="2" t="s">
        <v>435</v>
      </c>
      <c r="B91" s="2" t="s">
        <v>21</v>
      </c>
      <c r="C91" s="3" t="s">
        <v>436</v>
      </c>
      <c r="D91" s="3" t="s">
        <v>439</v>
      </c>
      <c r="E91" s="2" t="s">
        <v>395</v>
      </c>
      <c r="F91" s="2" t="s">
        <v>182</v>
      </c>
      <c r="G91" s="5">
        <v>45937</v>
      </c>
      <c r="H91" s="5">
        <v>45946</v>
      </c>
      <c r="I91" s="4" t="s">
        <v>31</v>
      </c>
      <c r="J91" s="6">
        <f t="shared" si="5"/>
        <v>9</v>
      </c>
      <c r="K91" s="4" t="str">
        <f t="shared" ca="1" si="6"/>
        <v>-</v>
      </c>
      <c r="L91" s="7">
        <f t="shared" ca="1" si="8"/>
        <v>0</v>
      </c>
      <c r="M91" s="4" t="str">
        <f>IF($I91="Complete","Green",IF($H91="","Amber",IF($H91&lt;'[2]Read Me'!$B$4,"Red",IF($H91-'[2]Read Me'!$B$4&lt;=21,"Amber","Green"))))</f>
        <v>Red</v>
      </c>
      <c r="N91" s="3"/>
      <c r="O91" t="str">
        <f>IF($I91&lt;&gt;"Complete",IF(COUNTIFS($A$4:$A90,$A91,$B$4:$B90,$B91,$I$4:$I90,"&lt;&gt;Complete")=0,$A91&amp;"|"&amp;$B91,""),"")</f>
        <v/>
      </c>
      <c r="P91" t="str">
        <f ca="1">IF($K91="Yes",COUNTIFS($K$4:$K91,"Yes"),"")</f>
        <v/>
      </c>
      <c r="Q91">
        <f t="shared" ca="1" si="7"/>
        <v>0</v>
      </c>
      <c r="R91" t="str">
        <f ca="1">IF($Q91=1,SUM($Q$4:$Q91),"")</f>
        <v/>
      </c>
    </row>
    <row r="92" spans="1:18" ht="33.75" customHeight="1" x14ac:dyDescent="0.3">
      <c r="A92" s="2" t="s">
        <v>435</v>
      </c>
      <c r="B92" s="2" t="s">
        <v>21</v>
      </c>
      <c r="C92" s="3" t="s">
        <v>436</v>
      </c>
      <c r="D92" s="3" t="s">
        <v>58</v>
      </c>
      <c r="E92" s="2" t="s">
        <v>395</v>
      </c>
      <c r="F92" s="2"/>
      <c r="G92" s="5">
        <v>45956</v>
      </c>
      <c r="H92" s="5">
        <v>45963</v>
      </c>
      <c r="I92" s="4" t="s">
        <v>31</v>
      </c>
      <c r="J92" s="6">
        <f t="shared" si="5"/>
        <v>7</v>
      </c>
      <c r="K92" s="4" t="str">
        <f t="shared" ca="1" si="6"/>
        <v>-</v>
      </c>
      <c r="L92" s="7">
        <f t="shared" ca="1" si="8"/>
        <v>0</v>
      </c>
      <c r="M92" s="4" t="str">
        <f>IF($I92="Complete","Green",IF($H92="","Amber",IF($H92&lt;'[2]Read Me'!$B$4,"Red",IF($H92-'[2]Read Me'!$B$4&lt;=21,"Amber","Green"))))</f>
        <v>Red</v>
      </c>
      <c r="N92" s="3"/>
      <c r="O92" t="str">
        <f>IF($I92&lt;&gt;"Complete",IF(COUNTIFS($A$4:$A91,$A92,$B$4:$B91,$B92,$I$4:$I91,"&lt;&gt;Complete")=0,$A92&amp;"|"&amp;$B92,""),"")</f>
        <v/>
      </c>
      <c r="P92" t="str">
        <f ca="1">IF($K92="Yes",COUNTIFS($K$4:$K92,"Yes"),"")</f>
        <v/>
      </c>
      <c r="Q92">
        <f t="shared" ca="1" si="7"/>
        <v>0</v>
      </c>
      <c r="R92" t="str">
        <f ca="1">IF($Q92=1,SUM($Q$4:$Q92),"")</f>
        <v/>
      </c>
    </row>
    <row r="93" spans="1:18" ht="33.75" customHeight="1" x14ac:dyDescent="0.3">
      <c r="A93" s="2" t="s">
        <v>435</v>
      </c>
      <c r="B93" s="2" t="s">
        <v>21</v>
      </c>
      <c r="C93" s="3" t="s">
        <v>436</v>
      </c>
      <c r="D93" s="3" t="s">
        <v>440</v>
      </c>
      <c r="E93" s="2" t="s">
        <v>395</v>
      </c>
      <c r="F93" s="2" t="s">
        <v>182</v>
      </c>
      <c r="G93" s="5">
        <v>45977</v>
      </c>
      <c r="H93" s="5">
        <v>46028</v>
      </c>
      <c r="I93" s="4" t="s">
        <v>31</v>
      </c>
      <c r="J93" s="6">
        <f t="shared" si="5"/>
        <v>51</v>
      </c>
      <c r="K93" s="4" t="str">
        <f t="shared" ca="1" si="6"/>
        <v>-</v>
      </c>
      <c r="L93" s="7">
        <f t="shared" ca="1" si="8"/>
        <v>0</v>
      </c>
      <c r="M93" s="4" t="str">
        <f>IF($I93="Complete","Green",IF($H93="","Amber",IF($H93&lt;'[2]Read Me'!$B$4,"Red",IF($H93-'[2]Read Me'!$B$4&lt;=21,"Amber","Green"))))</f>
        <v>Red</v>
      </c>
      <c r="N93" s="3"/>
      <c r="O93" t="str">
        <f>IF($I93&lt;&gt;"Complete",IF(COUNTIFS($A$4:$A92,$A93,$B$4:$B92,$B93,$I$4:$I92,"&lt;&gt;Complete")=0,$A93&amp;"|"&amp;$B93,""),"")</f>
        <v/>
      </c>
      <c r="P93" t="str">
        <f ca="1">IF($K93="Yes",COUNTIFS($K$4:$K93,"Yes"),"")</f>
        <v/>
      </c>
      <c r="Q93">
        <f t="shared" ca="1" si="7"/>
        <v>0</v>
      </c>
      <c r="R93" t="str">
        <f ca="1">IF($Q93=1,SUM($Q$4:$Q93),"")</f>
        <v/>
      </c>
    </row>
    <row r="94" spans="1:18" ht="33.75" customHeight="1" x14ac:dyDescent="0.3">
      <c r="A94" s="2" t="s">
        <v>435</v>
      </c>
      <c r="B94" s="2" t="s">
        <v>21</v>
      </c>
      <c r="C94" s="3" t="s">
        <v>436</v>
      </c>
      <c r="D94" s="3" t="s">
        <v>58</v>
      </c>
      <c r="E94" s="2" t="s">
        <v>395</v>
      </c>
      <c r="F94" s="2"/>
      <c r="G94" s="5">
        <v>45998</v>
      </c>
      <c r="H94" s="5">
        <v>46114</v>
      </c>
      <c r="I94" s="4" t="s">
        <v>31</v>
      </c>
      <c r="J94" s="6">
        <f t="shared" si="5"/>
        <v>116</v>
      </c>
      <c r="K94" s="4" t="str">
        <f t="shared" ca="1" si="6"/>
        <v>-</v>
      </c>
      <c r="L94" s="7">
        <f t="shared" ca="1" si="8"/>
        <v>0</v>
      </c>
      <c r="M94" s="4" t="str">
        <f>IF($I94="Complete","Green",IF($H94="","Amber",IF($H94&lt;'[2]Read Me'!$B$4,"Red",IF($H94-'[2]Read Me'!$B$4&lt;=21,"Amber","Green"))))</f>
        <v>Red</v>
      </c>
      <c r="N94" s="3"/>
      <c r="O94" t="str">
        <f>IF($I94&lt;&gt;"Complete",IF(COUNTIFS($A$4:$A93,$A94,$B$4:$B93,$B94,$I$4:$I93,"&lt;&gt;Complete")=0,$A94&amp;"|"&amp;$B94,""),"")</f>
        <v/>
      </c>
      <c r="P94" t="str">
        <f ca="1">IF($K94="Yes",COUNTIFS($K$4:$K94,"Yes"),"")</f>
        <v/>
      </c>
      <c r="Q94">
        <f t="shared" ca="1" si="7"/>
        <v>0</v>
      </c>
      <c r="R94" t="str">
        <f ca="1">IF($Q94=1,SUM($Q$4:$Q94),"")</f>
        <v/>
      </c>
    </row>
    <row r="95" spans="1:18" ht="33.75" customHeight="1" x14ac:dyDescent="0.3">
      <c r="A95" s="2" t="s">
        <v>435</v>
      </c>
      <c r="B95" s="2" t="s">
        <v>21</v>
      </c>
      <c r="C95" s="3" t="s">
        <v>436</v>
      </c>
      <c r="D95" s="3" t="s">
        <v>282</v>
      </c>
      <c r="E95" s="2" t="s">
        <v>184</v>
      </c>
      <c r="F95" s="2" t="s">
        <v>81</v>
      </c>
      <c r="G95" s="5">
        <v>46020</v>
      </c>
      <c r="H95" s="5">
        <v>46198</v>
      </c>
      <c r="I95" s="4" t="s">
        <v>46</v>
      </c>
      <c r="J95" s="6">
        <f t="shared" si="5"/>
        <v>178</v>
      </c>
      <c r="K95" s="4" t="str">
        <f t="shared" ca="1" si="6"/>
        <v>Yes</v>
      </c>
      <c r="L95" s="7">
        <f t="shared" ca="1" si="8"/>
        <v>-10</v>
      </c>
      <c r="M95" s="4" t="str">
        <f>IF($I95="Complete","Green",IF($H95="","Amber",IF($H95&lt;'[2]Read Me'!$B$4,"Red",IF($H95-'[2]Read Me'!$B$4&lt;=21,"Amber","Green"))))</f>
        <v>Amber</v>
      </c>
      <c r="N95" s="3"/>
      <c r="O95" t="str">
        <f>IF($I95&lt;&gt;"Complete",IF(COUNTIFS($A$4:$A94,$A95,$B$4:$B94,$B95,$I$4:$I94,"&lt;&gt;Complete")=0,$A95&amp;"|"&amp;$B95,""),"")</f>
        <v/>
      </c>
      <c r="P95">
        <f ca="1">IF($K95="Yes",COUNTIFS($K$4:$K95,"Yes"),"")</f>
        <v>2</v>
      </c>
      <c r="Q95">
        <f t="shared" ca="1" si="7"/>
        <v>1</v>
      </c>
      <c r="R95">
        <f ca="1">IF($Q95=1,SUM($Q$4:$Q95),"")</f>
        <v>2</v>
      </c>
    </row>
    <row r="96" spans="1:18" ht="33.75" hidden="1" customHeight="1" x14ac:dyDescent="0.3">
      <c r="A96" s="2" t="s">
        <v>441</v>
      </c>
      <c r="B96" s="2" t="s">
        <v>21</v>
      </c>
      <c r="C96" s="3"/>
      <c r="D96" s="3"/>
      <c r="E96" s="2"/>
      <c r="F96" s="2"/>
      <c r="G96" s="5">
        <v>46068</v>
      </c>
      <c r="H96" s="5">
        <v>46259</v>
      </c>
      <c r="I96" s="4"/>
      <c r="J96" s="6">
        <f t="shared" si="5"/>
        <v>191</v>
      </c>
      <c r="K96" s="4" t="str">
        <f t="shared" ca="1" si="6"/>
        <v/>
      </c>
      <c r="L96" s="7">
        <f t="shared" ca="1" si="8"/>
        <v>51</v>
      </c>
      <c r="M96" s="4" t="str">
        <f>IF($I96="Complete","Green",IF($H96="","Amber",IF($H96&lt;'[2]Read Me'!$B$4,"Red",IF($H96-'[2]Read Me'!$B$4&lt;=21,"Amber","Green"))))</f>
        <v>Green</v>
      </c>
      <c r="N96" s="3"/>
      <c r="O96" t="str">
        <f>IF($I96&lt;&gt;"Complete",IF(COUNTIFS($A$4:$A95,$A96,$B$4:$B95,$B96,$I$4:$I95,"&lt;&gt;Complete")=0,$A96&amp;"|"&amp;$B96,""),"")</f>
        <v>Ph.01|Landscape</v>
      </c>
      <c r="P96" t="str">
        <f ca="1">IF($K96="Yes",COUNTIFS($K$4:$K96,"Yes"),"")</f>
        <v/>
      </c>
      <c r="Q96">
        <f t="shared" ca="1" si="7"/>
        <v>0</v>
      </c>
      <c r="R96" t="str">
        <f ca="1">IF($Q96=1,SUM($Q$4:$Q96),"")</f>
        <v/>
      </c>
    </row>
    <row r="97" spans="1:18" ht="33.75" hidden="1" customHeight="1" x14ac:dyDescent="0.3">
      <c r="A97" s="2" t="s">
        <v>441</v>
      </c>
      <c r="B97" s="2" t="s">
        <v>21</v>
      </c>
      <c r="C97" s="3" t="s">
        <v>442</v>
      </c>
      <c r="D97" s="3" t="s">
        <v>284</v>
      </c>
      <c r="E97" s="2" t="s">
        <v>395</v>
      </c>
      <c r="F97" s="2" t="s">
        <v>182</v>
      </c>
      <c r="G97" s="5">
        <v>46026</v>
      </c>
      <c r="H97" s="5">
        <v>46189</v>
      </c>
      <c r="I97" s="4" t="s">
        <v>31</v>
      </c>
      <c r="J97" s="6">
        <f t="shared" si="5"/>
        <v>163</v>
      </c>
      <c r="K97" s="4" t="str">
        <f t="shared" ca="1" si="6"/>
        <v>-</v>
      </c>
      <c r="L97" s="7">
        <f t="shared" ca="1" si="8"/>
        <v>0</v>
      </c>
      <c r="M97" s="4" t="str">
        <f>IF($I97="Complete","Green",IF($H97="","Amber",IF($H97&lt;'[2]Read Me'!$B$4,"Red",IF($H97-'[2]Read Me'!$B$4&lt;=21,"Amber","Green"))))</f>
        <v>Amber</v>
      </c>
      <c r="N97" s="3"/>
      <c r="O97" t="str">
        <f>IF($I97&lt;&gt;"Complete",IF(COUNTIFS($A$4:$A96,$A97,$B$4:$B96,$B97,$I$4:$I96,"&lt;&gt;Complete")=0,$A97&amp;"|"&amp;$B97,""),"")</f>
        <v/>
      </c>
      <c r="P97" t="str">
        <f ca="1">IF($K97="Yes",COUNTIFS($K$4:$K97,"Yes"),"")</f>
        <v/>
      </c>
      <c r="Q97">
        <f t="shared" ca="1" si="7"/>
        <v>0</v>
      </c>
      <c r="R97" t="str">
        <f ca="1">IF($Q97=1,SUM($Q$4:$Q97),"")</f>
        <v/>
      </c>
    </row>
    <row r="98" spans="1:18" ht="33.75" hidden="1" customHeight="1" x14ac:dyDescent="0.3">
      <c r="A98" s="2" t="s">
        <v>441</v>
      </c>
      <c r="B98" s="2" t="s">
        <v>21</v>
      </c>
      <c r="C98" s="3" t="s">
        <v>442</v>
      </c>
      <c r="D98" s="3" t="s">
        <v>58</v>
      </c>
      <c r="E98" s="2" t="s">
        <v>395</v>
      </c>
      <c r="F98" s="2"/>
      <c r="G98" s="5">
        <v>46040</v>
      </c>
      <c r="H98" s="5">
        <v>46203</v>
      </c>
      <c r="I98" s="4" t="s">
        <v>46</v>
      </c>
      <c r="J98" s="6">
        <f t="shared" si="5"/>
        <v>163</v>
      </c>
      <c r="K98" s="4" t="str">
        <f t="shared" ca="1" si="6"/>
        <v>Yes</v>
      </c>
      <c r="L98" s="7">
        <f t="shared" ca="1" si="8"/>
        <v>-5</v>
      </c>
      <c r="M98" s="4" t="str">
        <f>IF($I98="Complete","Green",IF($H98="","Amber",IF($H98&lt;'[2]Read Me'!$B$4,"Red",IF($H98-'[2]Read Me'!$B$4&lt;=21,"Amber","Green"))))</f>
        <v>Amber</v>
      </c>
      <c r="N98" s="3"/>
      <c r="O98" t="str">
        <f>IF($I98&lt;&gt;"Complete",IF(COUNTIFS($A$4:$A97,$A98,$B$4:$B97,$B98,$I$4:$I97,"&lt;&gt;Complete")=0,$A98&amp;"|"&amp;$B98,""),"")</f>
        <v/>
      </c>
      <c r="P98">
        <f ca="1">IF($K98="Yes",COUNTIFS($K$4:$K98,"Yes"),"")</f>
        <v>3</v>
      </c>
      <c r="Q98">
        <f t="shared" ca="1" si="7"/>
        <v>1</v>
      </c>
      <c r="R98">
        <f ca="1">IF($Q98=1,SUM($Q$4:$Q98),"")</f>
        <v>3</v>
      </c>
    </row>
    <row r="99" spans="1:18" ht="33.75" hidden="1" customHeight="1" x14ac:dyDescent="0.3">
      <c r="A99" s="2" t="s">
        <v>441</v>
      </c>
      <c r="B99" s="2" t="s">
        <v>21</v>
      </c>
      <c r="C99" s="3" t="s">
        <v>442</v>
      </c>
      <c r="D99" s="3" t="s">
        <v>282</v>
      </c>
      <c r="E99" s="2" t="s">
        <v>184</v>
      </c>
      <c r="F99" s="2"/>
      <c r="G99" s="5">
        <v>46040</v>
      </c>
      <c r="H99" s="5">
        <v>46203</v>
      </c>
      <c r="I99" s="4" t="s">
        <v>17</v>
      </c>
      <c r="J99" s="6">
        <f t="shared" si="5"/>
        <v>163</v>
      </c>
      <c r="K99" s="4" t="str">
        <f t="shared" ca="1" si="6"/>
        <v>Yes</v>
      </c>
      <c r="L99" s="7">
        <f t="shared" ca="1" si="8"/>
        <v>-5</v>
      </c>
      <c r="M99" s="4" t="str">
        <f>IF($I99="Complete","Green",IF($H99="","Amber",IF($H99&lt;'[2]Read Me'!$B$4,"Red",IF($H99-'[2]Read Me'!$B$4&lt;=21,"Amber","Green"))))</f>
        <v>Amber</v>
      </c>
      <c r="N99" s="3"/>
      <c r="O99" t="str">
        <f>IF($I99&lt;&gt;"Complete",IF(COUNTIFS($A$4:$A98,$A99,$B$4:$B98,$B99,$I$4:$I98,"&lt;&gt;Complete")=0,$A99&amp;"|"&amp;$B99,""),"")</f>
        <v/>
      </c>
      <c r="P99">
        <f ca="1">IF($K99="Yes",COUNTIFS($K$4:$K99,"Yes"),"")</f>
        <v>4</v>
      </c>
      <c r="Q99">
        <f t="shared" ca="1" si="7"/>
        <v>1</v>
      </c>
      <c r="R99">
        <f ca="1">IF($Q99=1,SUM($Q$4:$Q99),"")</f>
        <v>4</v>
      </c>
    </row>
    <row r="100" spans="1:18" ht="33.75" hidden="1" customHeight="1" x14ac:dyDescent="0.3">
      <c r="A100" s="2" t="s">
        <v>441</v>
      </c>
      <c r="B100" s="2" t="s">
        <v>21</v>
      </c>
      <c r="C100" s="3" t="s">
        <v>442</v>
      </c>
      <c r="D100" s="3" t="s">
        <v>343</v>
      </c>
      <c r="E100" s="2" t="s">
        <v>395</v>
      </c>
      <c r="F100" s="2"/>
      <c r="G100" s="5">
        <v>46040</v>
      </c>
      <c r="H100" s="5">
        <v>46217</v>
      </c>
      <c r="I100" s="4" t="s">
        <v>17</v>
      </c>
      <c r="J100" s="6">
        <f t="shared" si="5"/>
        <v>177</v>
      </c>
      <c r="K100" s="4" t="str">
        <f t="shared" ca="1" si="6"/>
        <v>No</v>
      </c>
      <c r="L100" s="7">
        <f t="shared" ca="1" si="8"/>
        <v>9</v>
      </c>
      <c r="M100" s="4" t="str">
        <f>IF($I100="Complete","Green",IF($H100="","Amber",IF($H100&lt;'[2]Read Me'!$B$4,"Red",IF($H100-'[2]Read Me'!$B$4&lt;=21,"Amber","Green"))))</f>
        <v>Green</v>
      </c>
      <c r="N100" s="3"/>
      <c r="O100" t="str">
        <f>IF($I100&lt;&gt;"Complete",IF(COUNTIFS($A$4:$A99,$A100,$B$4:$B99,$B100,$I$4:$I99,"&lt;&gt;Complete")=0,$A100&amp;"|"&amp;$B100,""),"")</f>
        <v/>
      </c>
      <c r="P100" t="str">
        <f ca="1">IF($K100="Yes",COUNTIFS($K$4:$K100,"Yes"),"")</f>
        <v/>
      </c>
      <c r="Q100">
        <f t="shared" ca="1" si="7"/>
        <v>0</v>
      </c>
      <c r="R100" t="str">
        <f ca="1">IF($Q100=1,SUM($Q$4:$Q100),"")</f>
        <v/>
      </c>
    </row>
    <row r="101" spans="1:18" ht="33.75" hidden="1" customHeight="1" x14ac:dyDescent="0.3">
      <c r="A101" s="2" t="s">
        <v>441</v>
      </c>
      <c r="B101" s="2" t="s">
        <v>21</v>
      </c>
      <c r="C101" s="3" t="s">
        <v>442</v>
      </c>
      <c r="D101" s="3" t="s">
        <v>285</v>
      </c>
      <c r="E101" s="2" t="s">
        <v>395</v>
      </c>
      <c r="F101" s="2" t="s">
        <v>182</v>
      </c>
      <c r="G101" s="5">
        <v>46054</v>
      </c>
      <c r="H101" s="5">
        <v>46245</v>
      </c>
      <c r="I101" s="4" t="s">
        <v>17</v>
      </c>
      <c r="J101" s="6">
        <f t="shared" si="5"/>
        <v>191</v>
      </c>
      <c r="K101" s="4" t="str">
        <f t="shared" ca="1" si="6"/>
        <v>No</v>
      </c>
      <c r="L101" s="7">
        <f t="shared" ca="1" si="8"/>
        <v>37</v>
      </c>
      <c r="M101" s="4" t="str">
        <f>IF($I101="Complete","Green",IF($H101="","Amber",IF($H101&lt;'[2]Read Me'!$B$4,"Red",IF($H101-'[2]Read Me'!$B$4&lt;=21,"Amber","Green"))))</f>
        <v>Green</v>
      </c>
      <c r="N101" s="3"/>
      <c r="O101" t="str">
        <f>IF($I101&lt;&gt;"Complete",IF(COUNTIFS($A$4:$A100,$A101,$B$4:$B100,$B101,$I$4:$I100,"&lt;&gt;Complete")=0,$A101&amp;"|"&amp;$B101,""),"")</f>
        <v/>
      </c>
      <c r="P101" t="str">
        <f ca="1">IF($K101="Yes",COUNTIFS($K$4:$K101,"Yes"),"")</f>
        <v/>
      </c>
      <c r="Q101">
        <f t="shared" ca="1" si="7"/>
        <v>0</v>
      </c>
      <c r="R101" t="str">
        <f ca="1">IF($Q101=1,SUM($Q$4:$Q101),"")</f>
        <v/>
      </c>
    </row>
    <row r="102" spans="1:18" ht="33.75" hidden="1" customHeight="1" x14ac:dyDescent="0.3">
      <c r="A102" s="2" t="s">
        <v>441</v>
      </c>
      <c r="B102" s="2" t="s">
        <v>21</v>
      </c>
      <c r="C102" s="3" t="s">
        <v>442</v>
      </c>
      <c r="D102" s="3" t="s">
        <v>58</v>
      </c>
      <c r="E102" s="2" t="s">
        <v>395</v>
      </c>
      <c r="F102" s="2"/>
      <c r="G102" s="5">
        <v>46068</v>
      </c>
      <c r="H102" s="5">
        <v>46259</v>
      </c>
      <c r="I102" s="4" t="s">
        <v>17</v>
      </c>
      <c r="J102" s="6">
        <f t="shared" si="5"/>
        <v>191</v>
      </c>
      <c r="K102" s="4" t="str">
        <f t="shared" ca="1" si="6"/>
        <v>No</v>
      </c>
      <c r="L102" s="7">
        <f t="shared" ca="1" si="8"/>
        <v>51</v>
      </c>
      <c r="M102" s="4" t="str">
        <f>IF($I102="Complete","Green",IF($H102="","Amber",IF($H102&lt;'[2]Read Me'!$B$4,"Red",IF($H102-'[2]Read Me'!$B$4&lt;=21,"Amber","Green"))))</f>
        <v>Green</v>
      </c>
      <c r="N102" s="3"/>
      <c r="O102" t="str">
        <f>IF($I102&lt;&gt;"Complete",IF(COUNTIFS($A$4:$A101,$A102,$B$4:$B101,$B102,$I$4:$I101,"&lt;&gt;Complete")=0,$A102&amp;"|"&amp;$B102,""),"")</f>
        <v/>
      </c>
      <c r="P102" t="str">
        <f ca="1">IF($K102="Yes",COUNTIFS($K$4:$K102,"Yes"),"")</f>
        <v/>
      </c>
      <c r="Q102">
        <f t="shared" ca="1" si="7"/>
        <v>0</v>
      </c>
      <c r="R102" t="str">
        <f ca="1">IF($Q102=1,SUM($Q$4:$Q102),"")</f>
        <v/>
      </c>
    </row>
    <row r="103" spans="1:18" ht="33.75" hidden="1" customHeight="1" x14ac:dyDescent="0.3">
      <c r="A103" s="2" t="s">
        <v>443</v>
      </c>
      <c r="B103" s="2" t="s">
        <v>21</v>
      </c>
      <c r="C103" s="3"/>
      <c r="D103" s="3"/>
      <c r="E103" s="2"/>
      <c r="F103" s="2"/>
      <c r="G103" s="5">
        <v>46068</v>
      </c>
      <c r="H103" s="5">
        <v>46259</v>
      </c>
      <c r="I103" s="4"/>
      <c r="J103" s="6">
        <f t="shared" si="5"/>
        <v>191</v>
      </c>
      <c r="K103" s="4" t="str">
        <f t="shared" ca="1" si="6"/>
        <v/>
      </c>
      <c r="L103" s="7">
        <f t="shared" ca="1" si="8"/>
        <v>51</v>
      </c>
      <c r="M103" s="4" t="str">
        <f>IF($I103="Complete","Green",IF($H103="","Amber",IF($H103&lt;'[2]Read Me'!$B$4,"Red",IF($H103-'[2]Read Me'!$B$4&lt;=21,"Amber","Green"))))</f>
        <v>Green</v>
      </c>
      <c r="N103" s="3"/>
      <c r="O103" t="str">
        <f>IF($I103&lt;&gt;"Complete",IF(COUNTIFS($A$4:$A102,$A103,$B$4:$B102,$B103,$I$4:$I102,"&lt;&gt;Complete")=0,$A103&amp;"|"&amp;$B103,""),"")</f>
        <v>Ph.02|Landscape</v>
      </c>
      <c r="P103" t="str">
        <f ca="1">IF($K103="Yes",COUNTIFS($K$4:$K103,"Yes"),"")</f>
        <v/>
      </c>
      <c r="Q103">
        <f t="shared" ca="1" si="7"/>
        <v>0</v>
      </c>
      <c r="R103" t="str">
        <f ca="1">IF($Q103=1,SUM($Q$4:$Q103),"")</f>
        <v/>
      </c>
    </row>
    <row r="104" spans="1:18" ht="33.75" hidden="1" customHeight="1" x14ac:dyDescent="0.3">
      <c r="A104" s="2" t="s">
        <v>443</v>
      </c>
      <c r="B104" s="2" t="s">
        <v>21</v>
      </c>
      <c r="C104" s="3" t="s">
        <v>444</v>
      </c>
      <c r="D104" s="3" t="s">
        <v>284</v>
      </c>
      <c r="E104" s="2" t="s">
        <v>395</v>
      </c>
      <c r="F104" s="2" t="s">
        <v>182</v>
      </c>
      <c r="G104" s="5">
        <v>46026</v>
      </c>
      <c r="H104" s="5">
        <v>46189</v>
      </c>
      <c r="I104" s="4" t="s">
        <v>31</v>
      </c>
      <c r="J104" s="6">
        <f t="shared" si="5"/>
        <v>163</v>
      </c>
      <c r="K104" s="4" t="str">
        <f t="shared" ca="1" si="6"/>
        <v>-</v>
      </c>
      <c r="L104" s="7">
        <f t="shared" ca="1" si="8"/>
        <v>0</v>
      </c>
      <c r="M104" s="4" t="str">
        <f>IF($I104="Complete","Green",IF($H104="","Amber",IF($H104&lt;'[2]Read Me'!$B$4,"Red",IF($H104-'[2]Read Me'!$B$4&lt;=21,"Amber","Green"))))</f>
        <v>Amber</v>
      </c>
      <c r="N104" s="3"/>
      <c r="O104" t="str">
        <f>IF($I104&lt;&gt;"Complete",IF(COUNTIFS($A$4:$A103,$A104,$B$4:$B103,$B104,$I$4:$I103,"&lt;&gt;Complete")=0,$A104&amp;"|"&amp;$B104,""),"")</f>
        <v/>
      </c>
      <c r="P104" t="str">
        <f ca="1">IF($K104="Yes",COUNTIFS($K$4:$K104,"Yes"),"")</f>
        <v/>
      </c>
      <c r="Q104">
        <f t="shared" ca="1" si="7"/>
        <v>0</v>
      </c>
      <c r="R104" t="str">
        <f ca="1">IF($Q104=1,SUM($Q$4:$Q104),"")</f>
        <v/>
      </c>
    </row>
    <row r="105" spans="1:18" ht="33.75" hidden="1" customHeight="1" x14ac:dyDescent="0.3">
      <c r="A105" s="2" t="s">
        <v>443</v>
      </c>
      <c r="B105" s="2" t="s">
        <v>21</v>
      </c>
      <c r="C105" s="3" t="s">
        <v>444</v>
      </c>
      <c r="D105" s="3" t="s">
        <v>58</v>
      </c>
      <c r="E105" s="2" t="s">
        <v>395</v>
      </c>
      <c r="F105" s="2"/>
      <c r="G105" s="5">
        <v>46040</v>
      </c>
      <c r="H105" s="5">
        <v>46203</v>
      </c>
      <c r="I105" s="4" t="s">
        <v>46</v>
      </c>
      <c r="J105" s="6">
        <f t="shared" si="5"/>
        <v>163</v>
      </c>
      <c r="K105" s="4" t="str">
        <f t="shared" ca="1" si="6"/>
        <v>Yes</v>
      </c>
      <c r="L105" s="7">
        <f t="shared" ca="1" si="8"/>
        <v>-5</v>
      </c>
      <c r="M105" s="4" t="str">
        <f>IF($I105="Complete","Green",IF($H105="","Amber",IF($H105&lt;'[2]Read Me'!$B$4,"Red",IF($H105-'[2]Read Me'!$B$4&lt;=21,"Amber","Green"))))</f>
        <v>Amber</v>
      </c>
      <c r="N105" s="3"/>
      <c r="O105" t="str">
        <f>IF($I105&lt;&gt;"Complete",IF(COUNTIFS($A$4:$A104,$A105,$B$4:$B104,$B105,$I$4:$I104,"&lt;&gt;Complete")=0,$A105&amp;"|"&amp;$B105,""),"")</f>
        <v/>
      </c>
      <c r="P105">
        <f ca="1">IF($K105="Yes",COUNTIFS($K$4:$K105,"Yes"),"")</f>
        <v>5</v>
      </c>
      <c r="Q105">
        <f t="shared" ca="1" si="7"/>
        <v>1</v>
      </c>
      <c r="R105">
        <f ca="1">IF($Q105=1,SUM($Q$4:$Q105),"")</f>
        <v>5</v>
      </c>
    </row>
    <row r="106" spans="1:18" ht="22.5" hidden="1" customHeight="1" x14ac:dyDescent="0.3">
      <c r="A106" s="2" t="s">
        <v>443</v>
      </c>
      <c r="B106" s="2" t="s">
        <v>21</v>
      </c>
      <c r="C106" s="3" t="s">
        <v>444</v>
      </c>
      <c r="D106" s="3" t="s">
        <v>282</v>
      </c>
      <c r="E106" s="2" t="s">
        <v>184</v>
      </c>
      <c r="F106" s="2"/>
      <c r="G106" s="5">
        <v>46040</v>
      </c>
      <c r="H106" s="5">
        <v>46203</v>
      </c>
      <c r="I106" s="4" t="s">
        <v>17</v>
      </c>
      <c r="J106" s="6">
        <f t="shared" si="5"/>
        <v>163</v>
      </c>
      <c r="K106" s="4" t="str">
        <f t="shared" ca="1" si="6"/>
        <v>Yes</v>
      </c>
      <c r="L106" s="7">
        <f t="shared" ca="1" si="8"/>
        <v>-5</v>
      </c>
      <c r="M106" s="4" t="str">
        <f>IF($I106="Complete","Green",IF($H106="","Amber",IF($H106&lt;'[2]Read Me'!$B$4,"Red",IF($H106-'[2]Read Me'!$B$4&lt;=21,"Amber","Green"))))</f>
        <v>Amber</v>
      </c>
      <c r="N106" s="3"/>
      <c r="O106" t="str">
        <f>IF($I106&lt;&gt;"Complete",IF(COUNTIFS($A$4:$A105,$A106,$B$4:$B105,$B106,$I$4:$I105,"&lt;&gt;Complete")=0,$A106&amp;"|"&amp;$B106,""),"")</f>
        <v/>
      </c>
      <c r="P106">
        <f ca="1">IF($K106="Yes",COUNTIFS($K$4:$K106,"Yes"),"")</f>
        <v>6</v>
      </c>
      <c r="Q106">
        <f t="shared" ca="1" si="7"/>
        <v>1</v>
      </c>
      <c r="R106">
        <f ca="1">IF($Q106=1,SUM($Q$4:$Q106),"")</f>
        <v>6</v>
      </c>
    </row>
    <row r="107" spans="1:18" ht="22.5" hidden="1" customHeight="1" x14ac:dyDescent="0.3">
      <c r="A107" s="2" t="s">
        <v>443</v>
      </c>
      <c r="B107" s="2" t="s">
        <v>21</v>
      </c>
      <c r="C107" s="3" t="s">
        <v>444</v>
      </c>
      <c r="D107" s="3" t="s">
        <v>343</v>
      </c>
      <c r="E107" s="2" t="s">
        <v>395</v>
      </c>
      <c r="F107" s="2"/>
      <c r="G107" s="5">
        <v>46040</v>
      </c>
      <c r="H107" s="5">
        <v>46217</v>
      </c>
      <c r="I107" s="4" t="s">
        <v>17</v>
      </c>
      <c r="J107" s="6">
        <f t="shared" si="5"/>
        <v>177</v>
      </c>
      <c r="K107" s="4" t="str">
        <f t="shared" ca="1" si="6"/>
        <v>No</v>
      </c>
      <c r="L107" s="7">
        <f t="shared" ca="1" si="8"/>
        <v>9</v>
      </c>
      <c r="M107" s="4" t="str">
        <f>IF($I107="Complete","Green",IF($H107="","Amber",IF($H107&lt;'[2]Read Me'!$B$4,"Red",IF($H107-'[2]Read Me'!$B$4&lt;=21,"Amber","Green"))))</f>
        <v>Green</v>
      </c>
      <c r="N107" s="3"/>
      <c r="O107" t="str">
        <f>IF($I107&lt;&gt;"Complete",IF(COUNTIFS($A$4:$A106,$A107,$B$4:$B106,$B107,$I$4:$I106,"&lt;&gt;Complete")=0,$A107&amp;"|"&amp;$B107,""),"")</f>
        <v/>
      </c>
      <c r="P107" t="str">
        <f ca="1">IF($K107="Yes",COUNTIFS($K$4:$K107,"Yes"),"")</f>
        <v/>
      </c>
      <c r="Q107">
        <f t="shared" ca="1" si="7"/>
        <v>0</v>
      </c>
      <c r="R107" t="str">
        <f ca="1">IF($Q107=1,SUM($Q$4:$Q107),"")</f>
        <v/>
      </c>
    </row>
    <row r="108" spans="1:18" ht="22.5" hidden="1" customHeight="1" x14ac:dyDescent="0.3">
      <c r="A108" s="2" t="s">
        <v>443</v>
      </c>
      <c r="B108" s="2" t="s">
        <v>21</v>
      </c>
      <c r="C108" s="3" t="s">
        <v>444</v>
      </c>
      <c r="D108" s="3" t="s">
        <v>285</v>
      </c>
      <c r="E108" s="2" t="s">
        <v>395</v>
      </c>
      <c r="F108" s="2" t="s">
        <v>182</v>
      </c>
      <c r="G108" s="5">
        <v>46054</v>
      </c>
      <c r="H108" s="5">
        <v>46245</v>
      </c>
      <c r="I108" s="4" t="s">
        <v>17</v>
      </c>
      <c r="J108" s="6">
        <f t="shared" si="5"/>
        <v>191</v>
      </c>
      <c r="K108" s="4" t="str">
        <f t="shared" ca="1" si="6"/>
        <v>No</v>
      </c>
      <c r="L108" s="7">
        <f t="shared" ca="1" si="8"/>
        <v>37</v>
      </c>
      <c r="M108" s="4" t="str">
        <f>IF($I108="Complete","Green",IF($H108="","Amber",IF($H108&lt;'[2]Read Me'!$B$4,"Red",IF($H108-'[2]Read Me'!$B$4&lt;=21,"Amber","Green"))))</f>
        <v>Green</v>
      </c>
      <c r="N108" s="3"/>
      <c r="O108" t="str">
        <f>IF($I108&lt;&gt;"Complete",IF(COUNTIFS($A$4:$A107,$A108,$B$4:$B107,$B108,$I$4:$I107,"&lt;&gt;Complete")=0,$A108&amp;"|"&amp;$B108,""),"")</f>
        <v/>
      </c>
      <c r="P108" t="str">
        <f ca="1">IF($K108="Yes",COUNTIFS($K$4:$K108,"Yes"),"")</f>
        <v/>
      </c>
      <c r="Q108">
        <f t="shared" ca="1" si="7"/>
        <v>0</v>
      </c>
      <c r="R108" t="str">
        <f ca="1">IF($Q108=1,SUM($Q$4:$Q108),"")</f>
        <v/>
      </c>
    </row>
    <row r="109" spans="1:18" ht="22.5" hidden="1" customHeight="1" x14ac:dyDescent="0.3">
      <c r="A109" s="2" t="s">
        <v>443</v>
      </c>
      <c r="B109" s="2" t="s">
        <v>21</v>
      </c>
      <c r="C109" s="3" t="s">
        <v>444</v>
      </c>
      <c r="D109" s="3" t="s">
        <v>58</v>
      </c>
      <c r="E109" s="2" t="s">
        <v>395</v>
      </c>
      <c r="F109" s="2"/>
      <c r="G109" s="5">
        <v>46068</v>
      </c>
      <c r="H109" s="5">
        <v>46259</v>
      </c>
      <c r="I109" s="4" t="s">
        <v>17</v>
      </c>
      <c r="J109" s="6">
        <f t="shared" si="5"/>
        <v>191</v>
      </c>
      <c r="K109" s="4" t="str">
        <f t="shared" ca="1" si="6"/>
        <v>No</v>
      </c>
      <c r="L109" s="7">
        <f t="shared" ca="1" si="8"/>
        <v>51</v>
      </c>
      <c r="M109" s="4" t="str">
        <f>IF($I109="Complete","Green",IF($H109="","Amber",IF($H109&lt;'[2]Read Me'!$B$4,"Red",IF($H109-'[2]Read Me'!$B$4&lt;=21,"Amber","Green"))))</f>
        <v>Green</v>
      </c>
      <c r="N109" s="3"/>
      <c r="O109" t="str">
        <f>IF($I109&lt;&gt;"Complete",IF(COUNTIFS($A$4:$A108,$A109,$B$4:$B108,$B109,$I$4:$I108,"&lt;&gt;Complete")=0,$A109&amp;"|"&amp;$B109,""),"")</f>
        <v/>
      </c>
      <c r="P109" t="str">
        <f ca="1">IF($K109="Yes",COUNTIFS($K$4:$K109,"Yes"),"")</f>
        <v/>
      </c>
      <c r="Q109">
        <f t="shared" ca="1" si="7"/>
        <v>0</v>
      </c>
      <c r="R109" t="str">
        <f ca="1">IF($Q109=1,SUM($Q$4:$Q109),"")</f>
        <v/>
      </c>
    </row>
    <row r="110" spans="1:18" ht="22.5" hidden="1" customHeight="1" x14ac:dyDescent="0.3">
      <c r="A110" s="2" t="s">
        <v>396</v>
      </c>
      <c r="B110" s="2" t="s">
        <v>21</v>
      </c>
      <c r="C110" s="3"/>
      <c r="D110" s="3"/>
      <c r="E110" s="2"/>
      <c r="F110" s="2"/>
      <c r="G110" s="5">
        <v>46068</v>
      </c>
      <c r="H110" s="5">
        <v>46259</v>
      </c>
      <c r="I110" s="4"/>
      <c r="J110" s="6">
        <f t="shared" si="5"/>
        <v>191</v>
      </c>
      <c r="K110" s="4" t="str">
        <f t="shared" ca="1" si="6"/>
        <v/>
      </c>
      <c r="L110" s="7">
        <f t="shared" ca="1" si="8"/>
        <v>51</v>
      </c>
      <c r="M110" s="4" t="str">
        <f>IF($I110="Complete","Green",IF($H110="","Amber",IF($H110&lt;'[2]Read Me'!$B$4,"Red",IF($H110-'[2]Read Me'!$B$4&lt;=21,"Amber","Green"))))</f>
        <v>Green</v>
      </c>
      <c r="N110" s="3"/>
      <c r="O110" t="str">
        <f>IF($I110&lt;&gt;"Complete",IF(COUNTIFS($A$4:$A109,$A110,$B$4:$B109,$B110,$I$4:$I109,"&lt;&gt;Complete")=0,$A110&amp;"|"&amp;$B110,""),"")</f>
        <v>Main Valley|Landscape</v>
      </c>
      <c r="P110" t="str">
        <f ca="1">IF($K110="Yes",COUNTIFS($K$4:$K110,"Yes"),"")</f>
        <v/>
      </c>
      <c r="Q110">
        <f t="shared" ca="1" si="7"/>
        <v>0</v>
      </c>
      <c r="R110" t="str">
        <f ca="1">IF($Q110=1,SUM($Q$4:$Q110),"")</f>
        <v/>
      </c>
    </row>
    <row r="111" spans="1:18" ht="22.5" hidden="1" customHeight="1" x14ac:dyDescent="0.3">
      <c r="A111" s="2" t="s">
        <v>396</v>
      </c>
      <c r="B111" s="2" t="s">
        <v>21</v>
      </c>
      <c r="C111" s="3" t="s">
        <v>396</v>
      </c>
      <c r="D111" s="3" t="s">
        <v>284</v>
      </c>
      <c r="E111" s="2" t="s">
        <v>395</v>
      </c>
      <c r="F111" s="2" t="s">
        <v>182</v>
      </c>
      <c r="G111" s="5">
        <v>46026</v>
      </c>
      <c r="H111" s="5">
        <v>46189</v>
      </c>
      <c r="I111" s="4" t="s">
        <v>31</v>
      </c>
      <c r="J111" s="6">
        <f t="shared" si="5"/>
        <v>163</v>
      </c>
      <c r="K111" s="4" t="str">
        <f t="shared" ca="1" si="6"/>
        <v>-</v>
      </c>
      <c r="L111" s="7">
        <f t="shared" ca="1" si="8"/>
        <v>0</v>
      </c>
      <c r="M111" s="4" t="str">
        <f>IF($I111="Complete","Green",IF($H111="","Amber",IF($H111&lt;'[2]Read Me'!$B$4,"Red",IF($H111-'[2]Read Me'!$B$4&lt;=21,"Amber","Green"))))</f>
        <v>Amber</v>
      </c>
      <c r="N111" s="3"/>
      <c r="O111" t="str">
        <f>IF($I111&lt;&gt;"Complete",IF(COUNTIFS($A$4:$A110,$A111,$B$4:$B110,$B111,$I$4:$I110,"&lt;&gt;Complete")=0,$A111&amp;"|"&amp;$B111,""),"")</f>
        <v/>
      </c>
      <c r="P111" t="str">
        <f ca="1">IF($K111="Yes",COUNTIFS($K$4:$K111,"Yes"),"")</f>
        <v/>
      </c>
      <c r="Q111">
        <f t="shared" ca="1" si="7"/>
        <v>0</v>
      </c>
      <c r="R111" t="str">
        <f ca="1">IF($Q111=1,SUM($Q$4:$Q111),"")</f>
        <v/>
      </c>
    </row>
    <row r="112" spans="1:18" ht="22.5" hidden="1" customHeight="1" x14ac:dyDescent="0.3">
      <c r="A112" s="2" t="s">
        <v>396</v>
      </c>
      <c r="B112" s="2" t="s">
        <v>21</v>
      </c>
      <c r="C112" s="3" t="s">
        <v>396</v>
      </c>
      <c r="D112" s="3" t="s">
        <v>58</v>
      </c>
      <c r="E112" s="2" t="s">
        <v>395</v>
      </c>
      <c r="F112" s="2"/>
      <c r="G112" s="5">
        <v>46040</v>
      </c>
      <c r="H112" s="5">
        <v>46203</v>
      </c>
      <c r="I112" s="4" t="s">
        <v>46</v>
      </c>
      <c r="J112" s="6">
        <f t="shared" si="5"/>
        <v>163</v>
      </c>
      <c r="K112" s="4" t="str">
        <f t="shared" ca="1" si="6"/>
        <v>Yes</v>
      </c>
      <c r="L112" s="7">
        <f t="shared" ca="1" si="8"/>
        <v>-5</v>
      </c>
      <c r="M112" s="4" t="str">
        <f>IF($I112="Complete","Green",IF($H112="","Amber",IF($H112&lt;'[2]Read Me'!$B$4,"Red",IF($H112-'[2]Read Me'!$B$4&lt;=21,"Amber","Green"))))</f>
        <v>Amber</v>
      </c>
      <c r="N112" s="3"/>
      <c r="O112" t="str">
        <f>IF($I112&lt;&gt;"Complete",IF(COUNTIFS($A$4:$A111,$A112,$B$4:$B111,$B112,$I$4:$I111,"&lt;&gt;Complete")=0,$A112&amp;"|"&amp;$B112,""),"")</f>
        <v/>
      </c>
      <c r="P112">
        <f ca="1">IF($K112="Yes",COUNTIFS($K$4:$K112,"Yes"),"")</f>
        <v>7</v>
      </c>
      <c r="Q112">
        <f t="shared" ca="1" si="7"/>
        <v>1</v>
      </c>
      <c r="R112">
        <f ca="1">IF($Q112=1,SUM($Q$4:$Q112),"")</f>
        <v>7</v>
      </c>
    </row>
    <row r="113" spans="1:18" ht="22.5" hidden="1" customHeight="1" x14ac:dyDescent="0.3">
      <c r="A113" s="2" t="s">
        <v>396</v>
      </c>
      <c r="B113" s="2" t="s">
        <v>21</v>
      </c>
      <c r="C113" s="3" t="s">
        <v>396</v>
      </c>
      <c r="D113" s="3" t="s">
        <v>282</v>
      </c>
      <c r="E113" s="2" t="s">
        <v>184</v>
      </c>
      <c r="F113" s="2"/>
      <c r="G113" s="5">
        <v>46040</v>
      </c>
      <c r="H113" s="5">
        <v>46203</v>
      </c>
      <c r="I113" s="4" t="s">
        <v>17</v>
      </c>
      <c r="J113" s="6">
        <f t="shared" si="5"/>
        <v>163</v>
      </c>
      <c r="K113" s="4" t="str">
        <f t="shared" ca="1" si="6"/>
        <v>Yes</v>
      </c>
      <c r="L113" s="7">
        <f t="shared" ca="1" si="8"/>
        <v>-5</v>
      </c>
      <c r="M113" s="4" t="str">
        <f>IF($I113="Complete","Green",IF($H113="","Amber",IF($H113&lt;'[2]Read Me'!$B$4,"Red",IF($H113-'[2]Read Me'!$B$4&lt;=21,"Amber","Green"))))</f>
        <v>Amber</v>
      </c>
      <c r="N113" s="3"/>
      <c r="O113" t="str">
        <f>IF($I113&lt;&gt;"Complete",IF(COUNTIFS($A$4:$A112,$A113,$B$4:$B112,$B113,$I$4:$I112,"&lt;&gt;Complete")=0,$A113&amp;"|"&amp;$B113,""),"")</f>
        <v/>
      </c>
      <c r="P113">
        <f ca="1">IF($K113="Yes",COUNTIFS($K$4:$K113,"Yes"),"")</f>
        <v>8</v>
      </c>
      <c r="Q113">
        <f t="shared" ca="1" si="7"/>
        <v>1</v>
      </c>
      <c r="R113">
        <f ca="1">IF($Q113=1,SUM($Q$4:$Q113),"")</f>
        <v>8</v>
      </c>
    </row>
    <row r="114" spans="1:18" ht="22.5" hidden="1" customHeight="1" x14ac:dyDescent="0.3">
      <c r="A114" s="2" t="s">
        <v>396</v>
      </c>
      <c r="B114" s="2" t="s">
        <v>21</v>
      </c>
      <c r="C114" s="3" t="s">
        <v>396</v>
      </c>
      <c r="D114" s="3" t="s">
        <v>343</v>
      </c>
      <c r="E114" s="2" t="s">
        <v>395</v>
      </c>
      <c r="F114" s="2"/>
      <c r="G114" s="5">
        <v>46040</v>
      </c>
      <c r="H114" s="5">
        <v>46217</v>
      </c>
      <c r="I114" s="4" t="s">
        <v>17</v>
      </c>
      <c r="J114" s="6">
        <f t="shared" si="5"/>
        <v>177</v>
      </c>
      <c r="K114" s="4" t="str">
        <f t="shared" ca="1" si="6"/>
        <v>No</v>
      </c>
      <c r="L114" s="7">
        <f t="shared" ca="1" si="8"/>
        <v>9</v>
      </c>
      <c r="M114" s="4" t="str">
        <f>IF($I114="Complete","Green",IF($H114="","Amber",IF($H114&lt;'[2]Read Me'!$B$4,"Red",IF($H114-'[2]Read Me'!$B$4&lt;=21,"Amber","Green"))))</f>
        <v>Green</v>
      </c>
      <c r="N114" s="3"/>
      <c r="O114" t="str">
        <f>IF($I114&lt;&gt;"Complete",IF(COUNTIFS($A$4:$A113,$A114,$B$4:$B113,$B114,$I$4:$I113,"&lt;&gt;Complete")=0,$A114&amp;"|"&amp;$B114,""),"")</f>
        <v/>
      </c>
      <c r="P114" t="str">
        <f ca="1">IF($K114="Yes",COUNTIFS($K$4:$K114,"Yes"),"")</f>
        <v/>
      </c>
      <c r="Q114">
        <f t="shared" ca="1" si="7"/>
        <v>0</v>
      </c>
      <c r="R114" t="str">
        <f ca="1">IF($Q114=1,SUM($Q$4:$Q114),"")</f>
        <v/>
      </c>
    </row>
    <row r="115" spans="1:18" ht="22.5" hidden="1" customHeight="1" x14ac:dyDescent="0.3">
      <c r="A115" s="2" t="s">
        <v>396</v>
      </c>
      <c r="B115" s="2" t="s">
        <v>21</v>
      </c>
      <c r="C115" s="3" t="s">
        <v>396</v>
      </c>
      <c r="D115" s="3" t="s">
        <v>285</v>
      </c>
      <c r="E115" s="2" t="s">
        <v>395</v>
      </c>
      <c r="F115" s="2" t="s">
        <v>182</v>
      </c>
      <c r="G115" s="5">
        <v>46054</v>
      </c>
      <c r="H115" s="5">
        <v>46245</v>
      </c>
      <c r="I115" s="4" t="s">
        <v>17</v>
      </c>
      <c r="J115" s="6">
        <f t="shared" si="5"/>
        <v>191</v>
      </c>
      <c r="K115" s="4" t="str">
        <f t="shared" ca="1" si="6"/>
        <v>No</v>
      </c>
      <c r="L115" s="7">
        <f t="shared" ca="1" si="8"/>
        <v>37</v>
      </c>
      <c r="M115" s="4" t="str">
        <f>IF($I115="Complete","Green",IF($H115="","Amber",IF($H115&lt;'[2]Read Me'!$B$4,"Red",IF($H115-'[2]Read Me'!$B$4&lt;=21,"Amber","Green"))))</f>
        <v>Green</v>
      </c>
      <c r="N115" s="3"/>
      <c r="O115" t="str">
        <f>IF($I115&lt;&gt;"Complete",IF(COUNTIFS($A$4:$A114,$A115,$B$4:$B114,$B115,$I$4:$I114,"&lt;&gt;Complete")=0,$A115&amp;"|"&amp;$B115,""),"")</f>
        <v/>
      </c>
      <c r="P115" t="str">
        <f ca="1">IF($K115="Yes",COUNTIFS($K$4:$K115,"Yes"),"")</f>
        <v/>
      </c>
      <c r="Q115">
        <f t="shared" ca="1" si="7"/>
        <v>0</v>
      </c>
      <c r="R115" t="str">
        <f ca="1">IF($Q115=1,SUM($Q$4:$Q115),"")</f>
        <v/>
      </c>
    </row>
    <row r="116" spans="1:18" ht="22.5" hidden="1" customHeight="1" x14ac:dyDescent="0.3">
      <c r="A116" s="2" t="s">
        <v>396</v>
      </c>
      <c r="B116" s="2" t="s">
        <v>21</v>
      </c>
      <c r="C116" s="3" t="s">
        <v>396</v>
      </c>
      <c r="D116" s="3" t="s">
        <v>58</v>
      </c>
      <c r="E116" s="2" t="s">
        <v>395</v>
      </c>
      <c r="F116" s="2"/>
      <c r="G116" s="5">
        <v>46068</v>
      </c>
      <c r="H116" s="5">
        <v>46259</v>
      </c>
      <c r="I116" s="4" t="s">
        <v>17</v>
      </c>
      <c r="J116" s="6">
        <f t="shared" si="5"/>
        <v>191</v>
      </c>
      <c r="K116" s="4" t="str">
        <f t="shared" ca="1" si="6"/>
        <v>No</v>
      </c>
      <c r="L116" s="7">
        <f t="shared" ca="1" si="8"/>
        <v>51</v>
      </c>
      <c r="M116" s="4" t="str">
        <f>IF($I116="Complete","Green",IF($H116="","Amber",IF($H116&lt;'[2]Read Me'!$B$4,"Red",IF($H116-'[2]Read Me'!$B$4&lt;=21,"Amber","Green"))))</f>
        <v>Green</v>
      </c>
      <c r="N116" s="3"/>
      <c r="O116" t="str">
        <f>IF($I116&lt;&gt;"Complete",IF(COUNTIFS($A$4:$A115,$A116,$B$4:$B115,$B116,$I$4:$I115,"&lt;&gt;Complete")=0,$A116&amp;"|"&amp;$B116,""),"")</f>
        <v/>
      </c>
      <c r="P116" t="str">
        <f ca="1">IF($K116="Yes",COUNTIFS($K$4:$K116,"Yes"),"")</f>
        <v/>
      </c>
      <c r="Q116">
        <f t="shared" ca="1" si="7"/>
        <v>0</v>
      </c>
      <c r="R116" t="str">
        <f ca="1">IF($Q116=1,SUM($Q$4:$Q116),"")</f>
        <v/>
      </c>
    </row>
    <row r="117" spans="1:18" ht="22.5" hidden="1" customHeight="1" x14ac:dyDescent="0.3">
      <c r="A117" s="2" t="s">
        <v>445</v>
      </c>
      <c r="B117" s="2" t="s">
        <v>21</v>
      </c>
      <c r="C117" s="3"/>
      <c r="D117" s="3"/>
      <c r="E117" s="2"/>
      <c r="F117" s="2"/>
      <c r="G117" s="5">
        <v>46068</v>
      </c>
      <c r="H117" s="5">
        <v>46357</v>
      </c>
      <c r="I117" s="4"/>
      <c r="J117" s="6">
        <f t="shared" si="5"/>
        <v>289</v>
      </c>
      <c r="K117" s="4" t="str">
        <f t="shared" ca="1" si="6"/>
        <v/>
      </c>
      <c r="L117" s="7">
        <f t="shared" ca="1" si="8"/>
        <v>149</v>
      </c>
      <c r="M117" s="4" t="str">
        <f>IF($I117="Complete","Green",IF($H117="","Amber",IF($H117&lt;'[2]Read Me'!$B$4,"Red",IF($H117-'[2]Read Me'!$B$4&lt;=21,"Amber","Green"))))</f>
        <v>Green</v>
      </c>
      <c r="N117" s="3"/>
      <c r="O117" t="str">
        <f>IF($I117&lt;&gt;"Complete",IF(COUNTIFS($A$4:$A116,$A117,$B$4:$B116,$B117,$I$4:$I116,"&lt;&gt;Complete")=0,$A117&amp;"|"&amp;$B117,""),"")</f>
        <v>Ph.03|Landscape</v>
      </c>
      <c r="P117" t="str">
        <f ca="1">IF($K117="Yes",COUNTIFS($K$4:$K117,"Yes"),"")</f>
        <v/>
      </c>
      <c r="Q117">
        <f t="shared" ca="1" si="7"/>
        <v>0</v>
      </c>
      <c r="R117" t="str">
        <f ca="1">IF($Q117=1,SUM($Q$4:$Q117),"")</f>
        <v/>
      </c>
    </row>
    <row r="118" spans="1:18" ht="22.5" hidden="1" customHeight="1" x14ac:dyDescent="0.3">
      <c r="A118" s="2" t="s">
        <v>445</v>
      </c>
      <c r="B118" s="2" t="s">
        <v>21</v>
      </c>
      <c r="C118" s="3" t="s">
        <v>446</v>
      </c>
      <c r="D118" s="3" t="s">
        <v>284</v>
      </c>
      <c r="E118" s="2" t="s">
        <v>395</v>
      </c>
      <c r="F118" s="2" t="s">
        <v>182</v>
      </c>
      <c r="G118" s="5">
        <v>46026</v>
      </c>
      <c r="H118" s="5">
        <v>46294</v>
      </c>
      <c r="I118" s="4" t="s">
        <v>17</v>
      </c>
      <c r="J118" s="6">
        <f t="shared" si="5"/>
        <v>268</v>
      </c>
      <c r="K118" s="4" t="str">
        <f t="shared" ca="1" si="6"/>
        <v>No</v>
      </c>
      <c r="L118" s="7">
        <f t="shared" ca="1" si="8"/>
        <v>86</v>
      </c>
      <c r="M118" s="4" t="str">
        <f>IF($I118="Complete","Green",IF($H118="","Amber",IF($H118&lt;'[2]Read Me'!$B$4,"Red",IF($H118-'[2]Read Me'!$B$4&lt;=21,"Amber","Green"))))</f>
        <v>Green</v>
      </c>
      <c r="N118" s="3"/>
      <c r="O118" t="str">
        <f>IF($I118&lt;&gt;"Complete",IF(COUNTIFS($A$4:$A117,$A118,$B$4:$B117,$B118,$I$4:$I117,"&lt;&gt;Complete")=0,$A118&amp;"|"&amp;$B118,""),"")</f>
        <v/>
      </c>
      <c r="P118" t="str">
        <f ca="1">IF($K118="Yes",COUNTIFS($K$4:$K118,"Yes"),"")</f>
        <v/>
      </c>
      <c r="Q118">
        <f t="shared" ca="1" si="7"/>
        <v>0</v>
      </c>
      <c r="R118" t="str">
        <f ca="1">IF($Q118=1,SUM($Q$4:$Q118),"")</f>
        <v/>
      </c>
    </row>
    <row r="119" spans="1:18" ht="22.5" hidden="1" customHeight="1" x14ac:dyDescent="0.3">
      <c r="A119" s="2" t="s">
        <v>445</v>
      </c>
      <c r="B119" s="2" t="s">
        <v>21</v>
      </c>
      <c r="C119" s="3" t="s">
        <v>446</v>
      </c>
      <c r="D119" s="3" t="s">
        <v>58</v>
      </c>
      <c r="E119" s="2" t="s">
        <v>395</v>
      </c>
      <c r="F119" s="2"/>
      <c r="G119" s="5">
        <v>46040</v>
      </c>
      <c r="H119" s="5">
        <v>46308</v>
      </c>
      <c r="I119" s="4" t="s">
        <v>17</v>
      </c>
      <c r="J119" s="6">
        <f t="shared" si="5"/>
        <v>268</v>
      </c>
      <c r="K119" s="4" t="str">
        <f t="shared" ca="1" si="6"/>
        <v>No</v>
      </c>
      <c r="L119" s="7">
        <f t="shared" ca="1" si="8"/>
        <v>100</v>
      </c>
      <c r="M119" s="4" t="str">
        <f>IF($I119="Complete","Green",IF($H119="","Amber",IF($H119&lt;'[2]Read Me'!$B$4,"Red",IF($H119-'[2]Read Me'!$B$4&lt;=21,"Amber","Green"))))</f>
        <v>Green</v>
      </c>
      <c r="N119" s="3"/>
      <c r="O119" t="str">
        <f>IF($I119&lt;&gt;"Complete",IF(COUNTIFS($A$4:$A118,$A119,$B$4:$B118,$B119,$I$4:$I118,"&lt;&gt;Complete")=0,$A119&amp;"|"&amp;$B119,""),"")</f>
        <v/>
      </c>
      <c r="P119" t="str">
        <f ca="1">IF($K119="Yes",COUNTIFS($K$4:$K119,"Yes"),"")</f>
        <v/>
      </c>
      <c r="Q119">
        <f t="shared" ca="1" si="7"/>
        <v>0</v>
      </c>
      <c r="R119" t="str">
        <f ca="1">IF($Q119=1,SUM($Q$4:$Q119),"")</f>
        <v/>
      </c>
    </row>
    <row r="120" spans="1:18" ht="22.5" hidden="1" customHeight="1" x14ac:dyDescent="0.3">
      <c r="A120" s="2" t="s">
        <v>445</v>
      </c>
      <c r="B120" s="2" t="s">
        <v>21</v>
      </c>
      <c r="C120" s="3" t="s">
        <v>446</v>
      </c>
      <c r="D120" s="3" t="s">
        <v>282</v>
      </c>
      <c r="E120" s="2" t="s">
        <v>184</v>
      </c>
      <c r="F120" s="2"/>
      <c r="G120" s="5">
        <v>46040</v>
      </c>
      <c r="H120" s="5">
        <v>46308</v>
      </c>
      <c r="I120" s="4" t="s">
        <v>17</v>
      </c>
      <c r="J120" s="6">
        <f t="shared" si="5"/>
        <v>268</v>
      </c>
      <c r="K120" s="4" t="str">
        <f t="shared" ca="1" si="6"/>
        <v>No</v>
      </c>
      <c r="L120" s="7">
        <f t="shared" ca="1" si="8"/>
        <v>100</v>
      </c>
      <c r="M120" s="4" t="str">
        <f>IF($I120="Complete","Green",IF($H120="","Amber",IF($H120&lt;'[2]Read Me'!$B$4,"Red",IF($H120-'[2]Read Me'!$B$4&lt;=21,"Amber","Green"))))</f>
        <v>Green</v>
      </c>
      <c r="N120" s="3"/>
      <c r="O120" t="str">
        <f>IF($I120&lt;&gt;"Complete",IF(COUNTIFS($A$4:$A119,$A120,$B$4:$B119,$B120,$I$4:$I119,"&lt;&gt;Complete")=0,$A120&amp;"|"&amp;$B120,""),"")</f>
        <v/>
      </c>
      <c r="P120" t="str">
        <f ca="1">IF($K120="Yes",COUNTIFS($K$4:$K120,"Yes"),"")</f>
        <v/>
      </c>
      <c r="Q120">
        <f t="shared" ca="1" si="7"/>
        <v>0</v>
      </c>
      <c r="R120" t="str">
        <f ca="1">IF($Q120=1,SUM($Q$4:$Q120),"")</f>
        <v/>
      </c>
    </row>
    <row r="121" spans="1:18" ht="22.5" hidden="1" customHeight="1" x14ac:dyDescent="0.3">
      <c r="A121" s="2" t="s">
        <v>445</v>
      </c>
      <c r="B121" s="2" t="s">
        <v>21</v>
      </c>
      <c r="C121" s="3" t="s">
        <v>446</v>
      </c>
      <c r="D121" s="3" t="s">
        <v>343</v>
      </c>
      <c r="E121" s="2" t="s">
        <v>395</v>
      </c>
      <c r="F121" s="2"/>
      <c r="G121" s="5">
        <v>46040</v>
      </c>
      <c r="H121" s="5">
        <v>46322</v>
      </c>
      <c r="I121" s="4" t="s">
        <v>17</v>
      </c>
      <c r="J121" s="6">
        <f t="shared" si="5"/>
        <v>282</v>
      </c>
      <c r="K121" s="4" t="str">
        <f t="shared" ca="1" si="6"/>
        <v>No</v>
      </c>
      <c r="L121" s="7">
        <f t="shared" ca="1" si="8"/>
        <v>114</v>
      </c>
      <c r="M121" s="4" t="str">
        <f>IF($I121="Complete","Green",IF($H121="","Amber",IF($H121&lt;'[2]Read Me'!$B$4,"Red",IF($H121-'[2]Read Me'!$B$4&lt;=21,"Amber","Green"))))</f>
        <v>Green</v>
      </c>
      <c r="N121" s="3"/>
      <c r="O121" t="str">
        <f>IF($I121&lt;&gt;"Complete",IF(COUNTIFS($A$4:$A120,$A121,$B$4:$B120,$B121,$I$4:$I120,"&lt;&gt;Complete")=0,$A121&amp;"|"&amp;$B121,""),"")</f>
        <v/>
      </c>
      <c r="P121" t="str">
        <f ca="1">IF($K121="Yes",COUNTIFS($K$4:$K121,"Yes"),"")</f>
        <v/>
      </c>
      <c r="Q121">
        <f t="shared" ca="1" si="7"/>
        <v>0</v>
      </c>
      <c r="R121" t="str">
        <f ca="1">IF($Q121=1,SUM($Q$4:$Q121),"")</f>
        <v/>
      </c>
    </row>
    <row r="122" spans="1:18" ht="22.5" hidden="1" customHeight="1" x14ac:dyDescent="0.3">
      <c r="A122" s="2" t="s">
        <v>445</v>
      </c>
      <c r="B122" s="2" t="s">
        <v>21</v>
      </c>
      <c r="C122" s="3" t="s">
        <v>446</v>
      </c>
      <c r="D122" s="3" t="s">
        <v>285</v>
      </c>
      <c r="E122" s="2" t="s">
        <v>395</v>
      </c>
      <c r="F122" s="2" t="s">
        <v>182</v>
      </c>
      <c r="G122" s="5">
        <v>46054</v>
      </c>
      <c r="H122" s="5">
        <v>46343</v>
      </c>
      <c r="I122" s="4" t="s">
        <v>17</v>
      </c>
      <c r="J122" s="6">
        <f t="shared" si="5"/>
        <v>289</v>
      </c>
      <c r="K122" s="4" t="str">
        <f t="shared" ca="1" si="6"/>
        <v>No</v>
      </c>
      <c r="L122" s="7">
        <f t="shared" ca="1" si="8"/>
        <v>135</v>
      </c>
      <c r="M122" s="4" t="str">
        <f>IF($I122="Complete","Green",IF($H122="","Amber",IF($H122&lt;'[2]Read Me'!$B$4,"Red",IF($H122-'[2]Read Me'!$B$4&lt;=21,"Amber","Green"))))</f>
        <v>Green</v>
      </c>
      <c r="N122" s="3"/>
      <c r="O122" t="str">
        <f>IF($I122&lt;&gt;"Complete",IF(COUNTIFS($A$4:$A121,$A122,$B$4:$B121,$B122,$I$4:$I121,"&lt;&gt;Complete")=0,$A122&amp;"|"&amp;$B122,""),"")</f>
        <v/>
      </c>
      <c r="P122" t="str">
        <f ca="1">IF($K122="Yes",COUNTIFS($K$4:$K122,"Yes"),"")</f>
        <v/>
      </c>
      <c r="Q122">
        <f t="shared" ca="1" si="7"/>
        <v>0</v>
      </c>
      <c r="R122" t="str">
        <f ca="1">IF($Q122=1,SUM($Q$4:$Q122),"")</f>
        <v/>
      </c>
    </row>
    <row r="123" spans="1:18" ht="22.5" hidden="1" customHeight="1" x14ac:dyDescent="0.3">
      <c r="A123" s="2" t="s">
        <v>445</v>
      </c>
      <c r="B123" s="2" t="s">
        <v>21</v>
      </c>
      <c r="C123" s="3" t="s">
        <v>446</v>
      </c>
      <c r="D123" s="3" t="s">
        <v>58</v>
      </c>
      <c r="E123" s="2" t="s">
        <v>395</v>
      </c>
      <c r="F123" s="2"/>
      <c r="G123" s="5">
        <v>46068</v>
      </c>
      <c r="H123" s="5">
        <v>46357</v>
      </c>
      <c r="I123" s="4" t="s">
        <v>17</v>
      </c>
      <c r="J123" s="6">
        <f t="shared" si="5"/>
        <v>289</v>
      </c>
      <c r="K123" s="4" t="str">
        <f t="shared" ca="1" si="6"/>
        <v>No</v>
      </c>
      <c r="L123" s="7">
        <f t="shared" ca="1" si="8"/>
        <v>149</v>
      </c>
      <c r="M123" s="4" t="str">
        <f>IF($I123="Complete","Green",IF($H123="","Amber",IF($H123&lt;'[2]Read Me'!$B$4,"Red",IF($H123-'[2]Read Me'!$B$4&lt;=21,"Amber","Green"))))</f>
        <v>Green</v>
      </c>
      <c r="N123" s="3"/>
      <c r="O123" t="str">
        <f>IF($I123&lt;&gt;"Complete",IF(COUNTIFS($A$4:$A122,$A123,$B$4:$B122,$B123,$I$4:$I122,"&lt;&gt;Complete")=0,$A123&amp;"|"&amp;$B123,""),"")</f>
        <v/>
      </c>
      <c r="P123" t="str">
        <f ca="1">IF($K123="Yes",COUNTIFS($K$4:$K123,"Yes"),"")</f>
        <v/>
      </c>
      <c r="Q123">
        <f t="shared" ca="1" si="7"/>
        <v>0</v>
      </c>
      <c r="R123" t="str">
        <f ca="1">IF($Q123=1,SUM($Q$4:$Q123),"")</f>
        <v/>
      </c>
    </row>
    <row r="124" spans="1:18" ht="22.5" hidden="1" customHeight="1" x14ac:dyDescent="0.3">
      <c r="A124" s="2" t="s">
        <v>447</v>
      </c>
      <c r="B124" s="2" t="s">
        <v>21</v>
      </c>
      <c r="C124" s="3"/>
      <c r="D124" s="3"/>
      <c r="E124" s="2"/>
      <c r="F124" s="2"/>
      <c r="G124" s="5">
        <v>46068</v>
      </c>
      <c r="H124" s="5">
        <v>46357</v>
      </c>
      <c r="I124" s="4"/>
      <c r="J124" s="6">
        <f t="shared" si="5"/>
        <v>289</v>
      </c>
      <c r="K124" s="4" t="str">
        <f t="shared" ca="1" si="6"/>
        <v/>
      </c>
      <c r="L124" s="7">
        <f t="shared" ca="1" si="8"/>
        <v>149</v>
      </c>
      <c r="M124" s="4" t="str">
        <f>IF($I124="Complete","Green",IF($H124="","Amber",IF($H124&lt;'[2]Read Me'!$B$4,"Red",IF($H124-'[2]Read Me'!$B$4&lt;=21,"Amber","Green"))))</f>
        <v>Green</v>
      </c>
      <c r="N124" s="3"/>
      <c r="O124" t="str">
        <f>IF($I124&lt;&gt;"Complete",IF(COUNTIFS($A$4:$A123,$A124,$B$4:$B123,$B124,$I$4:$I123,"&lt;&gt;Complete")=0,$A124&amp;"|"&amp;$B124,""),"")</f>
        <v>Ph.04|Landscape</v>
      </c>
      <c r="P124" t="str">
        <f ca="1">IF($K124="Yes",COUNTIFS($K$4:$K124,"Yes"),"")</f>
        <v/>
      </c>
      <c r="Q124">
        <f t="shared" ca="1" si="7"/>
        <v>0</v>
      </c>
      <c r="R124" t="str">
        <f ca="1">IF($Q124=1,SUM($Q$4:$Q124),"")</f>
        <v/>
      </c>
    </row>
    <row r="125" spans="1:18" ht="22.5" hidden="1" customHeight="1" x14ac:dyDescent="0.3">
      <c r="A125" s="2" t="s">
        <v>447</v>
      </c>
      <c r="B125" s="2" t="s">
        <v>21</v>
      </c>
      <c r="C125" s="3" t="s">
        <v>448</v>
      </c>
      <c r="D125" s="3" t="s">
        <v>284</v>
      </c>
      <c r="E125" s="2" t="s">
        <v>395</v>
      </c>
      <c r="F125" s="2" t="s">
        <v>182</v>
      </c>
      <c r="G125" s="5">
        <v>46026</v>
      </c>
      <c r="H125" s="5">
        <v>46294</v>
      </c>
      <c r="I125" s="4" t="s">
        <v>17</v>
      </c>
      <c r="J125" s="6">
        <f t="shared" si="5"/>
        <v>268</v>
      </c>
      <c r="K125" s="4" t="str">
        <f t="shared" ca="1" si="6"/>
        <v>No</v>
      </c>
      <c r="L125" s="7">
        <f t="shared" ca="1" si="8"/>
        <v>86</v>
      </c>
      <c r="M125" s="4" t="str">
        <f>IF($I125="Complete","Green",IF($H125="","Amber",IF($H125&lt;'[2]Read Me'!$B$4,"Red",IF($H125-'[2]Read Me'!$B$4&lt;=21,"Amber","Green"))))</f>
        <v>Green</v>
      </c>
      <c r="N125" s="3"/>
      <c r="O125" t="str">
        <f>IF($I125&lt;&gt;"Complete",IF(COUNTIFS($A$4:$A124,$A125,$B$4:$B124,$B125,$I$4:$I124,"&lt;&gt;Complete")=0,$A125&amp;"|"&amp;$B125,""),"")</f>
        <v/>
      </c>
      <c r="P125" t="str">
        <f ca="1">IF($K125="Yes",COUNTIFS($K$4:$K125,"Yes"),"")</f>
        <v/>
      </c>
      <c r="Q125">
        <f t="shared" ca="1" si="7"/>
        <v>0</v>
      </c>
      <c r="R125" t="str">
        <f ca="1">IF($Q125=1,SUM($Q$4:$Q125),"")</f>
        <v/>
      </c>
    </row>
    <row r="126" spans="1:18" ht="22.5" hidden="1" customHeight="1" x14ac:dyDescent="0.3">
      <c r="A126" s="2" t="s">
        <v>447</v>
      </c>
      <c r="B126" s="2" t="s">
        <v>21</v>
      </c>
      <c r="C126" s="3" t="s">
        <v>448</v>
      </c>
      <c r="D126" s="3" t="s">
        <v>58</v>
      </c>
      <c r="E126" s="2" t="s">
        <v>395</v>
      </c>
      <c r="F126" s="2"/>
      <c r="G126" s="5">
        <v>46040</v>
      </c>
      <c r="H126" s="5">
        <v>46308</v>
      </c>
      <c r="I126" s="4" t="s">
        <v>17</v>
      </c>
      <c r="J126" s="6">
        <f t="shared" si="5"/>
        <v>268</v>
      </c>
      <c r="K126" s="4" t="str">
        <f t="shared" ca="1" si="6"/>
        <v>No</v>
      </c>
      <c r="L126" s="7">
        <f t="shared" ca="1" si="8"/>
        <v>100</v>
      </c>
      <c r="M126" s="4" t="str">
        <f>IF($I126="Complete","Green",IF($H126="","Amber",IF($H126&lt;'[2]Read Me'!$B$4,"Red",IF($H126-'[2]Read Me'!$B$4&lt;=21,"Amber","Green"))))</f>
        <v>Green</v>
      </c>
      <c r="N126" s="3"/>
      <c r="O126" t="str">
        <f>IF($I126&lt;&gt;"Complete",IF(COUNTIFS($A$4:$A125,$A126,$B$4:$B125,$B126,$I$4:$I125,"&lt;&gt;Complete")=0,$A126&amp;"|"&amp;$B126,""),"")</f>
        <v/>
      </c>
      <c r="P126" t="str">
        <f ca="1">IF($K126="Yes",COUNTIFS($K$4:$K126,"Yes"),"")</f>
        <v/>
      </c>
      <c r="Q126">
        <f t="shared" ca="1" si="7"/>
        <v>0</v>
      </c>
      <c r="R126" t="str">
        <f ca="1">IF($Q126=1,SUM($Q$4:$Q126),"")</f>
        <v/>
      </c>
    </row>
    <row r="127" spans="1:18" ht="22.5" hidden="1" customHeight="1" x14ac:dyDescent="0.3">
      <c r="A127" s="2" t="s">
        <v>447</v>
      </c>
      <c r="B127" s="2" t="s">
        <v>21</v>
      </c>
      <c r="C127" s="3" t="s">
        <v>448</v>
      </c>
      <c r="D127" s="3" t="s">
        <v>282</v>
      </c>
      <c r="E127" s="2" t="s">
        <v>184</v>
      </c>
      <c r="F127" s="2"/>
      <c r="G127" s="5">
        <v>46040</v>
      </c>
      <c r="H127" s="5">
        <v>46308</v>
      </c>
      <c r="I127" s="4" t="s">
        <v>17</v>
      </c>
      <c r="J127" s="6">
        <f t="shared" si="5"/>
        <v>268</v>
      </c>
      <c r="K127" s="4" t="str">
        <f t="shared" ca="1" si="6"/>
        <v>No</v>
      </c>
      <c r="L127" s="7">
        <f t="shared" ca="1" si="8"/>
        <v>100</v>
      </c>
      <c r="M127" s="4" t="str">
        <f>IF($I127="Complete","Green",IF($H127="","Amber",IF($H127&lt;'[2]Read Me'!$B$4,"Red",IF($H127-'[2]Read Me'!$B$4&lt;=21,"Amber","Green"))))</f>
        <v>Green</v>
      </c>
      <c r="N127" s="3"/>
      <c r="O127" t="str">
        <f>IF($I127&lt;&gt;"Complete",IF(COUNTIFS($A$4:$A126,$A127,$B$4:$B126,$B127,$I$4:$I126,"&lt;&gt;Complete")=0,$A127&amp;"|"&amp;$B127,""),"")</f>
        <v/>
      </c>
      <c r="P127" t="str">
        <f ca="1">IF($K127="Yes",COUNTIFS($K$4:$K127,"Yes"),"")</f>
        <v/>
      </c>
      <c r="Q127">
        <f t="shared" ca="1" si="7"/>
        <v>0</v>
      </c>
      <c r="R127" t="str">
        <f ca="1">IF($Q127=1,SUM($Q$4:$Q127),"")</f>
        <v/>
      </c>
    </row>
    <row r="128" spans="1:18" ht="22.5" hidden="1" customHeight="1" x14ac:dyDescent="0.3">
      <c r="A128" s="2" t="s">
        <v>447</v>
      </c>
      <c r="B128" s="2" t="s">
        <v>21</v>
      </c>
      <c r="C128" s="3" t="s">
        <v>448</v>
      </c>
      <c r="D128" s="3" t="s">
        <v>343</v>
      </c>
      <c r="E128" s="2" t="s">
        <v>395</v>
      </c>
      <c r="F128" s="2"/>
      <c r="G128" s="5">
        <v>46040</v>
      </c>
      <c r="H128" s="5">
        <v>46322</v>
      </c>
      <c r="I128" s="4" t="s">
        <v>17</v>
      </c>
      <c r="J128" s="6">
        <f t="shared" si="5"/>
        <v>282</v>
      </c>
      <c r="K128" s="4" t="str">
        <f t="shared" ca="1" si="6"/>
        <v>No</v>
      </c>
      <c r="L128" s="7">
        <f t="shared" ca="1" si="8"/>
        <v>114</v>
      </c>
      <c r="M128" s="4" t="str">
        <f>IF($I128="Complete","Green",IF($H128="","Amber",IF($H128&lt;'[2]Read Me'!$B$4,"Red",IF($H128-'[2]Read Me'!$B$4&lt;=21,"Amber","Green"))))</f>
        <v>Green</v>
      </c>
      <c r="N128" s="3"/>
      <c r="O128" t="str">
        <f>IF($I128&lt;&gt;"Complete",IF(COUNTIFS($A$4:$A127,$A128,$B$4:$B127,$B128,$I$4:$I127,"&lt;&gt;Complete")=0,$A128&amp;"|"&amp;$B128,""),"")</f>
        <v/>
      </c>
      <c r="P128" t="str">
        <f ca="1">IF($K128="Yes",COUNTIFS($K$4:$K128,"Yes"),"")</f>
        <v/>
      </c>
      <c r="Q128">
        <f t="shared" ca="1" si="7"/>
        <v>0</v>
      </c>
      <c r="R128" t="str">
        <f ca="1">IF($Q128=1,SUM($Q$4:$Q128),"")</f>
        <v/>
      </c>
    </row>
    <row r="129" spans="1:18" ht="22.5" hidden="1" customHeight="1" x14ac:dyDescent="0.3">
      <c r="A129" s="2" t="s">
        <v>447</v>
      </c>
      <c r="B129" s="2" t="s">
        <v>21</v>
      </c>
      <c r="C129" s="3" t="s">
        <v>448</v>
      </c>
      <c r="D129" s="3" t="s">
        <v>285</v>
      </c>
      <c r="E129" s="2" t="s">
        <v>395</v>
      </c>
      <c r="F129" s="2" t="s">
        <v>182</v>
      </c>
      <c r="G129" s="5">
        <v>46054</v>
      </c>
      <c r="H129" s="5">
        <v>46343</v>
      </c>
      <c r="I129" s="4" t="s">
        <v>17</v>
      </c>
      <c r="J129" s="6">
        <f t="shared" si="5"/>
        <v>289</v>
      </c>
      <c r="K129" s="4" t="str">
        <f t="shared" ca="1" si="6"/>
        <v>No</v>
      </c>
      <c r="L129" s="7">
        <f t="shared" ca="1" si="8"/>
        <v>135</v>
      </c>
      <c r="M129" s="4" t="str">
        <f>IF($I129="Complete","Green",IF($H129="","Amber",IF($H129&lt;'[2]Read Me'!$B$4,"Red",IF($H129-'[2]Read Me'!$B$4&lt;=21,"Amber","Green"))))</f>
        <v>Green</v>
      </c>
      <c r="N129" s="3"/>
      <c r="O129" t="str">
        <f>IF($I129&lt;&gt;"Complete",IF(COUNTIFS($A$4:$A128,$A129,$B$4:$B128,$B129,$I$4:$I128,"&lt;&gt;Complete")=0,$A129&amp;"|"&amp;$B129,""),"")</f>
        <v/>
      </c>
      <c r="P129" t="str">
        <f ca="1">IF($K129="Yes",COUNTIFS($K$4:$K129,"Yes"),"")</f>
        <v/>
      </c>
      <c r="Q129">
        <f t="shared" ca="1" si="7"/>
        <v>0</v>
      </c>
      <c r="R129" t="str">
        <f ca="1">IF($Q129=1,SUM($Q$4:$Q129),"")</f>
        <v/>
      </c>
    </row>
    <row r="130" spans="1:18" ht="22.5" hidden="1" customHeight="1" x14ac:dyDescent="0.3">
      <c r="A130" s="2" t="s">
        <v>447</v>
      </c>
      <c r="B130" s="2" t="s">
        <v>21</v>
      </c>
      <c r="C130" s="3" t="s">
        <v>448</v>
      </c>
      <c r="D130" s="3" t="s">
        <v>58</v>
      </c>
      <c r="E130" s="2" t="s">
        <v>395</v>
      </c>
      <c r="F130" s="2"/>
      <c r="G130" s="5">
        <v>46068</v>
      </c>
      <c r="H130" s="5">
        <v>46357</v>
      </c>
      <c r="I130" s="4" t="s">
        <v>17</v>
      </c>
      <c r="J130" s="6">
        <f t="shared" si="5"/>
        <v>289</v>
      </c>
      <c r="K130" s="4" t="str">
        <f t="shared" ca="1" si="6"/>
        <v>No</v>
      </c>
      <c r="L130" s="7">
        <f t="shared" ca="1" si="8"/>
        <v>149</v>
      </c>
      <c r="M130" s="4" t="str">
        <f>IF($I130="Complete","Green",IF($H130="","Amber",IF($H130&lt;'[2]Read Me'!$B$4,"Red",IF($H130-'[2]Read Me'!$B$4&lt;=21,"Amber","Green"))))</f>
        <v>Green</v>
      </c>
      <c r="N130" s="3"/>
      <c r="O130" t="str">
        <f>IF($I130&lt;&gt;"Complete",IF(COUNTIFS($A$4:$A129,$A130,$B$4:$B129,$B130,$I$4:$I129,"&lt;&gt;Complete")=0,$A130&amp;"|"&amp;$B130,""),"")</f>
        <v/>
      </c>
      <c r="P130" t="str">
        <f ca="1">IF($K130="Yes",COUNTIFS($K$4:$K130,"Yes"),"")</f>
        <v/>
      </c>
      <c r="Q130">
        <f t="shared" ca="1" si="7"/>
        <v>0</v>
      </c>
      <c r="R130" t="str">
        <f ca="1">IF($Q130=1,SUM($Q$4:$Q130),"")</f>
        <v/>
      </c>
    </row>
    <row r="131" spans="1:18" ht="22.5" hidden="1" customHeight="1" x14ac:dyDescent="0.3">
      <c r="A131" s="2" t="s">
        <v>449</v>
      </c>
      <c r="B131" s="2" t="s">
        <v>62</v>
      </c>
      <c r="C131" s="3"/>
      <c r="D131" s="3"/>
      <c r="E131" s="2"/>
      <c r="F131" s="2"/>
      <c r="G131" s="5">
        <v>46240</v>
      </c>
      <c r="H131" s="5">
        <v>46284</v>
      </c>
      <c r="I131" s="4"/>
      <c r="J131" s="6">
        <f t="shared" si="5"/>
        <v>44</v>
      </c>
      <c r="K131" s="4" t="str">
        <f t="shared" ca="1" si="6"/>
        <v/>
      </c>
      <c r="L131" s="7">
        <f t="shared" ca="1" si="8"/>
        <v>76</v>
      </c>
      <c r="M131" s="4" t="str">
        <f>IF($I131="Complete","Green",IF($H131="","Amber",IF($H131&lt;'[2]Read Me'!$B$4,"Red",IF($H131-'[2]Read Me'!$B$4&lt;=21,"Amber","Green"))))</f>
        <v>Green</v>
      </c>
      <c r="N131" s="3"/>
      <c r="O131" t="str">
        <f>IF($I131&lt;&gt;"Complete",IF(COUNTIFS($A$4:$A130,$A131,$B$4:$B130,$B131,$I$4:$I130,"&lt;&gt;Complete")=0,$A131&amp;"|"&amp;$B131,""),"")</f>
        <v>FM Building|Buildings</v>
      </c>
      <c r="P131" t="str">
        <f ca="1">IF($K131="Yes",COUNTIFS($K$4:$K131,"Yes"),"")</f>
        <v/>
      </c>
      <c r="Q131">
        <f t="shared" ca="1" si="7"/>
        <v>0</v>
      </c>
      <c r="R131" t="str">
        <f ca="1">IF($Q131=1,SUM($Q$4:$Q131),"")</f>
        <v/>
      </c>
    </row>
    <row r="132" spans="1:18" ht="22.5" hidden="1" customHeight="1" x14ac:dyDescent="0.3">
      <c r="A132" s="2" t="s">
        <v>449</v>
      </c>
      <c r="B132" s="2" t="s">
        <v>62</v>
      </c>
      <c r="C132" s="3" t="s">
        <v>450</v>
      </c>
      <c r="D132" s="3" t="s">
        <v>98</v>
      </c>
      <c r="E132" s="2" t="s">
        <v>426</v>
      </c>
      <c r="F132" s="2" t="s">
        <v>451</v>
      </c>
      <c r="G132" s="5">
        <v>46048</v>
      </c>
      <c r="H132" s="5">
        <v>46048</v>
      </c>
      <c r="I132" s="4" t="s">
        <v>31</v>
      </c>
      <c r="J132" s="6">
        <f t="shared" ref="J132:J195" si="9">IF(OR($G132="",$H132=""),"",$H132-$G132)</f>
        <v>0</v>
      </c>
      <c r="K132" s="4" t="str">
        <f t="shared" ref="K132:K195" ca="1" si="10">IF(C132="","",IF(H132="","",IF($I132="completed","-",IF($H132&gt;TODAY(),"No","Yes"))))</f>
        <v>-</v>
      </c>
      <c r="L132" s="7">
        <f t="shared" ca="1" si="8"/>
        <v>0</v>
      </c>
      <c r="M132" s="4" t="str">
        <f>IF($I132="Complete","Green",IF($H132="","Amber",IF($H132&lt;'[2]Read Me'!$B$4,"Red",IF($H132-'[2]Read Me'!$B$4&lt;=21,"Amber","Green"))))</f>
        <v>Red</v>
      </c>
      <c r="N132" s="3"/>
      <c r="O132" t="str">
        <f>IF($I132&lt;&gt;"Complete",IF(COUNTIFS($A$4:$A131,$A132,$B$4:$B131,$B132,$I$4:$I131,"&lt;&gt;Complete")=0,$A132&amp;"|"&amp;$B132,""),"")</f>
        <v/>
      </c>
      <c r="P132" t="str">
        <f ca="1">IF($K132="Yes",COUNTIFS($K$4:$K132,"Yes"),"")</f>
        <v/>
      </c>
      <c r="Q132">
        <f t="shared" ref="Q132:Q195" ca="1" si="11">IF(OR($I132="In Progress",$K132="Yes"),1,0)</f>
        <v>0</v>
      </c>
      <c r="R132" t="str">
        <f ca="1">IF($Q132=1,SUM($Q$4:$Q132),"")</f>
        <v/>
      </c>
    </row>
    <row r="133" spans="1:18" ht="22.5" hidden="1" customHeight="1" x14ac:dyDescent="0.3">
      <c r="A133" s="2" t="s">
        <v>449</v>
      </c>
      <c r="B133" s="2" t="s">
        <v>62</v>
      </c>
      <c r="C133" s="3" t="s">
        <v>450</v>
      </c>
      <c r="D133" s="3" t="s">
        <v>47</v>
      </c>
      <c r="E133" s="2" t="s">
        <v>426</v>
      </c>
      <c r="F133" s="2"/>
      <c r="G133" s="5">
        <v>46062</v>
      </c>
      <c r="H133" s="5">
        <v>46062</v>
      </c>
      <c r="I133" s="4" t="s">
        <v>31</v>
      </c>
      <c r="J133" s="6">
        <f t="shared" si="9"/>
        <v>0</v>
      </c>
      <c r="K133" s="4" t="str">
        <f t="shared" ca="1" si="10"/>
        <v>-</v>
      </c>
      <c r="L133" s="7">
        <f t="shared" ref="L133:L196" ca="1" si="12">IF(I133="Completed",0,IF(H133="","",H133-TODAY()))</f>
        <v>0</v>
      </c>
      <c r="M133" s="4" t="str">
        <f>IF($I133="Complete","Green",IF($H133="","Amber",IF($H133&lt;'[2]Read Me'!$B$4,"Red",IF($H133-'[2]Read Me'!$B$4&lt;=21,"Amber","Green"))))</f>
        <v>Red</v>
      </c>
      <c r="N133" s="3"/>
      <c r="O133" t="str">
        <f>IF($I133&lt;&gt;"Complete",IF(COUNTIFS($A$4:$A132,$A133,$B$4:$B132,$B133,$I$4:$I132,"&lt;&gt;Complete")=0,$A133&amp;"|"&amp;$B133,""),"")</f>
        <v/>
      </c>
      <c r="P133" t="str">
        <f ca="1">IF($K133="Yes",COUNTIFS($K$4:$K133,"Yes"),"")</f>
        <v/>
      </c>
      <c r="Q133">
        <f t="shared" ca="1" si="11"/>
        <v>0</v>
      </c>
      <c r="R133" t="str">
        <f ca="1">IF($Q133=1,SUM($Q$4:$Q133),"")</f>
        <v/>
      </c>
    </row>
    <row r="134" spans="1:18" ht="22.5" hidden="1" customHeight="1" x14ac:dyDescent="0.3">
      <c r="A134" s="2" t="s">
        <v>449</v>
      </c>
      <c r="B134" s="2" t="s">
        <v>62</v>
      </c>
      <c r="C134" s="3" t="s">
        <v>450</v>
      </c>
      <c r="D134" s="3" t="s">
        <v>132</v>
      </c>
      <c r="E134" s="2" t="s">
        <v>184</v>
      </c>
      <c r="F134" s="2"/>
      <c r="G134" s="5">
        <v>46072</v>
      </c>
      <c r="H134" s="5">
        <v>46072</v>
      </c>
      <c r="I134" s="4" t="s">
        <v>31</v>
      </c>
      <c r="J134" s="6">
        <f t="shared" si="9"/>
        <v>0</v>
      </c>
      <c r="K134" s="4" t="str">
        <f t="shared" ca="1" si="10"/>
        <v>-</v>
      </c>
      <c r="L134" s="7">
        <f t="shared" ca="1" si="12"/>
        <v>0</v>
      </c>
      <c r="M134" s="4" t="str">
        <f>IF($I134="Complete","Green",IF($H134="","Amber",IF($H134&lt;'[2]Read Me'!$B$4,"Red",IF($H134-'[2]Read Me'!$B$4&lt;=21,"Amber","Green"))))</f>
        <v>Red</v>
      </c>
      <c r="N134" s="3"/>
      <c r="O134" t="str">
        <f>IF($I134&lt;&gt;"Complete",IF(COUNTIFS($A$4:$A133,$A134,$B$4:$B133,$B134,$I$4:$I133,"&lt;&gt;Complete")=0,$A134&amp;"|"&amp;$B134,""),"")</f>
        <v/>
      </c>
      <c r="P134" t="str">
        <f ca="1">IF($K134="Yes",COUNTIFS($K$4:$K134,"Yes"),"")</f>
        <v/>
      </c>
      <c r="Q134">
        <f t="shared" ca="1" si="11"/>
        <v>0</v>
      </c>
      <c r="R134" t="str">
        <f ca="1">IF($Q134=1,SUM($Q$4:$Q134),"")</f>
        <v/>
      </c>
    </row>
    <row r="135" spans="1:18" ht="22.5" hidden="1" customHeight="1" x14ac:dyDescent="0.3">
      <c r="A135" s="2" t="s">
        <v>449</v>
      </c>
      <c r="B135" s="2" t="s">
        <v>62</v>
      </c>
      <c r="C135" s="3" t="s">
        <v>450</v>
      </c>
      <c r="D135" s="3" t="s">
        <v>18</v>
      </c>
      <c r="E135" s="2" t="s">
        <v>426</v>
      </c>
      <c r="F135" s="2" t="s">
        <v>197</v>
      </c>
      <c r="G135" s="5">
        <v>46127</v>
      </c>
      <c r="H135" s="5">
        <v>46167</v>
      </c>
      <c r="I135" s="4" t="s">
        <v>31</v>
      </c>
      <c r="J135" s="6">
        <f t="shared" si="9"/>
        <v>40</v>
      </c>
      <c r="K135" s="4" t="str">
        <f t="shared" ca="1" si="10"/>
        <v>-</v>
      </c>
      <c r="L135" s="7">
        <f t="shared" ca="1" si="12"/>
        <v>0</v>
      </c>
      <c r="M135" s="4" t="str">
        <f>IF($I135="Complete","Green",IF($H135="","Amber",IF($H135&lt;'[2]Read Me'!$B$4,"Red",IF($H135-'[2]Read Me'!$B$4&lt;=21,"Amber","Green"))))</f>
        <v>Red</v>
      </c>
      <c r="N135" s="3"/>
      <c r="O135" t="str">
        <f>IF($I135&lt;&gt;"Complete",IF(COUNTIFS($A$4:$A134,$A135,$B$4:$B134,$B135,$I$4:$I134,"&lt;&gt;Complete")=0,$A135&amp;"|"&amp;$B135,""),"")</f>
        <v/>
      </c>
      <c r="P135" t="str">
        <f ca="1">IF($K135="Yes",COUNTIFS($K$4:$K135,"Yes"),"")</f>
        <v/>
      </c>
      <c r="Q135">
        <f t="shared" ca="1" si="11"/>
        <v>0</v>
      </c>
      <c r="R135" t="str">
        <f ca="1">IF($Q135=1,SUM($Q$4:$Q135),"")</f>
        <v/>
      </c>
    </row>
    <row r="136" spans="1:18" ht="22.5" hidden="1" customHeight="1" x14ac:dyDescent="0.3">
      <c r="A136" s="2" t="s">
        <v>449</v>
      </c>
      <c r="B136" s="2" t="s">
        <v>62</v>
      </c>
      <c r="C136" s="3" t="s">
        <v>450</v>
      </c>
      <c r="D136" s="3" t="s">
        <v>32</v>
      </c>
      <c r="E136" s="2" t="s">
        <v>426</v>
      </c>
      <c r="F136" s="2"/>
      <c r="G136" s="5">
        <v>46141</v>
      </c>
      <c r="H136" s="5">
        <v>46188</v>
      </c>
      <c r="I136" s="4" t="s">
        <v>31</v>
      </c>
      <c r="J136" s="6">
        <f t="shared" si="9"/>
        <v>47</v>
      </c>
      <c r="K136" s="4" t="str">
        <f t="shared" ca="1" si="10"/>
        <v>-</v>
      </c>
      <c r="L136" s="7">
        <f t="shared" ca="1" si="12"/>
        <v>0</v>
      </c>
      <c r="M136" s="4" t="str">
        <f>IF($I136="Complete","Green",IF($H136="","Amber",IF($H136&lt;'[2]Read Me'!$B$4,"Red",IF($H136-'[2]Read Me'!$B$4&lt;=21,"Amber","Green"))))</f>
        <v>Amber</v>
      </c>
      <c r="N136" s="3"/>
      <c r="O136" t="str">
        <f>IF($I136&lt;&gt;"Complete",IF(COUNTIFS($A$4:$A135,$A136,$B$4:$B135,$B136,$I$4:$I135,"&lt;&gt;Complete")=0,$A136&amp;"|"&amp;$B136,""),"")</f>
        <v/>
      </c>
      <c r="P136" t="str">
        <f ca="1">IF($K136="Yes",COUNTIFS($K$4:$K136,"Yes"),"")</f>
        <v/>
      </c>
      <c r="Q136">
        <f t="shared" ca="1" si="11"/>
        <v>0</v>
      </c>
      <c r="R136" t="str">
        <f ca="1">IF($Q136=1,SUM($Q$4:$Q136),"")</f>
        <v/>
      </c>
    </row>
    <row r="137" spans="1:18" ht="22.5" hidden="1" customHeight="1" x14ac:dyDescent="0.3">
      <c r="A137" s="2" t="s">
        <v>449</v>
      </c>
      <c r="B137" s="2" t="s">
        <v>62</v>
      </c>
      <c r="C137" s="3" t="s">
        <v>450</v>
      </c>
      <c r="D137" s="3" t="s">
        <v>19</v>
      </c>
      <c r="E137" s="2" t="s">
        <v>184</v>
      </c>
      <c r="F137" s="2"/>
      <c r="G137" s="5">
        <v>46148</v>
      </c>
      <c r="H137" s="5">
        <v>46249</v>
      </c>
      <c r="I137" s="4" t="s">
        <v>17</v>
      </c>
      <c r="J137" s="6">
        <f t="shared" si="9"/>
        <v>101</v>
      </c>
      <c r="K137" s="4" t="str">
        <f t="shared" ca="1" si="10"/>
        <v>No</v>
      </c>
      <c r="L137" s="7">
        <f t="shared" ca="1" si="12"/>
        <v>41</v>
      </c>
      <c r="M137" s="4" t="str">
        <f>IF($I137="Complete","Green",IF($H137="","Amber",IF($H137&lt;'[2]Read Me'!$B$4,"Red",IF($H137-'[2]Read Me'!$B$4&lt;=21,"Amber","Green"))))</f>
        <v>Green</v>
      </c>
      <c r="N137" s="3"/>
      <c r="O137" t="str">
        <f>IF($I137&lt;&gt;"Complete",IF(COUNTIFS($A$4:$A136,$A137,$B$4:$B136,$B137,$I$4:$I136,"&lt;&gt;Complete")=0,$A137&amp;"|"&amp;$B137,""),"")</f>
        <v/>
      </c>
      <c r="P137" t="str">
        <f ca="1">IF($K137="Yes",COUNTIFS($K$4:$K137,"Yes"),"")</f>
        <v/>
      </c>
      <c r="Q137">
        <f t="shared" ca="1" si="11"/>
        <v>0</v>
      </c>
      <c r="R137" t="str">
        <f ca="1">IF($Q137=1,SUM($Q$4:$Q137),"")</f>
        <v/>
      </c>
    </row>
    <row r="138" spans="1:18" ht="22.5" hidden="1" customHeight="1" x14ac:dyDescent="0.3">
      <c r="A138" s="2" t="s">
        <v>449</v>
      </c>
      <c r="B138" s="2" t="s">
        <v>62</v>
      </c>
      <c r="C138" s="3" t="s">
        <v>450</v>
      </c>
      <c r="D138" s="3" t="s">
        <v>15</v>
      </c>
      <c r="E138" s="2" t="s">
        <v>426</v>
      </c>
      <c r="F138" s="2" t="s">
        <v>197</v>
      </c>
      <c r="G138" s="5">
        <v>46198</v>
      </c>
      <c r="H138" s="5">
        <v>46242</v>
      </c>
      <c r="I138" s="4" t="s">
        <v>17</v>
      </c>
      <c r="J138" s="6">
        <f t="shared" si="9"/>
        <v>44</v>
      </c>
      <c r="K138" s="4" t="str">
        <f t="shared" ca="1" si="10"/>
        <v>No</v>
      </c>
      <c r="L138" s="7">
        <f t="shared" ca="1" si="12"/>
        <v>34</v>
      </c>
      <c r="M138" s="4" t="str">
        <f>IF($I138="Complete","Green",IF($H138="","Amber",IF($H138&lt;'[2]Read Me'!$B$4,"Red",IF($H138-'[2]Read Me'!$B$4&lt;=21,"Amber","Green"))))</f>
        <v>Green</v>
      </c>
      <c r="N138" s="3"/>
      <c r="O138" t="str">
        <f>IF($I138&lt;&gt;"Complete",IF(COUNTIFS($A$4:$A137,$A138,$B$4:$B137,$B138,$I$4:$I137,"&lt;&gt;Complete")=0,$A138&amp;"|"&amp;$B138,""),"")</f>
        <v/>
      </c>
      <c r="P138" t="str">
        <f ca="1">IF($K138="Yes",COUNTIFS($K$4:$K138,"Yes"),"")</f>
        <v/>
      </c>
      <c r="Q138">
        <f t="shared" ca="1" si="11"/>
        <v>0</v>
      </c>
      <c r="R138" t="str">
        <f ca="1">IF($Q138=1,SUM($Q$4:$Q138),"")</f>
        <v/>
      </c>
    </row>
    <row r="139" spans="1:18" ht="22.5" hidden="1" customHeight="1" x14ac:dyDescent="0.3">
      <c r="A139" s="2" t="s">
        <v>449</v>
      </c>
      <c r="B139" s="2" t="s">
        <v>62</v>
      </c>
      <c r="C139" s="3" t="s">
        <v>450</v>
      </c>
      <c r="D139" s="3" t="s">
        <v>35</v>
      </c>
      <c r="E139" s="2" t="s">
        <v>426</v>
      </c>
      <c r="F139" s="2"/>
      <c r="G139" s="5">
        <v>46212</v>
      </c>
      <c r="H139" s="5">
        <v>46256</v>
      </c>
      <c r="I139" s="4" t="s">
        <v>17</v>
      </c>
      <c r="J139" s="6">
        <f t="shared" si="9"/>
        <v>44</v>
      </c>
      <c r="K139" s="4" t="str">
        <f t="shared" ca="1" si="10"/>
        <v>No</v>
      </c>
      <c r="L139" s="7">
        <f t="shared" ca="1" si="12"/>
        <v>48</v>
      </c>
      <c r="M139" s="4" t="str">
        <f>IF($I139="Complete","Green",IF($H139="","Amber",IF($H139&lt;'[2]Read Me'!$B$4,"Red",IF($H139-'[2]Read Me'!$B$4&lt;=21,"Amber","Green"))))</f>
        <v>Green</v>
      </c>
      <c r="N139" s="3"/>
      <c r="O139" t="str">
        <f>IF($I139&lt;&gt;"Complete",IF(COUNTIFS($A$4:$A138,$A139,$B$4:$B138,$B139,$I$4:$I138,"&lt;&gt;Complete")=0,$A139&amp;"|"&amp;$B139,""),"")</f>
        <v/>
      </c>
      <c r="P139" t="str">
        <f ca="1">IF($K139="Yes",COUNTIFS($K$4:$K139,"Yes"),"")</f>
        <v/>
      </c>
      <c r="Q139">
        <f t="shared" ca="1" si="11"/>
        <v>0</v>
      </c>
      <c r="R139" t="str">
        <f ca="1">IF($Q139=1,SUM($Q$4:$Q139),"")</f>
        <v/>
      </c>
    </row>
    <row r="140" spans="1:18" ht="22.5" hidden="1" customHeight="1" x14ac:dyDescent="0.3">
      <c r="A140" s="2" t="s">
        <v>449</v>
      </c>
      <c r="B140" s="2" t="s">
        <v>62</v>
      </c>
      <c r="C140" s="3" t="s">
        <v>450</v>
      </c>
      <c r="D140" s="3" t="s">
        <v>452</v>
      </c>
      <c r="E140" s="2" t="s">
        <v>426</v>
      </c>
      <c r="F140" s="2" t="s">
        <v>453</v>
      </c>
      <c r="G140" s="5">
        <v>46205</v>
      </c>
      <c r="H140" s="5">
        <v>46249</v>
      </c>
      <c r="I140" s="4" t="s">
        <v>17</v>
      </c>
      <c r="J140" s="6">
        <f t="shared" si="9"/>
        <v>44</v>
      </c>
      <c r="K140" s="4" t="str">
        <f t="shared" ca="1" si="10"/>
        <v>No</v>
      </c>
      <c r="L140" s="7">
        <f t="shared" ca="1" si="12"/>
        <v>41</v>
      </c>
      <c r="M140" s="4" t="str">
        <f>IF($I140="Complete","Green",IF($H140="","Amber",IF($H140&lt;'[2]Read Me'!$B$4,"Red",IF($H140-'[2]Read Me'!$B$4&lt;=21,"Amber","Green"))))</f>
        <v>Green</v>
      </c>
      <c r="N140" s="3"/>
      <c r="O140" t="str">
        <f>IF($I140&lt;&gt;"Complete",IF(COUNTIFS($A$4:$A139,$A140,$B$4:$B139,$B140,$I$4:$I139,"&lt;&gt;Complete")=0,$A140&amp;"|"&amp;$B140,""),"")</f>
        <v/>
      </c>
      <c r="P140" t="str">
        <f ca="1">IF($K140="Yes",COUNTIFS($K$4:$K140,"Yes"),"")</f>
        <v/>
      </c>
      <c r="Q140">
        <f t="shared" ca="1" si="11"/>
        <v>0</v>
      </c>
      <c r="R140" t="str">
        <f ca="1">IF($Q140=1,SUM($Q$4:$Q140),"")</f>
        <v/>
      </c>
    </row>
    <row r="141" spans="1:18" ht="22.5" hidden="1" customHeight="1" x14ac:dyDescent="0.3">
      <c r="A141" s="2" t="s">
        <v>449</v>
      </c>
      <c r="B141" s="2" t="s">
        <v>62</v>
      </c>
      <c r="C141" s="3" t="s">
        <v>450</v>
      </c>
      <c r="D141" s="3" t="s">
        <v>16</v>
      </c>
      <c r="E141" s="2" t="s">
        <v>426</v>
      </c>
      <c r="F141" s="2" t="s">
        <v>197</v>
      </c>
      <c r="G141" s="5">
        <v>46226</v>
      </c>
      <c r="H141" s="5">
        <v>46270</v>
      </c>
      <c r="I141" s="4" t="s">
        <v>17</v>
      </c>
      <c r="J141" s="6">
        <f t="shared" si="9"/>
        <v>44</v>
      </c>
      <c r="K141" s="4" t="str">
        <f t="shared" ca="1" si="10"/>
        <v>No</v>
      </c>
      <c r="L141" s="7">
        <f t="shared" ca="1" si="12"/>
        <v>62</v>
      </c>
      <c r="M141" s="4" t="str">
        <f>IF($I141="Complete","Green",IF($H141="","Amber",IF($H141&lt;'[2]Read Me'!$B$4,"Red",IF($H141-'[2]Read Me'!$B$4&lt;=21,"Amber","Green"))))</f>
        <v>Green</v>
      </c>
      <c r="N141" s="3"/>
      <c r="O141" t="str">
        <f>IF($I141&lt;&gt;"Complete",IF(COUNTIFS($A$4:$A140,$A141,$B$4:$B140,$B141,$I$4:$I140,"&lt;&gt;Complete")=0,$A141&amp;"|"&amp;$B141,""),"")</f>
        <v/>
      </c>
      <c r="P141" t="str">
        <f ca="1">IF($K141="Yes",COUNTIFS($K$4:$K141,"Yes"),"")</f>
        <v/>
      </c>
      <c r="Q141">
        <f t="shared" ca="1" si="11"/>
        <v>0</v>
      </c>
      <c r="R141" t="str">
        <f ca="1">IF($Q141=1,SUM($Q$4:$Q141),"")</f>
        <v/>
      </c>
    </row>
    <row r="142" spans="1:18" ht="22.5" hidden="1" customHeight="1" x14ac:dyDescent="0.3">
      <c r="A142" s="2" t="s">
        <v>449</v>
      </c>
      <c r="B142" s="2" t="s">
        <v>62</v>
      </c>
      <c r="C142" s="3" t="s">
        <v>450</v>
      </c>
      <c r="D142" s="3" t="s">
        <v>37</v>
      </c>
      <c r="E142" s="2" t="s">
        <v>426</v>
      </c>
      <c r="F142" s="2"/>
      <c r="G142" s="5">
        <v>46240</v>
      </c>
      <c r="H142" s="5">
        <v>46284</v>
      </c>
      <c r="I142" s="4" t="s">
        <v>17</v>
      </c>
      <c r="J142" s="6">
        <f t="shared" si="9"/>
        <v>44</v>
      </c>
      <c r="K142" s="4" t="str">
        <f t="shared" ca="1" si="10"/>
        <v>No</v>
      </c>
      <c r="L142" s="7">
        <f t="shared" ca="1" si="12"/>
        <v>76</v>
      </c>
      <c r="M142" s="4" t="str">
        <f>IF($I142="Complete","Green",IF($H142="","Amber",IF($H142&lt;'[2]Read Me'!$B$4,"Red",IF($H142-'[2]Read Me'!$B$4&lt;=21,"Amber","Green"))))</f>
        <v>Green</v>
      </c>
      <c r="N142" s="3"/>
      <c r="O142" t="str">
        <f>IF($I142&lt;&gt;"Complete",IF(COUNTIFS($A$4:$A141,$A142,$B$4:$B141,$B142,$I$4:$I141,"&lt;&gt;Complete")=0,$A142&amp;"|"&amp;$B142,""),"")</f>
        <v/>
      </c>
      <c r="P142" t="str">
        <f ca="1">IF($K142="Yes",COUNTIFS($K$4:$K142,"Yes"),"")</f>
        <v/>
      </c>
      <c r="Q142">
        <f t="shared" ca="1" si="11"/>
        <v>0</v>
      </c>
      <c r="R142" t="str">
        <f ca="1">IF($Q142=1,SUM($Q$4:$Q142),"")</f>
        <v/>
      </c>
    </row>
    <row r="143" spans="1:18" ht="22.5" hidden="1" customHeight="1" x14ac:dyDescent="0.3">
      <c r="A143" s="2" t="s">
        <v>449</v>
      </c>
      <c r="B143" s="2" t="s">
        <v>62</v>
      </c>
      <c r="C143" s="3" t="s">
        <v>450</v>
      </c>
      <c r="D143" s="3" t="s">
        <v>454</v>
      </c>
      <c r="E143" s="2" t="s">
        <v>426</v>
      </c>
      <c r="F143" s="2" t="s">
        <v>453</v>
      </c>
      <c r="G143" s="5">
        <v>46233</v>
      </c>
      <c r="H143" s="5">
        <v>46277</v>
      </c>
      <c r="I143" s="4" t="s">
        <v>17</v>
      </c>
      <c r="J143" s="6">
        <f t="shared" si="9"/>
        <v>44</v>
      </c>
      <c r="K143" s="4" t="str">
        <f t="shared" ca="1" si="10"/>
        <v>No</v>
      </c>
      <c r="L143" s="7">
        <f t="shared" ca="1" si="12"/>
        <v>69</v>
      </c>
      <c r="M143" s="4" t="str">
        <f>IF($I143="Complete","Green",IF($H143="","Amber",IF($H143&lt;'[2]Read Me'!$B$4,"Red",IF($H143-'[2]Read Me'!$B$4&lt;=21,"Amber","Green"))))</f>
        <v>Green</v>
      </c>
      <c r="N143" s="3"/>
      <c r="O143" t="str">
        <f>IF($I143&lt;&gt;"Complete",IF(COUNTIFS($A$4:$A142,$A143,$B$4:$B142,$B143,$I$4:$I142,"&lt;&gt;Complete")=0,$A143&amp;"|"&amp;$B143,""),"")</f>
        <v/>
      </c>
      <c r="P143" t="str">
        <f ca="1">IF($K143="Yes",COUNTIFS($K$4:$K143,"Yes"),"")</f>
        <v/>
      </c>
      <c r="Q143">
        <f t="shared" ca="1" si="11"/>
        <v>0</v>
      </c>
      <c r="R143" t="str">
        <f ca="1">IF($Q143=1,SUM($Q$4:$Q143),"")</f>
        <v/>
      </c>
    </row>
    <row r="144" spans="1:18" ht="22.5" hidden="1" customHeight="1" x14ac:dyDescent="0.3">
      <c r="A144" s="2" t="s">
        <v>449</v>
      </c>
      <c r="B144" s="2" t="s">
        <v>62</v>
      </c>
      <c r="C144" s="3" t="s">
        <v>450</v>
      </c>
      <c r="D144" s="3" t="s">
        <v>83</v>
      </c>
      <c r="E144" s="2" t="s">
        <v>426</v>
      </c>
      <c r="F144" s="2" t="s">
        <v>197</v>
      </c>
      <c r="G144" s="5">
        <v>46226</v>
      </c>
      <c r="H144" s="5">
        <v>46270</v>
      </c>
      <c r="I144" s="4" t="s">
        <v>17</v>
      </c>
      <c r="J144" s="6">
        <f t="shared" si="9"/>
        <v>44</v>
      </c>
      <c r="K144" s="4" t="str">
        <f t="shared" ca="1" si="10"/>
        <v>No</v>
      </c>
      <c r="L144" s="7">
        <f t="shared" ca="1" si="12"/>
        <v>62</v>
      </c>
      <c r="M144" s="4" t="str">
        <f>IF($I144="Complete","Green",IF($H144="","Amber",IF($H144&lt;'[2]Read Me'!$B$4,"Red",IF($H144-'[2]Read Me'!$B$4&lt;=21,"Amber","Green"))))</f>
        <v>Green</v>
      </c>
      <c r="N144" s="3"/>
      <c r="O144" t="str">
        <f>IF($I144&lt;&gt;"Complete",IF(COUNTIFS($A$4:$A143,$A144,$B$4:$B143,$B144,$I$4:$I143,"&lt;&gt;Complete")=0,$A144&amp;"|"&amp;$B144,""),"")</f>
        <v/>
      </c>
      <c r="P144" t="str">
        <f ca="1">IF($K144="Yes",COUNTIFS($K$4:$K144,"Yes"),"")</f>
        <v/>
      </c>
      <c r="Q144">
        <f t="shared" ca="1" si="11"/>
        <v>0</v>
      </c>
      <c r="R144" t="str">
        <f ca="1">IF($Q144=1,SUM($Q$4:$Q144),"")</f>
        <v/>
      </c>
    </row>
    <row r="145" spans="1:18" ht="22.5" hidden="1" customHeight="1" x14ac:dyDescent="0.3">
      <c r="A145" s="2" t="s">
        <v>449</v>
      </c>
      <c r="B145" s="2" t="s">
        <v>62</v>
      </c>
      <c r="C145" s="3" t="s">
        <v>450</v>
      </c>
      <c r="D145" s="3" t="s">
        <v>84</v>
      </c>
      <c r="E145" s="2" t="s">
        <v>426</v>
      </c>
      <c r="F145" s="2"/>
      <c r="G145" s="5">
        <v>46240</v>
      </c>
      <c r="H145" s="5">
        <v>46284</v>
      </c>
      <c r="I145" s="4" t="s">
        <v>17</v>
      </c>
      <c r="J145" s="6">
        <f t="shared" si="9"/>
        <v>44</v>
      </c>
      <c r="K145" s="4" t="str">
        <f t="shared" ca="1" si="10"/>
        <v>No</v>
      </c>
      <c r="L145" s="7">
        <f t="shared" ca="1" si="12"/>
        <v>76</v>
      </c>
      <c r="M145" s="4" t="str">
        <f>IF($I145="Complete","Green",IF($H145="","Amber",IF($H145&lt;'[2]Read Me'!$B$4,"Red",IF($H145-'[2]Read Me'!$B$4&lt;=21,"Amber","Green"))))</f>
        <v>Green</v>
      </c>
      <c r="N145" s="3"/>
      <c r="O145" t="str">
        <f>IF($I145&lt;&gt;"Complete",IF(COUNTIFS($A$4:$A144,$A145,$B$4:$B144,$B145,$I$4:$I144,"&lt;&gt;Complete")=0,$A145&amp;"|"&amp;$B145,""),"")</f>
        <v/>
      </c>
      <c r="P145" t="str">
        <f ca="1">IF($K145="Yes",COUNTIFS($K$4:$K145,"Yes"),"")</f>
        <v/>
      </c>
      <c r="Q145">
        <f t="shared" ca="1" si="11"/>
        <v>0</v>
      </c>
      <c r="R145" t="str">
        <f ca="1">IF($Q145=1,SUM($Q$4:$Q145),"")</f>
        <v/>
      </c>
    </row>
    <row r="146" spans="1:18" ht="22.5" hidden="1" customHeight="1" x14ac:dyDescent="0.3">
      <c r="A146" s="2" t="s">
        <v>449</v>
      </c>
      <c r="B146" s="2" t="s">
        <v>49</v>
      </c>
      <c r="C146" s="3"/>
      <c r="D146" s="3"/>
      <c r="E146" s="2"/>
      <c r="F146" s="2"/>
      <c r="G146" s="5">
        <v>46511</v>
      </c>
      <c r="H146" s="5">
        <v>46511</v>
      </c>
      <c r="I146" s="4"/>
      <c r="J146" s="6">
        <f t="shared" si="9"/>
        <v>0</v>
      </c>
      <c r="K146" s="4" t="str">
        <f t="shared" ca="1" si="10"/>
        <v/>
      </c>
      <c r="L146" s="7">
        <f t="shared" ca="1" si="12"/>
        <v>303</v>
      </c>
      <c r="M146" s="4" t="str">
        <f>IF($I146="Complete","Green",IF($H146="","Amber",IF($H146&lt;'[2]Read Me'!$B$4,"Red",IF($H146-'[2]Read Me'!$B$4&lt;=21,"Amber","Green"))))</f>
        <v>Green</v>
      </c>
      <c r="N146" s="3"/>
      <c r="O146" t="str">
        <f>IF($I146&lt;&gt;"Complete",IF(COUNTIFS($A$4:$A145,$A146,$B$4:$B145,$B146,$I$4:$I145,"&lt;&gt;Complete")=0,$A146&amp;"|"&amp;$B146,""),"")</f>
        <v>FM Building|Authorities</v>
      </c>
      <c r="P146" t="str">
        <f ca="1">IF($K146="Yes",COUNTIFS($K$4:$K146,"Yes"),"")</f>
        <v/>
      </c>
      <c r="Q146">
        <f t="shared" ca="1" si="11"/>
        <v>0</v>
      </c>
      <c r="R146" t="str">
        <f ca="1">IF($Q146=1,SUM($Q$4:$Q146),"")</f>
        <v/>
      </c>
    </row>
    <row r="147" spans="1:18" ht="22.5" hidden="1" customHeight="1" x14ac:dyDescent="0.3">
      <c r="A147" s="2" t="s">
        <v>449</v>
      </c>
      <c r="B147" s="2" t="s">
        <v>49</v>
      </c>
      <c r="C147" s="3" t="s">
        <v>455</v>
      </c>
      <c r="D147" s="3" t="s">
        <v>456</v>
      </c>
      <c r="E147" s="2" t="s">
        <v>104</v>
      </c>
      <c r="F147" s="2"/>
      <c r="G147" s="5">
        <v>46273</v>
      </c>
      <c r="H147" s="5">
        <v>46273</v>
      </c>
      <c r="I147" s="4" t="s">
        <v>17</v>
      </c>
      <c r="J147" s="6">
        <f t="shared" si="9"/>
        <v>0</v>
      </c>
      <c r="K147" s="4" t="str">
        <f t="shared" ca="1" si="10"/>
        <v>No</v>
      </c>
      <c r="L147" s="7">
        <f t="shared" ca="1" si="12"/>
        <v>65</v>
      </c>
      <c r="M147" s="4" t="str">
        <f>IF($I147="Complete","Green",IF($H147="","Amber",IF($H147&lt;'[2]Read Me'!$B$4,"Red",IF($H147-'[2]Read Me'!$B$4&lt;=21,"Amber","Green"))))</f>
        <v>Green</v>
      </c>
      <c r="N147" s="3"/>
      <c r="O147" t="str">
        <f>IF($I147&lt;&gt;"Complete",IF(COUNTIFS($A$4:$A146,$A147,$B$4:$B146,$B147,$I$4:$I146,"&lt;&gt;Complete")=0,$A147&amp;"|"&amp;$B147,""),"")</f>
        <v/>
      </c>
      <c r="P147" t="str">
        <f ca="1">IF($K147="Yes",COUNTIFS($K$4:$K147,"Yes"),"")</f>
        <v/>
      </c>
      <c r="Q147">
        <f t="shared" ca="1" si="11"/>
        <v>0</v>
      </c>
      <c r="R147" t="str">
        <f ca="1">IF($Q147=1,SUM($Q$4:$Q147),"")</f>
        <v/>
      </c>
    </row>
    <row r="148" spans="1:18" ht="22.5" hidden="1" customHeight="1" x14ac:dyDescent="0.3">
      <c r="A148" s="2" t="s">
        <v>449</v>
      </c>
      <c r="B148" s="2" t="s">
        <v>49</v>
      </c>
      <c r="C148" s="3" t="s">
        <v>455</v>
      </c>
      <c r="D148" s="3" t="s">
        <v>103</v>
      </c>
      <c r="E148" s="2" t="s">
        <v>104</v>
      </c>
      <c r="F148" s="2"/>
      <c r="G148" s="5">
        <v>46357</v>
      </c>
      <c r="H148" s="5">
        <v>46357</v>
      </c>
      <c r="I148" s="4" t="s">
        <v>17</v>
      </c>
      <c r="J148" s="6">
        <f t="shared" si="9"/>
        <v>0</v>
      </c>
      <c r="K148" s="4" t="str">
        <f t="shared" ca="1" si="10"/>
        <v>No</v>
      </c>
      <c r="L148" s="7">
        <f t="shared" ca="1" si="12"/>
        <v>149</v>
      </c>
      <c r="M148" s="4" t="str">
        <f>IF($I148="Complete","Green",IF($H148="","Amber",IF($H148&lt;'[2]Read Me'!$B$4,"Red",IF($H148-'[2]Read Me'!$B$4&lt;=21,"Amber","Green"))))</f>
        <v>Green</v>
      </c>
      <c r="N148" s="3"/>
      <c r="O148" t="str">
        <f>IF($I148&lt;&gt;"Complete",IF(COUNTIFS($A$4:$A147,$A148,$B$4:$B147,$B148,$I$4:$I147,"&lt;&gt;Complete")=0,$A148&amp;"|"&amp;$B148,""),"")</f>
        <v/>
      </c>
      <c r="P148" t="str">
        <f ca="1">IF($K148="Yes",COUNTIFS($K$4:$K148,"Yes"),"")</f>
        <v/>
      </c>
      <c r="Q148">
        <f t="shared" ca="1" si="11"/>
        <v>0</v>
      </c>
      <c r="R148" t="str">
        <f ca="1">IF($Q148=1,SUM($Q$4:$Q148),"")</f>
        <v/>
      </c>
    </row>
    <row r="149" spans="1:18" ht="22.5" hidden="1" customHeight="1" x14ac:dyDescent="0.3">
      <c r="A149" s="2" t="s">
        <v>449</v>
      </c>
      <c r="B149" s="2" t="s">
        <v>49</v>
      </c>
      <c r="C149" s="3" t="s">
        <v>455</v>
      </c>
      <c r="D149" s="3" t="s">
        <v>288</v>
      </c>
      <c r="E149" s="2" t="s">
        <v>104</v>
      </c>
      <c r="F149" s="2"/>
      <c r="G149" s="5">
        <v>46399</v>
      </c>
      <c r="H149" s="5">
        <v>46399</v>
      </c>
      <c r="I149" s="4" t="s">
        <v>17</v>
      </c>
      <c r="J149" s="6">
        <f t="shared" si="9"/>
        <v>0</v>
      </c>
      <c r="K149" s="4" t="str">
        <f t="shared" ca="1" si="10"/>
        <v>No</v>
      </c>
      <c r="L149" s="7">
        <f t="shared" ca="1" si="12"/>
        <v>191</v>
      </c>
      <c r="M149" s="4" t="str">
        <f>IF($I149="Complete","Green",IF($H149="","Amber",IF($H149&lt;'[2]Read Me'!$B$4,"Red",IF($H149-'[2]Read Me'!$B$4&lt;=21,"Amber","Green"))))</f>
        <v>Green</v>
      </c>
      <c r="N149" s="3"/>
      <c r="O149" t="str">
        <f>IF($I149&lt;&gt;"Complete",IF(COUNTIFS($A$4:$A148,$A149,$B$4:$B148,$B149,$I$4:$I148,"&lt;&gt;Complete")=0,$A149&amp;"|"&amp;$B149,""),"")</f>
        <v/>
      </c>
      <c r="P149" t="str">
        <f ca="1">IF($K149="Yes",COUNTIFS($K$4:$K149,"Yes"),"")</f>
        <v/>
      </c>
      <c r="Q149">
        <f t="shared" ca="1" si="11"/>
        <v>0</v>
      </c>
      <c r="R149" t="str">
        <f ca="1">IF($Q149=1,SUM($Q$4:$Q149),"")</f>
        <v/>
      </c>
    </row>
    <row r="150" spans="1:18" ht="22.5" hidden="1" customHeight="1" x14ac:dyDescent="0.3">
      <c r="A150" s="2" t="s">
        <v>449</v>
      </c>
      <c r="B150" s="2" t="s">
        <v>49</v>
      </c>
      <c r="C150" s="3" t="s">
        <v>455</v>
      </c>
      <c r="D150" s="3" t="s">
        <v>51</v>
      </c>
      <c r="E150" s="2" t="s">
        <v>104</v>
      </c>
      <c r="F150" s="2"/>
      <c r="G150" s="5">
        <v>46441</v>
      </c>
      <c r="H150" s="5">
        <v>46441</v>
      </c>
      <c r="I150" s="4" t="s">
        <v>17</v>
      </c>
      <c r="J150" s="6">
        <f t="shared" si="9"/>
        <v>0</v>
      </c>
      <c r="K150" s="4" t="str">
        <f t="shared" ca="1" si="10"/>
        <v>No</v>
      </c>
      <c r="L150" s="7">
        <f t="shared" ca="1" si="12"/>
        <v>233</v>
      </c>
      <c r="M150" s="4" t="str">
        <f>IF($I150="Complete","Green",IF($H150="","Amber",IF($H150&lt;'[2]Read Me'!$B$4,"Red",IF($H150-'[2]Read Me'!$B$4&lt;=21,"Amber","Green"))))</f>
        <v>Green</v>
      </c>
      <c r="N150" s="3"/>
      <c r="O150" t="str">
        <f>IF($I150&lt;&gt;"Complete",IF(COUNTIFS($A$4:$A149,$A150,$B$4:$B149,$B150,$I$4:$I149,"&lt;&gt;Complete")=0,$A150&amp;"|"&amp;$B150,""),"")</f>
        <v/>
      </c>
      <c r="P150" t="str">
        <f ca="1">IF($K150="Yes",COUNTIFS($K$4:$K150,"Yes"),"")</f>
        <v/>
      </c>
      <c r="Q150">
        <f t="shared" ca="1" si="11"/>
        <v>0</v>
      </c>
      <c r="R150" t="str">
        <f ca="1">IF($Q150=1,SUM($Q$4:$Q150),"")</f>
        <v/>
      </c>
    </row>
    <row r="151" spans="1:18" ht="22.5" hidden="1" customHeight="1" x14ac:dyDescent="0.3">
      <c r="A151" s="2" t="s">
        <v>449</v>
      </c>
      <c r="B151" s="2" t="s">
        <v>49</v>
      </c>
      <c r="C151" s="3" t="s">
        <v>455</v>
      </c>
      <c r="D151" s="3" t="s">
        <v>413</v>
      </c>
      <c r="E151" s="2" t="s">
        <v>104</v>
      </c>
      <c r="F151" s="2"/>
      <c r="G151" s="5">
        <v>46511</v>
      </c>
      <c r="H151" s="5">
        <v>46511</v>
      </c>
      <c r="I151" s="4" t="s">
        <v>17</v>
      </c>
      <c r="J151" s="6">
        <f t="shared" si="9"/>
        <v>0</v>
      </c>
      <c r="K151" s="4" t="str">
        <f t="shared" ca="1" si="10"/>
        <v>No</v>
      </c>
      <c r="L151" s="7">
        <f t="shared" ca="1" si="12"/>
        <v>303</v>
      </c>
      <c r="M151" s="4" t="str">
        <f>IF($I151="Complete","Green",IF($H151="","Amber",IF($H151&lt;'[2]Read Me'!$B$4,"Red",IF($H151-'[2]Read Me'!$B$4&lt;=21,"Amber","Green"))))</f>
        <v>Green</v>
      </c>
      <c r="N151" s="3"/>
      <c r="O151" t="str">
        <f>IF($I151&lt;&gt;"Complete",IF(COUNTIFS($A$4:$A150,$A151,$B$4:$B150,$B151,$I$4:$I150,"&lt;&gt;Complete")=0,$A151&amp;"|"&amp;$B151,""),"")</f>
        <v/>
      </c>
      <c r="P151" t="str">
        <f ca="1">IF($K151="Yes",COUNTIFS($K$4:$K151,"Yes"),"")</f>
        <v/>
      </c>
      <c r="Q151">
        <f t="shared" ca="1" si="11"/>
        <v>0</v>
      </c>
      <c r="R151" t="str">
        <f ca="1">IF($Q151=1,SUM($Q$4:$Q151),"")</f>
        <v/>
      </c>
    </row>
    <row r="152" spans="1:18" ht="22.5" hidden="1" customHeight="1" x14ac:dyDescent="0.3">
      <c r="A152" s="2" t="s">
        <v>449</v>
      </c>
      <c r="B152" s="2" t="s">
        <v>41</v>
      </c>
      <c r="C152" s="3"/>
      <c r="D152" s="3"/>
      <c r="E152" s="2"/>
      <c r="F152" s="2"/>
      <c r="G152" s="5">
        <v>46184</v>
      </c>
      <c r="H152" s="5">
        <v>46264</v>
      </c>
      <c r="I152" s="4"/>
      <c r="J152" s="6">
        <f t="shared" si="9"/>
        <v>80</v>
      </c>
      <c r="K152" s="4" t="str">
        <f t="shared" ca="1" si="10"/>
        <v/>
      </c>
      <c r="L152" s="7">
        <f t="shared" ca="1" si="12"/>
        <v>56</v>
      </c>
      <c r="M152" s="4" t="str">
        <f>IF($I152="Complete","Green",IF($H152="","Amber",IF($H152&lt;'[2]Read Me'!$B$4,"Red",IF($H152-'[2]Read Me'!$B$4&lt;=21,"Amber","Green"))))</f>
        <v>Green</v>
      </c>
      <c r="N152" s="3"/>
      <c r="O152" t="str">
        <f>IF($I152&lt;&gt;"Complete",IF(COUNTIFS($A$4:$A151,$A152,$B$4:$B151,$B152,$I$4:$I151,"&lt;&gt;Complete")=0,$A152&amp;"|"&amp;$B152,""),"")</f>
        <v>FM Building|Fit-out</v>
      </c>
      <c r="P152" t="str">
        <f ca="1">IF($K152="Yes",COUNTIFS($K$4:$K152,"Yes"),"")</f>
        <v/>
      </c>
      <c r="Q152">
        <f t="shared" ca="1" si="11"/>
        <v>0</v>
      </c>
      <c r="R152" t="str">
        <f ca="1">IF($Q152=1,SUM($Q$4:$Q152),"")</f>
        <v/>
      </c>
    </row>
    <row r="153" spans="1:18" ht="22.5" hidden="1" customHeight="1" x14ac:dyDescent="0.3">
      <c r="A153" s="2" t="s">
        <v>449</v>
      </c>
      <c r="B153" s="2" t="s">
        <v>41</v>
      </c>
      <c r="C153" s="3" t="s">
        <v>457</v>
      </c>
      <c r="D153" s="3" t="s">
        <v>458</v>
      </c>
      <c r="E153" s="2" t="s">
        <v>426</v>
      </c>
      <c r="F153" s="2"/>
      <c r="G153" s="5">
        <v>46114</v>
      </c>
      <c r="H153" s="5">
        <v>46194</v>
      </c>
      <c r="I153" s="4" t="s">
        <v>31</v>
      </c>
      <c r="J153" s="6">
        <f t="shared" si="9"/>
        <v>80</v>
      </c>
      <c r="K153" s="4" t="str">
        <f t="shared" ca="1" si="10"/>
        <v>-</v>
      </c>
      <c r="L153" s="7">
        <f t="shared" ca="1" si="12"/>
        <v>0</v>
      </c>
      <c r="M153" s="4" t="str">
        <f>IF($I153="Complete","Green",IF($H153="","Amber",IF($H153&lt;'[2]Read Me'!$B$4,"Red",IF($H153-'[2]Read Me'!$B$4&lt;=21,"Amber","Green"))))</f>
        <v>Amber</v>
      </c>
      <c r="N153" s="3"/>
      <c r="O153" t="str">
        <f>IF($I153&lt;&gt;"Complete",IF(COUNTIFS($A$4:$A152,$A153,$B$4:$B152,$B153,$I$4:$I152,"&lt;&gt;Complete")=0,$A153&amp;"|"&amp;$B153,""),"")</f>
        <v/>
      </c>
      <c r="P153" t="str">
        <f ca="1">IF($K153="Yes",COUNTIFS($K$4:$K153,"Yes"),"")</f>
        <v/>
      </c>
      <c r="Q153">
        <f t="shared" ca="1" si="11"/>
        <v>0</v>
      </c>
      <c r="R153" t="str">
        <f ca="1">IF($Q153=1,SUM($Q$4:$Q153),"")</f>
        <v/>
      </c>
    </row>
    <row r="154" spans="1:18" ht="22.5" hidden="1" customHeight="1" x14ac:dyDescent="0.3">
      <c r="A154" s="2" t="s">
        <v>449</v>
      </c>
      <c r="B154" s="2" t="s">
        <v>41</v>
      </c>
      <c r="C154" s="3" t="s">
        <v>457</v>
      </c>
      <c r="D154" s="3" t="s">
        <v>98</v>
      </c>
      <c r="E154" s="2" t="s">
        <v>426</v>
      </c>
      <c r="F154" s="2" t="s">
        <v>453</v>
      </c>
      <c r="G154" s="5">
        <v>46141</v>
      </c>
      <c r="H154" s="5">
        <v>46221</v>
      </c>
      <c r="I154" s="4" t="s">
        <v>46</v>
      </c>
      <c r="J154" s="6">
        <f t="shared" si="9"/>
        <v>80</v>
      </c>
      <c r="K154" s="4" t="str">
        <f t="shared" ca="1" si="10"/>
        <v>No</v>
      </c>
      <c r="L154" s="7">
        <f t="shared" ca="1" si="12"/>
        <v>13</v>
      </c>
      <c r="M154" s="4" t="str">
        <f>IF($I154="Complete","Green",IF($H154="","Amber",IF($H154&lt;'[2]Read Me'!$B$4,"Red",IF($H154-'[2]Read Me'!$B$4&lt;=21,"Amber","Green"))))</f>
        <v>Green</v>
      </c>
      <c r="N154" s="3"/>
      <c r="O154" t="str">
        <f>IF($I154&lt;&gt;"Complete",IF(COUNTIFS($A$4:$A153,$A154,$B$4:$B153,$B154,$I$4:$I153,"&lt;&gt;Complete")=0,$A154&amp;"|"&amp;$B154,""),"")</f>
        <v/>
      </c>
      <c r="P154" t="str">
        <f ca="1">IF($K154="Yes",COUNTIFS($K$4:$K154,"Yes"),"")</f>
        <v/>
      </c>
      <c r="Q154">
        <f t="shared" ca="1" si="11"/>
        <v>0</v>
      </c>
      <c r="R154" t="str">
        <f ca="1">IF($Q154=1,SUM($Q$4:$Q154),"")</f>
        <v/>
      </c>
    </row>
    <row r="155" spans="1:18" ht="22.5" hidden="1" customHeight="1" x14ac:dyDescent="0.3">
      <c r="A155" s="2" t="s">
        <v>449</v>
      </c>
      <c r="B155" s="2" t="s">
        <v>41</v>
      </c>
      <c r="C155" s="3" t="s">
        <v>457</v>
      </c>
      <c r="D155" s="3" t="s">
        <v>47</v>
      </c>
      <c r="E155" s="2" t="s">
        <v>426</v>
      </c>
      <c r="F155" s="2"/>
      <c r="G155" s="5">
        <v>46148</v>
      </c>
      <c r="H155" s="5">
        <v>46228</v>
      </c>
      <c r="I155" s="4" t="s">
        <v>17</v>
      </c>
      <c r="J155" s="6">
        <f t="shared" si="9"/>
        <v>80</v>
      </c>
      <c r="K155" s="4" t="str">
        <f t="shared" ca="1" si="10"/>
        <v>No</v>
      </c>
      <c r="L155" s="7">
        <f t="shared" ca="1" si="12"/>
        <v>20</v>
      </c>
      <c r="M155" s="4" t="str">
        <f>IF($I155="Complete","Green",IF($H155="","Amber",IF($H155&lt;'[2]Read Me'!$B$4,"Red",IF($H155-'[2]Read Me'!$B$4&lt;=21,"Amber","Green"))))</f>
        <v>Green</v>
      </c>
      <c r="N155" s="3"/>
      <c r="O155" t="str">
        <f>IF($I155&lt;&gt;"Complete",IF(COUNTIFS($A$4:$A154,$A155,$B$4:$B154,$B155,$I$4:$I154,"&lt;&gt;Complete")=0,$A155&amp;"|"&amp;$B155,""),"")</f>
        <v/>
      </c>
      <c r="P155" t="str">
        <f ca="1">IF($K155="Yes",COUNTIFS($K$4:$K155,"Yes"),"")</f>
        <v/>
      </c>
      <c r="Q155">
        <f t="shared" ca="1" si="11"/>
        <v>0</v>
      </c>
      <c r="R155" t="str">
        <f ca="1">IF($Q155=1,SUM($Q$4:$Q155),"")</f>
        <v/>
      </c>
    </row>
    <row r="156" spans="1:18" ht="22.5" hidden="1" customHeight="1" x14ac:dyDescent="0.3">
      <c r="A156" s="2" t="s">
        <v>449</v>
      </c>
      <c r="B156" s="2" t="s">
        <v>41</v>
      </c>
      <c r="C156" s="3" t="s">
        <v>457</v>
      </c>
      <c r="D156" s="3" t="s">
        <v>18</v>
      </c>
      <c r="E156" s="2" t="s">
        <v>426</v>
      </c>
      <c r="F156" s="2" t="s">
        <v>453</v>
      </c>
      <c r="G156" s="5">
        <v>46177</v>
      </c>
      <c r="H156" s="5">
        <v>46257</v>
      </c>
      <c r="I156" s="4" t="s">
        <v>17</v>
      </c>
      <c r="J156" s="6">
        <f t="shared" si="9"/>
        <v>80</v>
      </c>
      <c r="K156" s="4" t="str">
        <f t="shared" ca="1" si="10"/>
        <v>No</v>
      </c>
      <c r="L156" s="7">
        <f t="shared" ca="1" si="12"/>
        <v>49</v>
      </c>
      <c r="M156" s="4" t="str">
        <f>IF($I156="Complete","Green",IF($H156="","Amber",IF($H156&lt;'[2]Read Me'!$B$4,"Red",IF($H156-'[2]Read Me'!$B$4&lt;=21,"Amber","Green"))))</f>
        <v>Green</v>
      </c>
      <c r="N156" s="3"/>
      <c r="O156" t="str">
        <f>IF($I156&lt;&gt;"Complete",IF(COUNTIFS($A$4:$A155,$A156,$B$4:$B155,$B156,$I$4:$I155,"&lt;&gt;Complete")=0,$A156&amp;"|"&amp;$B156,""),"")</f>
        <v/>
      </c>
      <c r="P156" t="str">
        <f ca="1">IF($K156="Yes",COUNTIFS($K$4:$K156,"Yes"),"")</f>
        <v/>
      </c>
      <c r="Q156">
        <f t="shared" ca="1" si="11"/>
        <v>0</v>
      </c>
      <c r="R156" t="str">
        <f ca="1">IF($Q156=1,SUM($Q$4:$Q156),"")</f>
        <v/>
      </c>
    </row>
    <row r="157" spans="1:18" ht="33.75" hidden="1" customHeight="1" x14ac:dyDescent="0.3">
      <c r="A157" s="2" t="s">
        <v>449</v>
      </c>
      <c r="B157" s="2" t="s">
        <v>41</v>
      </c>
      <c r="C157" s="3" t="s">
        <v>457</v>
      </c>
      <c r="D157" s="3" t="s">
        <v>32</v>
      </c>
      <c r="E157" s="2" t="s">
        <v>426</v>
      </c>
      <c r="F157" s="2"/>
      <c r="G157" s="5">
        <v>46184</v>
      </c>
      <c r="H157" s="5">
        <v>46264</v>
      </c>
      <c r="I157" s="4" t="s">
        <v>17</v>
      </c>
      <c r="J157" s="6">
        <f t="shared" si="9"/>
        <v>80</v>
      </c>
      <c r="K157" s="4" t="str">
        <f t="shared" ca="1" si="10"/>
        <v>No</v>
      </c>
      <c r="L157" s="7">
        <f t="shared" ca="1" si="12"/>
        <v>56</v>
      </c>
      <c r="M157" s="4" t="str">
        <f>IF($I157="Complete","Green",IF($H157="","Amber",IF($H157&lt;'[2]Read Me'!$B$4,"Red",IF($H157-'[2]Read Me'!$B$4&lt;=21,"Amber","Green"))))</f>
        <v>Green</v>
      </c>
      <c r="N157" s="3"/>
      <c r="O157" t="str">
        <f>IF($I157&lt;&gt;"Complete",IF(COUNTIFS($A$4:$A156,$A157,$B$4:$B156,$B157,$I$4:$I156,"&lt;&gt;Complete")=0,$A157&amp;"|"&amp;$B157,""),"")</f>
        <v/>
      </c>
      <c r="P157" t="str">
        <f ca="1">IF($K157="Yes",COUNTIFS($K$4:$K157,"Yes"),"")</f>
        <v/>
      </c>
      <c r="Q157">
        <f t="shared" ca="1" si="11"/>
        <v>0</v>
      </c>
      <c r="R157" t="str">
        <f ca="1">IF($Q157=1,SUM($Q$4:$Q157),"")</f>
        <v/>
      </c>
    </row>
    <row r="158" spans="1:18" ht="33.75" hidden="1" customHeight="1" x14ac:dyDescent="0.3">
      <c r="A158" s="2" t="s">
        <v>459</v>
      </c>
      <c r="B158" s="2" t="s">
        <v>62</v>
      </c>
      <c r="C158" s="3"/>
      <c r="D158" s="3"/>
      <c r="E158" s="2"/>
      <c r="F158" s="2"/>
      <c r="G158" s="5">
        <v>46253</v>
      </c>
      <c r="H158" s="5">
        <v>46296</v>
      </c>
      <c r="I158" s="4"/>
      <c r="J158" s="6">
        <f t="shared" si="9"/>
        <v>43</v>
      </c>
      <c r="K158" s="4" t="str">
        <f t="shared" ca="1" si="10"/>
        <v/>
      </c>
      <c r="L158" s="7">
        <f t="shared" ca="1" si="12"/>
        <v>88</v>
      </c>
      <c r="M158" s="4" t="str">
        <f>IF($I158="Complete","Green",IF($H158="","Amber",IF($H158&lt;'[2]Read Me'!$B$4,"Red",IF($H158-'[2]Read Me'!$B$4&lt;=21,"Amber","Green"))))</f>
        <v>Green</v>
      </c>
      <c r="N158" s="3"/>
      <c r="O158" t="str">
        <f>IF($I158&lt;&gt;"Complete",IF(COUNTIFS($A$4:$A157,$A158,$B$4:$B157,$B158,$I$4:$I157,"&lt;&gt;Complete")=0,$A158&amp;"|"&amp;$B158,""),"")</f>
        <v>Clubhouse|Buildings</v>
      </c>
      <c r="P158" t="str">
        <f ca="1">IF($K158="Yes",COUNTIFS($K$4:$K158,"Yes"),"")</f>
        <v/>
      </c>
      <c r="Q158">
        <f t="shared" ca="1" si="11"/>
        <v>0</v>
      </c>
      <c r="R158" t="str">
        <f ca="1">IF($Q158=1,SUM($Q$4:$Q158),"")</f>
        <v/>
      </c>
    </row>
    <row r="159" spans="1:18" ht="33.75" hidden="1" customHeight="1" x14ac:dyDescent="0.3">
      <c r="A159" s="2" t="s">
        <v>459</v>
      </c>
      <c r="B159" s="2" t="s">
        <v>62</v>
      </c>
      <c r="C159" s="3" t="s">
        <v>460</v>
      </c>
      <c r="D159" s="3" t="s">
        <v>98</v>
      </c>
      <c r="E159" s="2" t="s">
        <v>461</v>
      </c>
      <c r="F159" s="2" t="s">
        <v>453</v>
      </c>
      <c r="G159" s="5">
        <v>46148</v>
      </c>
      <c r="H159" s="5">
        <v>46191</v>
      </c>
      <c r="I159" s="4" t="s">
        <v>31</v>
      </c>
      <c r="J159" s="6">
        <f t="shared" si="9"/>
        <v>43</v>
      </c>
      <c r="K159" s="4" t="str">
        <f t="shared" ca="1" si="10"/>
        <v>-</v>
      </c>
      <c r="L159" s="7">
        <f t="shared" ca="1" si="12"/>
        <v>0</v>
      </c>
      <c r="M159" s="4" t="str">
        <f>IF($I159="Complete","Green",IF($H159="","Amber",IF($H159&lt;'[2]Read Me'!$B$4,"Red",IF($H159-'[2]Read Me'!$B$4&lt;=21,"Amber","Green"))))</f>
        <v>Amber</v>
      </c>
      <c r="N159" s="3"/>
      <c r="O159" t="str">
        <f>IF($I159&lt;&gt;"Complete",IF(COUNTIFS($A$4:$A158,$A159,$B$4:$B158,$B159,$I$4:$I158,"&lt;&gt;Complete")=0,$A159&amp;"|"&amp;$B159,""),"")</f>
        <v/>
      </c>
      <c r="P159" t="str">
        <f ca="1">IF($K159="Yes",COUNTIFS($K$4:$K159,"Yes"),"")</f>
        <v/>
      </c>
      <c r="Q159">
        <f t="shared" ca="1" si="11"/>
        <v>0</v>
      </c>
      <c r="R159" t="str">
        <f ca="1">IF($Q159=1,SUM($Q$4:$Q159),"")</f>
        <v/>
      </c>
    </row>
    <row r="160" spans="1:18" ht="33.75" hidden="1" customHeight="1" x14ac:dyDescent="0.3">
      <c r="A160" s="2" t="s">
        <v>459</v>
      </c>
      <c r="B160" s="2" t="s">
        <v>62</v>
      </c>
      <c r="C160" s="3" t="s">
        <v>460</v>
      </c>
      <c r="D160" s="3" t="s">
        <v>47</v>
      </c>
      <c r="E160" s="2" t="s">
        <v>461</v>
      </c>
      <c r="F160" s="2"/>
      <c r="G160" s="5">
        <v>46162</v>
      </c>
      <c r="H160" s="5">
        <v>46205</v>
      </c>
      <c r="I160" s="4" t="s">
        <v>46</v>
      </c>
      <c r="J160" s="6">
        <f t="shared" si="9"/>
        <v>43</v>
      </c>
      <c r="K160" s="4" t="str">
        <f t="shared" ca="1" si="10"/>
        <v>Yes</v>
      </c>
      <c r="L160" s="7">
        <f t="shared" ca="1" si="12"/>
        <v>-3</v>
      </c>
      <c r="M160" s="4" t="str">
        <f>IF($I160="Complete","Green",IF($H160="","Amber",IF($H160&lt;'[2]Read Me'!$B$4,"Red",IF($H160-'[2]Read Me'!$B$4&lt;=21,"Amber","Green"))))</f>
        <v>Amber</v>
      </c>
      <c r="N160" s="3"/>
      <c r="O160" t="str">
        <f>IF($I160&lt;&gt;"Complete",IF(COUNTIFS($A$4:$A159,$A160,$B$4:$B159,$B160,$I$4:$I159,"&lt;&gt;Complete")=0,$A160&amp;"|"&amp;$B160,""),"")</f>
        <v/>
      </c>
      <c r="P160">
        <f ca="1">IF($K160="Yes",COUNTIFS($K$4:$K160,"Yes"),"")</f>
        <v>9</v>
      </c>
      <c r="Q160">
        <f t="shared" ca="1" si="11"/>
        <v>1</v>
      </c>
      <c r="R160">
        <f ca="1">IF($Q160=1,SUM($Q$4:$Q160),"")</f>
        <v>9</v>
      </c>
    </row>
    <row r="161" spans="1:18" ht="33.75" hidden="1" customHeight="1" x14ac:dyDescent="0.3">
      <c r="A161" s="2" t="s">
        <v>459</v>
      </c>
      <c r="B161" s="2" t="s">
        <v>62</v>
      </c>
      <c r="C161" s="3" t="s">
        <v>460</v>
      </c>
      <c r="D161" s="3" t="s">
        <v>462</v>
      </c>
      <c r="E161" s="2" t="s">
        <v>461</v>
      </c>
      <c r="F161" s="2" t="s">
        <v>453</v>
      </c>
      <c r="G161" s="5">
        <v>46197</v>
      </c>
      <c r="H161" s="5">
        <v>46240</v>
      </c>
      <c r="I161" s="4" t="s">
        <v>17</v>
      </c>
      <c r="J161" s="6">
        <f t="shared" si="9"/>
        <v>43</v>
      </c>
      <c r="K161" s="4" t="str">
        <f t="shared" ca="1" si="10"/>
        <v>No</v>
      </c>
      <c r="L161" s="7">
        <f t="shared" ca="1" si="12"/>
        <v>32</v>
      </c>
      <c r="M161" s="4" t="str">
        <f>IF($I161="Complete","Green",IF($H161="","Amber",IF($H161&lt;'[2]Read Me'!$B$4,"Red",IF($H161-'[2]Read Me'!$B$4&lt;=21,"Amber","Green"))))</f>
        <v>Green</v>
      </c>
      <c r="N161" s="3"/>
      <c r="O161" t="str">
        <f>IF($I161&lt;&gt;"Complete",IF(COUNTIFS($A$4:$A160,$A161,$B$4:$B160,$B161,$I$4:$I160,"&lt;&gt;Complete")=0,$A161&amp;"|"&amp;$B161,""),"")</f>
        <v/>
      </c>
      <c r="P161" t="str">
        <f ca="1">IF($K161="Yes",COUNTIFS($K$4:$K161,"Yes"),"")</f>
        <v/>
      </c>
      <c r="Q161">
        <f t="shared" ca="1" si="11"/>
        <v>0</v>
      </c>
      <c r="R161" t="str">
        <f ca="1">IF($Q161=1,SUM($Q$4:$Q161),"")</f>
        <v/>
      </c>
    </row>
    <row r="162" spans="1:18" ht="33.75" hidden="1" customHeight="1" x14ac:dyDescent="0.3">
      <c r="A162" s="2" t="s">
        <v>459</v>
      </c>
      <c r="B162" s="2" t="s">
        <v>62</v>
      </c>
      <c r="C162" s="3" t="s">
        <v>460</v>
      </c>
      <c r="D162" s="3" t="s">
        <v>58</v>
      </c>
      <c r="E162" s="2" t="s">
        <v>461</v>
      </c>
      <c r="F162" s="2"/>
      <c r="G162" s="5">
        <v>46204</v>
      </c>
      <c r="H162" s="5">
        <v>46247</v>
      </c>
      <c r="I162" s="4" t="s">
        <v>17</v>
      </c>
      <c r="J162" s="6">
        <f t="shared" si="9"/>
        <v>43</v>
      </c>
      <c r="K162" s="4" t="str">
        <f t="shared" ca="1" si="10"/>
        <v>No</v>
      </c>
      <c r="L162" s="7">
        <f t="shared" ca="1" si="12"/>
        <v>39</v>
      </c>
      <c r="M162" s="4" t="str">
        <f>IF($I162="Complete","Green",IF($H162="","Amber",IF($H162&lt;'[2]Read Me'!$B$4,"Red",IF($H162-'[2]Read Me'!$B$4&lt;=21,"Amber","Green"))))</f>
        <v>Green</v>
      </c>
      <c r="N162" s="3"/>
      <c r="O162" t="str">
        <f>IF($I162&lt;&gt;"Complete",IF(COUNTIFS($A$4:$A161,$A162,$B$4:$B161,$B162,$I$4:$I161,"&lt;&gt;Complete")=0,$A162&amp;"|"&amp;$B162,""),"")</f>
        <v/>
      </c>
      <c r="P162" t="str">
        <f ca="1">IF($K162="Yes",COUNTIFS($K$4:$K162,"Yes"),"")</f>
        <v/>
      </c>
      <c r="Q162">
        <f t="shared" ca="1" si="11"/>
        <v>0</v>
      </c>
      <c r="R162" t="str">
        <f ca="1">IF($Q162=1,SUM($Q$4:$Q162),"")</f>
        <v/>
      </c>
    </row>
    <row r="163" spans="1:18" ht="33.75" hidden="1" customHeight="1" x14ac:dyDescent="0.3">
      <c r="A163" s="2" t="s">
        <v>459</v>
      </c>
      <c r="B163" s="2" t="s">
        <v>62</v>
      </c>
      <c r="C163" s="3" t="s">
        <v>460</v>
      </c>
      <c r="D163" s="3" t="s">
        <v>18</v>
      </c>
      <c r="E163" s="2" t="s">
        <v>461</v>
      </c>
      <c r="F163" s="2" t="s">
        <v>453</v>
      </c>
      <c r="G163" s="5">
        <v>46239</v>
      </c>
      <c r="H163" s="5">
        <v>46282</v>
      </c>
      <c r="I163" s="4" t="s">
        <v>17</v>
      </c>
      <c r="J163" s="6">
        <f t="shared" si="9"/>
        <v>43</v>
      </c>
      <c r="K163" s="4" t="str">
        <f t="shared" ca="1" si="10"/>
        <v>No</v>
      </c>
      <c r="L163" s="7">
        <f t="shared" ca="1" si="12"/>
        <v>74</v>
      </c>
      <c r="M163" s="4" t="str">
        <f>IF($I163="Complete","Green",IF($H163="","Amber",IF($H163&lt;'[2]Read Me'!$B$4,"Red",IF($H163-'[2]Read Me'!$B$4&lt;=21,"Amber","Green"))))</f>
        <v>Green</v>
      </c>
      <c r="N163" s="3"/>
      <c r="O163" t="str">
        <f>IF($I163&lt;&gt;"Complete",IF(COUNTIFS($A$4:$A162,$A163,$B$4:$B162,$B163,$I$4:$I162,"&lt;&gt;Complete")=0,$A163&amp;"|"&amp;$B163,""),"")</f>
        <v/>
      </c>
      <c r="P163" t="str">
        <f ca="1">IF($K163="Yes",COUNTIFS($K$4:$K163,"Yes"),"")</f>
        <v/>
      </c>
      <c r="Q163">
        <f t="shared" ca="1" si="11"/>
        <v>0</v>
      </c>
      <c r="R163" t="str">
        <f ca="1">IF($Q163=1,SUM($Q$4:$Q163),"")</f>
        <v/>
      </c>
    </row>
    <row r="164" spans="1:18" ht="33.75" hidden="1" customHeight="1" x14ac:dyDescent="0.3">
      <c r="A164" s="2" t="s">
        <v>459</v>
      </c>
      <c r="B164" s="2" t="s">
        <v>62</v>
      </c>
      <c r="C164" s="3" t="s">
        <v>460</v>
      </c>
      <c r="D164" s="3" t="s">
        <v>32</v>
      </c>
      <c r="E164" s="2" t="s">
        <v>461</v>
      </c>
      <c r="F164" s="2"/>
      <c r="G164" s="5">
        <v>46253</v>
      </c>
      <c r="H164" s="5">
        <v>46296</v>
      </c>
      <c r="I164" s="4" t="s">
        <v>17</v>
      </c>
      <c r="J164" s="6">
        <f t="shared" si="9"/>
        <v>43</v>
      </c>
      <c r="K164" s="4" t="str">
        <f t="shared" ca="1" si="10"/>
        <v>No</v>
      </c>
      <c r="L164" s="7">
        <f t="shared" ca="1" si="12"/>
        <v>88</v>
      </c>
      <c r="M164" s="4" t="str">
        <f>IF($I164="Complete","Green",IF($H164="","Amber",IF($H164&lt;'[2]Read Me'!$B$4,"Red",IF($H164-'[2]Read Me'!$B$4&lt;=21,"Amber","Green"))))</f>
        <v>Green</v>
      </c>
      <c r="N164" s="3"/>
      <c r="O164" t="str">
        <f>IF($I164&lt;&gt;"Complete",IF(COUNTIFS($A$4:$A163,$A164,$B$4:$B163,$B164,$I$4:$I163,"&lt;&gt;Complete")=0,$A164&amp;"|"&amp;$B164,""),"")</f>
        <v/>
      </c>
      <c r="P164" t="str">
        <f ca="1">IF($K164="Yes",COUNTIFS($K$4:$K164,"Yes"),"")</f>
        <v/>
      </c>
      <c r="Q164">
        <f t="shared" ca="1" si="11"/>
        <v>0</v>
      </c>
      <c r="R164" t="str">
        <f ca="1">IF($Q164=1,SUM($Q$4:$Q164),"")</f>
        <v/>
      </c>
    </row>
    <row r="165" spans="1:18" ht="33.75" hidden="1" customHeight="1" x14ac:dyDescent="0.3">
      <c r="A165" s="2" t="s">
        <v>459</v>
      </c>
      <c r="B165" s="2" t="s">
        <v>62</v>
      </c>
      <c r="C165" s="3" t="s">
        <v>460</v>
      </c>
      <c r="D165" s="3" t="s">
        <v>19</v>
      </c>
      <c r="E165" s="2"/>
      <c r="F165" s="2"/>
      <c r="G165" s="5">
        <v>46253</v>
      </c>
      <c r="H165" s="5">
        <v>46296</v>
      </c>
      <c r="I165" s="4" t="s">
        <v>17</v>
      </c>
      <c r="J165" s="6">
        <f t="shared" si="9"/>
        <v>43</v>
      </c>
      <c r="K165" s="4" t="str">
        <f t="shared" ca="1" si="10"/>
        <v>No</v>
      </c>
      <c r="L165" s="7">
        <f t="shared" ca="1" si="12"/>
        <v>88</v>
      </c>
      <c r="M165" s="4" t="str">
        <f>IF($I165="Complete","Green",IF($H165="","Amber",IF($H165&lt;'[2]Read Me'!$B$4,"Red",IF($H165-'[2]Read Me'!$B$4&lt;=21,"Amber","Green"))))</f>
        <v>Green</v>
      </c>
      <c r="N165" s="3"/>
      <c r="O165" t="str">
        <f>IF($I165&lt;&gt;"Complete",IF(COUNTIFS($A$4:$A164,$A165,$B$4:$B164,$B165,$I$4:$I164,"&lt;&gt;Complete")=0,$A165&amp;"|"&amp;$B165,""),"")</f>
        <v/>
      </c>
      <c r="P165" t="str">
        <f ca="1">IF($K165="Yes",COUNTIFS($K$4:$K165,"Yes"),"")</f>
        <v/>
      </c>
      <c r="Q165">
        <f t="shared" ca="1" si="11"/>
        <v>0</v>
      </c>
      <c r="R165" t="str">
        <f ca="1">IF($Q165=1,SUM($Q$4:$Q165),"")</f>
        <v/>
      </c>
    </row>
    <row r="166" spans="1:18" ht="33.75" hidden="1" customHeight="1" x14ac:dyDescent="0.3">
      <c r="A166" s="2"/>
      <c r="B166" s="2"/>
      <c r="C166" s="3"/>
      <c r="D166" s="3"/>
      <c r="E166" s="2"/>
      <c r="F166" s="2"/>
      <c r="G166" s="5"/>
      <c r="H166" s="5"/>
      <c r="I166" s="4"/>
      <c r="J166" s="6" t="str">
        <f t="shared" si="9"/>
        <v/>
      </c>
      <c r="K166" s="4" t="str">
        <f t="shared" ca="1" si="10"/>
        <v/>
      </c>
      <c r="L166" s="7" t="str">
        <f t="shared" ca="1" si="12"/>
        <v/>
      </c>
      <c r="M166" s="4" t="str">
        <f>IF($I166="Complete","Green",IF($H166="","Amber",IF($H166&lt;'[2]Read Me'!$B$4,"Red",IF($H166-'[2]Read Me'!$B$4&lt;=21,"Amber","Green"))))</f>
        <v>Amber</v>
      </c>
      <c r="N166" s="3"/>
      <c r="O166" t="str">
        <f>IF($I166&lt;&gt;"Complete",IF(COUNTIFS($A$4:$A165,$A166,$B$4:$B165,$B166,$I$4:$I165,"&lt;&gt;Complete")=0,$A166&amp;"|"&amp;$B166,""),"")</f>
        <v>|</v>
      </c>
      <c r="P166" t="str">
        <f ca="1">IF($K166="Yes",COUNTIFS($K$4:$K166,"Yes"),"")</f>
        <v/>
      </c>
      <c r="Q166">
        <f t="shared" ca="1" si="11"/>
        <v>0</v>
      </c>
      <c r="R166" t="str">
        <f ca="1">IF($Q166=1,SUM($Q$4:$Q166),"")</f>
        <v/>
      </c>
    </row>
    <row r="167" spans="1:18" ht="33.75" hidden="1" customHeight="1" x14ac:dyDescent="0.3">
      <c r="A167" s="2"/>
      <c r="B167" s="2"/>
      <c r="C167" s="3"/>
      <c r="D167" s="3"/>
      <c r="E167" s="2"/>
      <c r="F167" s="2"/>
      <c r="G167" s="5"/>
      <c r="H167" s="5"/>
      <c r="I167" s="4"/>
      <c r="J167" s="6" t="str">
        <f t="shared" si="9"/>
        <v/>
      </c>
      <c r="K167" s="4" t="str">
        <f t="shared" ca="1" si="10"/>
        <v/>
      </c>
      <c r="L167" s="7" t="str">
        <f t="shared" ca="1" si="12"/>
        <v/>
      </c>
      <c r="M167" s="4" t="str">
        <f>IF($I167="Complete","Green",IF($H167="","Amber",IF($H167&lt;'[2]Read Me'!$B$4,"Red",IF($H167-'[2]Read Me'!$B$4&lt;=21,"Amber","Green"))))</f>
        <v>Amber</v>
      </c>
      <c r="N167" s="3"/>
      <c r="O167" t="str">
        <f>IF($I167&lt;&gt;"Complete",IF(COUNTIFS($A$4:$A166,$A167,$B$4:$B166,$B167,$I$4:$I166,"&lt;&gt;Complete")=0,$A167&amp;"|"&amp;$B167,""),"")</f>
        <v>|</v>
      </c>
      <c r="P167" t="str">
        <f ca="1">IF($K167="Yes",COUNTIFS($K$4:$K167,"Yes"),"")</f>
        <v/>
      </c>
      <c r="Q167">
        <f t="shared" ca="1" si="11"/>
        <v>0</v>
      </c>
      <c r="R167" t="str">
        <f ca="1">IF($Q167=1,SUM($Q$4:$Q167),"")</f>
        <v/>
      </c>
    </row>
    <row r="168" spans="1:18" ht="33.75" hidden="1" customHeight="1" x14ac:dyDescent="0.3">
      <c r="A168" s="2"/>
      <c r="B168" s="2"/>
      <c r="C168" s="3"/>
      <c r="D168" s="3"/>
      <c r="E168" s="2"/>
      <c r="F168" s="2"/>
      <c r="G168" s="5"/>
      <c r="H168" s="5"/>
      <c r="I168" s="4"/>
      <c r="J168" s="6" t="str">
        <f t="shared" si="9"/>
        <v/>
      </c>
      <c r="K168" s="4" t="str">
        <f t="shared" ca="1" si="10"/>
        <v/>
      </c>
      <c r="L168" s="7" t="str">
        <f t="shared" ca="1" si="12"/>
        <v/>
      </c>
      <c r="M168" s="4" t="str">
        <f>IF($I168="Complete","Green",IF($H168="","Amber",IF($H168&lt;'[2]Read Me'!$B$4,"Red",IF($H168-'[2]Read Me'!$B$4&lt;=21,"Amber","Green"))))</f>
        <v>Amber</v>
      </c>
      <c r="N168" s="3"/>
      <c r="O168" t="str">
        <f>IF($I168&lt;&gt;"Complete",IF(COUNTIFS($A$4:$A167,$A168,$B$4:$B167,$B168,$I$4:$I167,"&lt;&gt;Complete")=0,$A168&amp;"|"&amp;$B168,""),"")</f>
        <v>|</v>
      </c>
      <c r="P168" t="str">
        <f ca="1">IF($K168="Yes",COUNTIFS($K$4:$K168,"Yes"),"")</f>
        <v/>
      </c>
      <c r="Q168">
        <f t="shared" ca="1" si="11"/>
        <v>0</v>
      </c>
      <c r="R168" t="str">
        <f ca="1">IF($Q168=1,SUM($Q$4:$Q168),"")</f>
        <v/>
      </c>
    </row>
    <row r="169" spans="1:18" ht="33.75" hidden="1" customHeight="1" x14ac:dyDescent="0.3">
      <c r="A169" s="2"/>
      <c r="B169" s="2"/>
      <c r="C169" s="3"/>
      <c r="D169" s="3"/>
      <c r="E169" s="2"/>
      <c r="F169" s="2"/>
      <c r="G169" s="5"/>
      <c r="H169" s="5"/>
      <c r="I169" s="4"/>
      <c r="J169" s="6" t="str">
        <f t="shared" si="9"/>
        <v/>
      </c>
      <c r="K169" s="4" t="str">
        <f t="shared" ca="1" si="10"/>
        <v/>
      </c>
      <c r="L169" s="7" t="str">
        <f t="shared" ca="1" si="12"/>
        <v/>
      </c>
      <c r="M169" s="4" t="str">
        <f>IF($I169="Complete","Green",IF($H169="","Amber",IF($H169&lt;'[2]Read Me'!$B$4,"Red",IF($H169-'[2]Read Me'!$B$4&lt;=21,"Amber","Green"))))</f>
        <v>Amber</v>
      </c>
      <c r="N169" s="3"/>
      <c r="O169" t="str">
        <f>IF($I169&lt;&gt;"Complete",IF(COUNTIFS($A$4:$A168,$A169,$B$4:$B168,$B169,$I$4:$I168,"&lt;&gt;Complete")=0,$A169&amp;"|"&amp;$B169,""),"")</f>
        <v>|</v>
      </c>
      <c r="P169" t="str">
        <f ca="1">IF($K169="Yes",COUNTIFS($K$4:$K169,"Yes"),"")</f>
        <v/>
      </c>
      <c r="Q169">
        <f t="shared" ca="1" si="11"/>
        <v>0</v>
      </c>
      <c r="R169" t="str">
        <f ca="1">IF($Q169=1,SUM($Q$4:$Q169),"")</f>
        <v/>
      </c>
    </row>
    <row r="170" spans="1:18" ht="33.75" hidden="1" customHeight="1" x14ac:dyDescent="0.3">
      <c r="A170" s="2"/>
      <c r="B170" s="2"/>
      <c r="C170" s="3"/>
      <c r="D170" s="3"/>
      <c r="E170" s="2"/>
      <c r="F170" s="2"/>
      <c r="G170" s="5"/>
      <c r="H170" s="5"/>
      <c r="I170" s="4"/>
      <c r="J170" s="6" t="str">
        <f t="shared" si="9"/>
        <v/>
      </c>
      <c r="K170" s="4" t="str">
        <f t="shared" ca="1" si="10"/>
        <v/>
      </c>
      <c r="L170" s="7" t="str">
        <f t="shared" ca="1" si="12"/>
        <v/>
      </c>
      <c r="M170" s="4" t="str">
        <f>IF($I170="Complete","Green",IF($H170="","Amber",IF($H170&lt;'[2]Read Me'!$B$4,"Red",IF($H170-'[2]Read Me'!$B$4&lt;=21,"Amber","Green"))))</f>
        <v>Amber</v>
      </c>
      <c r="N170" s="3"/>
      <c r="O170" t="str">
        <f>IF($I170&lt;&gt;"Complete",IF(COUNTIFS($A$4:$A169,$A170,$B$4:$B169,$B170,$I$4:$I169,"&lt;&gt;Complete")=0,$A170&amp;"|"&amp;$B170,""),"")</f>
        <v>|</v>
      </c>
      <c r="P170" t="str">
        <f ca="1">IF($K170="Yes",COUNTIFS($K$4:$K170,"Yes"),"")</f>
        <v/>
      </c>
      <c r="Q170">
        <f t="shared" ca="1" si="11"/>
        <v>0</v>
      </c>
      <c r="R170" t="str">
        <f ca="1">IF($Q170=1,SUM($Q$4:$Q170),"")</f>
        <v/>
      </c>
    </row>
    <row r="171" spans="1:18" ht="33.75" hidden="1" customHeight="1" x14ac:dyDescent="0.3">
      <c r="A171" s="2"/>
      <c r="B171" s="2"/>
      <c r="C171" s="3"/>
      <c r="D171" s="3"/>
      <c r="E171" s="2"/>
      <c r="F171" s="2"/>
      <c r="G171" s="5"/>
      <c r="H171" s="5"/>
      <c r="I171" s="4"/>
      <c r="J171" s="6" t="str">
        <f t="shared" si="9"/>
        <v/>
      </c>
      <c r="K171" s="4" t="str">
        <f t="shared" ca="1" si="10"/>
        <v/>
      </c>
      <c r="L171" s="7" t="str">
        <f t="shared" ca="1" si="12"/>
        <v/>
      </c>
      <c r="M171" s="4" t="str">
        <f>IF($I171="Complete","Green",IF($H171="","Amber",IF($H171&lt;'[2]Read Me'!$B$4,"Red",IF($H171-'[2]Read Me'!$B$4&lt;=21,"Amber","Green"))))</f>
        <v>Amber</v>
      </c>
      <c r="N171" s="3"/>
      <c r="O171" t="str">
        <f>IF($I171&lt;&gt;"Complete",IF(COUNTIFS($A$4:$A170,$A171,$B$4:$B170,$B171,$I$4:$I170,"&lt;&gt;Complete")=0,$A171&amp;"|"&amp;$B171,""),"")</f>
        <v>|</v>
      </c>
      <c r="P171" t="str">
        <f ca="1">IF($K171="Yes",COUNTIFS($K$4:$K171,"Yes"),"")</f>
        <v/>
      </c>
      <c r="Q171">
        <f t="shared" ca="1" si="11"/>
        <v>0</v>
      </c>
      <c r="R171" t="str">
        <f ca="1">IF($Q171=1,SUM($Q$4:$Q171),"")</f>
        <v/>
      </c>
    </row>
    <row r="172" spans="1:18" ht="33.75" hidden="1" customHeight="1" x14ac:dyDescent="0.3">
      <c r="A172" s="2"/>
      <c r="B172" s="2"/>
      <c r="C172" s="3"/>
      <c r="D172" s="3"/>
      <c r="E172" s="2"/>
      <c r="F172" s="2"/>
      <c r="G172" s="5"/>
      <c r="H172" s="5"/>
      <c r="I172" s="4"/>
      <c r="J172" s="6" t="str">
        <f t="shared" si="9"/>
        <v/>
      </c>
      <c r="K172" s="4" t="str">
        <f t="shared" ca="1" si="10"/>
        <v/>
      </c>
      <c r="L172" s="7" t="str">
        <f t="shared" ca="1" si="12"/>
        <v/>
      </c>
      <c r="M172" s="4" t="str">
        <f>IF($I172="Complete","Green",IF($H172="","Amber",IF($H172&lt;'[2]Read Me'!$B$4,"Red",IF($H172-'[2]Read Me'!$B$4&lt;=21,"Amber","Green"))))</f>
        <v>Amber</v>
      </c>
      <c r="N172" s="3"/>
      <c r="O172" t="str">
        <f>IF($I172&lt;&gt;"Complete",IF(COUNTIFS($A$4:$A171,$A172,$B$4:$B171,$B172,$I$4:$I171,"&lt;&gt;Complete")=0,$A172&amp;"|"&amp;$B172,""),"")</f>
        <v>|</v>
      </c>
      <c r="P172" t="str">
        <f ca="1">IF($K172="Yes",COUNTIFS($K$4:$K172,"Yes"),"")</f>
        <v/>
      </c>
      <c r="Q172">
        <f t="shared" ca="1" si="11"/>
        <v>0</v>
      </c>
      <c r="R172" t="str">
        <f ca="1">IF($Q172=1,SUM($Q$4:$Q172),"")</f>
        <v/>
      </c>
    </row>
    <row r="173" spans="1:18" ht="33.75" hidden="1" customHeight="1" x14ac:dyDescent="0.3">
      <c r="A173" s="2"/>
      <c r="B173" s="2"/>
      <c r="C173" s="3"/>
      <c r="D173" s="3"/>
      <c r="E173" s="2"/>
      <c r="F173" s="2"/>
      <c r="G173" s="5"/>
      <c r="H173" s="5"/>
      <c r="I173" s="4"/>
      <c r="J173" s="6" t="str">
        <f t="shared" si="9"/>
        <v/>
      </c>
      <c r="K173" s="4" t="str">
        <f t="shared" ca="1" si="10"/>
        <v/>
      </c>
      <c r="L173" s="7" t="str">
        <f t="shared" ca="1" si="12"/>
        <v/>
      </c>
      <c r="M173" s="4" t="str">
        <f>IF($I173="Complete","Green",IF($H173="","Amber",IF($H173&lt;'[2]Read Me'!$B$4,"Red",IF($H173-'[2]Read Me'!$B$4&lt;=21,"Amber","Green"))))</f>
        <v>Amber</v>
      </c>
      <c r="N173" s="3"/>
      <c r="O173" t="str">
        <f>IF($I173&lt;&gt;"Complete",IF(COUNTIFS($A$4:$A172,$A173,$B$4:$B172,$B173,$I$4:$I172,"&lt;&gt;Complete")=0,$A173&amp;"|"&amp;$B173,""),"")</f>
        <v>|</v>
      </c>
      <c r="P173" t="str">
        <f ca="1">IF($K173="Yes",COUNTIFS($K$4:$K173,"Yes"),"")</f>
        <v/>
      </c>
      <c r="Q173">
        <f t="shared" ca="1" si="11"/>
        <v>0</v>
      </c>
      <c r="R173" t="str">
        <f ca="1">IF($Q173=1,SUM($Q$4:$Q173),"")</f>
        <v/>
      </c>
    </row>
    <row r="174" spans="1:18" ht="33.75" hidden="1" customHeight="1" x14ac:dyDescent="0.3">
      <c r="A174" s="2"/>
      <c r="B174" s="2"/>
      <c r="C174" s="3"/>
      <c r="D174" s="3"/>
      <c r="E174" s="2"/>
      <c r="F174" s="2"/>
      <c r="G174" s="5"/>
      <c r="H174" s="5"/>
      <c r="I174" s="4"/>
      <c r="J174" s="6" t="str">
        <f t="shared" si="9"/>
        <v/>
      </c>
      <c r="K174" s="4" t="str">
        <f t="shared" ca="1" si="10"/>
        <v/>
      </c>
      <c r="L174" s="7" t="str">
        <f t="shared" ca="1" si="12"/>
        <v/>
      </c>
      <c r="M174" s="4" t="str">
        <f>IF($I174="Complete","Green",IF($H174="","Amber",IF($H174&lt;'[2]Read Me'!$B$4,"Red",IF($H174-'[2]Read Me'!$B$4&lt;=21,"Amber","Green"))))</f>
        <v>Amber</v>
      </c>
      <c r="N174" s="3"/>
      <c r="O174" t="str">
        <f>IF($I174&lt;&gt;"Complete",IF(COUNTIFS($A$4:$A173,$A174,$B$4:$B173,$B174,$I$4:$I173,"&lt;&gt;Complete")=0,$A174&amp;"|"&amp;$B174,""),"")</f>
        <v>|</v>
      </c>
      <c r="P174" t="str">
        <f ca="1">IF($K174="Yes",COUNTIFS($K$4:$K174,"Yes"),"")</f>
        <v/>
      </c>
      <c r="Q174">
        <f t="shared" ca="1" si="11"/>
        <v>0</v>
      </c>
      <c r="R174" t="str">
        <f ca="1">IF($Q174=1,SUM($Q$4:$Q174),"")</f>
        <v/>
      </c>
    </row>
    <row r="175" spans="1:18" ht="33.75" hidden="1" customHeight="1" x14ac:dyDescent="0.3">
      <c r="A175" s="2"/>
      <c r="B175" s="2"/>
      <c r="C175" s="3"/>
      <c r="D175" s="3"/>
      <c r="E175" s="2"/>
      <c r="F175" s="2"/>
      <c r="G175" s="5"/>
      <c r="H175" s="5"/>
      <c r="I175" s="4"/>
      <c r="J175" s="6" t="str">
        <f t="shared" si="9"/>
        <v/>
      </c>
      <c r="K175" s="4" t="str">
        <f t="shared" ca="1" si="10"/>
        <v/>
      </c>
      <c r="L175" s="7" t="str">
        <f t="shared" ca="1" si="12"/>
        <v/>
      </c>
      <c r="M175" s="4" t="str">
        <f>IF($I175="Complete","Green",IF($H175="","Amber",IF($H175&lt;'[2]Read Me'!$B$4,"Red",IF($H175-'[2]Read Me'!$B$4&lt;=21,"Amber","Green"))))</f>
        <v>Amber</v>
      </c>
      <c r="N175" s="3"/>
      <c r="O175" t="str">
        <f>IF($I175&lt;&gt;"Complete",IF(COUNTIFS($A$4:$A174,$A175,$B$4:$B174,$B175,$I$4:$I174,"&lt;&gt;Complete")=0,$A175&amp;"|"&amp;$B175,""),"")</f>
        <v>|</v>
      </c>
      <c r="P175" t="str">
        <f ca="1">IF($K175="Yes",COUNTIFS($K$4:$K175,"Yes"),"")</f>
        <v/>
      </c>
      <c r="Q175">
        <f t="shared" ca="1" si="11"/>
        <v>0</v>
      </c>
      <c r="R175" t="str">
        <f ca="1">IF($Q175=1,SUM($Q$4:$Q175),"")</f>
        <v/>
      </c>
    </row>
    <row r="176" spans="1:18" ht="22.5" hidden="1" customHeight="1" x14ac:dyDescent="0.3">
      <c r="A176" s="2"/>
      <c r="B176" s="2"/>
      <c r="C176" s="3"/>
      <c r="D176" s="3"/>
      <c r="E176" s="2"/>
      <c r="F176" s="2"/>
      <c r="G176" s="5"/>
      <c r="H176" s="5"/>
      <c r="I176" s="4"/>
      <c r="J176" s="6" t="str">
        <f t="shared" si="9"/>
        <v/>
      </c>
      <c r="K176" s="4" t="str">
        <f t="shared" ca="1" si="10"/>
        <v/>
      </c>
      <c r="L176" s="7" t="str">
        <f t="shared" ca="1" si="12"/>
        <v/>
      </c>
      <c r="M176" s="4" t="str">
        <f>IF($I176="Complete","Green",IF($H176="","Amber",IF($H176&lt;'[2]Read Me'!$B$4,"Red",IF($H176-'[2]Read Me'!$B$4&lt;=21,"Amber","Green"))))</f>
        <v>Amber</v>
      </c>
      <c r="N176" s="3"/>
      <c r="O176" t="str">
        <f>IF($I176&lt;&gt;"Complete",IF(COUNTIFS($A$4:$A175,$A176,$B$4:$B175,$B176,$I$4:$I175,"&lt;&gt;Complete")=0,$A176&amp;"|"&amp;$B176,""),"")</f>
        <v>|</v>
      </c>
      <c r="P176" t="str">
        <f ca="1">IF($K176="Yes",COUNTIFS($K$4:$K176,"Yes"),"")</f>
        <v/>
      </c>
      <c r="Q176">
        <f t="shared" ca="1" si="11"/>
        <v>0</v>
      </c>
      <c r="R176" t="str">
        <f ca="1">IF($Q176=1,SUM($Q$4:$Q176),"")</f>
        <v/>
      </c>
    </row>
    <row r="177" spans="1:18" ht="22.5" hidden="1" customHeight="1" x14ac:dyDescent="0.3">
      <c r="A177" s="2"/>
      <c r="B177" s="2"/>
      <c r="C177" s="3"/>
      <c r="D177" s="3"/>
      <c r="E177" s="2"/>
      <c r="F177" s="2"/>
      <c r="G177" s="5"/>
      <c r="H177" s="5"/>
      <c r="I177" s="4"/>
      <c r="J177" s="6" t="str">
        <f t="shared" si="9"/>
        <v/>
      </c>
      <c r="K177" s="4" t="str">
        <f t="shared" ca="1" si="10"/>
        <v/>
      </c>
      <c r="L177" s="7" t="str">
        <f t="shared" ca="1" si="12"/>
        <v/>
      </c>
      <c r="M177" s="4" t="str">
        <f>IF($I177="Complete","Green",IF($H177="","Amber",IF($H177&lt;'[2]Read Me'!$B$4,"Red",IF($H177-'[2]Read Me'!$B$4&lt;=21,"Amber","Green"))))</f>
        <v>Amber</v>
      </c>
      <c r="N177" s="3"/>
      <c r="O177" t="str">
        <f>IF($I177&lt;&gt;"Complete",IF(COUNTIFS($A$4:$A176,$A177,$B$4:$B176,$B177,$I$4:$I176,"&lt;&gt;Complete")=0,$A177&amp;"|"&amp;$B177,""),"")</f>
        <v>|</v>
      </c>
      <c r="P177" t="str">
        <f ca="1">IF($K177="Yes",COUNTIFS($K$4:$K177,"Yes"),"")</f>
        <v/>
      </c>
      <c r="Q177">
        <f t="shared" ca="1" si="11"/>
        <v>0</v>
      </c>
      <c r="R177" t="str">
        <f ca="1">IF($Q177=1,SUM($Q$4:$Q177),"")</f>
        <v/>
      </c>
    </row>
    <row r="178" spans="1:18" ht="22.5" hidden="1" customHeight="1" x14ac:dyDescent="0.3">
      <c r="A178" s="2"/>
      <c r="B178" s="2"/>
      <c r="C178" s="3"/>
      <c r="D178" s="3"/>
      <c r="E178" s="2"/>
      <c r="F178" s="2"/>
      <c r="G178" s="5"/>
      <c r="H178" s="5"/>
      <c r="I178" s="4"/>
      <c r="J178" s="6" t="str">
        <f t="shared" si="9"/>
        <v/>
      </c>
      <c r="K178" s="4" t="str">
        <f t="shared" ca="1" si="10"/>
        <v/>
      </c>
      <c r="L178" s="7" t="str">
        <f t="shared" ca="1" si="12"/>
        <v/>
      </c>
      <c r="M178" s="4" t="str">
        <f>IF($I178="Complete","Green",IF($H178="","Amber",IF($H178&lt;'[2]Read Me'!$B$4,"Red",IF($H178-'[2]Read Me'!$B$4&lt;=21,"Amber","Green"))))</f>
        <v>Amber</v>
      </c>
      <c r="N178" s="3"/>
      <c r="O178" t="str">
        <f>IF($I178&lt;&gt;"Complete",IF(COUNTIFS($A$4:$A177,$A178,$B$4:$B177,$B178,$I$4:$I177,"&lt;&gt;Complete")=0,$A178&amp;"|"&amp;$B178,""),"")</f>
        <v>|</v>
      </c>
      <c r="P178" t="str">
        <f ca="1">IF($K178="Yes",COUNTIFS($K$4:$K178,"Yes"),"")</f>
        <v/>
      </c>
      <c r="Q178">
        <f t="shared" ca="1" si="11"/>
        <v>0</v>
      </c>
      <c r="R178" t="str">
        <f ca="1">IF($Q178=1,SUM($Q$4:$Q178),"")</f>
        <v/>
      </c>
    </row>
    <row r="179" spans="1:18" ht="22.5" hidden="1" customHeight="1" x14ac:dyDescent="0.3">
      <c r="A179" s="2"/>
      <c r="B179" s="2"/>
      <c r="C179" s="3"/>
      <c r="D179" s="3"/>
      <c r="E179" s="2"/>
      <c r="F179" s="2"/>
      <c r="G179" s="5"/>
      <c r="H179" s="5"/>
      <c r="I179" s="4"/>
      <c r="J179" s="6" t="str">
        <f t="shared" si="9"/>
        <v/>
      </c>
      <c r="K179" s="4" t="str">
        <f t="shared" ca="1" si="10"/>
        <v/>
      </c>
      <c r="L179" s="7" t="str">
        <f t="shared" ca="1" si="12"/>
        <v/>
      </c>
      <c r="M179" s="4" t="str">
        <f>IF($I179="Complete","Green",IF($H179="","Amber",IF($H179&lt;'[2]Read Me'!$B$4,"Red",IF($H179-'[2]Read Me'!$B$4&lt;=21,"Amber","Green"))))</f>
        <v>Amber</v>
      </c>
      <c r="N179" s="3"/>
      <c r="O179" t="str">
        <f>IF($I179&lt;&gt;"Complete",IF(COUNTIFS($A$4:$A178,$A179,$B$4:$B178,$B179,$I$4:$I178,"&lt;&gt;Complete")=0,$A179&amp;"|"&amp;$B179,""),"")</f>
        <v>|</v>
      </c>
      <c r="P179" t="str">
        <f ca="1">IF($K179="Yes",COUNTIFS($K$4:$K179,"Yes"),"")</f>
        <v/>
      </c>
      <c r="Q179">
        <f t="shared" ca="1" si="11"/>
        <v>0</v>
      </c>
      <c r="R179" t="str">
        <f ca="1">IF($Q179=1,SUM($Q$4:$Q179),"")</f>
        <v/>
      </c>
    </row>
    <row r="180" spans="1:18" ht="22.5" hidden="1" customHeight="1" x14ac:dyDescent="0.3">
      <c r="A180" s="2"/>
      <c r="B180" s="2"/>
      <c r="C180" s="3"/>
      <c r="D180" s="3"/>
      <c r="E180" s="2"/>
      <c r="F180" s="2"/>
      <c r="G180" s="5"/>
      <c r="H180" s="5"/>
      <c r="I180" s="4"/>
      <c r="J180" s="6" t="str">
        <f t="shared" si="9"/>
        <v/>
      </c>
      <c r="K180" s="4" t="str">
        <f t="shared" ca="1" si="10"/>
        <v/>
      </c>
      <c r="L180" s="7" t="str">
        <f t="shared" ca="1" si="12"/>
        <v/>
      </c>
      <c r="M180" s="4" t="str">
        <f>IF($I180="Complete","Green",IF($H180="","Amber",IF($H180&lt;'[2]Read Me'!$B$4,"Red",IF($H180-'[2]Read Me'!$B$4&lt;=21,"Amber","Green"))))</f>
        <v>Amber</v>
      </c>
      <c r="N180" s="3"/>
      <c r="O180" t="str">
        <f>IF($I180&lt;&gt;"Complete",IF(COUNTIFS($A$4:$A179,$A180,$B$4:$B179,$B180,$I$4:$I179,"&lt;&gt;Complete")=0,$A180&amp;"|"&amp;$B180,""),"")</f>
        <v>|</v>
      </c>
      <c r="P180" t="str">
        <f ca="1">IF($K180="Yes",COUNTIFS($K$4:$K180,"Yes"),"")</f>
        <v/>
      </c>
      <c r="Q180">
        <f t="shared" ca="1" si="11"/>
        <v>0</v>
      </c>
      <c r="R180" t="str">
        <f ca="1">IF($Q180=1,SUM($Q$4:$Q180),"")</f>
        <v/>
      </c>
    </row>
    <row r="181" spans="1:18" ht="22.5" hidden="1" customHeight="1" x14ac:dyDescent="0.3">
      <c r="A181" s="2"/>
      <c r="B181" s="2"/>
      <c r="C181" s="3"/>
      <c r="D181" s="3"/>
      <c r="E181" s="2"/>
      <c r="F181" s="2"/>
      <c r="G181" s="5"/>
      <c r="H181" s="5"/>
      <c r="I181" s="4"/>
      <c r="J181" s="6" t="str">
        <f t="shared" si="9"/>
        <v/>
      </c>
      <c r="K181" s="4" t="str">
        <f t="shared" ca="1" si="10"/>
        <v/>
      </c>
      <c r="L181" s="7" t="str">
        <f t="shared" ca="1" si="12"/>
        <v/>
      </c>
      <c r="M181" s="4" t="str">
        <f>IF($I181="Complete","Green",IF($H181="","Amber",IF($H181&lt;'[2]Read Me'!$B$4,"Red",IF($H181-'[2]Read Me'!$B$4&lt;=21,"Amber","Green"))))</f>
        <v>Amber</v>
      </c>
      <c r="N181" s="3"/>
      <c r="O181" t="str">
        <f>IF($I181&lt;&gt;"Complete",IF(COUNTIFS($A$4:$A180,$A181,$B$4:$B180,$B181,$I$4:$I180,"&lt;&gt;Complete")=0,$A181&amp;"|"&amp;$B181,""),"")</f>
        <v>|</v>
      </c>
      <c r="P181" t="str">
        <f ca="1">IF($K181="Yes",COUNTIFS($K$4:$K181,"Yes"),"")</f>
        <v/>
      </c>
      <c r="Q181">
        <f t="shared" ca="1" si="11"/>
        <v>0</v>
      </c>
      <c r="R181" t="str">
        <f ca="1">IF($Q181=1,SUM($Q$4:$Q181),"")</f>
        <v/>
      </c>
    </row>
    <row r="182" spans="1:18" ht="22.5" hidden="1" customHeight="1" x14ac:dyDescent="0.3">
      <c r="A182" s="2"/>
      <c r="B182" s="2"/>
      <c r="C182" s="3"/>
      <c r="D182" s="3"/>
      <c r="E182" s="2"/>
      <c r="F182" s="2"/>
      <c r="G182" s="5"/>
      <c r="H182" s="5"/>
      <c r="I182" s="4"/>
      <c r="J182" s="6" t="str">
        <f t="shared" si="9"/>
        <v/>
      </c>
      <c r="K182" s="4" t="str">
        <f t="shared" ca="1" si="10"/>
        <v/>
      </c>
      <c r="L182" s="7" t="str">
        <f t="shared" ca="1" si="12"/>
        <v/>
      </c>
      <c r="M182" s="4" t="str">
        <f>IF($I182="Complete","Green",IF($H182="","Amber",IF($H182&lt;'[2]Read Me'!$B$4,"Red",IF($H182-'[2]Read Me'!$B$4&lt;=21,"Amber","Green"))))</f>
        <v>Amber</v>
      </c>
      <c r="N182" s="3"/>
      <c r="O182" t="str">
        <f>IF($I182&lt;&gt;"Complete",IF(COUNTIFS($A$4:$A181,$A182,$B$4:$B181,$B182,$I$4:$I181,"&lt;&gt;Complete")=0,$A182&amp;"|"&amp;$B182,""),"")</f>
        <v>|</v>
      </c>
      <c r="P182" t="str">
        <f ca="1">IF($K182="Yes",COUNTIFS($K$4:$K182,"Yes"),"")</f>
        <v/>
      </c>
      <c r="Q182">
        <f t="shared" ca="1" si="11"/>
        <v>0</v>
      </c>
      <c r="R182" t="str">
        <f ca="1">IF($Q182=1,SUM($Q$4:$Q182),"")</f>
        <v/>
      </c>
    </row>
    <row r="183" spans="1:18" ht="22.5" hidden="1" customHeight="1" x14ac:dyDescent="0.3">
      <c r="A183" s="2"/>
      <c r="B183" s="2"/>
      <c r="C183" s="3"/>
      <c r="D183" s="3"/>
      <c r="E183" s="2"/>
      <c r="F183" s="2"/>
      <c r="G183" s="5"/>
      <c r="H183" s="5"/>
      <c r="I183" s="4"/>
      <c r="J183" s="6" t="str">
        <f t="shared" si="9"/>
        <v/>
      </c>
      <c r="K183" s="4" t="str">
        <f t="shared" ca="1" si="10"/>
        <v/>
      </c>
      <c r="L183" s="7" t="str">
        <f t="shared" ca="1" si="12"/>
        <v/>
      </c>
      <c r="M183" s="4" t="str">
        <f>IF($I183="Complete","Green",IF($H183="","Amber",IF($H183&lt;'[2]Read Me'!$B$4,"Red",IF($H183-'[2]Read Me'!$B$4&lt;=21,"Amber","Green"))))</f>
        <v>Amber</v>
      </c>
      <c r="N183" s="3"/>
      <c r="O183" t="str">
        <f>IF($I183&lt;&gt;"Complete",IF(COUNTIFS($A$4:$A182,$A183,$B$4:$B182,$B183,$I$4:$I182,"&lt;&gt;Complete")=0,$A183&amp;"|"&amp;$B183,""),"")</f>
        <v>|</v>
      </c>
      <c r="P183" t="str">
        <f ca="1">IF($K183="Yes",COUNTIFS($K$4:$K183,"Yes"),"")</f>
        <v/>
      </c>
      <c r="Q183">
        <f t="shared" ca="1" si="11"/>
        <v>0</v>
      </c>
      <c r="R183" t="str">
        <f ca="1">IF($Q183=1,SUM($Q$4:$Q183),"")</f>
        <v/>
      </c>
    </row>
    <row r="184" spans="1:18" ht="22.5" hidden="1" customHeight="1" x14ac:dyDescent="0.3">
      <c r="A184" s="2"/>
      <c r="B184" s="2"/>
      <c r="C184" s="3"/>
      <c r="D184" s="3"/>
      <c r="E184" s="2"/>
      <c r="F184" s="2"/>
      <c r="G184" s="5"/>
      <c r="H184" s="5"/>
      <c r="I184" s="4"/>
      <c r="J184" s="6" t="str">
        <f t="shared" si="9"/>
        <v/>
      </c>
      <c r="K184" s="4" t="str">
        <f t="shared" ca="1" si="10"/>
        <v/>
      </c>
      <c r="L184" s="7" t="str">
        <f t="shared" ca="1" si="12"/>
        <v/>
      </c>
      <c r="M184" s="4" t="str">
        <f>IF($I184="Complete","Green",IF($H184="","Amber",IF($H184&lt;'[2]Read Me'!$B$4,"Red",IF($H184-'[2]Read Me'!$B$4&lt;=21,"Amber","Green"))))</f>
        <v>Amber</v>
      </c>
      <c r="N184" s="3"/>
      <c r="O184" t="str">
        <f>IF($I184&lt;&gt;"Complete",IF(COUNTIFS($A$4:$A183,$A184,$B$4:$B183,$B184,$I$4:$I183,"&lt;&gt;Complete")=0,$A184&amp;"|"&amp;$B184,""),"")</f>
        <v>|</v>
      </c>
      <c r="P184" t="str">
        <f ca="1">IF($K184="Yes",COUNTIFS($K$4:$K184,"Yes"),"")</f>
        <v/>
      </c>
      <c r="Q184">
        <f t="shared" ca="1" si="11"/>
        <v>0</v>
      </c>
      <c r="R184" t="str">
        <f ca="1">IF($Q184=1,SUM($Q$4:$Q184),"")</f>
        <v/>
      </c>
    </row>
    <row r="185" spans="1:18" ht="22.5" hidden="1" customHeight="1" x14ac:dyDescent="0.3">
      <c r="A185" s="2"/>
      <c r="B185" s="2"/>
      <c r="C185" s="3"/>
      <c r="D185" s="3"/>
      <c r="E185" s="2"/>
      <c r="F185" s="2"/>
      <c r="G185" s="5"/>
      <c r="H185" s="5"/>
      <c r="I185" s="4"/>
      <c r="J185" s="6" t="str">
        <f t="shared" si="9"/>
        <v/>
      </c>
      <c r="K185" s="4" t="str">
        <f t="shared" ca="1" si="10"/>
        <v/>
      </c>
      <c r="L185" s="7" t="str">
        <f t="shared" ca="1" si="12"/>
        <v/>
      </c>
      <c r="M185" s="4" t="str">
        <f>IF($I185="Complete","Green",IF($H185="","Amber",IF($H185&lt;'[2]Read Me'!$B$4,"Red",IF($H185-'[2]Read Me'!$B$4&lt;=21,"Amber","Green"))))</f>
        <v>Amber</v>
      </c>
      <c r="N185" s="3"/>
      <c r="O185" t="str">
        <f>IF($I185&lt;&gt;"Complete",IF(COUNTIFS($A$4:$A184,$A185,$B$4:$B184,$B185,$I$4:$I184,"&lt;&gt;Complete")=0,$A185&amp;"|"&amp;$B185,""),"")</f>
        <v>|</v>
      </c>
      <c r="P185" t="str">
        <f ca="1">IF($K185="Yes",COUNTIFS($K$4:$K185,"Yes"),"")</f>
        <v/>
      </c>
      <c r="Q185">
        <f t="shared" ca="1" si="11"/>
        <v>0</v>
      </c>
      <c r="R185" t="str">
        <f ca="1">IF($Q185=1,SUM($Q$4:$Q185),"")</f>
        <v/>
      </c>
    </row>
    <row r="186" spans="1:18" ht="22.5" hidden="1" customHeight="1" x14ac:dyDescent="0.3">
      <c r="A186" s="2"/>
      <c r="B186" s="2"/>
      <c r="C186" s="3"/>
      <c r="D186" s="3"/>
      <c r="E186" s="2"/>
      <c r="F186" s="2"/>
      <c r="G186" s="5"/>
      <c r="H186" s="5"/>
      <c r="I186" s="4"/>
      <c r="J186" s="6" t="str">
        <f t="shared" si="9"/>
        <v/>
      </c>
      <c r="K186" s="4" t="str">
        <f t="shared" ca="1" si="10"/>
        <v/>
      </c>
      <c r="L186" s="7" t="str">
        <f t="shared" ca="1" si="12"/>
        <v/>
      </c>
      <c r="M186" s="4" t="str">
        <f>IF($I186="Complete","Green",IF($H186="","Amber",IF($H186&lt;'[2]Read Me'!$B$4,"Red",IF($H186-'[2]Read Me'!$B$4&lt;=21,"Amber","Green"))))</f>
        <v>Amber</v>
      </c>
      <c r="N186" s="3"/>
      <c r="O186" t="str">
        <f>IF($I186&lt;&gt;"Complete",IF(COUNTIFS($A$4:$A185,$A186,$B$4:$B185,$B186,$I$4:$I185,"&lt;&gt;Complete")=0,$A186&amp;"|"&amp;$B186,""),"")</f>
        <v>|</v>
      </c>
      <c r="P186" t="str">
        <f ca="1">IF($K186="Yes",COUNTIFS($K$4:$K186,"Yes"),"")</f>
        <v/>
      </c>
      <c r="Q186">
        <f t="shared" ca="1" si="11"/>
        <v>0</v>
      </c>
      <c r="R186" t="str">
        <f ca="1">IF($Q186=1,SUM($Q$4:$Q186),"")</f>
        <v/>
      </c>
    </row>
    <row r="187" spans="1:18" ht="22.5" hidden="1" customHeight="1" x14ac:dyDescent="0.3">
      <c r="A187" s="2"/>
      <c r="B187" s="2"/>
      <c r="C187" s="3"/>
      <c r="D187" s="3"/>
      <c r="E187" s="2"/>
      <c r="F187" s="2"/>
      <c r="G187" s="5"/>
      <c r="H187" s="5"/>
      <c r="I187" s="4"/>
      <c r="J187" s="6" t="str">
        <f t="shared" si="9"/>
        <v/>
      </c>
      <c r="K187" s="4" t="str">
        <f t="shared" ca="1" si="10"/>
        <v/>
      </c>
      <c r="L187" s="7" t="str">
        <f t="shared" ca="1" si="12"/>
        <v/>
      </c>
      <c r="M187" s="4" t="str">
        <f>IF($I187="Complete","Green",IF($H187="","Amber",IF($H187&lt;'[2]Read Me'!$B$4,"Red",IF($H187-'[2]Read Me'!$B$4&lt;=21,"Amber","Green"))))</f>
        <v>Amber</v>
      </c>
      <c r="N187" s="3"/>
      <c r="O187" t="str">
        <f>IF($I187&lt;&gt;"Complete",IF(COUNTIFS($A$4:$A186,$A187,$B$4:$B186,$B187,$I$4:$I186,"&lt;&gt;Complete")=0,$A187&amp;"|"&amp;$B187,""),"")</f>
        <v>|</v>
      </c>
      <c r="P187" t="str">
        <f ca="1">IF($K187="Yes",COUNTIFS($K$4:$K187,"Yes"),"")</f>
        <v/>
      </c>
      <c r="Q187">
        <f t="shared" ca="1" si="11"/>
        <v>0</v>
      </c>
      <c r="R187" t="str">
        <f ca="1">IF($Q187=1,SUM($Q$4:$Q187),"")</f>
        <v/>
      </c>
    </row>
    <row r="188" spans="1:18" ht="22.5" hidden="1" customHeight="1" x14ac:dyDescent="0.3">
      <c r="A188" s="2"/>
      <c r="B188" s="2"/>
      <c r="C188" s="3"/>
      <c r="D188" s="3"/>
      <c r="E188" s="2"/>
      <c r="F188" s="2"/>
      <c r="G188" s="5"/>
      <c r="H188" s="5"/>
      <c r="I188" s="4"/>
      <c r="J188" s="6" t="str">
        <f t="shared" si="9"/>
        <v/>
      </c>
      <c r="K188" s="4" t="str">
        <f t="shared" ca="1" si="10"/>
        <v/>
      </c>
      <c r="L188" s="7" t="str">
        <f t="shared" ca="1" si="12"/>
        <v/>
      </c>
      <c r="M188" s="4" t="str">
        <f>IF($I188="Complete","Green",IF($H188="","Amber",IF($H188&lt;'[2]Read Me'!$B$4,"Red",IF($H188-'[2]Read Me'!$B$4&lt;=21,"Amber","Green"))))</f>
        <v>Amber</v>
      </c>
      <c r="N188" s="3"/>
      <c r="O188" t="str">
        <f>IF($I188&lt;&gt;"Complete",IF(COUNTIFS($A$4:$A187,$A188,$B$4:$B187,$B188,$I$4:$I187,"&lt;&gt;Complete")=0,$A188&amp;"|"&amp;$B188,""),"")</f>
        <v>|</v>
      </c>
      <c r="P188" t="str">
        <f ca="1">IF($K188="Yes",COUNTIFS($K$4:$K188,"Yes"),"")</f>
        <v/>
      </c>
      <c r="Q188">
        <f t="shared" ca="1" si="11"/>
        <v>0</v>
      </c>
      <c r="R188" t="str">
        <f ca="1">IF($Q188=1,SUM($Q$4:$Q188),"")</f>
        <v/>
      </c>
    </row>
    <row r="189" spans="1:18" ht="22.5" hidden="1" customHeight="1" x14ac:dyDescent="0.3">
      <c r="A189" s="2"/>
      <c r="B189" s="2"/>
      <c r="C189" s="3"/>
      <c r="D189" s="3"/>
      <c r="E189" s="2"/>
      <c r="F189" s="2"/>
      <c r="G189" s="5"/>
      <c r="H189" s="5"/>
      <c r="I189" s="4"/>
      <c r="J189" s="6" t="str">
        <f t="shared" si="9"/>
        <v/>
      </c>
      <c r="K189" s="4" t="str">
        <f t="shared" ca="1" si="10"/>
        <v/>
      </c>
      <c r="L189" s="7" t="str">
        <f t="shared" ca="1" si="12"/>
        <v/>
      </c>
      <c r="M189" s="4" t="str">
        <f>IF($I189="Complete","Green",IF($H189="","Amber",IF($H189&lt;'[2]Read Me'!$B$4,"Red",IF($H189-'[2]Read Me'!$B$4&lt;=21,"Amber","Green"))))</f>
        <v>Amber</v>
      </c>
      <c r="N189" s="3"/>
      <c r="O189" t="str">
        <f>IF($I189&lt;&gt;"Complete",IF(COUNTIFS($A$4:$A188,$A189,$B$4:$B188,$B189,$I$4:$I188,"&lt;&gt;Complete")=0,$A189&amp;"|"&amp;$B189,""),"")</f>
        <v>|</v>
      </c>
      <c r="P189" t="str">
        <f ca="1">IF($K189="Yes",COUNTIFS($K$4:$K189,"Yes"),"")</f>
        <v/>
      </c>
      <c r="Q189">
        <f t="shared" ca="1" si="11"/>
        <v>0</v>
      </c>
      <c r="R189" t="str">
        <f ca="1">IF($Q189=1,SUM($Q$4:$Q189),"")</f>
        <v/>
      </c>
    </row>
    <row r="190" spans="1:18" ht="22.5" hidden="1" customHeight="1" x14ac:dyDescent="0.3">
      <c r="A190" s="2"/>
      <c r="B190" s="2"/>
      <c r="C190" s="3"/>
      <c r="D190" s="3"/>
      <c r="E190" s="2"/>
      <c r="F190" s="2"/>
      <c r="G190" s="5"/>
      <c r="H190" s="5"/>
      <c r="I190" s="4"/>
      <c r="J190" s="6" t="str">
        <f t="shared" si="9"/>
        <v/>
      </c>
      <c r="K190" s="4" t="str">
        <f t="shared" ca="1" si="10"/>
        <v/>
      </c>
      <c r="L190" s="7" t="str">
        <f t="shared" ca="1" si="12"/>
        <v/>
      </c>
      <c r="M190" s="4" t="str">
        <f>IF($I190="Complete","Green",IF($H190="","Amber",IF($H190&lt;'[2]Read Me'!$B$4,"Red",IF($H190-'[2]Read Me'!$B$4&lt;=21,"Amber","Green"))))</f>
        <v>Amber</v>
      </c>
      <c r="N190" s="3"/>
      <c r="O190" t="str">
        <f>IF($I190&lt;&gt;"Complete",IF(COUNTIFS($A$4:$A189,$A190,$B$4:$B189,$B190,$I$4:$I189,"&lt;&gt;Complete")=0,$A190&amp;"|"&amp;$B190,""),"")</f>
        <v>|</v>
      </c>
      <c r="P190" t="str">
        <f ca="1">IF($K190="Yes",COUNTIFS($K$4:$K190,"Yes"),"")</f>
        <v/>
      </c>
      <c r="Q190">
        <f t="shared" ca="1" si="11"/>
        <v>0</v>
      </c>
      <c r="R190" t="str">
        <f ca="1">IF($Q190=1,SUM($Q$4:$Q190),"")</f>
        <v/>
      </c>
    </row>
    <row r="191" spans="1:18" ht="22.5" hidden="1" customHeight="1" x14ac:dyDescent="0.3">
      <c r="A191" s="2"/>
      <c r="B191" s="2"/>
      <c r="C191" s="3"/>
      <c r="D191" s="3"/>
      <c r="E191" s="2"/>
      <c r="F191" s="2"/>
      <c r="G191" s="5"/>
      <c r="H191" s="5"/>
      <c r="I191" s="4"/>
      <c r="J191" s="6" t="str">
        <f t="shared" si="9"/>
        <v/>
      </c>
      <c r="K191" s="4" t="str">
        <f t="shared" ca="1" si="10"/>
        <v/>
      </c>
      <c r="L191" s="7" t="str">
        <f t="shared" ca="1" si="12"/>
        <v/>
      </c>
      <c r="M191" s="4" t="str">
        <f>IF($I191="Complete","Green",IF($H191="","Amber",IF($H191&lt;'[2]Read Me'!$B$4,"Red",IF($H191-'[2]Read Me'!$B$4&lt;=21,"Amber","Green"))))</f>
        <v>Amber</v>
      </c>
      <c r="N191" s="3"/>
      <c r="O191" t="str">
        <f>IF($I191&lt;&gt;"Complete",IF(COUNTIFS($A$4:$A190,$A191,$B$4:$B190,$B191,$I$4:$I190,"&lt;&gt;Complete")=0,$A191&amp;"|"&amp;$B191,""),"")</f>
        <v>|</v>
      </c>
      <c r="P191" t="str">
        <f ca="1">IF($K191="Yes",COUNTIFS($K$4:$K191,"Yes"),"")</f>
        <v/>
      </c>
      <c r="Q191">
        <f t="shared" ca="1" si="11"/>
        <v>0</v>
      </c>
      <c r="R191" t="str">
        <f ca="1">IF($Q191=1,SUM($Q$4:$Q191),"")</f>
        <v/>
      </c>
    </row>
    <row r="192" spans="1:18" ht="33.75" hidden="1" customHeight="1" x14ac:dyDescent="0.3">
      <c r="A192" s="2"/>
      <c r="B192" s="2"/>
      <c r="C192" s="3"/>
      <c r="D192" s="3"/>
      <c r="E192" s="2"/>
      <c r="F192" s="2"/>
      <c r="G192" s="5"/>
      <c r="H192" s="5"/>
      <c r="I192" s="4"/>
      <c r="J192" s="6" t="str">
        <f t="shared" si="9"/>
        <v/>
      </c>
      <c r="K192" s="4" t="str">
        <f t="shared" ca="1" si="10"/>
        <v/>
      </c>
      <c r="L192" s="7" t="str">
        <f t="shared" ca="1" si="12"/>
        <v/>
      </c>
      <c r="M192" s="4" t="str">
        <f>IF($I192="Complete","Green",IF($H192="","Amber",IF($H192&lt;'[2]Read Me'!$B$4,"Red",IF($H192-'[2]Read Me'!$B$4&lt;=21,"Amber","Green"))))</f>
        <v>Amber</v>
      </c>
      <c r="N192" s="3"/>
      <c r="O192" t="str">
        <f>IF($I192&lt;&gt;"Complete",IF(COUNTIFS($A$4:$A191,$A192,$B$4:$B191,$B192,$I$4:$I191,"&lt;&gt;Complete")=0,$A192&amp;"|"&amp;$B192,""),"")</f>
        <v>|</v>
      </c>
      <c r="P192" t="str">
        <f ca="1">IF($K192="Yes",COUNTIFS($K$4:$K192,"Yes"),"")</f>
        <v/>
      </c>
      <c r="Q192">
        <f t="shared" ca="1" si="11"/>
        <v>0</v>
      </c>
      <c r="R192" t="str">
        <f ca="1">IF($Q192=1,SUM($Q$4:$Q192),"")</f>
        <v/>
      </c>
    </row>
    <row r="193" spans="1:18" ht="33.75" hidden="1" customHeight="1" x14ac:dyDescent="0.3">
      <c r="A193" s="2"/>
      <c r="B193" s="2"/>
      <c r="C193" s="3"/>
      <c r="D193" s="3"/>
      <c r="E193" s="2"/>
      <c r="F193" s="2"/>
      <c r="G193" s="5"/>
      <c r="H193" s="5"/>
      <c r="I193" s="4"/>
      <c r="J193" s="6" t="str">
        <f t="shared" si="9"/>
        <v/>
      </c>
      <c r="K193" s="4" t="str">
        <f t="shared" ca="1" si="10"/>
        <v/>
      </c>
      <c r="L193" s="7" t="str">
        <f t="shared" ca="1" si="12"/>
        <v/>
      </c>
      <c r="M193" s="4" t="str">
        <f>IF($I193="Complete","Green",IF($H193="","Amber",IF($H193&lt;'[2]Read Me'!$B$4,"Red",IF($H193-'[2]Read Me'!$B$4&lt;=21,"Amber","Green"))))</f>
        <v>Amber</v>
      </c>
      <c r="N193" s="3"/>
      <c r="O193" t="str">
        <f>IF($I193&lt;&gt;"Complete",IF(COUNTIFS($A$4:$A192,$A193,$B$4:$B192,$B193,$I$4:$I192,"&lt;&gt;Complete")=0,$A193&amp;"|"&amp;$B193,""),"")</f>
        <v>|</v>
      </c>
      <c r="P193" t="str">
        <f ca="1">IF($K193="Yes",COUNTIFS($K$4:$K193,"Yes"),"")</f>
        <v/>
      </c>
      <c r="Q193">
        <f t="shared" ca="1" si="11"/>
        <v>0</v>
      </c>
      <c r="R193" t="str">
        <f ca="1">IF($Q193=1,SUM($Q$4:$Q193),"")</f>
        <v/>
      </c>
    </row>
    <row r="194" spans="1:18" ht="33.75" hidden="1" customHeight="1" x14ac:dyDescent="0.3">
      <c r="A194" s="2"/>
      <c r="B194" s="2"/>
      <c r="C194" s="3"/>
      <c r="D194" s="3"/>
      <c r="E194" s="2"/>
      <c r="F194" s="2"/>
      <c r="G194" s="5"/>
      <c r="H194" s="5"/>
      <c r="I194" s="4"/>
      <c r="J194" s="6" t="str">
        <f t="shared" si="9"/>
        <v/>
      </c>
      <c r="K194" s="4" t="str">
        <f t="shared" ca="1" si="10"/>
        <v/>
      </c>
      <c r="L194" s="7" t="str">
        <f t="shared" ca="1" si="12"/>
        <v/>
      </c>
      <c r="M194" s="4" t="str">
        <f>IF($I194="Complete","Green",IF($H194="","Amber",IF($H194&lt;'[2]Read Me'!$B$4,"Red",IF($H194-'[2]Read Me'!$B$4&lt;=21,"Amber","Green"))))</f>
        <v>Amber</v>
      </c>
      <c r="N194" s="3"/>
      <c r="O194" t="str">
        <f>IF($I194&lt;&gt;"Complete",IF(COUNTIFS($A$4:$A193,$A194,$B$4:$B193,$B194,$I$4:$I193,"&lt;&gt;Complete")=0,$A194&amp;"|"&amp;$B194,""),"")</f>
        <v>|</v>
      </c>
      <c r="P194" t="str">
        <f ca="1">IF($K194="Yes",COUNTIFS($K$4:$K194,"Yes"),"")</f>
        <v/>
      </c>
      <c r="Q194">
        <f t="shared" ca="1" si="11"/>
        <v>0</v>
      </c>
      <c r="R194" t="str">
        <f ca="1">IF($Q194=1,SUM($Q$4:$Q194),"")</f>
        <v/>
      </c>
    </row>
    <row r="195" spans="1:18" ht="33.75" hidden="1" customHeight="1" x14ac:dyDescent="0.3">
      <c r="A195" s="2"/>
      <c r="B195" s="2"/>
      <c r="C195" s="3"/>
      <c r="D195" s="3"/>
      <c r="E195" s="2"/>
      <c r="F195" s="2"/>
      <c r="G195" s="5"/>
      <c r="H195" s="5"/>
      <c r="I195" s="4"/>
      <c r="J195" s="6" t="str">
        <f t="shared" si="9"/>
        <v/>
      </c>
      <c r="K195" s="4" t="str">
        <f t="shared" ca="1" si="10"/>
        <v/>
      </c>
      <c r="L195" s="7" t="str">
        <f t="shared" ca="1" si="12"/>
        <v/>
      </c>
      <c r="M195" s="4" t="str">
        <f>IF($I195="Complete","Green",IF($H195="","Amber",IF($H195&lt;'[2]Read Me'!$B$4,"Red",IF($H195-'[2]Read Me'!$B$4&lt;=21,"Amber","Green"))))</f>
        <v>Amber</v>
      </c>
      <c r="N195" s="3"/>
      <c r="O195" t="str">
        <f>IF($I195&lt;&gt;"Complete",IF(COUNTIFS($A$4:$A194,$A195,$B$4:$B194,$B195,$I$4:$I194,"&lt;&gt;Complete")=0,$A195&amp;"|"&amp;$B195,""),"")</f>
        <v>|</v>
      </c>
      <c r="P195" t="str">
        <f ca="1">IF($K195="Yes",COUNTIFS($K$4:$K195,"Yes"),"")</f>
        <v/>
      </c>
      <c r="Q195">
        <f t="shared" ca="1" si="11"/>
        <v>0</v>
      </c>
      <c r="R195" t="str">
        <f ca="1">IF($Q195=1,SUM($Q$4:$Q195),"")</f>
        <v/>
      </c>
    </row>
    <row r="196" spans="1:18" ht="33.75" hidden="1" customHeight="1" x14ac:dyDescent="0.3">
      <c r="A196" s="2"/>
      <c r="B196" s="2"/>
      <c r="C196" s="3"/>
      <c r="D196" s="3"/>
      <c r="E196" s="2"/>
      <c r="F196" s="2"/>
      <c r="G196" s="5"/>
      <c r="H196" s="5"/>
      <c r="I196" s="4"/>
      <c r="J196" s="6" t="str">
        <f t="shared" ref="J196:J259" si="13">IF(OR($G196="",$H196=""),"",$H196-$G196)</f>
        <v/>
      </c>
      <c r="K196" s="4" t="str">
        <f t="shared" ref="K196:K243" ca="1" si="14">IF(C196="","",IF(H196="","",IF($I196="completed","-",IF($H196&gt;TODAY(),"No","Yes"))))</f>
        <v/>
      </c>
      <c r="L196" s="7" t="str">
        <f t="shared" ca="1" si="12"/>
        <v/>
      </c>
      <c r="M196" s="4" t="str">
        <f>IF($I196="Complete","Green",IF($H196="","Amber",IF($H196&lt;'[2]Read Me'!$B$4,"Red",IF($H196-'[2]Read Me'!$B$4&lt;=21,"Amber","Green"))))</f>
        <v>Amber</v>
      </c>
      <c r="N196" s="3"/>
      <c r="O196" t="str">
        <f>IF($I196&lt;&gt;"Complete",IF(COUNTIFS($A$4:$A195,$A196,$B$4:$B195,$B196,$I$4:$I195,"&lt;&gt;Complete")=0,$A196&amp;"|"&amp;$B196,""),"")</f>
        <v>|</v>
      </c>
      <c r="P196" t="str">
        <f ca="1">IF($K196="Yes",COUNTIFS($K$4:$K196,"Yes"),"")</f>
        <v/>
      </c>
      <c r="Q196">
        <f t="shared" ref="Q196:Q259" ca="1" si="15">IF(OR($I196="In Progress",$K196="Yes"),1,0)</f>
        <v>0</v>
      </c>
      <c r="R196" t="str">
        <f ca="1">IF($Q196=1,SUM($Q$4:$Q196),"")</f>
        <v/>
      </c>
    </row>
    <row r="197" spans="1:18" ht="22.5" hidden="1" customHeight="1" x14ac:dyDescent="0.3">
      <c r="A197" s="2"/>
      <c r="B197" s="2"/>
      <c r="C197" s="3"/>
      <c r="D197" s="3"/>
      <c r="E197" s="2"/>
      <c r="F197" s="2"/>
      <c r="G197" s="5"/>
      <c r="H197" s="5"/>
      <c r="I197" s="4"/>
      <c r="J197" s="6" t="str">
        <f t="shared" si="13"/>
        <v/>
      </c>
      <c r="K197" s="4" t="str">
        <f t="shared" ca="1" si="14"/>
        <v/>
      </c>
      <c r="L197" s="7" t="str">
        <f t="shared" ref="L197:L260" ca="1" si="16">IF(I197="Completed",0,IF(H197="","",H197-TODAY()))</f>
        <v/>
      </c>
      <c r="M197" s="4" t="str">
        <f>IF($I197="Complete","Green",IF($H197="","Amber",IF($H197&lt;'[2]Read Me'!$B$4,"Red",IF($H197-'[2]Read Me'!$B$4&lt;=21,"Amber","Green"))))</f>
        <v>Amber</v>
      </c>
      <c r="N197" s="3"/>
      <c r="O197" t="str">
        <f>IF($I197&lt;&gt;"Complete",IF(COUNTIFS($A$4:$A196,$A197,$B$4:$B196,$B197,$I$4:$I196,"&lt;&gt;Complete")=0,$A197&amp;"|"&amp;$B197,""),"")</f>
        <v>|</v>
      </c>
      <c r="P197" t="str">
        <f ca="1">IF($K197="Yes",COUNTIFS($K$4:$K197,"Yes"),"")</f>
        <v/>
      </c>
      <c r="Q197">
        <f t="shared" ca="1" si="15"/>
        <v>0</v>
      </c>
      <c r="R197" t="str">
        <f ca="1">IF($Q197=1,SUM($Q$4:$Q197),"")</f>
        <v/>
      </c>
    </row>
    <row r="198" spans="1:18" ht="22.5" hidden="1" customHeight="1" x14ac:dyDescent="0.3">
      <c r="A198" s="2"/>
      <c r="B198" s="2"/>
      <c r="C198" s="3"/>
      <c r="D198" s="3"/>
      <c r="E198" s="2"/>
      <c r="F198" s="2"/>
      <c r="G198" s="5"/>
      <c r="H198" s="5"/>
      <c r="I198" s="4"/>
      <c r="J198" s="6" t="str">
        <f t="shared" si="13"/>
        <v/>
      </c>
      <c r="K198" s="4" t="str">
        <f t="shared" ca="1" si="14"/>
        <v/>
      </c>
      <c r="L198" s="7" t="str">
        <f t="shared" ca="1" si="16"/>
        <v/>
      </c>
      <c r="M198" s="4" t="str">
        <f>IF($I198="Complete","Green",IF($H198="","Amber",IF($H198&lt;'[2]Read Me'!$B$4,"Red",IF($H198-'[2]Read Me'!$B$4&lt;=21,"Amber","Green"))))</f>
        <v>Amber</v>
      </c>
      <c r="N198" s="3"/>
      <c r="O198" t="str">
        <f>IF($I198&lt;&gt;"Complete",IF(COUNTIFS($A$4:$A197,$A198,$B$4:$B197,$B198,$I$4:$I197,"&lt;&gt;Complete")=0,$A198&amp;"|"&amp;$B198,""),"")</f>
        <v>|</v>
      </c>
      <c r="P198" t="str">
        <f ca="1">IF($K198="Yes",COUNTIFS($K$4:$K198,"Yes"),"")</f>
        <v/>
      </c>
      <c r="Q198">
        <f t="shared" ca="1" si="15"/>
        <v>0</v>
      </c>
      <c r="R198" t="str">
        <f ca="1">IF($Q198=1,SUM($Q$4:$Q198),"")</f>
        <v/>
      </c>
    </row>
    <row r="199" spans="1:18" ht="22.5" hidden="1" customHeight="1" x14ac:dyDescent="0.3">
      <c r="A199" s="2"/>
      <c r="B199" s="2"/>
      <c r="C199" s="3"/>
      <c r="D199" s="3"/>
      <c r="E199" s="2"/>
      <c r="F199" s="2"/>
      <c r="G199" s="5"/>
      <c r="H199" s="5"/>
      <c r="I199" s="4"/>
      <c r="J199" s="6" t="str">
        <f t="shared" si="13"/>
        <v/>
      </c>
      <c r="K199" s="4" t="str">
        <f t="shared" ca="1" si="14"/>
        <v/>
      </c>
      <c r="L199" s="7" t="str">
        <f t="shared" ca="1" si="16"/>
        <v/>
      </c>
      <c r="M199" s="4" t="str">
        <f>IF($I199="Complete","Green",IF($H199="","Amber",IF($H199&lt;'[2]Read Me'!$B$4,"Red",IF($H199-'[2]Read Me'!$B$4&lt;=21,"Amber","Green"))))</f>
        <v>Amber</v>
      </c>
      <c r="N199" s="3"/>
      <c r="O199" t="str">
        <f>IF($I199&lt;&gt;"Complete",IF(COUNTIFS($A$4:$A198,$A199,$B$4:$B198,$B199,$I$4:$I198,"&lt;&gt;Complete")=0,$A199&amp;"|"&amp;$B199,""),"")</f>
        <v>|</v>
      </c>
      <c r="P199" t="str">
        <f ca="1">IF($K199="Yes",COUNTIFS($K$4:$K199,"Yes"),"")</f>
        <v/>
      </c>
      <c r="Q199">
        <f t="shared" ca="1" si="15"/>
        <v>0</v>
      </c>
      <c r="R199" t="str">
        <f ca="1">IF($Q199=1,SUM($Q$4:$Q199),"")</f>
        <v/>
      </c>
    </row>
    <row r="200" spans="1:18" ht="22.5" hidden="1" customHeight="1" x14ac:dyDescent="0.3">
      <c r="A200" s="2"/>
      <c r="B200" s="2"/>
      <c r="C200" s="3"/>
      <c r="D200" s="3"/>
      <c r="E200" s="2"/>
      <c r="F200" s="2"/>
      <c r="G200" s="5"/>
      <c r="H200" s="5"/>
      <c r="I200" s="4"/>
      <c r="J200" s="6" t="str">
        <f t="shared" si="13"/>
        <v/>
      </c>
      <c r="K200" s="4" t="str">
        <f t="shared" ca="1" si="14"/>
        <v/>
      </c>
      <c r="L200" s="7" t="str">
        <f t="shared" ca="1" si="16"/>
        <v/>
      </c>
      <c r="M200" s="4" t="str">
        <f>IF($I200="Complete","Green",IF($H200="","Amber",IF($H200&lt;'[2]Read Me'!$B$4,"Red",IF($H200-'[2]Read Me'!$B$4&lt;=21,"Amber","Green"))))</f>
        <v>Amber</v>
      </c>
      <c r="N200" s="3"/>
      <c r="O200" t="str">
        <f>IF($I200&lt;&gt;"Complete",IF(COUNTIFS($A$4:$A199,$A200,$B$4:$B199,$B200,$I$4:$I199,"&lt;&gt;Complete")=0,$A200&amp;"|"&amp;$B200,""),"")</f>
        <v>|</v>
      </c>
      <c r="P200" t="str">
        <f ca="1">IF($K200="Yes",COUNTIFS($K$4:$K200,"Yes"),"")</f>
        <v/>
      </c>
      <c r="Q200">
        <f t="shared" ca="1" si="15"/>
        <v>0</v>
      </c>
      <c r="R200" t="str">
        <f ca="1">IF($Q200=1,SUM($Q$4:$Q200),"")</f>
        <v/>
      </c>
    </row>
    <row r="201" spans="1:18" ht="22.5" hidden="1" customHeight="1" x14ac:dyDescent="0.3">
      <c r="A201" s="2"/>
      <c r="B201" s="2"/>
      <c r="C201" s="3"/>
      <c r="D201" s="3"/>
      <c r="E201" s="2"/>
      <c r="F201" s="2"/>
      <c r="G201" s="5"/>
      <c r="H201" s="5"/>
      <c r="I201" s="4"/>
      <c r="J201" s="6" t="str">
        <f t="shared" si="13"/>
        <v/>
      </c>
      <c r="K201" s="4" t="str">
        <f t="shared" ca="1" si="14"/>
        <v/>
      </c>
      <c r="L201" s="7" t="str">
        <f t="shared" ca="1" si="16"/>
        <v/>
      </c>
      <c r="M201" s="4" t="str">
        <f>IF($I201="Complete","Green",IF($H201="","Amber",IF($H201&lt;'[2]Read Me'!$B$4,"Red",IF($H201-'[2]Read Me'!$B$4&lt;=21,"Amber","Green"))))</f>
        <v>Amber</v>
      </c>
      <c r="N201" s="3"/>
      <c r="O201" t="str">
        <f>IF($I201&lt;&gt;"Complete",IF(COUNTIFS($A$4:$A200,$A201,$B$4:$B200,$B201,$I$4:$I200,"&lt;&gt;Complete")=0,$A201&amp;"|"&amp;$B201,""),"")</f>
        <v>|</v>
      </c>
      <c r="P201" t="str">
        <f ca="1">IF($K201="Yes",COUNTIFS($K$4:$K201,"Yes"),"")</f>
        <v/>
      </c>
      <c r="Q201">
        <f t="shared" ca="1" si="15"/>
        <v>0</v>
      </c>
      <c r="R201" t="str">
        <f ca="1">IF($Q201=1,SUM($Q$4:$Q201),"")</f>
        <v/>
      </c>
    </row>
    <row r="202" spans="1:18" ht="22.5" hidden="1" customHeight="1" x14ac:dyDescent="0.3">
      <c r="A202" s="2"/>
      <c r="B202" s="2"/>
      <c r="C202" s="3"/>
      <c r="D202" s="3"/>
      <c r="E202" s="2"/>
      <c r="F202" s="2"/>
      <c r="G202" s="5"/>
      <c r="H202" s="5"/>
      <c r="I202" s="4"/>
      <c r="J202" s="6" t="str">
        <f t="shared" si="13"/>
        <v/>
      </c>
      <c r="K202" s="4" t="str">
        <f t="shared" ca="1" si="14"/>
        <v/>
      </c>
      <c r="L202" s="7" t="str">
        <f t="shared" ca="1" si="16"/>
        <v/>
      </c>
      <c r="M202" s="4" t="str">
        <f>IF($I202="Complete","Green",IF($H202="","Amber",IF($H202&lt;'[2]Read Me'!$B$4,"Red",IF($H202-'[2]Read Me'!$B$4&lt;=21,"Amber","Green"))))</f>
        <v>Amber</v>
      </c>
      <c r="N202" s="3"/>
      <c r="O202" t="str">
        <f>IF($I202&lt;&gt;"Complete",IF(COUNTIFS($A$4:$A201,$A202,$B$4:$B201,$B202,$I$4:$I201,"&lt;&gt;Complete")=0,$A202&amp;"|"&amp;$B202,""),"")</f>
        <v>|</v>
      </c>
      <c r="P202" t="str">
        <f ca="1">IF($K202="Yes",COUNTIFS($K$4:$K202,"Yes"),"")</f>
        <v/>
      </c>
      <c r="Q202">
        <f t="shared" ca="1" si="15"/>
        <v>0</v>
      </c>
      <c r="R202" t="str">
        <f ca="1">IF($Q202=1,SUM($Q$4:$Q202),"")</f>
        <v/>
      </c>
    </row>
    <row r="203" spans="1:18" ht="22.5" hidden="1" customHeight="1" x14ac:dyDescent="0.3">
      <c r="A203" s="2"/>
      <c r="B203" s="2"/>
      <c r="C203" s="3"/>
      <c r="D203" s="3"/>
      <c r="E203" s="2"/>
      <c r="F203" s="2"/>
      <c r="G203" s="5"/>
      <c r="H203" s="5"/>
      <c r="I203" s="4"/>
      <c r="J203" s="6" t="str">
        <f t="shared" si="13"/>
        <v/>
      </c>
      <c r="K203" s="4" t="str">
        <f t="shared" ca="1" si="14"/>
        <v/>
      </c>
      <c r="L203" s="7" t="str">
        <f t="shared" ca="1" si="16"/>
        <v/>
      </c>
      <c r="M203" s="4" t="str">
        <f>IF($I203="Complete","Green",IF($H203="","Amber",IF($H203&lt;'[2]Read Me'!$B$4,"Red",IF($H203-'[2]Read Me'!$B$4&lt;=21,"Amber","Green"))))</f>
        <v>Amber</v>
      </c>
      <c r="N203" s="3"/>
      <c r="O203" t="str">
        <f>IF($I203&lt;&gt;"Complete",IF(COUNTIFS($A$4:$A202,$A203,$B$4:$B202,$B203,$I$4:$I202,"&lt;&gt;Complete")=0,$A203&amp;"|"&amp;$B203,""),"")</f>
        <v>|</v>
      </c>
      <c r="P203" t="str">
        <f ca="1">IF($K203="Yes",COUNTIFS($K$4:$K203,"Yes"),"")</f>
        <v/>
      </c>
      <c r="Q203">
        <f t="shared" ca="1" si="15"/>
        <v>0</v>
      </c>
      <c r="R203" t="str">
        <f ca="1">IF($Q203=1,SUM($Q$4:$Q203),"")</f>
        <v/>
      </c>
    </row>
    <row r="204" spans="1:18" ht="33.75" hidden="1" customHeight="1" x14ac:dyDescent="0.3">
      <c r="A204" s="2"/>
      <c r="B204" s="2"/>
      <c r="C204" s="3"/>
      <c r="D204" s="3"/>
      <c r="E204" s="2"/>
      <c r="F204" s="2"/>
      <c r="G204" s="5"/>
      <c r="H204" s="5"/>
      <c r="I204" s="4"/>
      <c r="J204" s="6" t="str">
        <f t="shared" si="13"/>
        <v/>
      </c>
      <c r="K204" s="4" t="str">
        <f t="shared" ca="1" si="14"/>
        <v/>
      </c>
      <c r="L204" s="7" t="str">
        <f t="shared" ca="1" si="16"/>
        <v/>
      </c>
      <c r="M204" s="4" t="str">
        <f>IF($I204="Complete","Green",IF($H204="","Amber",IF($H204&lt;'[2]Read Me'!$B$4,"Red",IF($H204-'[2]Read Me'!$B$4&lt;=21,"Amber","Green"))))</f>
        <v>Amber</v>
      </c>
      <c r="N204" s="3"/>
      <c r="O204" t="str">
        <f>IF($I204&lt;&gt;"Complete",IF(COUNTIFS($A$4:$A203,$A204,$B$4:$B203,$B204,$I$4:$I203,"&lt;&gt;Complete")=0,$A204&amp;"|"&amp;$B204,""),"")</f>
        <v>|</v>
      </c>
      <c r="P204" t="str">
        <f ca="1">IF($K204="Yes",COUNTIFS($K$4:$K204,"Yes"),"")</f>
        <v/>
      </c>
      <c r="Q204">
        <f t="shared" ca="1" si="15"/>
        <v>0</v>
      </c>
      <c r="R204" t="str">
        <f ca="1">IF($Q204=1,SUM($Q$4:$Q204),"")</f>
        <v/>
      </c>
    </row>
    <row r="205" spans="1:18" ht="33.75" hidden="1" customHeight="1" x14ac:dyDescent="0.3">
      <c r="A205" s="2"/>
      <c r="B205" s="2"/>
      <c r="C205" s="3"/>
      <c r="D205" s="3"/>
      <c r="E205" s="2"/>
      <c r="F205" s="2"/>
      <c r="G205" s="5"/>
      <c r="H205" s="5"/>
      <c r="I205" s="4"/>
      <c r="J205" s="6" t="str">
        <f t="shared" si="13"/>
        <v/>
      </c>
      <c r="K205" s="4" t="str">
        <f t="shared" ca="1" si="14"/>
        <v/>
      </c>
      <c r="L205" s="7" t="str">
        <f t="shared" ca="1" si="16"/>
        <v/>
      </c>
      <c r="M205" s="4" t="str">
        <f>IF($I205="Complete","Green",IF($H205="","Amber",IF($H205&lt;'[2]Read Me'!$B$4,"Red",IF($H205-'[2]Read Me'!$B$4&lt;=21,"Amber","Green"))))</f>
        <v>Amber</v>
      </c>
      <c r="N205" s="3"/>
      <c r="O205" t="str">
        <f>IF($I205&lt;&gt;"Complete",IF(COUNTIFS($A$4:$A204,$A205,$B$4:$B204,$B205,$I$4:$I204,"&lt;&gt;Complete")=0,$A205&amp;"|"&amp;$B205,""),"")</f>
        <v>|</v>
      </c>
      <c r="P205" t="str">
        <f ca="1">IF($K205="Yes",COUNTIFS($K$4:$K205,"Yes"),"")</f>
        <v/>
      </c>
      <c r="Q205">
        <f t="shared" ca="1" si="15"/>
        <v>0</v>
      </c>
      <c r="R205" t="str">
        <f ca="1">IF($Q205=1,SUM($Q$4:$Q205),"")</f>
        <v/>
      </c>
    </row>
    <row r="206" spans="1:18" ht="33.75" hidden="1" customHeight="1" x14ac:dyDescent="0.3">
      <c r="A206" s="2"/>
      <c r="B206" s="2"/>
      <c r="C206" s="3"/>
      <c r="D206" s="3"/>
      <c r="E206" s="2"/>
      <c r="F206" s="2"/>
      <c r="G206" s="5"/>
      <c r="H206" s="5"/>
      <c r="I206" s="4"/>
      <c r="J206" s="6" t="str">
        <f t="shared" si="13"/>
        <v/>
      </c>
      <c r="K206" s="4" t="str">
        <f t="shared" ca="1" si="14"/>
        <v/>
      </c>
      <c r="L206" s="7" t="str">
        <f t="shared" ca="1" si="16"/>
        <v/>
      </c>
      <c r="M206" s="4" t="str">
        <f>IF($I206="Complete","Green",IF($H206="","Amber",IF($H206&lt;'[2]Read Me'!$B$4,"Red",IF($H206-'[2]Read Me'!$B$4&lt;=21,"Amber","Green"))))</f>
        <v>Amber</v>
      </c>
      <c r="N206" s="3"/>
      <c r="O206" t="str">
        <f>IF($I206&lt;&gt;"Complete",IF(COUNTIFS($A$4:$A205,$A206,$B$4:$B205,$B206,$I$4:$I205,"&lt;&gt;Complete")=0,$A206&amp;"|"&amp;$B206,""),"")</f>
        <v>|</v>
      </c>
      <c r="P206" t="str">
        <f ca="1">IF($K206="Yes",COUNTIFS($K$4:$K206,"Yes"),"")</f>
        <v/>
      </c>
      <c r="Q206">
        <f t="shared" ca="1" si="15"/>
        <v>0</v>
      </c>
      <c r="R206" t="str">
        <f ca="1">IF($Q206=1,SUM($Q$4:$Q206),"")</f>
        <v/>
      </c>
    </row>
    <row r="207" spans="1:18" ht="33.75" hidden="1" customHeight="1" x14ac:dyDescent="0.3">
      <c r="A207" s="2"/>
      <c r="B207" s="2"/>
      <c r="C207" s="3"/>
      <c r="D207" s="3"/>
      <c r="E207" s="2"/>
      <c r="F207" s="2"/>
      <c r="G207" s="5"/>
      <c r="H207" s="5"/>
      <c r="I207" s="4"/>
      <c r="J207" s="6" t="str">
        <f t="shared" si="13"/>
        <v/>
      </c>
      <c r="K207" s="4" t="str">
        <f t="shared" ca="1" si="14"/>
        <v/>
      </c>
      <c r="L207" s="7" t="str">
        <f t="shared" ca="1" si="16"/>
        <v/>
      </c>
      <c r="M207" s="4" t="str">
        <f>IF($I207="Complete","Green",IF($H207="","Amber",IF($H207&lt;'[2]Read Me'!$B$4,"Red",IF($H207-'[2]Read Me'!$B$4&lt;=21,"Amber","Green"))))</f>
        <v>Amber</v>
      </c>
      <c r="N207" s="3"/>
      <c r="O207" t="str">
        <f>IF($I207&lt;&gt;"Complete",IF(COUNTIFS($A$4:$A206,$A207,$B$4:$B206,$B207,$I$4:$I206,"&lt;&gt;Complete")=0,$A207&amp;"|"&amp;$B207,""),"")</f>
        <v>|</v>
      </c>
      <c r="P207" t="str">
        <f ca="1">IF($K207="Yes",COUNTIFS($K$4:$K207,"Yes"),"")</f>
        <v/>
      </c>
      <c r="Q207">
        <f t="shared" ca="1" si="15"/>
        <v>0</v>
      </c>
      <c r="R207" t="str">
        <f ca="1">IF($Q207=1,SUM($Q$4:$Q207),"")</f>
        <v/>
      </c>
    </row>
    <row r="208" spans="1:18" ht="33.75" hidden="1" customHeight="1" x14ac:dyDescent="0.3">
      <c r="A208" s="2"/>
      <c r="B208" s="2"/>
      <c r="C208" s="3"/>
      <c r="D208" s="3"/>
      <c r="E208" s="2"/>
      <c r="F208" s="2"/>
      <c r="G208" s="5"/>
      <c r="H208" s="5"/>
      <c r="I208" s="4"/>
      <c r="J208" s="6" t="str">
        <f t="shared" si="13"/>
        <v/>
      </c>
      <c r="K208" s="4" t="str">
        <f t="shared" ca="1" si="14"/>
        <v/>
      </c>
      <c r="L208" s="7" t="str">
        <f t="shared" ca="1" si="16"/>
        <v/>
      </c>
      <c r="M208" s="4" t="str">
        <f>IF($I208="Complete","Green",IF($H208="","Amber",IF($H208&lt;'[2]Read Me'!$B$4,"Red",IF($H208-'[2]Read Me'!$B$4&lt;=21,"Amber","Green"))))</f>
        <v>Amber</v>
      </c>
      <c r="N208" s="3"/>
      <c r="O208" t="str">
        <f>IF($I208&lt;&gt;"Complete",IF(COUNTIFS($A$4:$A207,$A208,$B$4:$B207,$B208,$I$4:$I207,"&lt;&gt;Complete")=0,$A208&amp;"|"&amp;$B208,""),"")</f>
        <v>|</v>
      </c>
      <c r="P208" t="str">
        <f ca="1">IF($K208="Yes",COUNTIFS($K$4:$K208,"Yes"),"")</f>
        <v/>
      </c>
      <c r="Q208">
        <f t="shared" ca="1" si="15"/>
        <v>0</v>
      </c>
      <c r="R208" t="str">
        <f ca="1">IF($Q208=1,SUM($Q$4:$Q208),"")</f>
        <v/>
      </c>
    </row>
    <row r="209" spans="1:18" ht="33.75" hidden="1" customHeight="1" x14ac:dyDescent="0.3">
      <c r="A209" s="2"/>
      <c r="B209" s="2"/>
      <c r="C209" s="3"/>
      <c r="D209" s="3"/>
      <c r="E209" s="2"/>
      <c r="F209" s="2"/>
      <c r="G209" s="5"/>
      <c r="H209" s="5"/>
      <c r="I209" s="4"/>
      <c r="J209" s="6" t="str">
        <f t="shared" si="13"/>
        <v/>
      </c>
      <c r="K209" s="4" t="str">
        <f t="shared" ca="1" si="14"/>
        <v/>
      </c>
      <c r="L209" s="7" t="str">
        <f t="shared" ca="1" si="16"/>
        <v/>
      </c>
      <c r="M209" s="4" t="str">
        <f>IF($I209="Complete","Green",IF($H209="","Amber",IF($H209&lt;'[2]Read Me'!$B$4,"Red",IF($H209-'[2]Read Me'!$B$4&lt;=21,"Amber","Green"))))</f>
        <v>Amber</v>
      </c>
      <c r="N209" s="3"/>
      <c r="O209" t="str">
        <f>IF($I209&lt;&gt;"Complete",IF(COUNTIFS($A$4:$A208,$A209,$B$4:$B208,$B209,$I$4:$I208,"&lt;&gt;Complete")=0,$A209&amp;"|"&amp;$B209,""),"")</f>
        <v>|</v>
      </c>
      <c r="P209" t="str">
        <f ca="1">IF($K209="Yes",COUNTIFS($K$4:$K209,"Yes"),"")</f>
        <v/>
      </c>
      <c r="Q209">
        <f t="shared" ca="1" si="15"/>
        <v>0</v>
      </c>
      <c r="R209" t="str">
        <f ca="1">IF($Q209=1,SUM($Q$4:$Q209),"")</f>
        <v/>
      </c>
    </row>
    <row r="210" spans="1:18" ht="33.75" hidden="1" customHeight="1" x14ac:dyDescent="0.3">
      <c r="A210" s="2"/>
      <c r="B210" s="2"/>
      <c r="C210" s="3"/>
      <c r="D210" s="3"/>
      <c r="E210" s="2"/>
      <c r="F210" s="2"/>
      <c r="G210" s="5"/>
      <c r="H210" s="5"/>
      <c r="I210" s="4"/>
      <c r="J210" s="6" t="str">
        <f t="shared" si="13"/>
        <v/>
      </c>
      <c r="K210" s="4" t="str">
        <f t="shared" ca="1" si="14"/>
        <v/>
      </c>
      <c r="L210" s="7" t="str">
        <f t="shared" ca="1" si="16"/>
        <v/>
      </c>
      <c r="M210" s="4" t="str">
        <f>IF($I210="Complete","Green",IF($H210="","Amber",IF($H210&lt;'[2]Read Me'!$B$4,"Red",IF($H210-'[2]Read Me'!$B$4&lt;=21,"Amber","Green"))))</f>
        <v>Amber</v>
      </c>
      <c r="N210" s="3"/>
      <c r="O210" t="str">
        <f>IF($I210&lt;&gt;"Complete",IF(COUNTIFS($A$4:$A209,$A210,$B$4:$B209,$B210,$I$4:$I209,"&lt;&gt;Complete")=0,$A210&amp;"|"&amp;$B210,""),"")</f>
        <v>|</v>
      </c>
      <c r="P210" t="str">
        <f ca="1">IF($K210="Yes",COUNTIFS($K$4:$K210,"Yes"),"")</f>
        <v/>
      </c>
      <c r="Q210">
        <f t="shared" ca="1" si="15"/>
        <v>0</v>
      </c>
      <c r="R210" t="str">
        <f ca="1">IF($Q210=1,SUM($Q$4:$Q210),"")</f>
        <v/>
      </c>
    </row>
    <row r="211" spans="1:18" ht="22.5" hidden="1" customHeight="1" x14ac:dyDescent="0.3">
      <c r="A211" s="2"/>
      <c r="B211" s="2"/>
      <c r="C211" s="3"/>
      <c r="D211" s="3"/>
      <c r="E211" s="2"/>
      <c r="F211" s="2"/>
      <c r="G211" s="5"/>
      <c r="H211" s="5"/>
      <c r="I211" s="4"/>
      <c r="J211" s="6" t="str">
        <f t="shared" si="13"/>
        <v/>
      </c>
      <c r="K211" s="4" t="str">
        <f t="shared" ca="1" si="14"/>
        <v/>
      </c>
      <c r="L211" s="7" t="str">
        <f t="shared" ca="1" si="16"/>
        <v/>
      </c>
      <c r="M211" s="4" t="str">
        <f>IF($I211="Complete","Green",IF($H211="","Amber",IF($H211&lt;'[2]Read Me'!$B$4,"Red",IF($H211-'[2]Read Me'!$B$4&lt;=21,"Amber","Green"))))</f>
        <v>Amber</v>
      </c>
      <c r="N211" s="3"/>
      <c r="O211" t="str">
        <f>IF($I211&lt;&gt;"Complete",IF(COUNTIFS($A$4:$A210,$A211,$B$4:$B210,$B211,$I$4:$I210,"&lt;&gt;Complete")=0,$A211&amp;"|"&amp;$B211,""),"")</f>
        <v>|</v>
      </c>
      <c r="P211" t="str">
        <f ca="1">IF($K211="Yes",COUNTIFS($K$4:$K211,"Yes"),"")</f>
        <v/>
      </c>
      <c r="Q211">
        <f t="shared" ca="1" si="15"/>
        <v>0</v>
      </c>
      <c r="R211" t="str">
        <f ca="1">IF($Q211=1,SUM($Q$4:$Q211),"")</f>
        <v/>
      </c>
    </row>
    <row r="212" spans="1:18" ht="22.5" hidden="1" customHeight="1" x14ac:dyDescent="0.3">
      <c r="A212" s="2"/>
      <c r="B212" s="2"/>
      <c r="C212" s="3"/>
      <c r="D212" s="3"/>
      <c r="E212" s="2"/>
      <c r="F212" s="2"/>
      <c r="G212" s="5"/>
      <c r="H212" s="5"/>
      <c r="I212" s="4"/>
      <c r="J212" s="6" t="str">
        <f t="shared" si="13"/>
        <v/>
      </c>
      <c r="K212" s="4" t="str">
        <f t="shared" ca="1" si="14"/>
        <v/>
      </c>
      <c r="L212" s="7" t="str">
        <f t="shared" ca="1" si="16"/>
        <v/>
      </c>
      <c r="M212" s="4" t="str">
        <f>IF($I212="Complete","Green",IF($H212="","Amber",IF($H212&lt;'[2]Read Me'!$B$4,"Red",IF($H212-'[2]Read Me'!$B$4&lt;=21,"Amber","Green"))))</f>
        <v>Amber</v>
      </c>
      <c r="N212" s="3"/>
      <c r="O212" t="str">
        <f>IF($I212&lt;&gt;"Complete",IF(COUNTIFS($A$4:$A211,$A212,$B$4:$B211,$B212,$I$4:$I211,"&lt;&gt;Complete")=0,$A212&amp;"|"&amp;$B212,""),"")</f>
        <v>|</v>
      </c>
      <c r="P212" t="str">
        <f ca="1">IF($K212="Yes",COUNTIFS($K$4:$K212,"Yes"),"")</f>
        <v/>
      </c>
      <c r="Q212">
        <f t="shared" ca="1" si="15"/>
        <v>0</v>
      </c>
      <c r="R212" t="str">
        <f ca="1">IF($Q212=1,SUM($Q$4:$Q212),"")</f>
        <v/>
      </c>
    </row>
    <row r="213" spans="1:18" ht="22.5" hidden="1" customHeight="1" x14ac:dyDescent="0.3">
      <c r="A213" s="2"/>
      <c r="B213" s="2"/>
      <c r="C213" s="3"/>
      <c r="D213" s="3"/>
      <c r="E213" s="2"/>
      <c r="F213" s="2"/>
      <c r="G213" s="5"/>
      <c r="H213" s="5"/>
      <c r="I213" s="4"/>
      <c r="J213" s="6" t="str">
        <f t="shared" si="13"/>
        <v/>
      </c>
      <c r="K213" s="4" t="str">
        <f t="shared" ca="1" si="14"/>
        <v/>
      </c>
      <c r="L213" s="7" t="str">
        <f t="shared" ca="1" si="16"/>
        <v/>
      </c>
      <c r="M213" s="4" t="str">
        <f>IF($I213="Complete","Green",IF($H213="","Amber",IF($H213&lt;'[2]Read Me'!$B$4,"Red",IF($H213-'[2]Read Me'!$B$4&lt;=21,"Amber","Green"))))</f>
        <v>Amber</v>
      </c>
      <c r="N213" s="3"/>
      <c r="O213" t="str">
        <f>IF($I213&lt;&gt;"Complete",IF(COUNTIFS($A$4:$A212,$A213,$B$4:$B212,$B213,$I$4:$I212,"&lt;&gt;Complete")=0,$A213&amp;"|"&amp;$B213,""),"")</f>
        <v>|</v>
      </c>
      <c r="P213" t="str">
        <f ca="1">IF($K213="Yes",COUNTIFS($K$4:$K213,"Yes"),"")</f>
        <v/>
      </c>
      <c r="Q213">
        <f t="shared" ca="1" si="15"/>
        <v>0</v>
      </c>
      <c r="R213" t="str">
        <f ca="1">IF($Q213=1,SUM($Q$4:$Q213),"")</f>
        <v/>
      </c>
    </row>
    <row r="214" spans="1:18" ht="22.5" hidden="1" customHeight="1" x14ac:dyDescent="0.3">
      <c r="A214" s="2"/>
      <c r="B214" s="2"/>
      <c r="C214" s="3"/>
      <c r="D214" s="3"/>
      <c r="E214" s="2"/>
      <c r="F214" s="2"/>
      <c r="G214" s="5"/>
      <c r="H214" s="5"/>
      <c r="I214" s="4"/>
      <c r="J214" s="6" t="str">
        <f t="shared" si="13"/>
        <v/>
      </c>
      <c r="K214" s="4" t="str">
        <f t="shared" ca="1" si="14"/>
        <v/>
      </c>
      <c r="L214" s="7" t="str">
        <f t="shared" ca="1" si="16"/>
        <v/>
      </c>
      <c r="M214" s="4" t="str">
        <f>IF($I214="Complete","Green",IF($H214="","Amber",IF($H214&lt;'[2]Read Me'!$B$4,"Red",IF($H214-'[2]Read Me'!$B$4&lt;=21,"Amber","Green"))))</f>
        <v>Amber</v>
      </c>
      <c r="N214" s="3"/>
      <c r="O214" t="str">
        <f>IF($I214&lt;&gt;"Complete",IF(COUNTIFS($A$4:$A213,$A214,$B$4:$B213,$B214,$I$4:$I213,"&lt;&gt;Complete")=0,$A214&amp;"|"&amp;$B214,""),"")</f>
        <v>|</v>
      </c>
      <c r="P214" t="str">
        <f ca="1">IF($K214="Yes",COUNTIFS($K$4:$K214,"Yes"),"")</f>
        <v/>
      </c>
      <c r="Q214">
        <f t="shared" ca="1" si="15"/>
        <v>0</v>
      </c>
      <c r="R214" t="str">
        <f ca="1">IF($Q214=1,SUM($Q$4:$Q214),"")</f>
        <v/>
      </c>
    </row>
    <row r="215" spans="1:18" ht="22.5" hidden="1" customHeight="1" x14ac:dyDescent="0.3">
      <c r="A215" s="2"/>
      <c r="B215" s="2"/>
      <c r="C215" s="3"/>
      <c r="D215" s="3"/>
      <c r="E215" s="2"/>
      <c r="F215" s="2"/>
      <c r="G215" s="5"/>
      <c r="H215" s="5"/>
      <c r="I215" s="4"/>
      <c r="J215" s="6" t="str">
        <f t="shared" si="13"/>
        <v/>
      </c>
      <c r="K215" s="4" t="str">
        <f t="shared" ca="1" si="14"/>
        <v/>
      </c>
      <c r="L215" s="7" t="str">
        <f t="shared" ca="1" si="16"/>
        <v/>
      </c>
      <c r="M215" s="4" t="str">
        <f>IF($I215="Complete","Green",IF($H215="","Amber",IF($H215&lt;'[2]Read Me'!$B$4,"Red",IF($H215-'[2]Read Me'!$B$4&lt;=21,"Amber","Green"))))</f>
        <v>Amber</v>
      </c>
      <c r="N215" s="3"/>
      <c r="O215" t="str">
        <f>IF($I215&lt;&gt;"Complete",IF(COUNTIFS($A$4:$A214,$A215,$B$4:$B214,$B215,$I$4:$I214,"&lt;&gt;Complete")=0,$A215&amp;"|"&amp;$B215,""),"")</f>
        <v>|</v>
      </c>
      <c r="P215" t="str">
        <f ca="1">IF($K215="Yes",COUNTIFS($K$4:$K215,"Yes"),"")</f>
        <v/>
      </c>
      <c r="Q215">
        <f t="shared" ca="1" si="15"/>
        <v>0</v>
      </c>
      <c r="R215" t="str">
        <f ca="1">IF($Q215=1,SUM($Q$4:$Q215),"")</f>
        <v/>
      </c>
    </row>
    <row r="216" spans="1:18" ht="22.5" hidden="1" customHeight="1" x14ac:dyDescent="0.3">
      <c r="A216" s="2"/>
      <c r="B216" s="2"/>
      <c r="C216" s="3"/>
      <c r="D216" s="3"/>
      <c r="E216" s="2"/>
      <c r="F216" s="2"/>
      <c r="G216" s="5"/>
      <c r="H216" s="5"/>
      <c r="I216" s="4"/>
      <c r="J216" s="6" t="str">
        <f t="shared" si="13"/>
        <v/>
      </c>
      <c r="K216" s="4" t="str">
        <f t="shared" ca="1" si="14"/>
        <v/>
      </c>
      <c r="L216" s="7" t="str">
        <f t="shared" ca="1" si="16"/>
        <v/>
      </c>
      <c r="M216" s="4" t="str">
        <f>IF($I216="Complete","Green",IF($H216="","Amber",IF($H216&lt;'[2]Read Me'!$B$4,"Red",IF($H216-'[2]Read Me'!$B$4&lt;=21,"Amber","Green"))))</f>
        <v>Amber</v>
      </c>
      <c r="N216" s="3"/>
      <c r="O216" t="str">
        <f>IF($I216&lt;&gt;"Complete",IF(COUNTIFS($A$4:$A215,$A216,$B$4:$B215,$B216,$I$4:$I215,"&lt;&gt;Complete")=0,$A216&amp;"|"&amp;$B216,""),"")</f>
        <v>|</v>
      </c>
      <c r="P216" t="str">
        <f ca="1">IF($K216="Yes",COUNTIFS($K$4:$K216,"Yes"),"")</f>
        <v/>
      </c>
      <c r="Q216">
        <f t="shared" ca="1" si="15"/>
        <v>0</v>
      </c>
      <c r="R216" t="str">
        <f ca="1">IF($Q216=1,SUM($Q$4:$Q216),"")</f>
        <v/>
      </c>
    </row>
    <row r="217" spans="1:18" ht="22.5" hidden="1" customHeight="1" x14ac:dyDescent="0.3">
      <c r="A217" s="2"/>
      <c r="B217" s="2"/>
      <c r="C217" s="3"/>
      <c r="D217" s="3"/>
      <c r="E217" s="2"/>
      <c r="F217" s="2"/>
      <c r="G217" s="5"/>
      <c r="H217" s="5"/>
      <c r="I217" s="4"/>
      <c r="J217" s="6" t="str">
        <f t="shared" si="13"/>
        <v/>
      </c>
      <c r="K217" s="4" t="str">
        <f t="shared" ca="1" si="14"/>
        <v/>
      </c>
      <c r="L217" s="7" t="str">
        <f t="shared" ca="1" si="16"/>
        <v/>
      </c>
      <c r="M217" s="4" t="str">
        <f>IF($I217="Complete","Green",IF($H217="","Amber",IF($H217&lt;'[2]Read Me'!$B$4,"Red",IF($H217-'[2]Read Me'!$B$4&lt;=21,"Amber","Green"))))</f>
        <v>Amber</v>
      </c>
      <c r="N217" s="3"/>
      <c r="O217" t="str">
        <f>IF($I217&lt;&gt;"Complete",IF(COUNTIFS($A$4:$A216,$A217,$B$4:$B216,$B217,$I$4:$I216,"&lt;&gt;Complete")=0,$A217&amp;"|"&amp;$B217,""),"")</f>
        <v>|</v>
      </c>
      <c r="P217" t="str">
        <f ca="1">IF($K217="Yes",COUNTIFS($K$4:$K217,"Yes"),"")</f>
        <v/>
      </c>
      <c r="Q217">
        <f t="shared" ca="1" si="15"/>
        <v>0</v>
      </c>
      <c r="R217" t="str">
        <f ca="1">IF($Q217=1,SUM($Q$4:$Q217),"")</f>
        <v/>
      </c>
    </row>
    <row r="218" spans="1:18" ht="22.5" hidden="1" customHeight="1" x14ac:dyDescent="0.3">
      <c r="A218" s="2"/>
      <c r="B218" s="2"/>
      <c r="C218" s="3"/>
      <c r="D218" s="3"/>
      <c r="E218" s="2"/>
      <c r="F218" s="2"/>
      <c r="G218" s="5"/>
      <c r="H218" s="5"/>
      <c r="I218" s="4"/>
      <c r="J218" s="6" t="str">
        <f t="shared" si="13"/>
        <v/>
      </c>
      <c r="K218" s="4" t="str">
        <f t="shared" ca="1" si="14"/>
        <v/>
      </c>
      <c r="L218" s="7" t="str">
        <f t="shared" ca="1" si="16"/>
        <v/>
      </c>
      <c r="M218" s="4" t="str">
        <f>IF($I218="Complete","Green",IF($H218="","Amber",IF($H218&lt;'[2]Read Me'!$B$4,"Red",IF($H218-'[2]Read Me'!$B$4&lt;=21,"Amber","Green"))))</f>
        <v>Amber</v>
      </c>
      <c r="N218" s="3"/>
      <c r="O218" t="str">
        <f>IF($I218&lt;&gt;"Complete",IF(COUNTIFS($A$4:$A217,$A218,$B$4:$B217,$B218,$I$4:$I217,"&lt;&gt;Complete")=0,$A218&amp;"|"&amp;$B218,""),"")</f>
        <v>|</v>
      </c>
      <c r="P218" t="str">
        <f ca="1">IF($K218="Yes",COUNTIFS($K$4:$K218,"Yes"),"")</f>
        <v/>
      </c>
      <c r="Q218">
        <f t="shared" ca="1" si="15"/>
        <v>0</v>
      </c>
      <c r="R218" t="str">
        <f ca="1">IF($Q218=1,SUM($Q$4:$Q218),"")</f>
        <v/>
      </c>
    </row>
    <row r="219" spans="1:18" ht="22.5" hidden="1" customHeight="1" x14ac:dyDescent="0.3">
      <c r="A219" s="2"/>
      <c r="B219" s="2"/>
      <c r="C219" s="3"/>
      <c r="D219" s="3"/>
      <c r="E219" s="2"/>
      <c r="F219" s="2"/>
      <c r="G219" s="5"/>
      <c r="H219" s="5"/>
      <c r="I219" s="4"/>
      <c r="J219" s="6" t="str">
        <f t="shared" si="13"/>
        <v/>
      </c>
      <c r="K219" s="4" t="str">
        <f t="shared" ca="1" si="14"/>
        <v/>
      </c>
      <c r="L219" s="7" t="str">
        <f t="shared" ca="1" si="16"/>
        <v/>
      </c>
      <c r="M219" s="4" t="str">
        <f>IF($I219="Complete","Green",IF($H219="","Amber",IF($H219&lt;'[2]Read Me'!$B$4,"Red",IF($H219-'[2]Read Me'!$B$4&lt;=21,"Amber","Green"))))</f>
        <v>Amber</v>
      </c>
      <c r="N219" s="3"/>
      <c r="O219" t="str">
        <f>IF($I219&lt;&gt;"Complete",IF(COUNTIFS($A$4:$A218,$A219,$B$4:$B218,$B219,$I$4:$I218,"&lt;&gt;Complete")=0,$A219&amp;"|"&amp;$B219,""),"")</f>
        <v>|</v>
      </c>
      <c r="P219" t="str">
        <f ca="1">IF($K219="Yes",COUNTIFS($K$4:$K219,"Yes"),"")</f>
        <v/>
      </c>
      <c r="Q219">
        <f t="shared" ca="1" si="15"/>
        <v>0</v>
      </c>
      <c r="R219" t="str">
        <f ca="1">IF($Q219=1,SUM($Q$4:$Q219),"")</f>
        <v/>
      </c>
    </row>
    <row r="220" spans="1:18" ht="22.5" hidden="1" customHeight="1" x14ac:dyDescent="0.3">
      <c r="A220" s="2"/>
      <c r="B220" s="2"/>
      <c r="C220" s="3"/>
      <c r="D220" s="3"/>
      <c r="E220" s="2"/>
      <c r="F220" s="2"/>
      <c r="G220" s="5"/>
      <c r="H220" s="5"/>
      <c r="I220" s="4"/>
      <c r="J220" s="6" t="str">
        <f t="shared" si="13"/>
        <v/>
      </c>
      <c r="K220" s="4" t="str">
        <f t="shared" ca="1" si="14"/>
        <v/>
      </c>
      <c r="L220" s="7" t="str">
        <f t="shared" ca="1" si="16"/>
        <v/>
      </c>
      <c r="M220" s="4" t="str">
        <f>IF($I220="Complete","Green",IF($H220="","Amber",IF($H220&lt;'[2]Read Me'!$B$4,"Red",IF($H220-'[2]Read Me'!$B$4&lt;=21,"Amber","Green"))))</f>
        <v>Amber</v>
      </c>
      <c r="N220" s="3"/>
      <c r="O220" t="str">
        <f>IF($I220&lt;&gt;"Complete",IF(COUNTIFS($A$4:$A219,$A220,$B$4:$B219,$B220,$I$4:$I219,"&lt;&gt;Complete")=0,$A220&amp;"|"&amp;$B220,""),"")</f>
        <v>|</v>
      </c>
      <c r="P220" t="str">
        <f ca="1">IF($K220="Yes",COUNTIFS($K$4:$K220,"Yes"),"")</f>
        <v/>
      </c>
      <c r="Q220">
        <f t="shared" ca="1" si="15"/>
        <v>0</v>
      </c>
      <c r="R220" t="str">
        <f ca="1">IF($Q220=1,SUM($Q$4:$Q220),"")</f>
        <v/>
      </c>
    </row>
    <row r="221" spans="1:18" ht="22.5" hidden="1" customHeight="1" x14ac:dyDescent="0.3">
      <c r="A221" s="2"/>
      <c r="B221" s="2"/>
      <c r="C221" s="3"/>
      <c r="D221" s="3"/>
      <c r="E221" s="2"/>
      <c r="F221" s="2"/>
      <c r="G221" s="5"/>
      <c r="H221" s="5"/>
      <c r="I221" s="4"/>
      <c r="J221" s="6" t="str">
        <f t="shared" si="13"/>
        <v/>
      </c>
      <c r="K221" s="4" t="str">
        <f t="shared" ca="1" si="14"/>
        <v/>
      </c>
      <c r="L221" s="7" t="str">
        <f t="shared" ca="1" si="16"/>
        <v/>
      </c>
      <c r="M221" s="4" t="str">
        <f>IF($I221="Complete","Green",IF($H221="","Amber",IF($H221&lt;'[2]Read Me'!$B$4,"Red",IF($H221-'[2]Read Me'!$B$4&lt;=21,"Amber","Green"))))</f>
        <v>Amber</v>
      </c>
      <c r="N221" s="3"/>
      <c r="O221" t="str">
        <f>IF($I221&lt;&gt;"Complete",IF(COUNTIFS($A$4:$A220,$A221,$B$4:$B220,$B221,$I$4:$I220,"&lt;&gt;Complete")=0,$A221&amp;"|"&amp;$B221,""),"")</f>
        <v>|</v>
      </c>
      <c r="P221" t="str">
        <f ca="1">IF($K221="Yes",COUNTIFS($K$4:$K221,"Yes"),"")</f>
        <v/>
      </c>
      <c r="Q221">
        <f t="shared" ca="1" si="15"/>
        <v>0</v>
      </c>
      <c r="R221" t="str">
        <f ca="1">IF($Q221=1,SUM($Q$4:$Q221),"")</f>
        <v/>
      </c>
    </row>
    <row r="222" spans="1:18" ht="22.5" hidden="1" customHeight="1" x14ac:dyDescent="0.3">
      <c r="A222" s="2"/>
      <c r="B222" s="2"/>
      <c r="C222" s="3"/>
      <c r="D222" s="3"/>
      <c r="E222" s="2"/>
      <c r="F222" s="2"/>
      <c r="G222" s="5"/>
      <c r="H222" s="5"/>
      <c r="I222" s="4"/>
      <c r="J222" s="6" t="str">
        <f t="shared" si="13"/>
        <v/>
      </c>
      <c r="K222" s="4" t="str">
        <f t="shared" ca="1" si="14"/>
        <v/>
      </c>
      <c r="L222" s="7" t="str">
        <f t="shared" ca="1" si="16"/>
        <v/>
      </c>
      <c r="M222" s="4" t="str">
        <f>IF($I222="Complete","Green",IF($H222="","Amber",IF($H222&lt;'[2]Read Me'!$B$4,"Red",IF($H222-'[2]Read Me'!$B$4&lt;=21,"Amber","Green"))))</f>
        <v>Amber</v>
      </c>
      <c r="N222" s="3"/>
      <c r="O222" t="str">
        <f>IF($I222&lt;&gt;"Complete",IF(COUNTIFS($A$4:$A221,$A222,$B$4:$B221,$B222,$I$4:$I221,"&lt;&gt;Complete")=0,$A222&amp;"|"&amp;$B222,""),"")</f>
        <v>|</v>
      </c>
      <c r="P222" t="str">
        <f ca="1">IF($K222="Yes",COUNTIFS($K$4:$K222,"Yes"),"")</f>
        <v/>
      </c>
      <c r="Q222">
        <f t="shared" ca="1" si="15"/>
        <v>0</v>
      </c>
      <c r="R222" t="str">
        <f ca="1">IF($Q222=1,SUM($Q$4:$Q222),"")</f>
        <v/>
      </c>
    </row>
    <row r="223" spans="1:18" ht="22.5" hidden="1" customHeight="1" x14ac:dyDescent="0.3">
      <c r="A223" s="2"/>
      <c r="B223" s="2"/>
      <c r="C223" s="3"/>
      <c r="D223" s="3"/>
      <c r="E223" s="2"/>
      <c r="F223" s="2"/>
      <c r="G223" s="5"/>
      <c r="H223" s="5"/>
      <c r="I223" s="4"/>
      <c r="J223" s="6" t="str">
        <f t="shared" si="13"/>
        <v/>
      </c>
      <c r="K223" s="4" t="str">
        <f t="shared" ca="1" si="14"/>
        <v/>
      </c>
      <c r="L223" s="7" t="str">
        <f t="shared" ca="1" si="16"/>
        <v/>
      </c>
      <c r="M223" s="4" t="str">
        <f>IF($I223="Complete","Green",IF($H223="","Amber",IF($H223&lt;'[2]Read Me'!$B$4,"Red",IF($H223-'[2]Read Me'!$B$4&lt;=21,"Amber","Green"))))</f>
        <v>Amber</v>
      </c>
      <c r="N223" s="3"/>
      <c r="O223" t="str">
        <f>IF($I223&lt;&gt;"Complete",IF(COUNTIFS($A$4:$A222,$A223,$B$4:$B222,$B223,$I$4:$I222,"&lt;&gt;Complete")=0,$A223&amp;"|"&amp;$B223,""),"")</f>
        <v>|</v>
      </c>
      <c r="P223" t="str">
        <f ca="1">IF($K223="Yes",COUNTIFS($K$4:$K223,"Yes"),"")</f>
        <v/>
      </c>
      <c r="Q223">
        <f t="shared" ca="1" si="15"/>
        <v>0</v>
      </c>
      <c r="R223" t="str">
        <f ca="1">IF($Q223=1,SUM($Q$4:$Q223),"")</f>
        <v/>
      </c>
    </row>
    <row r="224" spans="1:18" ht="22.5" hidden="1" customHeight="1" x14ac:dyDescent="0.3">
      <c r="A224" s="2"/>
      <c r="B224" s="2"/>
      <c r="C224" s="3"/>
      <c r="D224" s="3"/>
      <c r="E224" s="2"/>
      <c r="F224" s="2"/>
      <c r="G224" s="5"/>
      <c r="H224" s="5"/>
      <c r="I224" s="4"/>
      <c r="J224" s="6" t="str">
        <f t="shared" si="13"/>
        <v/>
      </c>
      <c r="K224" s="4" t="str">
        <f t="shared" ca="1" si="14"/>
        <v/>
      </c>
      <c r="L224" s="7" t="str">
        <f t="shared" ca="1" si="16"/>
        <v/>
      </c>
      <c r="M224" s="4" t="str">
        <f>IF($I224="Complete","Green",IF($H224="","Amber",IF($H224&lt;'[2]Read Me'!$B$4,"Red",IF($H224-'[2]Read Me'!$B$4&lt;=21,"Amber","Green"))))</f>
        <v>Amber</v>
      </c>
      <c r="N224" s="3"/>
      <c r="O224" t="str">
        <f>IF($I224&lt;&gt;"Complete",IF(COUNTIFS($A$4:$A223,$A224,$B$4:$B223,$B224,$I$4:$I223,"&lt;&gt;Complete")=0,$A224&amp;"|"&amp;$B224,""),"")</f>
        <v>|</v>
      </c>
      <c r="P224" t="str">
        <f ca="1">IF($K224="Yes",COUNTIFS($K$4:$K224,"Yes"),"")</f>
        <v/>
      </c>
      <c r="Q224">
        <f t="shared" ca="1" si="15"/>
        <v>0</v>
      </c>
      <c r="R224" t="str">
        <f ca="1">IF($Q224=1,SUM($Q$4:$Q224),"")</f>
        <v/>
      </c>
    </row>
    <row r="225" spans="1:18" ht="22.5" hidden="1" customHeight="1" x14ac:dyDescent="0.3">
      <c r="A225" s="2"/>
      <c r="B225" s="2"/>
      <c r="C225" s="3"/>
      <c r="D225" s="3"/>
      <c r="E225" s="2"/>
      <c r="F225" s="2"/>
      <c r="G225" s="5"/>
      <c r="H225" s="5"/>
      <c r="I225" s="4"/>
      <c r="J225" s="6" t="str">
        <f t="shared" si="13"/>
        <v/>
      </c>
      <c r="K225" s="4" t="str">
        <f t="shared" ca="1" si="14"/>
        <v/>
      </c>
      <c r="L225" s="7" t="str">
        <f t="shared" ca="1" si="16"/>
        <v/>
      </c>
      <c r="M225" s="4" t="str">
        <f>IF($I225="Complete","Green",IF($H225="","Amber",IF($H225&lt;'[2]Read Me'!$B$4,"Red",IF($H225-'[2]Read Me'!$B$4&lt;=21,"Amber","Green"))))</f>
        <v>Amber</v>
      </c>
      <c r="N225" s="3"/>
      <c r="O225" t="str">
        <f>IF($I225&lt;&gt;"Complete",IF(COUNTIFS($A$4:$A224,$A225,$B$4:$B224,$B225,$I$4:$I224,"&lt;&gt;Complete")=0,$A225&amp;"|"&amp;$B225,""),"")</f>
        <v>|</v>
      </c>
      <c r="P225" t="str">
        <f ca="1">IF($K225="Yes",COUNTIFS($K$4:$K225,"Yes"),"")</f>
        <v/>
      </c>
      <c r="Q225">
        <f t="shared" ca="1" si="15"/>
        <v>0</v>
      </c>
      <c r="R225" t="str">
        <f ca="1">IF($Q225=1,SUM($Q$4:$Q225),"")</f>
        <v/>
      </c>
    </row>
    <row r="226" spans="1:18" ht="22.5" hidden="1" customHeight="1" x14ac:dyDescent="0.3">
      <c r="A226" s="2"/>
      <c r="B226" s="2"/>
      <c r="C226" s="3"/>
      <c r="D226" s="3"/>
      <c r="E226" s="2"/>
      <c r="F226" s="2"/>
      <c r="G226" s="5"/>
      <c r="H226" s="5"/>
      <c r="I226" s="4"/>
      <c r="J226" s="6" t="str">
        <f t="shared" si="13"/>
        <v/>
      </c>
      <c r="K226" s="4" t="str">
        <f t="shared" ca="1" si="14"/>
        <v/>
      </c>
      <c r="L226" s="7" t="str">
        <f t="shared" ca="1" si="16"/>
        <v/>
      </c>
      <c r="M226" s="4" t="str">
        <f>IF($I226="Complete","Green",IF($H226="","Amber",IF($H226&lt;'[2]Read Me'!$B$4,"Red",IF($H226-'[2]Read Me'!$B$4&lt;=21,"Amber","Green"))))</f>
        <v>Amber</v>
      </c>
      <c r="N226" s="3"/>
      <c r="O226" t="str">
        <f>IF($I226&lt;&gt;"Complete",IF(COUNTIFS($A$4:$A225,$A226,$B$4:$B225,$B226,$I$4:$I225,"&lt;&gt;Complete")=0,$A226&amp;"|"&amp;$B226,""),"")</f>
        <v>|</v>
      </c>
      <c r="P226" t="str">
        <f ca="1">IF($K226="Yes",COUNTIFS($K$4:$K226,"Yes"),"")</f>
        <v/>
      </c>
      <c r="Q226">
        <f t="shared" ca="1" si="15"/>
        <v>0</v>
      </c>
      <c r="R226" t="str">
        <f ca="1">IF($Q226=1,SUM($Q$4:$Q226),"")</f>
        <v/>
      </c>
    </row>
    <row r="227" spans="1:18" ht="22.5" hidden="1" customHeight="1" x14ac:dyDescent="0.3">
      <c r="A227" s="2"/>
      <c r="B227" s="2"/>
      <c r="C227" s="3"/>
      <c r="D227" s="3"/>
      <c r="E227" s="2"/>
      <c r="F227" s="2"/>
      <c r="G227" s="5"/>
      <c r="H227" s="5"/>
      <c r="I227" s="4"/>
      <c r="J227" s="6" t="str">
        <f t="shared" si="13"/>
        <v/>
      </c>
      <c r="K227" s="4" t="str">
        <f t="shared" ca="1" si="14"/>
        <v/>
      </c>
      <c r="L227" s="7" t="str">
        <f t="shared" ca="1" si="16"/>
        <v/>
      </c>
      <c r="M227" s="4" t="str">
        <f>IF($I227="Complete","Green",IF($H227="","Amber",IF($H227&lt;'[2]Read Me'!$B$4,"Red",IF($H227-'[2]Read Me'!$B$4&lt;=21,"Amber","Green"))))</f>
        <v>Amber</v>
      </c>
      <c r="N227" s="3"/>
      <c r="O227" t="str">
        <f>IF($I227&lt;&gt;"Complete",IF(COUNTIFS($A$4:$A226,$A227,$B$4:$B226,$B227,$I$4:$I226,"&lt;&gt;Complete")=0,$A227&amp;"|"&amp;$B227,""),"")</f>
        <v>|</v>
      </c>
      <c r="P227" t="str">
        <f ca="1">IF($K227="Yes",COUNTIFS($K$4:$K227,"Yes"),"")</f>
        <v/>
      </c>
      <c r="Q227">
        <f t="shared" ca="1" si="15"/>
        <v>0</v>
      </c>
      <c r="R227" t="str">
        <f ca="1">IF($Q227=1,SUM($Q$4:$Q227),"")</f>
        <v/>
      </c>
    </row>
    <row r="228" spans="1:18" ht="22.5" hidden="1" customHeight="1" x14ac:dyDescent="0.3">
      <c r="A228" s="2"/>
      <c r="B228" s="2"/>
      <c r="C228" s="3"/>
      <c r="D228" s="3"/>
      <c r="E228" s="2"/>
      <c r="F228" s="2"/>
      <c r="G228" s="5"/>
      <c r="H228" s="5"/>
      <c r="I228" s="4"/>
      <c r="J228" s="6" t="str">
        <f t="shared" si="13"/>
        <v/>
      </c>
      <c r="K228" s="4" t="str">
        <f t="shared" ca="1" si="14"/>
        <v/>
      </c>
      <c r="L228" s="7" t="str">
        <f t="shared" ca="1" si="16"/>
        <v/>
      </c>
      <c r="M228" s="4" t="str">
        <f>IF($I228="Complete","Green",IF($H228="","Amber",IF($H228&lt;'[2]Read Me'!$B$4,"Red",IF($H228-'[2]Read Me'!$B$4&lt;=21,"Amber","Green"))))</f>
        <v>Amber</v>
      </c>
      <c r="N228" s="3"/>
      <c r="O228" t="str">
        <f>IF($I228&lt;&gt;"Complete",IF(COUNTIFS($A$4:$A227,$A228,$B$4:$B227,$B228,$I$4:$I227,"&lt;&gt;Complete")=0,$A228&amp;"|"&amp;$B228,""),"")</f>
        <v>|</v>
      </c>
      <c r="P228" t="str">
        <f ca="1">IF($K228="Yes",COUNTIFS($K$4:$K228,"Yes"),"")</f>
        <v/>
      </c>
      <c r="Q228">
        <f t="shared" ca="1" si="15"/>
        <v>0</v>
      </c>
      <c r="R228" t="str">
        <f ca="1">IF($Q228=1,SUM($Q$4:$Q228),"")</f>
        <v/>
      </c>
    </row>
    <row r="229" spans="1:18" ht="22.5" hidden="1" customHeight="1" x14ac:dyDescent="0.3">
      <c r="A229" s="2"/>
      <c r="B229" s="2"/>
      <c r="C229" s="3"/>
      <c r="D229" s="3"/>
      <c r="E229" s="2"/>
      <c r="F229" s="2"/>
      <c r="G229" s="5"/>
      <c r="H229" s="5"/>
      <c r="I229" s="4"/>
      <c r="J229" s="6" t="str">
        <f t="shared" si="13"/>
        <v/>
      </c>
      <c r="K229" s="4" t="str">
        <f t="shared" ca="1" si="14"/>
        <v/>
      </c>
      <c r="L229" s="7" t="str">
        <f t="shared" ca="1" si="16"/>
        <v/>
      </c>
      <c r="M229" s="4" t="str">
        <f>IF($I229="Complete","Green",IF($H229="","Amber",IF($H229&lt;'[2]Read Me'!$B$4,"Red",IF($H229-'[2]Read Me'!$B$4&lt;=21,"Amber","Green"))))</f>
        <v>Amber</v>
      </c>
      <c r="N229" s="3"/>
      <c r="O229" t="str">
        <f>IF($I229&lt;&gt;"Complete",IF(COUNTIFS($A$4:$A228,$A229,$B$4:$B228,$B229,$I$4:$I228,"&lt;&gt;Complete")=0,$A229&amp;"|"&amp;$B229,""),"")</f>
        <v>|</v>
      </c>
      <c r="P229" t="str">
        <f ca="1">IF($K229="Yes",COUNTIFS($K$4:$K229,"Yes"),"")</f>
        <v/>
      </c>
      <c r="Q229">
        <f t="shared" ca="1" si="15"/>
        <v>0</v>
      </c>
      <c r="R229" t="str">
        <f ca="1">IF($Q229=1,SUM($Q$4:$Q229),"")</f>
        <v/>
      </c>
    </row>
    <row r="230" spans="1:18" ht="22.5" hidden="1" customHeight="1" x14ac:dyDescent="0.3">
      <c r="A230" s="2"/>
      <c r="B230" s="2"/>
      <c r="C230" s="3"/>
      <c r="D230" s="3"/>
      <c r="E230" s="2"/>
      <c r="F230" s="2"/>
      <c r="G230" s="5"/>
      <c r="H230" s="5"/>
      <c r="I230" s="4"/>
      <c r="J230" s="6" t="str">
        <f t="shared" si="13"/>
        <v/>
      </c>
      <c r="K230" s="4" t="str">
        <f t="shared" ca="1" si="14"/>
        <v/>
      </c>
      <c r="L230" s="7" t="str">
        <f t="shared" ca="1" si="16"/>
        <v/>
      </c>
      <c r="M230" s="4" t="str">
        <f>IF($I230="Complete","Green",IF($H230="","Amber",IF($H230&lt;'[2]Read Me'!$B$4,"Red",IF($H230-'[2]Read Me'!$B$4&lt;=21,"Amber","Green"))))</f>
        <v>Amber</v>
      </c>
      <c r="N230" s="3"/>
      <c r="O230" t="str">
        <f>IF($I230&lt;&gt;"Complete",IF(COUNTIFS($A$4:$A229,$A230,$B$4:$B229,$B230,$I$4:$I229,"&lt;&gt;Complete")=0,$A230&amp;"|"&amp;$B230,""),"")</f>
        <v>|</v>
      </c>
      <c r="P230" t="str">
        <f ca="1">IF($K230="Yes",COUNTIFS($K$4:$K230,"Yes"),"")</f>
        <v/>
      </c>
      <c r="Q230">
        <f t="shared" ca="1" si="15"/>
        <v>0</v>
      </c>
      <c r="R230" t="str">
        <f ca="1">IF($Q230=1,SUM($Q$4:$Q230),"")</f>
        <v/>
      </c>
    </row>
    <row r="231" spans="1:18" ht="22.5" hidden="1" customHeight="1" x14ac:dyDescent="0.3">
      <c r="A231" s="2"/>
      <c r="B231" s="2"/>
      <c r="C231" s="3"/>
      <c r="D231" s="3"/>
      <c r="E231" s="2"/>
      <c r="F231" s="2"/>
      <c r="G231" s="5"/>
      <c r="H231" s="5"/>
      <c r="I231" s="4"/>
      <c r="J231" s="6" t="str">
        <f t="shared" si="13"/>
        <v/>
      </c>
      <c r="K231" s="4" t="str">
        <f t="shared" ca="1" si="14"/>
        <v/>
      </c>
      <c r="L231" s="7" t="str">
        <f t="shared" ca="1" si="16"/>
        <v/>
      </c>
      <c r="M231" s="4" t="str">
        <f>IF($I231="Complete","Green",IF($H231="","Amber",IF($H231&lt;'[2]Read Me'!$B$4,"Red",IF($H231-'[2]Read Me'!$B$4&lt;=21,"Amber","Green"))))</f>
        <v>Amber</v>
      </c>
      <c r="N231" s="3"/>
      <c r="O231" t="str">
        <f>IF($I231&lt;&gt;"Complete",IF(COUNTIFS($A$4:$A230,$A231,$B$4:$B230,$B231,$I$4:$I230,"&lt;&gt;Complete")=0,$A231&amp;"|"&amp;$B231,""),"")</f>
        <v>|</v>
      </c>
      <c r="P231" t="str">
        <f ca="1">IF($K231="Yes",COUNTIFS($K$4:$K231,"Yes"),"")</f>
        <v/>
      </c>
      <c r="Q231">
        <f t="shared" ca="1" si="15"/>
        <v>0</v>
      </c>
      <c r="R231" t="str">
        <f ca="1">IF($Q231=1,SUM($Q$4:$Q231),"")</f>
        <v/>
      </c>
    </row>
    <row r="232" spans="1:18" ht="22.5" hidden="1" customHeight="1" x14ac:dyDescent="0.3">
      <c r="A232" s="2"/>
      <c r="B232" s="2"/>
      <c r="C232" s="3"/>
      <c r="D232" s="3"/>
      <c r="E232" s="2"/>
      <c r="F232" s="2"/>
      <c r="G232" s="5"/>
      <c r="H232" s="5"/>
      <c r="I232" s="4"/>
      <c r="J232" s="6" t="str">
        <f t="shared" si="13"/>
        <v/>
      </c>
      <c r="K232" s="4" t="str">
        <f t="shared" ca="1" si="14"/>
        <v/>
      </c>
      <c r="L232" s="7" t="str">
        <f t="shared" ca="1" si="16"/>
        <v/>
      </c>
      <c r="M232" s="4" t="str">
        <f>IF($I232="Complete","Green",IF($H232="","Amber",IF($H232&lt;'[2]Read Me'!$B$4,"Red",IF($H232-'[2]Read Me'!$B$4&lt;=21,"Amber","Green"))))</f>
        <v>Amber</v>
      </c>
      <c r="N232" s="3"/>
      <c r="O232" t="str">
        <f>IF($I232&lt;&gt;"Complete",IF(COUNTIFS($A$4:$A231,$A232,$B$4:$B231,$B232,$I$4:$I231,"&lt;&gt;Complete")=0,$A232&amp;"|"&amp;$B232,""),"")</f>
        <v>|</v>
      </c>
      <c r="P232" t="str">
        <f ca="1">IF($K232="Yes",COUNTIFS($K$4:$K232,"Yes"),"")</f>
        <v/>
      </c>
      <c r="Q232">
        <f t="shared" ca="1" si="15"/>
        <v>0</v>
      </c>
      <c r="R232" t="str">
        <f ca="1">IF($Q232=1,SUM($Q$4:$Q232),"")</f>
        <v/>
      </c>
    </row>
    <row r="233" spans="1:18" ht="22.5" hidden="1" customHeight="1" x14ac:dyDescent="0.3">
      <c r="A233" s="2"/>
      <c r="B233" s="2"/>
      <c r="C233" s="3"/>
      <c r="D233" s="3"/>
      <c r="E233" s="2"/>
      <c r="F233" s="2"/>
      <c r="G233" s="5"/>
      <c r="H233" s="5"/>
      <c r="I233" s="4"/>
      <c r="J233" s="6" t="str">
        <f t="shared" si="13"/>
        <v/>
      </c>
      <c r="K233" s="4" t="str">
        <f t="shared" ca="1" si="14"/>
        <v/>
      </c>
      <c r="L233" s="7" t="str">
        <f t="shared" ca="1" si="16"/>
        <v/>
      </c>
      <c r="M233" s="4" t="str">
        <f>IF($I233="Complete","Green",IF($H233="","Amber",IF($H233&lt;'[2]Read Me'!$B$4,"Red",IF($H233-'[2]Read Me'!$B$4&lt;=21,"Amber","Green"))))</f>
        <v>Amber</v>
      </c>
      <c r="N233" s="3"/>
      <c r="O233" t="str">
        <f>IF($I233&lt;&gt;"Complete",IF(COUNTIFS($A$4:$A232,$A233,$B$4:$B232,$B233,$I$4:$I232,"&lt;&gt;Complete")=0,$A233&amp;"|"&amp;$B233,""),"")</f>
        <v>|</v>
      </c>
      <c r="P233" t="str">
        <f ca="1">IF($K233="Yes",COUNTIFS($K$4:$K233,"Yes"),"")</f>
        <v/>
      </c>
      <c r="Q233">
        <f t="shared" ca="1" si="15"/>
        <v>0</v>
      </c>
      <c r="R233" t="str">
        <f ca="1">IF($Q233=1,SUM($Q$4:$Q233),"")</f>
        <v/>
      </c>
    </row>
    <row r="234" spans="1:18" ht="22.5" hidden="1" customHeight="1" x14ac:dyDescent="0.3">
      <c r="A234" s="2"/>
      <c r="B234" s="2"/>
      <c r="C234" s="3"/>
      <c r="D234" s="3"/>
      <c r="E234" s="2"/>
      <c r="F234" s="2"/>
      <c r="G234" s="5"/>
      <c r="H234" s="5"/>
      <c r="I234" s="4"/>
      <c r="J234" s="6" t="str">
        <f t="shared" si="13"/>
        <v/>
      </c>
      <c r="K234" s="4" t="str">
        <f t="shared" ca="1" si="14"/>
        <v/>
      </c>
      <c r="L234" s="7" t="str">
        <f t="shared" ca="1" si="16"/>
        <v/>
      </c>
      <c r="M234" s="4" t="str">
        <f>IF($I234="Complete","Green",IF($H234="","Amber",IF($H234&lt;'[2]Read Me'!$B$4,"Red",IF($H234-'[2]Read Me'!$B$4&lt;=21,"Amber","Green"))))</f>
        <v>Amber</v>
      </c>
      <c r="N234" s="3"/>
      <c r="O234" t="str">
        <f>IF($I234&lt;&gt;"Complete",IF(COUNTIFS($A$4:$A233,$A234,$B$4:$B233,$B234,$I$4:$I233,"&lt;&gt;Complete")=0,$A234&amp;"|"&amp;$B234,""),"")</f>
        <v>|</v>
      </c>
      <c r="P234" t="str">
        <f ca="1">IF($K234="Yes",COUNTIFS($K$4:$K234,"Yes"),"")</f>
        <v/>
      </c>
      <c r="Q234">
        <f t="shared" ca="1" si="15"/>
        <v>0</v>
      </c>
      <c r="R234" t="str">
        <f ca="1">IF($Q234=1,SUM($Q$4:$Q234),"")</f>
        <v/>
      </c>
    </row>
    <row r="235" spans="1:18" ht="22.5" hidden="1" customHeight="1" x14ac:dyDescent="0.3">
      <c r="A235" s="2"/>
      <c r="B235" s="2"/>
      <c r="C235" s="3"/>
      <c r="D235" s="3"/>
      <c r="E235" s="2"/>
      <c r="F235" s="2"/>
      <c r="G235" s="5"/>
      <c r="H235" s="5"/>
      <c r="I235" s="4"/>
      <c r="J235" s="6" t="str">
        <f t="shared" si="13"/>
        <v/>
      </c>
      <c r="K235" s="4" t="str">
        <f t="shared" ca="1" si="14"/>
        <v/>
      </c>
      <c r="L235" s="7" t="str">
        <f t="shared" ca="1" si="16"/>
        <v/>
      </c>
      <c r="M235" s="4" t="str">
        <f>IF($I235="Complete","Green",IF($H235="","Amber",IF($H235&lt;'[2]Read Me'!$B$4,"Red",IF($H235-'[2]Read Me'!$B$4&lt;=21,"Amber","Green"))))</f>
        <v>Amber</v>
      </c>
      <c r="N235" s="3"/>
      <c r="O235" t="str">
        <f>IF($I235&lt;&gt;"Complete",IF(COUNTIFS($A$4:$A234,$A235,$B$4:$B234,$B235,$I$4:$I234,"&lt;&gt;Complete")=0,$A235&amp;"|"&amp;$B235,""),"")</f>
        <v>|</v>
      </c>
      <c r="P235" t="str">
        <f ca="1">IF($K235="Yes",COUNTIFS($K$4:$K235,"Yes"),"")</f>
        <v/>
      </c>
      <c r="Q235">
        <f t="shared" ca="1" si="15"/>
        <v>0</v>
      </c>
      <c r="R235" t="str">
        <f ca="1">IF($Q235=1,SUM($Q$4:$Q235),"")</f>
        <v/>
      </c>
    </row>
    <row r="236" spans="1:18" ht="22.5" hidden="1" customHeight="1" x14ac:dyDescent="0.3">
      <c r="A236" s="2"/>
      <c r="B236" s="2"/>
      <c r="C236" s="3"/>
      <c r="D236" s="3"/>
      <c r="E236" s="2"/>
      <c r="F236" s="2"/>
      <c r="G236" s="5"/>
      <c r="H236" s="5"/>
      <c r="I236" s="4"/>
      <c r="J236" s="6" t="str">
        <f t="shared" si="13"/>
        <v/>
      </c>
      <c r="K236" s="4" t="str">
        <f t="shared" ca="1" si="14"/>
        <v/>
      </c>
      <c r="L236" s="7" t="str">
        <f t="shared" ca="1" si="16"/>
        <v/>
      </c>
      <c r="M236" s="4" t="str">
        <f>IF($I236="Complete","Green",IF($H236="","Amber",IF($H236&lt;'[2]Read Me'!$B$4,"Red",IF($H236-'[2]Read Me'!$B$4&lt;=21,"Amber","Green"))))</f>
        <v>Amber</v>
      </c>
      <c r="N236" s="3"/>
      <c r="O236" t="str">
        <f>IF($I236&lt;&gt;"Complete",IF(COUNTIFS($A$4:$A235,$A236,$B$4:$B235,$B236,$I$4:$I235,"&lt;&gt;Complete")=0,$A236&amp;"|"&amp;$B236,""),"")</f>
        <v>|</v>
      </c>
      <c r="P236" t="str">
        <f ca="1">IF($K236="Yes",COUNTIFS($K$4:$K236,"Yes"),"")</f>
        <v/>
      </c>
      <c r="Q236">
        <f t="shared" ca="1" si="15"/>
        <v>0</v>
      </c>
      <c r="R236" t="str">
        <f ca="1">IF($Q236=1,SUM($Q$4:$Q236),"")</f>
        <v/>
      </c>
    </row>
    <row r="237" spans="1:18" ht="22.5" hidden="1" customHeight="1" x14ac:dyDescent="0.3">
      <c r="A237" s="2"/>
      <c r="B237" s="2"/>
      <c r="C237" s="3"/>
      <c r="D237" s="3"/>
      <c r="E237" s="2"/>
      <c r="F237" s="2"/>
      <c r="G237" s="5"/>
      <c r="H237" s="5"/>
      <c r="I237" s="4"/>
      <c r="J237" s="6" t="str">
        <f t="shared" si="13"/>
        <v/>
      </c>
      <c r="K237" s="4" t="str">
        <f t="shared" ca="1" si="14"/>
        <v/>
      </c>
      <c r="L237" s="7" t="str">
        <f t="shared" ca="1" si="16"/>
        <v/>
      </c>
      <c r="M237" s="4" t="str">
        <f>IF($I237="Complete","Green",IF($H237="","Amber",IF($H237&lt;'[2]Read Me'!$B$4,"Red",IF($H237-'[2]Read Me'!$B$4&lt;=21,"Amber","Green"))))</f>
        <v>Amber</v>
      </c>
      <c r="N237" s="3"/>
      <c r="O237" t="str">
        <f>IF($I237&lt;&gt;"Complete",IF(COUNTIFS($A$4:$A236,$A237,$B$4:$B236,$B237,$I$4:$I236,"&lt;&gt;Complete")=0,$A237&amp;"|"&amp;$B237,""),"")</f>
        <v>|</v>
      </c>
      <c r="P237" t="str">
        <f ca="1">IF($K237="Yes",COUNTIFS($K$4:$K237,"Yes"),"")</f>
        <v/>
      </c>
      <c r="Q237">
        <f t="shared" ca="1" si="15"/>
        <v>0</v>
      </c>
      <c r="R237" t="str">
        <f ca="1">IF($Q237=1,SUM($Q$4:$Q237),"")</f>
        <v/>
      </c>
    </row>
    <row r="238" spans="1:18" ht="22.5" hidden="1" customHeight="1" x14ac:dyDescent="0.3">
      <c r="A238" s="2"/>
      <c r="B238" s="2"/>
      <c r="C238" s="3"/>
      <c r="D238" s="3"/>
      <c r="E238" s="2"/>
      <c r="F238" s="2"/>
      <c r="G238" s="5"/>
      <c r="H238" s="5"/>
      <c r="I238" s="4"/>
      <c r="J238" s="6" t="str">
        <f t="shared" si="13"/>
        <v/>
      </c>
      <c r="K238" s="4" t="str">
        <f t="shared" ca="1" si="14"/>
        <v/>
      </c>
      <c r="L238" s="7" t="str">
        <f t="shared" ca="1" si="16"/>
        <v/>
      </c>
      <c r="M238" s="4" t="str">
        <f>IF($I238="Complete","Green",IF($H238="","Amber",IF($H238&lt;'[2]Read Me'!$B$4,"Red",IF($H238-'[2]Read Me'!$B$4&lt;=21,"Amber","Green"))))</f>
        <v>Amber</v>
      </c>
      <c r="N238" s="3"/>
      <c r="O238" t="str">
        <f>IF($I238&lt;&gt;"Complete",IF(COUNTIFS($A$4:$A237,$A238,$B$4:$B237,$B238,$I$4:$I237,"&lt;&gt;Complete")=0,$A238&amp;"|"&amp;$B238,""),"")</f>
        <v>|</v>
      </c>
      <c r="P238" t="str">
        <f ca="1">IF($K238="Yes",COUNTIFS($K$4:$K238,"Yes"),"")</f>
        <v/>
      </c>
      <c r="Q238">
        <f t="shared" ca="1" si="15"/>
        <v>0</v>
      </c>
      <c r="R238" t="str">
        <f ca="1">IF($Q238=1,SUM($Q$4:$Q238),"")</f>
        <v/>
      </c>
    </row>
    <row r="239" spans="1:18" ht="22.5" hidden="1" customHeight="1" x14ac:dyDescent="0.3">
      <c r="A239" s="2"/>
      <c r="B239" s="2"/>
      <c r="C239" s="3"/>
      <c r="D239" s="3"/>
      <c r="E239" s="2"/>
      <c r="F239" s="2"/>
      <c r="G239" s="5"/>
      <c r="H239" s="5"/>
      <c r="I239" s="4"/>
      <c r="J239" s="6" t="str">
        <f t="shared" si="13"/>
        <v/>
      </c>
      <c r="K239" s="4" t="str">
        <f t="shared" ca="1" si="14"/>
        <v/>
      </c>
      <c r="L239" s="7" t="str">
        <f t="shared" ca="1" si="16"/>
        <v/>
      </c>
      <c r="M239" s="4" t="str">
        <f>IF($I239="Complete","Green",IF($H239="","Amber",IF($H239&lt;'[2]Read Me'!$B$4,"Red",IF($H239-'[2]Read Me'!$B$4&lt;=21,"Amber","Green"))))</f>
        <v>Amber</v>
      </c>
      <c r="N239" s="3"/>
      <c r="O239" t="str">
        <f>IF($I239&lt;&gt;"Complete",IF(COUNTIFS($A$4:$A238,$A239,$B$4:$B238,$B239,$I$4:$I238,"&lt;&gt;Complete")=0,$A239&amp;"|"&amp;$B239,""),"")</f>
        <v>|</v>
      </c>
      <c r="P239" t="str">
        <f ca="1">IF($K239="Yes",COUNTIFS($K$4:$K239,"Yes"),"")</f>
        <v/>
      </c>
      <c r="Q239">
        <f t="shared" ca="1" si="15"/>
        <v>0</v>
      </c>
      <c r="R239" t="str">
        <f ca="1">IF($Q239=1,SUM($Q$4:$Q239),"")</f>
        <v/>
      </c>
    </row>
    <row r="240" spans="1:18" ht="22.5" hidden="1" customHeight="1" x14ac:dyDescent="0.3">
      <c r="A240" s="2"/>
      <c r="B240" s="2"/>
      <c r="C240" s="3"/>
      <c r="D240" s="3"/>
      <c r="E240" s="2"/>
      <c r="F240" s="2"/>
      <c r="G240" s="5"/>
      <c r="H240" s="5"/>
      <c r="I240" s="4"/>
      <c r="J240" s="6" t="str">
        <f t="shared" si="13"/>
        <v/>
      </c>
      <c r="K240" s="4" t="str">
        <f t="shared" ca="1" si="14"/>
        <v/>
      </c>
      <c r="L240" s="7" t="str">
        <f t="shared" ca="1" si="16"/>
        <v/>
      </c>
      <c r="M240" s="4" t="str">
        <f>IF($I240="Complete","Green",IF($H240="","Amber",IF($H240&lt;'[2]Read Me'!$B$4,"Red",IF($H240-'[2]Read Me'!$B$4&lt;=21,"Amber","Green"))))</f>
        <v>Amber</v>
      </c>
      <c r="N240" s="3"/>
      <c r="O240" t="str">
        <f>IF($I240&lt;&gt;"Complete",IF(COUNTIFS($A$4:$A239,$A240,$B$4:$B239,$B240,$I$4:$I239,"&lt;&gt;Complete")=0,$A240&amp;"|"&amp;$B240,""),"")</f>
        <v>|</v>
      </c>
      <c r="P240" t="str">
        <f ca="1">IF($K240="Yes",COUNTIFS($K$4:$K240,"Yes"),"")</f>
        <v/>
      </c>
      <c r="Q240">
        <f t="shared" ca="1" si="15"/>
        <v>0</v>
      </c>
      <c r="R240" t="str">
        <f ca="1">IF($Q240=1,SUM($Q$4:$Q240),"")</f>
        <v/>
      </c>
    </row>
    <row r="241" spans="1:18" ht="22.5" hidden="1" customHeight="1" x14ac:dyDescent="0.3">
      <c r="A241" s="2"/>
      <c r="B241" s="2"/>
      <c r="C241" s="3"/>
      <c r="D241" s="3"/>
      <c r="E241" s="2"/>
      <c r="F241" s="2"/>
      <c r="G241" s="5"/>
      <c r="H241" s="5"/>
      <c r="I241" s="4"/>
      <c r="J241" s="6" t="str">
        <f t="shared" si="13"/>
        <v/>
      </c>
      <c r="K241" s="4" t="str">
        <f t="shared" ca="1" si="14"/>
        <v/>
      </c>
      <c r="L241" s="7" t="str">
        <f t="shared" ca="1" si="16"/>
        <v/>
      </c>
      <c r="M241" s="4" t="str">
        <f>IF($I241="Complete","Green",IF($H241="","Amber",IF($H241&lt;'[2]Read Me'!$B$4,"Red",IF($H241-'[2]Read Me'!$B$4&lt;=21,"Amber","Green"))))</f>
        <v>Amber</v>
      </c>
      <c r="N241" s="3"/>
      <c r="O241" t="str">
        <f>IF($I241&lt;&gt;"Complete",IF(COUNTIFS($A$4:$A240,$A241,$B$4:$B240,$B241,$I$4:$I240,"&lt;&gt;Complete")=0,$A241&amp;"|"&amp;$B241,""),"")</f>
        <v>|</v>
      </c>
      <c r="P241" t="str">
        <f ca="1">IF($K241="Yes",COUNTIFS($K$4:$K241,"Yes"),"")</f>
        <v/>
      </c>
      <c r="Q241">
        <f t="shared" ca="1" si="15"/>
        <v>0</v>
      </c>
      <c r="R241" t="str">
        <f ca="1">IF($Q241=1,SUM($Q$4:$Q241),"")</f>
        <v/>
      </c>
    </row>
    <row r="242" spans="1:18" ht="22.5" hidden="1" customHeight="1" x14ac:dyDescent="0.3">
      <c r="A242" s="2"/>
      <c r="B242" s="2"/>
      <c r="C242" s="3"/>
      <c r="D242" s="3"/>
      <c r="E242" s="2"/>
      <c r="F242" s="2"/>
      <c r="G242" s="5"/>
      <c r="H242" s="5"/>
      <c r="I242" s="4"/>
      <c r="J242" s="6" t="str">
        <f t="shared" si="13"/>
        <v/>
      </c>
      <c r="K242" s="4" t="str">
        <f t="shared" ca="1" si="14"/>
        <v/>
      </c>
      <c r="L242" s="7" t="str">
        <f t="shared" ca="1" si="16"/>
        <v/>
      </c>
      <c r="M242" s="4" t="str">
        <f>IF($I242="Complete","Green",IF($H242="","Amber",IF($H242&lt;'[2]Read Me'!$B$4,"Red",IF($H242-'[2]Read Me'!$B$4&lt;=21,"Amber","Green"))))</f>
        <v>Amber</v>
      </c>
      <c r="N242" s="3"/>
      <c r="O242" t="str">
        <f>IF($I242&lt;&gt;"Complete",IF(COUNTIFS($A$4:$A241,$A242,$B$4:$B241,$B242,$I$4:$I241,"&lt;&gt;Complete")=0,$A242&amp;"|"&amp;$B242,""),"")</f>
        <v>|</v>
      </c>
      <c r="P242" t="str">
        <f ca="1">IF($K242="Yes",COUNTIFS($K$4:$K242,"Yes"),"")</f>
        <v/>
      </c>
      <c r="Q242">
        <f t="shared" ca="1" si="15"/>
        <v>0</v>
      </c>
      <c r="R242" t="str">
        <f ca="1">IF($Q242=1,SUM($Q$4:$Q242),"")</f>
        <v/>
      </c>
    </row>
    <row r="243" spans="1:18" ht="22.5" hidden="1" customHeight="1" x14ac:dyDescent="0.3">
      <c r="A243" s="2"/>
      <c r="B243" s="2"/>
      <c r="C243" s="3"/>
      <c r="D243" s="3"/>
      <c r="E243" s="2"/>
      <c r="F243" s="2"/>
      <c r="G243" s="5"/>
      <c r="H243" s="5"/>
      <c r="I243" s="4"/>
      <c r="J243" s="6" t="str">
        <f t="shared" si="13"/>
        <v/>
      </c>
      <c r="K243" s="4" t="str">
        <f t="shared" ca="1" si="14"/>
        <v/>
      </c>
      <c r="L243" s="7" t="str">
        <f t="shared" ca="1" si="16"/>
        <v/>
      </c>
      <c r="M243" s="4" t="str">
        <f>IF($I243="Complete","Green",IF($H243="","Amber",IF($H243&lt;'[2]Read Me'!$B$4,"Red",IF($H243-'[2]Read Me'!$B$4&lt;=21,"Amber","Green"))))</f>
        <v>Amber</v>
      </c>
      <c r="N243" s="3"/>
      <c r="O243" t="str">
        <f>IF($I243&lt;&gt;"Complete",IF(COUNTIFS($A$4:$A242,$A243,$B$4:$B242,$B243,$I$4:$I242,"&lt;&gt;Complete")=0,$A243&amp;"|"&amp;$B243,""),"")</f>
        <v>|</v>
      </c>
      <c r="P243" t="str">
        <f ca="1">IF($K243="Yes",COUNTIFS($K$4:$K243,"Yes"),"")</f>
        <v/>
      </c>
      <c r="Q243">
        <f t="shared" ca="1" si="15"/>
        <v>0</v>
      </c>
      <c r="R243" t="str">
        <f ca="1">IF($Q243=1,SUM($Q$4:$Q243),"")</f>
        <v/>
      </c>
    </row>
    <row r="244" spans="1:18" ht="22.5" hidden="1" customHeight="1" x14ac:dyDescent="0.3">
      <c r="A244" s="2"/>
      <c r="B244" s="2"/>
      <c r="C244" s="3"/>
      <c r="D244" s="3"/>
      <c r="E244" s="2"/>
      <c r="F244" s="2"/>
      <c r="G244" s="5"/>
      <c r="H244" s="5"/>
      <c r="I244" s="4"/>
      <c r="J244" s="6" t="str">
        <f t="shared" si="13"/>
        <v/>
      </c>
      <c r="K244" s="4" t="str">
        <f t="shared" ref="K244:K264" ca="1" si="17">IF($H244="","",IF($H244&gt;TODAY(),"No","Yes"))</f>
        <v/>
      </c>
      <c r="L244" s="7" t="str">
        <f t="shared" ca="1" si="16"/>
        <v/>
      </c>
      <c r="M244" s="4" t="str">
        <f>IF($I244="Complete","Green",IF($H244="","Amber",IF($H244&lt;'[2]Read Me'!$B$4,"Red",IF($H244-'[2]Read Me'!$B$4&lt;=21,"Amber","Green"))))</f>
        <v>Amber</v>
      </c>
      <c r="N244" s="3"/>
      <c r="O244" t="str">
        <f>IF($I244&lt;&gt;"Complete",IF(COUNTIFS($A$4:$A243,$A244,$B$4:$B243,$B244,$I$4:$I243,"&lt;&gt;Complete")=0,$A244&amp;"|"&amp;$B244,""),"")</f>
        <v>|</v>
      </c>
      <c r="P244" t="str">
        <f ca="1">IF($K244="Yes",COUNTIFS($K$4:$K244,"Yes"),"")</f>
        <v/>
      </c>
      <c r="Q244">
        <f t="shared" ca="1" si="15"/>
        <v>0</v>
      </c>
      <c r="R244" t="str">
        <f ca="1">IF($Q244=1,SUM($Q$4:$Q244),"")</f>
        <v/>
      </c>
    </row>
    <row r="245" spans="1:18" ht="22.5" hidden="1" customHeight="1" x14ac:dyDescent="0.3">
      <c r="A245" s="2"/>
      <c r="B245" s="2"/>
      <c r="C245" s="3"/>
      <c r="D245" s="3"/>
      <c r="E245" s="2"/>
      <c r="F245" s="2"/>
      <c r="G245" s="5"/>
      <c r="H245" s="5"/>
      <c r="I245" s="4"/>
      <c r="J245" s="6" t="str">
        <f t="shared" si="13"/>
        <v/>
      </c>
      <c r="K245" s="4" t="str">
        <f t="shared" ca="1" si="17"/>
        <v/>
      </c>
      <c r="L245" s="7" t="str">
        <f t="shared" ca="1" si="16"/>
        <v/>
      </c>
      <c r="M245" s="4" t="str">
        <f>IF($I245="Complete","Green",IF($H245="","Amber",IF($H245&lt;'[2]Read Me'!$B$4,"Red",IF($H245-'[2]Read Me'!$B$4&lt;=21,"Amber","Green"))))</f>
        <v>Amber</v>
      </c>
      <c r="N245" s="3"/>
      <c r="O245" t="str">
        <f>IF($I245&lt;&gt;"Complete",IF(COUNTIFS($A$4:$A244,$A245,$B$4:$B244,$B245,$I$4:$I244,"&lt;&gt;Complete")=0,$A245&amp;"|"&amp;$B245,""),"")</f>
        <v>|</v>
      </c>
      <c r="P245" t="str">
        <f ca="1">IF($K245="Yes",COUNTIFS($K$4:$K245,"Yes"),"")</f>
        <v/>
      </c>
      <c r="Q245">
        <f t="shared" ca="1" si="15"/>
        <v>0</v>
      </c>
      <c r="R245" t="str">
        <f ca="1">IF($Q245=1,SUM($Q$4:$Q245),"")</f>
        <v/>
      </c>
    </row>
    <row r="246" spans="1:18" ht="22.5" hidden="1" customHeight="1" x14ac:dyDescent="0.3">
      <c r="A246" s="2"/>
      <c r="B246" s="2"/>
      <c r="C246" s="3"/>
      <c r="D246" s="3"/>
      <c r="E246" s="2"/>
      <c r="F246" s="2"/>
      <c r="G246" s="5"/>
      <c r="H246" s="5"/>
      <c r="I246" s="4"/>
      <c r="J246" s="6" t="str">
        <f t="shared" si="13"/>
        <v/>
      </c>
      <c r="K246" s="4" t="str">
        <f t="shared" ca="1" si="17"/>
        <v/>
      </c>
      <c r="L246" s="7" t="str">
        <f t="shared" ca="1" si="16"/>
        <v/>
      </c>
      <c r="M246" s="4" t="str">
        <f>IF($I246="Complete","Green",IF($H246="","Amber",IF($H246&lt;'[2]Read Me'!$B$4,"Red",IF($H246-'[2]Read Me'!$B$4&lt;=21,"Amber","Green"))))</f>
        <v>Amber</v>
      </c>
      <c r="N246" s="3"/>
      <c r="O246" t="str">
        <f>IF($I246&lt;&gt;"Complete",IF(COUNTIFS($A$4:$A245,$A246,$B$4:$B245,$B246,$I$4:$I245,"&lt;&gt;Complete")=0,$A246&amp;"|"&amp;$B246,""),"")</f>
        <v>|</v>
      </c>
      <c r="P246" t="str">
        <f ca="1">IF($K246="Yes",COUNTIFS($K$4:$K246,"Yes"),"")</f>
        <v/>
      </c>
      <c r="Q246">
        <f t="shared" ca="1" si="15"/>
        <v>0</v>
      </c>
      <c r="R246" t="str">
        <f ca="1">IF($Q246=1,SUM($Q$4:$Q246),"")</f>
        <v/>
      </c>
    </row>
    <row r="247" spans="1:18" ht="22.5" hidden="1" customHeight="1" x14ac:dyDescent="0.3">
      <c r="A247" s="2"/>
      <c r="B247" s="2"/>
      <c r="C247" s="3"/>
      <c r="D247" s="3"/>
      <c r="E247" s="2"/>
      <c r="F247" s="2"/>
      <c r="G247" s="5"/>
      <c r="H247" s="5"/>
      <c r="I247" s="4"/>
      <c r="J247" s="6" t="str">
        <f t="shared" si="13"/>
        <v/>
      </c>
      <c r="K247" s="4" t="str">
        <f t="shared" ca="1" si="17"/>
        <v/>
      </c>
      <c r="L247" s="7" t="str">
        <f t="shared" ca="1" si="16"/>
        <v/>
      </c>
      <c r="M247" s="4" t="str">
        <f>IF($I247="Complete","Green",IF($H247="","Amber",IF($H247&lt;'[2]Read Me'!$B$4,"Red",IF($H247-'[2]Read Me'!$B$4&lt;=21,"Amber","Green"))))</f>
        <v>Amber</v>
      </c>
      <c r="N247" s="3"/>
      <c r="O247" t="str">
        <f>IF($I247&lt;&gt;"Complete",IF(COUNTIFS($A$4:$A246,$A247,$B$4:$B246,$B247,$I$4:$I246,"&lt;&gt;Complete")=0,$A247&amp;"|"&amp;$B247,""),"")</f>
        <v>|</v>
      </c>
      <c r="P247" t="str">
        <f ca="1">IF($K247="Yes",COUNTIFS($K$4:$K247,"Yes"),"")</f>
        <v/>
      </c>
      <c r="Q247">
        <f t="shared" ca="1" si="15"/>
        <v>0</v>
      </c>
      <c r="R247" t="str">
        <f ca="1">IF($Q247=1,SUM($Q$4:$Q247),"")</f>
        <v/>
      </c>
    </row>
    <row r="248" spans="1:18" ht="22.5" hidden="1" customHeight="1" x14ac:dyDescent="0.3">
      <c r="A248" s="2"/>
      <c r="B248" s="2"/>
      <c r="C248" s="3"/>
      <c r="D248" s="3"/>
      <c r="E248" s="2"/>
      <c r="F248" s="2"/>
      <c r="G248" s="5"/>
      <c r="H248" s="5"/>
      <c r="I248" s="4"/>
      <c r="J248" s="6" t="str">
        <f t="shared" si="13"/>
        <v/>
      </c>
      <c r="K248" s="4" t="str">
        <f t="shared" ca="1" si="17"/>
        <v/>
      </c>
      <c r="L248" s="7" t="str">
        <f t="shared" ca="1" si="16"/>
        <v/>
      </c>
      <c r="M248" s="4" t="str">
        <f>IF($I248="Complete","Green",IF($H248="","Amber",IF($H248&lt;'[2]Read Me'!$B$4,"Red",IF($H248-'[2]Read Me'!$B$4&lt;=21,"Amber","Green"))))</f>
        <v>Amber</v>
      </c>
      <c r="N248" s="3"/>
      <c r="O248" t="str">
        <f>IF($I248&lt;&gt;"Complete",IF(COUNTIFS($A$4:$A247,$A248,$B$4:$B247,$B248,$I$4:$I247,"&lt;&gt;Complete")=0,$A248&amp;"|"&amp;$B248,""),"")</f>
        <v>|</v>
      </c>
      <c r="P248" t="str">
        <f ca="1">IF($K248="Yes",COUNTIFS($K$4:$K248,"Yes"),"")</f>
        <v/>
      </c>
      <c r="Q248">
        <f t="shared" ca="1" si="15"/>
        <v>0</v>
      </c>
      <c r="R248" t="str">
        <f ca="1">IF($Q248=1,SUM($Q$4:$Q248),"")</f>
        <v/>
      </c>
    </row>
    <row r="249" spans="1:18" ht="22.5" hidden="1" customHeight="1" x14ac:dyDescent="0.3">
      <c r="A249" s="2"/>
      <c r="B249" s="2"/>
      <c r="C249" s="3"/>
      <c r="D249" s="3"/>
      <c r="E249" s="2"/>
      <c r="F249" s="2"/>
      <c r="G249" s="5"/>
      <c r="H249" s="5"/>
      <c r="I249" s="4"/>
      <c r="J249" s="6" t="str">
        <f t="shared" si="13"/>
        <v/>
      </c>
      <c r="K249" s="4" t="str">
        <f t="shared" ca="1" si="17"/>
        <v/>
      </c>
      <c r="L249" s="7" t="str">
        <f t="shared" ca="1" si="16"/>
        <v/>
      </c>
      <c r="M249" s="4" t="str">
        <f>IF($I249="Complete","Green",IF($H249="","Amber",IF($H249&lt;'[2]Read Me'!$B$4,"Red",IF($H249-'[2]Read Me'!$B$4&lt;=21,"Amber","Green"))))</f>
        <v>Amber</v>
      </c>
      <c r="N249" s="3"/>
      <c r="O249" t="str">
        <f>IF($I249&lt;&gt;"Complete",IF(COUNTIFS($A$4:$A248,$A249,$B$4:$B248,$B249,$I$4:$I248,"&lt;&gt;Complete")=0,$A249&amp;"|"&amp;$B249,""),"")</f>
        <v>|</v>
      </c>
      <c r="P249" t="str">
        <f ca="1">IF($K249="Yes",COUNTIFS($K$4:$K249,"Yes"),"")</f>
        <v/>
      </c>
      <c r="Q249">
        <f t="shared" ca="1" si="15"/>
        <v>0</v>
      </c>
      <c r="R249" t="str">
        <f ca="1">IF($Q249=1,SUM($Q$4:$Q249),"")</f>
        <v/>
      </c>
    </row>
    <row r="250" spans="1:18" ht="22.5" hidden="1" customHeight="1" x14ac:dyDescent="0.3">
      <c r="A250" s="2"/>
      <c r="B250" s="2"/>
      <c r="C250" s="3"/>
      <c r="D250" s="3"/>
      <c r="E250" s="2"/>
      <c r="F250" s="2"/>
      <c r="G250" s="5"/>
      <c r="H250" s="5"/>
      <c r="I250" s="4"/>
      <c r="J250" s="6" t="str">
        <f t="shared" si="13"/>
        <v/>
      </c>
      <c r="K250" s="4" t="str">
        <f t="shared" ca="1" si="17"/>
        <v/>
      </c>
      <c r="L250" s="7" t="str">
        <f t="shared" ca="1" si="16"/>
        <v/>
      </c>
      <c r="M250" s="4" t="str">
        <f>IF($I250="Complete","Green",IF($H250="","Amber",IF($H250&lt;'[2]Read Me'!$B$4,"Red",IF($H250-'[2]Read Me'!$B$4&lt;=21,"Amber","Green"))))</f>
        <v>Amber</v>
      </c>
      <c r="N250" s="8"/>
      <c r="O250" t="str">
        <f>IF($I250&lt;&gt;"Complete",IF(COUNTIFS($A$4:$A249,$A250,$B$4:$B249,$B250,$I$4:$I249,"&lt;&gt;Complete")=0,$A250&amp;"|"&amp;$B250,""),"")</f>
        <v>|</v>
      </c>
      <c r="P250" t="str">
        <f ca="1">IF($K250="Yes",COUNTIFS($K$4:$K250,"Yes"),"")</f>
        <v/>
      </c>
      <c r="Q250">
        <f t="shared" ca="1" si="15"/>
        <v>0</v>
      </c>
      <c r="R250" t="str">
        <f ca="1">IF($Q250=1,SUM($Q$4:$Q250),"")</f>
        <v/>
      </c>
    </row>
    <row r="251" spans="1:18" ht="22.5" hidden="1" customHeight="1" x14ac:dyDescent="0.3">
      <c r="A251" s="2"/>
      <c r="B251" s="2"/>
      <c r="C251" s="3"/>
      <c r="D251" s="3"/>
      <c r="E251" s="2"/>
      <c r="F251" s="2"/>
      <c r="G251" s="5"/>
      <c r="H251" s="5"/>
      <c r="I251" s="4"/>
      <c r="J251" s="6" t="str">
        <f t="shared" si="13"/>
        <v/>
      </c>
      <c r="K251" s="4" t="str">
        <f t="shared" ca="1" si="17"/>
        <v/>
      </c>
      <c r="L251" s="7" t="str">
        <f t="shared" ca="1" si="16"/>
        <v/>
      </c>
      <c r="M251" s="4" t="str">
        <f>IF($I251="Complete","Green",IF($H251="","Amber",IF($H251&lt;'[2]Read Me'!$B$4,"Red",IF($H251-'[2]Read Me'!$B$4&lt;=21,"Amber","Green"))))</f>
        <v>Amber</v>
      </c>
      <c r="N251" s="3"/>
      <c r="O251" t="str">
        <f>IF($I251&lt;&gt;"Complete",IF(COUNTIFS($A$4:$A250,$A251,$B$4:$B250,$B251,$I$4:$I250,"&lt;&gt;Complete")=0,$A251&amp;"|"&amp;$B251,""),"")</f>
        <v>|</v>
      </c>
      <c r="P251" t="str">
        <f ca="1">IF($K251="Yes",COUNTIFS($K$4:$K251,"Yes"),"")</f>
        <v/>
      </c>
      <c r="Q251">
        <f t="shared" ca="1" si="15"/>
        <v>0</v>
      </c>
      <c r="R251" t="str">
        <f ca="1">IF($Q251=1,SUM($Q$4:$Q251),"")</f>
        <v/>
      </c>
    </row>
    <row r="252" spans="1:18" ht="22.5" hidden="1" customHeight="1" x14ac:dyDescent="0.3">
      <c r="A252" s="2"/>
      <c r="B252" s="2"/>
      <c r="C252" s="3"/>
      <c r="D252" s="3"/>
      <c r="E252" s="2"/>
      <c r="F252" s="2"/>
      <c r="G252" s="5"/>
      <c r="H252" s="5"/>
      <c r="I252" s="4"/>
      <c r="J252" s="6" t="str">
        <f t="shared" si="13"/>
        <v/>
      </c>
      <c r="K252" s="4" t="str">
        <f t="shared" ca="1" si="17"/>
        <v/>
      </c>
      <c r="L252" s="7" t="str">
        <f t="shared" ca="1" si="16"/>
        <v/>
      </c>
      <c r="M252" s="4" t="str">
        <f>IF($I252="Complete","Green",IF($H252="","Amber",IF($H252&lt;'[2]Read Me'!$B$4,"Red",IF($H252-'[2]Read Me'!$B$4&lt;=21,"Amber","Green"))))</f>
        <v>Amber</v>
      </c>
      <c r="N252" s="3"/>
      <c r="O252" t="str">
        <f>IF($I252&lt;&gt;"Complete",IF(COUNTIFS($A$4:$A251,$A252,$B$4:$B251,$B252,$I$4:$I251,"&lt;&gt;Complete")=0,$A252&amp;"|"&amp;$B252,""),"")</f>
        <v>|</v>
      </c>
      <c r="P252" t="str">
        <f ca="1">IF($K252="Yes",COUNTIFS($K$4:$K252,"Yes"),"")</f>
        <v/>
      </c>
      <c r="Q252">
        <f t="shared" ca="1" si="15"/>
        <v>0</v>
      </c>
      <c r="R252" t="str">
        <f ca="1">IF($Q252=1,SUM($Q$4:$Q252),"")</f>
        <v/>
      </c>
    </row>
    <row r="253" spans="1:18" ht="22.5" hidden="1" customHeight="1" x14ac:dyDescent="0.3">
      <c r="A253" s="2"/>
      <c r="B253" s="2"/>
      <c r="C253" s="3"/>
      <c r="D253" s="3"/>
      <c r="E253" s="2"/>
      <c r="F253" s="2"/>
      <c r="G253" s="5"/>
      <c r="H253" s="5"/>
      <c r="I253" s="4"/>
      <c r="J253" s="6" t="str">
        <f t="shared" si="13"/>
        <v/>
      </c>
      <c r="K253" s="4" t="str">
        <f t="shared" ca="1" si="17"/>
        <v/>
      </c>
      <c r="L253" s="7" t="str">
        <f t="shared" ca="1" si="16"/>
        <v/>
      </c>
      <c r="M253" s="4" t="str">
        <f>IF($I253="Complete","Green",IF($H253="","Amber",IF($H253&lt;'[2]Read Me'!$B$4,"Red",IF($H253-'[2]Read Me'!$B$4&lt;=21,"Amber","Green"))))</f>
        <v>Amber</v>
      </c>
      <c r="N253" s="3"/>
      <c r="O253" t="str">
        <f>IF($I253&lt;&gt;"Complete",IF(COUNTIFS($A$4:$A252,$A253,$B$4:$B252,$B253,$I$4:$I252,"&lt;&gt;Complete")=0,$A253&amp;"|"&amp;$B253,""),"")</f>
        <v>|</v>
      </c>
      <c r="P253" t="str">
        <f ca="1">IF($K253="Yes",COUNTIFS($K$4:$K253,"Yes"),"")</f>
        <v/>
      </c>
      <c r="Q253">
        <f t="shared" ca="1" si="15"/>
        <v>0</v>
      </c>
      <c r="R253" t="str">
        <f ca="1">IF($Q253=1,SUM($Q$4:$Q253),"")</f>
        <v/>
      </c>
    </row>
    <row r="254" spans="1:18" ht="22.5" hidden="1" customHeight="1" x14ac:dyDescent="0.3">
      <c r="A254" s="2"/>
      <c r="B254" s="2"/>
      <c r="C254" s="3"/>
      <c r="D254" s="3"/>
      <c r="E254" s="2"/>
      <c r="F254" s="2"/>
      <c r="G254" s="5"/>
      <c r="H254" s="5"/>
      <c r="I254" s="4"/>
      <c r="J254" s="6" t="str">
        <f t="shared" si="13"/>
        <v/>
      </c>
      <c r="K254" s="4" t="str">
        <f t="shared" ca="1" si="17"/>
        <v/>
      </c>
      <c r="L254" s="7" t="str">
        <f t="shared" ca="1" si="16"/>
        <v/>
      </c>
      <c r="M254" s="4" t="str">
        <f>IF($I254="Complete","Green",IF($H254="","Amber",IF($H254&lt;'[2]Read Me'!$B$4,"Red",IF($H254-'[2]Read Me'!$B$4&lt;=21,"Amber","Green"))))</f>
        <v>Amber</v>
      </c>
      <c r="N254" s="3"/>
      <c r="O254" t="str">
        <f>IF($I254&lt;&gt;"Complete",IF(COUNTIFS($A$4:$A253,$A254,$B$4:$B253,$B254,$I$4:$I253,"&lt;&gt;Complete")=0,$A254&amp;"|"&amp;$B254,""),"")</f>
        <v>|</v>
      </c>
      <c r="P254" t="str">
        <f ca="1">IF($K254="Yes",COUNTIFS($K$4:$K254,"Yes"),"")</f>
        <v/>
      </c>
      <c r="Q254">
        <f t="shared" ca="1" si="15"/>
        <v>0</v>
      </c>
      <c r="R254" t="str">
        <f ca="1">IF($Q254=1,SUM($Q$4:$Q254),"")</f>
        <v/>
      </c>
    </row>
    <row r="255" spans="1:18" ht="22.5" hidden="1" customHeight="1" x14ac:dyDescent="0.3">
      <c r="A255" s="2"/>
      <c r="B255" s="2"/>
      <c r="C255" s="3"/>
      <c r="D255" s="3"/>
      <c r="E255" s="2"/>
      <c r="F255" s="2"/>
      <c r="G255" s="5"/>
      <c r="H255" s="5"/>
      <c r="I255" s="4"/>
      <c r="J255" s="6" t="str">
        <f t="shared" si="13"/>
        <v/>
      </c>
      <c r="K255" s="4" t="str">
        <f t="shared" ca="1" si="17"/>
        <v/>
      </c>
      <c r="L255" s="7" t="str">
        <f t="shared" ca="1" si="16"/>
        <v/>
      </c>
      <c r="M255" s="4" t="str">
        <f>IF($I255="Complete","Green",IF($H255="","Amber",IF($H255&lt;'[2]Read Me'!$B$4,"Red",IF($H255-'[2]Read Me'!$B$4&lt;=21,"Amber","Green"))))</f>
        <v>Amber</v>
      </c>
      <c r="N255" s="3"/>
      <c r="O255" t="str">
        <f>IF($I255&lt;&gt;"Complete",IF(COUNTIFS($A$4:$A254,$A255,$B$4:$B254,$B255,$I$4:$I254,"&lt;&gt;Complete")=0,$A255&amp;"|"&amp;$B255,""),"")</f>
        <v>|</v>
      </c>
      <c r="P255" t="str">
        <f ca="1">IF($K255="Yes",COUNTIFS($K$4:$K255,"Yes"),"")</f>
        <v/>
      </c>
      <c r="Q255">
        <f t="shared" ca="1" si="15"/>
        <v>0</v>
      </c>
      <c r="R255" t="str">
        <f ca="1">IF($Q255=1,SUM($Q$4:$Q255),"")</f>
        <v/>
      </c>
    </row>
    <row r="256" spans="1:18" ht="22.5" hidden="1" customHeight="1" x14ac:dyDescent="0.3">
      <c r="A256" s="2"/>
      <c r="B256" s="2"/>
      <c r="C256" s="3"/>
      <c r="D256" s="3"/>
      <c r="E256" s="2"/>
      <c r="F256" s="2"/>
      <c r="G256" s="5"/>
      <c r="H256" s="5"/>
      <c r="I256" s="4"/>
      <c r="J256" s="6" t="str">
        <f t="shared" si="13"/>
        <v/>
      </c>
      <c r="K256" s="4" t="str">
        <f t="shared" ca="1" si="17"/>
        <v/>
      </c>
      <c r="L256" s="7" t="str">
        <f t="shared" ca="1" si="16"/>
        <v/>
      </c>
      <c r="M256" s="4" t="str">
        <f>IF($I256="Complete","Green",IF($H256="","Amber",IF($H256&lt;'[2]Read Me'!$B$4,"Red",IF($H256-'[2]Read Me'!$B$4&lt;=21,"Amber","Green"))))</f>
        <v>Amber</v>
      </c>
      <c r="N256" s="3"/>
      <c r="O256" t="str">
        <f>IF($I256&lt;&gt;"Complete",IF(COUNTIFS($A$4:$A255,$A256,$B$4:$B255,$B256,$I$4:$I255,"&lt;&gt;Complete")=0,$A256&amp;"|"&amp;$B256,""),"")</f>
        <v>|</v>
      </c>
      <c r="P256" t="str">
        <f ca="1">IF($K256="Yes",COUNTIFS($K$4:$K256,"Yes"),"")</f>
        <v/>
      </c>
      <c r="Q256">
        <f t="shared" ca="1" si="15"/>
        <v>0</v>
      </c>
      <c r="R256" t="str">
        <f ca="1">IF($Q256=1,SUM($Q$4:$Q256),"")</f>
        <v/>
      </c>
    </row>
    <row r="257" spans="1:18" ht="22.5" hidden="1" customHeight="1" x14ac:dyDescent="0.3">
      <c r="A257" s="2"/>
      <c r="B257" s="2"/>
      <c r="C257" s="3"/>
      <c r="D257" s="3"/>
      <c r="E257" s="2"/>
      <c r="F257" s="2"/>
      <c r="G257" s="5"/>
      <c r="H257" s="5"/>
      <c r="I257" s="4"/>
      <c r="J257" s="6" t="str">
        <f t="shared" si="13"/>
        <v/>
      </c>
      <c r="K257" s="4" t="str">
        <f t="shared" ca="1" si="17"/>
        <v/>
      </c>
      <c r="L257" s="7" t="str">
        <f t="shared" ca="1" si="16"/>
        <v/>
      </c>
      <c r="M257" s="4" t="str">
        <f>IF($I257="Complete","Green",IF($H257="","Amber",IF($H257&lt;'[2]Read Me'!$B$4,"Red",IF($H257-'[2]Read Me'!$B$4&lt;=21,"Amber","Green"))))</f>
        <v>Amber</v>
      </c>
      <c r="N257" s="3"/>
      <c r="O257" t="str">
        <f>IF($I257&lt;&gt;"Complete",IF(COUNTIFS($A$4:$A256,$A257,$B$4:$B256,$B257,$I$4:$I256,"&lt;&gt;Complete")=0,$A257&amp;"|"&amp;$B257,""),"")</f>
        <v>|</v>
      </c>
      <c r="P257" t="str">
        <f ca="1">IF($K257="Yes",COUNTIFS($K$4:$K257,"Yes"),"")</f>
        <v/>
      </c>
      <c r="Q257">
        <f t="shared" ca="1" si="15"/>
        <v>0</v>
      </c>
      <c r="R257" t="str">
        <f ca="1">IF($Q257=1,SUM($Q$4:$Q257),"")</f>
        <v/>
      </c>
    </row>
    <row r="258" spans="1:18" ht="45" hidden="1" customHeight="1" x14ac:dyDescent="0.3">
      <c r="A258" s="2"/>
      <c r="B258" s="2"/>
      <c r="C258" s="3"/>
      <c r="D258" s="3"/>
      <c r="E258" s="2"/>
      <c r="F258" s="2"/>
      <c r="G258" s="5"/>
      <c r="H258" s="5"/>
      <c r="I258" s="4"/>
      <c r="J258" s="6" t="str">
        <f t="shared" si="13"/>
        <v/>
      </c>
      <c r="K258" s="4" t="str">
        <f t="shared" ca="1" si="17"/>
        <v/>
      </c>
      <c r="L258" s="7" t="str">
        <f t="shared" ca="1" si="16"/>
        <v/>
      </c>
      <c r="M258" s="4" t="str">
        <f>IF($I258="Complete","Green",IF($H258="","Amber",IF($H258&lt;'[2]Read Me'!$B$4,"Red",IF($H258-'[2]Read Me'!$B$4&lt;=21,"Amber","Green"))))</f>
        <v>Amber</v>
      </c>
      <c r="N258" s="3"/>
      <c r="O258" t="str">
        <f>IF($I258&lt;&gt;"Complete",IF(COUNTIFS($A$4:$A257,$A258,$B$4:$B257,$B258,$I$4:$I257,"&lt;&gt;Complete")=0,$A258&amp;"|"&amp;$B258,""),"")</f>
        <v>|</v>
      </c>
      <c r="P258" t="str">
        <f ca="1">IF($K258="Yes",COUNTIFS($K$4:$K258,"Yes"),"")</f>
        <v/>
      </c>
      <c r="Q258">
        <f t="shared" ca="1" si="15"/>
        <v>0</v>
      </c>
      <c r="R258" t="str">
        <f ca="1">IF($Q258=1,SUM($Q$4:$Q258),"")</f>
        <v/>
      </c>
    </row>
    <row r="259" spans="1:18" ht="45" hidden="1" customHeight="1" x14ac:dyDescent="0.3">
      <c r="A259" s="2"/>
      <c r="B259" s="2"/>
      <c r="C259" s="3"/>
      <c r="D259" s="3"/>
      <c r="E259" s="2"/>
      <c r="F259" s="2"/>
      <c r="G259" s="5"/>
      <c r="H259" s="5"/>
      <c r="I259" s="4"/>
      <c r="J259" s="6" t="str">
        <f t="shared" si="13"/>
        <v/>
      </c>
      <c r="K259" s="4" t="str">
        <f t="shared" ca="1" si="17"/>
        <v/>
      </c>
      <c r="L259" s="7" t="str">
        <f t="shared" ca="1" si="16"/>
        <v/>
      </c>
      <c r="M259" s="4" t="str">
        <f>IF($I259="Complete","Green",IF($H259="","Amber",IF($H259&lt;'[2]Read Me'!$B$4,"Red",IF($H259-'[2]Read Me'!$B$4&lt;=21,"Amber","Green"))))</f>
        <v>Amber</v>
      </c>
      <c r="N259" s="3"/>
      <c r="O259" t="str">
        <f>IF($I259&lt;&gt;"Complete",IF(COUNTIFS($A$4:$A258,$A259,$B$4:$B258,$B259,$I$4:$I258,"&lt;&gt;Complete")=0,$A259&amp;"|"&amp;$B259,""),"")</f>
        <v>|</v>
      </c>
      <c r="P259" t="str">
        <f ca="1">IF($K259="Yes",COUNTIFS($K$4:$K259,"Yes"),"")</f>
        <v/>
      </c>
      <c r="Q259">
        <f t="shared" ca="1" si="15"/>
        <v>0</v>
      </c>
      <c r="R259" t="str">
        <f ca="1">IF($Q259=1,SUM($Q$4:$Q259),"")</f>
        <v/>
      </c>
    </row>
    <row r="260" spans="1:18" ht="45" hidden="1" customHeight="1" x14ac:dyDescent="0.3">
      <c r="A260" s="2"/>
      <c r="B260" s="2"/>
      <c r="C260" s="3"/>
      <c r="D260" s="3"/>
      <c r="E260" s="2"/>
      <c r="F260" s="2"/>
      <c r="G260" s="5"/>
      <c r="H260" s="5"/>
      <c r="I260" s="4"/>
      <c r="J260" s="6" t="str">
        <f t="shared" ref="J260:J312" si="18">IF(OR($G260="",$H260=""),"",$H260-$G260)</f>
        <v/>
      </c>
      <c r="K260" s="4" t="str">
        <f t="shared" ca="1" si="17"/>
        <v/>
      </c>
      <c r="L260" s="7" t="str">
        <f t="shared" ca="1" si="16"/>
        <v/>
      </c>
      <c r="M260" s="4" t="str">
        <f>IF($I260="Complete","Green",IF($H260="","Amber",IF($H260&lt;'[2]Read Me'!$B$4,"Red",IF($H260-'[2]Read Me'!$B$4&lt;=21,"Amber","Green"))))</f>
        <v>Amber</v>
      </c>
      <c r="N260" s="3"/>
      <c r="O260" t="str">
        <f>IF($I260&lt;&gt;"Complete",IF(COUNTIFS($A$4:$A259,$A260,$B$4:$B259,$B260,$I$4:$I259,"&lt;&gt;Complete")=0,$A260&amp;"|"&amp;$B260,""),"")</f>
        <v>|</v>
      </c>
      <c r="P260" t="str">
        <f ca="1">IF($K260="Yes",COUNTIFS($K$4:$K260,"Yes"),"")</f>
        <v/>
      </c>
      <c r="Q260">
        <f t="shared" ref="Q260:Q312" ca="1" si="19">IF(OR($I260="In Progress",$K260="Yes"),1,0)</f>
        <v>0</v>
      </c>
      <c r="R260" t="str">
        <f ca="1">IF($Q260=1,SUM($Q$4:$Q260),"")</f>
        <v/>
      </c>
    </row>
    <row r="261" spans="1:18" ht="45" hidden="1" customHeight="1" x14ac:dyDescent="0.3">
      <c r="A261" s="2"/>
      <c r="B261" s="2"/>
      <c r="C261" s="3"/>
      <c r="D261" s="3"/>
      <c r="E261" s="2"/>
      <c r="F261" s="2"/>
      <c r="G261" s="5"/>
      <c r="H261" s="5"/>
      <c r="I261" s="4"/>
      <c r="J261" s="6" t="str">
        <f t="shared" si="18"/>
        <v/>
      </c>
      <c r="K261" s="4" t="str">
        <f t="shared" ca="1" si="17"/>
        <v/>
      </c>
      <c r="L261" s="7" t="str">
        <f t="shared" ref="L261:L324" ca="1" si="20">IF(I261="Completed",0,IF(H261="","",H261-TODAY()))</f>
        <v/>
      </c>
      <c r="M261" s="4" t="str">
        <f>IF($I261="Complete","Green",IF($H261="","Amber",IF($H261&lt;'[2]Read Me'!$B$4,"Red",IF($H261-'[2]Read Me'!$B$4&lt;=21,"Amber","Green"))))</f>
        <v>Amber</v>
      </c>
      <c r="N261" s="3"/>
      <c r="O261" t="str">
        <f>IF($I261&lt;&gt;"Complete",IF(COUNTIFS($A$4:$A260,$A261,$B$4:$B260,$B261,$I$4:$I260,"&lt;&gt;Complete")=0,$A261&amp;"|"&amp;$B261,""),"")</f>
        <v>|</v>
      </c>
      <c r="P261" t="str">
        <f ca="1">IF($K261="Yes",COUNTIFS($K$4:$K261,"Yes"),"")</f>
        <v/>
      </c>
      <c r="Q261">
        <f t="shared" ca="1" si="19"/>
        <v>0</v>
      </c>
      <c r="R261" t="str">
        <f ca="1">IF($Q261=1,SUM($Q$4:$Q261),"")</f>
        <v/>
      </c>
    </row>
    <row r="262" spans="1:18" ht="45" hidden="1" customHeight="1" x14ac:dyDescent="0.3">
      <c r="A262" s="2"/>
      <c r="B262" s="2"/>
      <c r="C262" s="3"/>
      <c r="D262" s="3"/>
      <c r="E262" s="2"/>
      <c r="F262" s="2"/>
      <c r="G262" s="5"/>
      <c r="H262" s="5"/>
      <c r="I262" s="4"/>
      <c r="J262" s="6" t="str">
        <f t="shared" si="18"/>
        <v/>
      </c>
      <c r="K262" s="4" t="str">
        <f t="shared" ca="1" si="17"/>
        <v/>
      </c>
      <c r="L262" s="7" t="str">
        <f t="shared" ca="1" si="20"/>
        <v/>
      </c>
      <c r="M262" s="4" t="str">
        <f>IF($I262="Complete","Green",IF($H262="","Amber",IF($H262&lt;'[2]Read Me'!$B$4,"Red",IF($H262-'[2]Read Me'!$B$4&lt;=21,"Amber","Green"))))</f>
        <v>Amber</v>
      </c>
      <c r="N262" s="3"/>
      <c r="O262" t="str">
        <f>IF($I262&lt;&gt;"Complete",IF(COUNTIFS($A$4:$A261,$A262,$B$4:$B261,$B262,$I$4:$I261,"&lt;&gt;Complete")=0,$A262&amp;"|"&amp;$B262,""),"")</f>
        <v>|</v>
      </c>
      <c r="P262" t="str">
        <f ca="1">IF($K262="Yes",COUNTIFS($K$4:$K262,"Yes"),"")</f>
        <v/>
      </c>
      <c r="Q262">
        <f t="shared" ca="1" si="19"/>
        <v>0</v>
      </c>
      <c r="R262" t="str">
        <f ca="1">IF($Q262=1,SUM($Q$4:$Q262),"")</f>
        <v/>
      </c>
    </row>
    <row r="263" spans="1:18" ht="45" hidden="1" customHeight="1" x14ac:dyDescent="0.3">
      <c r="A263" s="2"/>
      <c r="B263" s="2"/>
      <c r="C263" s="3"/>
      <c r="D263" s="3"/>
      <c r="E263" s="2"/>
      <c r="F263" s="2"/>
      <c r="G263" s="5"/>
      <c r="H263" s="5"/>
      <c r="I263" s="4"/>
      <c r="J263" s="6" t="str">
        <f t="shared" si="18"/>
        <v/>
      </c>
      <c r="K263" s="4" t="str">
        <f t="shared" ca="1" si="17"/>
        <v/>
      </c>
      <c r="L263" s="7" t="str">
        <f t="shared" ca="1" si="20"/>
        <v/>
      </c>
      <c r="M263" s="4" t="str">
        <f>IF($I263="Complete","Green",IF($H263="","Amber",IF($H263&lt;'[2]Read Me'!$B$4,"Red",IF($H263-'[2]Read Me'!$B$4&lt;=21,"Amber","Green"))))</f>
        <v>Amber</v>
      </c>
      <c r="N263" s="3"/>
      <c r="O263" t="str">
        <f>IF($I263&lt;&gt;"Complete",IF(COUNTIFS($A$4:$A262,$A263,$B$4:$B262,$B263,$I$4:$I262,"&lt;&gt;Complete")=0,$A263&amp;"|"&amp;$B263,""),"")</f>
        <v>|</v>
      </c>
      <c r="P263" t="str">
        <f ca="1">IF($K263="Yes",COUNTIFS($K$4:$K263,"Yes"),"")</f>
        <v/>
      </c>
      <c r="Q263">
        <f t="shared" ca="1" si="19"/>
        <v>0</v>
      </c>
      <c r="R263" t="str">
        <f ca="1">IF($Q263=1,SUM($Q$4:$Q263),"")</f>
        <v/>
      </c>
    </row>
    <row r="264" spans="1:18" ht="45" hidden="1" customHeight="1" x14ac:dyDescent="0.3">
      <c r="A264" s="2"/>
      <c r="B264" s="2"/>
      <c r="C264" s="3"/>
      <c r="D264" s="3"/>
      <c r="E264" s="2"/>
      <c r="F264" s="2"/>
      <c r="G264" s="5"/>
      <c r="H264" s="5"/>
      <c r="I264" s="4"/>
      <c r="J264" s="6" t="str">
        <f t="shared" si="18"/>
        <v/>
      </c>
      <c r="K264" s="4" t="str">
        <f t="shared" ca="1" si="17"/>
        <v/>
      </c>
      <c r="L264" s="7" t="str">
        <f t="shared" ca="1" si="20"/>
        <v/>
      </c>
      <c r="M264" s="4" t="str">
        <f>IF($I264="Complete","Green",IF($H264="","Amber",IF($H264&lt;'[2]Read Me'!$B$4,"Red",IF($H264-'[2]Read Me'!$B$4&lt;=21,"Amber","Green"))))</f>
        <v>Amber</v>
      </c>
      <c r="N264" s="3"/>
      <c r="O264" t="str">
        <f>IF($I264&lt;&gt;"Complete",IF(COUNTIFS($A$4:$A263,$A264,$B$4:$B263,$B264,$I$4:$I263,"&lt;&gt;Complete")=0,$A264&amp;"|"&amp;$B264,""),"")</f>
        <v>|</v>
      </c>
      <c r="P264" t="str">
        <f ca="1">IF($K264="Yes",COUNTIFS($K$4:$K264,"Yes"),"")</f>
        <v/>
      </c>
      <c r="Q264">
        <f t="shared" ca="1" si="19"/>
        <v>0</v>
      </c>
      <c r="R264" t="str">
        <f ca="1">IF($Q264=1,SUM($Q$4:$Q264),"")</f>
        <v/>
      </c>
    </row>
    <row r="265" spans="1:18" ht="45" hidden="1" customHeight="1" x14ac:dyDescent="0.3">
      <c r="A265" s="2"/>
      <c r="B265" s="2"/>
      <c r="C265" s="3"/>
      <c r="D265" s="3"/>
      <c r="E265" s="2"/>
      <c r="F265" s="2"/>
      <c r="G265" s="5"/>
      <c r="H265" s="5"/>
      <c r="I265" s="4"/>
      <c r="J265" s="6" t="str">
        <f t="shared" si="18"/>
        <v/>
      </c>
      <c r="K265" s="4" t="str">
        <f t="shared" ref="K265:K312" ca="1" si="21">IF($H265="","",IF($H265&lt;TODAY(),"No","Yes"))</f>
        <v/>
      </c>
      <c r="L265" s="7" t="str">
        <f t="shared" ca="1" si="20"/>
        <v/>
      </c>
      <c r="M265" s="4" t="str">
        <f>IF($I265="Complete","Green",IF($H265="","Amber",IF($H265&lt;'[2]Read Me'!$B$4,"Red",IF($H265-'[2]Read Me'!$B$4&lt;=21,"Amber","Green"))))</f>
        <v>Amber</v>
      </c>
      <c r="N265" s="3"/>
      <c r="O265" t="str">
        <f>IF($I265&lt;&gt;"Complete",IF(COUNTIFS($A$4:$A264,$A265,$B$4:$B264,$B265,$I$4:$I264,"&lt;&gt;Complete")=0,$A265&amp;"|"&amp;$B265,""),"")</f>
        <v>|</v>
      </c>
      <c r="P265" t="str">
        <f ca="1">IF($K265="Yes",COUNTIFS($K$4:$K265,"Yes"),"")</f>
        <v/>
      </c>
      <c r="Q265">
        <f t="shared" ca="1" si="19"/>
        <v>0</v>
      </c>
      <c r="R265" t="str">
        <f ca="1">IF($Q265=1,SUM($Q$4:$Q265),"")</f>
        <v/>
      </c>
    </row>
    <row r="266" spans="1:18" ht="45" hidden="1" customHeight="1" x14ac:dyDescent="0.3">
      <c r="A266" s="2"/>
      <c r="B266" s="2"/>
      <c r="C266" s="3"/>
      <c r="D266" s="3"/>
      <c r="E266" s="2"/>
      <c r="F266" s="2"/>
      <c r="G266" s="5"/>
      <c r="H266" s="5"/>
      <c r="I266" s="4"/>
      <c r="J266" s="6" t="str">
        <f t="shared" si="18"/>
        <v/>
      </c>
      <c r="K266" s="4" t="str">
        <f t="shared" ca="1" si="21"/>
        <v/>
      </c>
      <c r="L266" s="7" t="str">
        <f t="shared" ca="1" si="20"/>
        <v/>
      </c>
      <c r="M266" s="4" t="str">
        <f>IF($I266="Complete","Green",IF($H266="","Amber",IF($H266&lt;'[2]Read Me'!$B$4,"Red",IF($H266-'[2]Read Me'!$B$4&lt;=21,"Amber","Green"))))</f>
        <v>Amber</v>
      </c>
      <c r="N266" s="3"/>
      <c r="O266" t="str">
        <f>IF($I266&lt;&gt;"Complete",IF(COUNTIFS($A$4:$A265,$A266,$B$4:$B265,$B266,$I$4:$I265,"&lt;&gt;Complete")=0,$A266&amp;"|"&amp;$B266,""),"")</f>
        <v>|</v>
      </c>
      <c r="P266" t="str">
        <f ca="1">IF($K266="Yes",COUNTIFS($K$4:$K266,"Yes"),"")</f>
        <v/>
      </c>
      <c r="Q266">
        <f t="shared" ca="1" si="19"/>
        <v>0</v>
      </c>
      <c r="R266" t="str">
        <f ca="1">IF($Q266=1,SUM($Q$4:$Q266),"")</f>
        <v/>
      </c>
    </row>
    <row r="267" spans="1:18" ht="45" hidden="1" customHeight="1" x14ac:dyDescent="0.3">
      <c r="A267" s="2"/>
      <c r="B267" s="2"/>
      <c r="C267" s="3"/>
      <c r="D267" s="3"/>
      <c r="E267" s="2"/>
      <c r="F267" s="2"/>
      <c r="G267" s="5"/>
      <c r="H267" s="5"/>
      <c r="I267" s="4"/>
      <c r="J267" s="6" t="str">
        <f t="shared" si="18"/>
        <v/>
      </c>
      <c r="K267" s="4" t="str">
        <f t="shared" ca="1" si="21"/>
        <v/>
      </c>
      <c r="L267" s="7" t="str">
        <f t="shared" ca="1" si="20"/>
        <v/>
      </c>
      <c r="M267" s="4" t="str">
        <f>IF($I267="Complete","Green",IF($H267="","Amber",IF($H267&lt;'[2]Read Me'!$B$4,"Red",IF($H267-'[2]Read Me'!$B$4&lt;=21,"Amber","Green"))))</f>
        <v>Amber</v>
      </c>
      <c r="N267" s="3"/>
      <c r="O267" t="str">
        <f>IF($I267&lt;&gt;"Complete",IF(COUNTIFS($A$4:$A266,$A267,$B$4:$B266,$B267,$I$4:$I266,"&lt;&gt;Complete")=0,$A267&amp;"|"&amp;$B267,""),"")</f>
        <v>|</v>
      </c>
      <c r="P267" t="str">
        <f ca="1">IF($K267="Yes",COUNTIFS($K$4:$K267,"Yes"),"")</f>
        <v/>
      </c>
      <c r="Q267">
        <f t="shared" ca="1" si="19"/>
        <v>0</v>
      </c>
      <c r="R267" t="str">
        <f ca="1">IF($Q267=1,SUM($Q$4:$Q267),"")</f>
        <v/>
      </c>
    </row>
    <row r="268" spans="1:18" ht="14.25" hidden="1" customHeight="1" x14ac:dyDescent="0.3">
      <c r="A268" s="2"/>
      <c r="B268" s="2"/>
      <c r="C268" s="3"/>
      <c r="D268" s="3"/>
      <c r="E268" s="2"/>
      <c r="F268" s="2"/>
      <c r="G268" s="5"/>
      <c r="H268" s="5"/>
      <c r="I268" s="4"/>
      <c r="J268" s="6" t="str">
        <f t="shared" si="18"/>
        <v/>
      </c>
      <c r="K268" s="4" t="str">
        <f t="shared" ca="1" si="21"/>
        <v/>
      </c>
      <c r="L268" s="7" t="str">
        <f t="shared" ca="1" si="20"/>
        <v/>
      </c>
      <c r="M268" s="4" t="str">
        <f>IF($I268="Complete","Green",IF($H268="","Amber",IF($H268&lt;'[2]Read Me'!$B$4,"Red",IF($H268-'[2]Read Me'!$B$4&lt;=21,"Amber","Green"))))</f>
        <v>Amber</v>
      </c>
      <c r="N268" s="3"/>
      <c r="O268" t="str">
        <f>IF($I268&lt;&gt;"Complete",IF(COUNTIFS($A$4:$A267,$A268,$B$4:$B267,$B268,$I$4:$I267,"&lt;&gt;Complete")=0,$A268&amp;"|"&amp;$B268,""),"")</f>
        <v>|</v>
      </c>
      <c r="P268" t="str">
        <f ca="1">IF($K268="Yes",COUNTIFS($K$4:$K268,"Yes"),"")</f>
        <v/>
      </c>
      <c r="Q268">
        <f t="shared" ca="1" si="19"/>
        <v>0</v>
      </c>
      <c r="R268" t="str">
        <f ca="1">IF($Q268=1,SUM($Q$4:$Q268),"")</f>
        <v/>
      </c>
    </row>
    <row r="269" spans="1:18" ht="14.25" hidden="1" customHeight="1" x14ac:dyDescent="0.3">
      <c r="A269" s="2"/>
      <c r="B269" s="2"/>
      <c r="C269" s="3"/>
      <c r="D269" s="3"/>
      <c r="E269" s="2"/>
      <c r="F269" s="2"/>
      <c r="G269" s="5"/>
      <c r="H269" s="5"/>
      <c r="I269" s="4"/>
      <c r="J269" s="6" t="str">
        <f t="shared" si="18"/>
        <v/>
      </c>
      <c r="K269" s="4" t="str">
        <f t="shared" ca="1" si="21"/>
        <v/>
      </c>
      <c r="L269" s="7" t="str">
        <f t="shared" ca="1" si="20"/>
        <v/>
      </c>
      <c r="M269" s="4" t="str">
        <f>IF($I269="Complete","Green",IF($H269="","Amber",IF($H269&lt;'[2]Read Me'!$B$4,"Red",IF($H269-'[2]Read Me'!$B$4&lt;=21,"Amber","Green"))))</f>
        <v>Amber</v>
      </c>
      <c r="N269" s="3"/>
      <c r="O269" t="str">
        <f>IF($I269&lt;&gt;"Complete",IF(COUNTIFS($A$4:$A268,$A269,$B$4:$B268,$B269,$I$4:$I268,"&lt;&gt;Complete")=0,$A269&amp;"|"&amp;$B269,""),"")</f>
        <v>|</v>
      </c>
      <c r="P269" t="str">
        <f ca="1">IF($K269="Yes",COUNTIFS($K$4:$K269,"Yes"),"")</f>
        <v/>
      </c>
      <c r="Q269">
        <f t="shared" ca="1" si="19"/>
        <v>0</v>
      </c>
      <c r="R269" t="str">
        <f ca="1">IF($Q269=1,SUM($Q$4:$Q269),"")</f>
        <v/>
      </c>
    </row>
    <row r="270" spans="1:18" ht="14.25" hidden="1" customHeight="1" x14ac:dyDescent="0.3">
      <c r="A270" s="2"/>
      <c r="B270" s="2"/>
      <c r="C270" s="3"/>
      <c r="D270" s="3"/>
      <c r="E270" s="2"/>
      <c r="F270" s="2"/>
      <c r="G270" s="5"/>
      <c r="H270" s="5"/>
      <c r="I270" s="4"/>
      <c r="J270" s="6" t="str">
        <f t="shared" si="18"/>
        <v/>
      </c>
      <c r="K270" s="4" t="str">
        <f t="shared" ca="1" si="21"/>
        <v/>
      </c>
      <c r="L270" s="7" t="str">
        <f t="shared" ca="1" si="20"/>
        <v/>
      </c>
      <c r="M270" s="4" t="str">
        <f>IF($I270="Complete","Green",IF($H270="","Amber",IF($H270&lt;'[2]Read Me'!$B$4,"Red",IF($H270-'[2]Read Me'!$B$4&lt;=21,"Amber","Green"))))</f>
        <v>Amber</v>
      </c>
      <c r="N270" s="3"/>
      <c r="O270" t="str">
        <f>IF($I270&lt;&gt;"Complete",IF(COUNTIFS($A$4:$A269,$A270,$B$4:$B269,$B270,$I$4:$I269,"&lt;&gt;Complete")=0,$A270&amp;"|"&amp;$B270,""),"")</f>
        <v>|</v>
      </c>
      <c r="P270" t="str">
        <f ca="1">IF($K270="Yes",COUNTIFS($K$4:$K270,"Yes"),"")</f>
        <v/>
      </c>
      <c r="Q270">
        <f t="shared" ca="1" si="19"/>
        <v>0</v>
      </c>
      <c r="R270" t="str">
        <f ca="1">IF($Q270=1,SUM($Q$4:$Q270),"")</f>
        <v/>
      </c>
    </row>
    <row r="271" spans="1:18" ht="14.25" hidden="1" customHeight="1" x14ac:dyDescent="0.3">
      <c r="A271" s="2"/>
      <c r="B271" s="2"/>
      <c r="C271" s="3"/>
      <c r="D271" s="3"/>
      <c r="E271" s="2"/>
      <c r="F271" s="2"/>
      <c r="G271" s="5"/>
      <c r="H271" s="5"/>
      <c r="I271" s="4"/>
      <c r="J271" s="6" t="str">
        <f t="shared" si="18"/>
        <v/>
      </c>
      <c r="K271" s="4" t="str">
        <f t="shared" ca="1" si="21"/>
        <v/>
      </c>
      <c r="L271" s="7" t="str">
        <f t="shared" ca="1" si="20"/>
        <v/>
      </c>
      <c r="M271" s="4" t="str">
        <f>IF($I271="Complete","Green",IF($H271="","Amber",IF($H271&lt;'[2]Read Me'!$B$4,"Red",IF($H271-'[2]Read Me'!$B$4&lt;=21,"Amber","Green"))))</f>
        <v>Amber</v>
      </c>
      <c r="N271" s="3"/>
      <c r="O271" t="str">
        <f>IF($I271&lt;&gt;"Complete",IF(COUNTIFS($A$4:$A270,$A271,$B$4:$B270,$B271,$I$4:$I270,"&lt;&gt;Complete")=0,$A271&amp;"|"&amp;$B271,""),"")</f>
        <v>|</v>
      </c>
      <c r="P271" t="str">
        <f ca="1">IF($K271="Yes",COUNTIFS($K$4:$K271,"Yes"),"")</f>
        <v/>
      </c>
      <c r="Q271">
        <f t="shared" ca="1" si="19"/>
        <v>0</v>
      </c>
      <c r="R271" t="str">
        <f ca="1">IF($Q271=1,SUM($Q$4:$Q271),"")</f>
        <v/>
      </c>
    </row>
    <row r="272" spans="1:18" ht="14.25" hidden="1" customHeight="1" x14ac:dyDescent="0.3">
      <c r="A272" s="2"/>
      <c r="B272" s="2"/>
      <c r="C272" s="3"/>
      <c r="D272" s="3"/>
      <c r="E272" s="2"/>
      <c r="F272" s="2"/>
      <c r="G272" s="5"/>
      <c r="H272" s="5"/>
      <c r="I272" s="4"/>
      <c r="J272" s="6" t="str">
        <f t="shared" si="18"/>
        <v/>
      </c>
      <c r="K272" s="4" t="str">
        <f t="shared" ca="1" si="21"/>
        <v/>
      </c>
      <c r="L272" s="7" t="str">
        <f t="shared" ca="1" si="20"/>
        <v/>
      </c>
      <c r="M272" s="4" t="str">
        <f>IF($I272="Complete","Green",IF($H272="","Amber",IF($H272&lt;'[2]Read Me'!$B$4,"Red",IF($H272-'[2]Read Me'!$B$4&lt;=21,"Amber","Green"))))</f>
        <v>Amber</v>
      </c>
      <c r="N272" s="3"/>
      <c r="O272" t="str">
        <f>IF($I272&lt;&gt;"Complete",IF(COUNTIFS($A$4:$A271,$A272,$B$4:$B271,$B272,$I$4:$I271,"&lt;&gt;Complete")=0,$A272&amp;"|"&amp;$B272,""),"")</f>
        <v>|</v>
      </c>
      <c r="P272" t="str">
        <f ca="1">IF($K272="Yes",COUNTIFS($K$4:$K272,"Yes"),"")</f>
        <v/>
      </c>
      <c r="Q272">
        <f t="shared" ca="1" si="19"/>
        <v>0</v>
      </c>
      <c r="R272" t="str">
        <f ca="1">IF($Q272=1,SUM($Q$4:$Q272),"")</f>
        <v/>
      </c>
    </row>
    <row r="273" spans="1:18" ht="14.25" hidden="1" customHeight="1" x14ac:dyDescent="0.3">
      <c r="A273" s="2"/>
      <c r="B273" s="2"/>
      <c r="C273" s="3"/>
      <c r="D273" s="3"/>
      <c r="E273" s="2"/>
      <c r="F273" s="2"/>
      <c r="G273" s="5"/>
      <c r="H273" s="5"/>
      <c r="I273" s="4"/>
      <c r="J273" s="6" t="str">
        <f t="shared" si="18"/>
        <v/>
      </c>
      <c r="K273" s="4" t="str">
        <f t="shared" ca="1" si="21"/>
        <v/>
      </c>
      <c r="L273" s="7" t="str">
        <f t="shared" ca="1" si="20"/>
        <v/>
      </c>
      <c r="M273" s="4" t="str">
        <f>IF($I273="Complete","Green",IF($H273="","Amber",IF($H273&lt;'[2]Read Me'!$B$4,"Red",IF($H273-'[2]Read Me'!$B$4&lt;=21,"Amber","Green"))))</f>
        <v>Amber</v>
      </c>
      <c r="N273" s="3"/>
      <c r="O273" t="str">
        <f>IF($I273&lt;&gt;"Complete",IF(COUNTIFS($A$4:$A272,$A273,$B$4:$B272,$B273,$I$4:$I272,"&lt;&gt;Complete")=0,$A273&amp;"|"&amp;$B273,""),"")</f>
        <v>|</v>
      </c>
      <c r="P273" t="str">
        <f ca="1">IF($K273="Yes",COUNTIFS($K$4:$K273,"Yes"),"")</f>
        <v/>
      </c>
      <c r="Q273">
        <f t="shared" ca="1" si="19"/>
        <v>0</v>
      </c>
      <c r="R273" t="str">
        <f ca="1">IF($Q273=1,SUM($Q$4:$Q273),"")</f>
        <v/>
      </c>
    </row>
    <row r="274" spans="1:18" ht="14.25" hidden="1" customHeight="1" x14ac:dyDescent="0.3">
      <c r="A274" s="2"/>
      <c r="B274" s="2"/>
      <c r="C274" s="3"/>
      <c r="D274" s="3"/>
      <c r="E274" s="2"/>
      <c r="F274" s="2"/>
      <c r="G274" s="5"/>
      <c r="H274" s="5"/>
      <c r="I274" s="4"/>
      <c r="J274" s="6" t="str">
        <f t="shared" si="18"/>
        <v/>
      </c>
      <c r="K274" s="4" t="str">
        <f t="shared" ca="1" si="21"/>
        <v/>
      </c>
      <c r="L274" s="7" t="str">
        <f t="shared" ca="1" si="20"/>
        <v/>
      </c>
      <c r="M274" s="4" t="str">
        <f>IF($I274="Complete","Green",IF($H274="","Amber",IF($H274&lt;'[2]Read Me'!$B$4,"Red",IF($H274-'[2]Read Me'!$B$4&lt;=21,"Amber","Green"))))</f>
        <v>Amber</v>
      </c>
      <c r="N274" s="3"/>
      <c r="O274" t="str">
        <f>IF($I274&lt;&gt;"Complete",IF(COUNTIFS($A$4:$A273,$A274,$B$4:$B273,$B274,$I$4:$I273,"&lt;&gt;Complete")=0,$A274&amp;"|"&amp;$B274,""),"")</f>
        <v>|</v>
      </c>
      <c r="P274" t="str">
        <f ca="1">IF($K274="Yes",COUNTIFS($K$4:$K274,"Yes"),"")</f>
        <v/>
      </c>
      <c r="Q274">
        <f t="shared" ca="1" si="19"/>
        <v>0</v>
      </c>
      <c r="R274" t="str">
        <f ca="1">IF($Q274=1,SUM($Q$4:$Q274),"")</f>
        <v/>
      </c>
    </row>
    <row r="275" spans="1:18" ht="14.25" hidden="1" customHeight="1" x14ac:dyDescent="0.3">
      <c r="A275" s="2"/>
      <c r="B275" s="2"/>
      <c r="C275" s="3"/>
      <c r="D275" s="3"/>
      <c r="E275" s="2"/>
      <c r="F275" s="2"/>
      <c r="G275" s="5"/>
      <c r="H275" s="5"/>
      <c r="I275" s="4"/>
      <c r="J275" s="6" t="str">
        <f t="shared" si="18"/>
        <v/>
      </c>
      <c r="K275" s="4" t="str">
        <f t="shared" ca="1" si="21"/>
        <v/>
      </c>
      <c r="L275" s="7" t="str">
        <f t="shared" ca="1" si="20"/>
        <v/>
      </c>
      <c r="M275" s="4" t="str">
        <f>IF($I275="Complete","Green",IF($H275="","Amber",IF($H275&lt;'[2]Read Me'!$B$4,"Red",IF($H275-'[2]Read Me'!$B$4&lt;=21,"Amber","Green"))))</f>
        <v>Amber</v>
      </c>
      <c r="N275" s="3"/>
      <c r="O275" t="str">
        <f>IF($I275&lt;&gt;"Complete",IF(COUNTIFS($A$4:$A274,$A275,$B$4:$B274,$B275,$I$4:$I274,"&lt;&gt;Complete")=0,$A275&amp;"|"&amp;$B275,""),"")</f>
        <v>|</v>
      </c>
      <c r="P275" t="str">
        <f ca="1">IF($K275="Yes",COUNTIFS($K$4:$K275,"Yes"),"")</f>
        <v/>
      </c>
      <c r="Q275">
        <f t="shared" ca="1" si="19"/>
        <v>0</v>
      </c>
      <c r="R275" t="str">
        <f ca="1">IF($Q275=1,SUM($Q$4:$Q275),"")</f>
        <v/>
      </c>
    </row>
    <row r="276" spans="1:18" ht="14.25" hidden="1" customHeight="1" x14ac:dyDescent="0.3">
      <c r="A276" s="2"/>
      <c r="B276" s="2"/>
      <c r="C276" s="3"/>
      <c r="D276" s="3"/>
      <c r="E276" s="2"/>
      <c r="F276" s="2"/>
      <c r="G276" s="5"/>
      <c r="H276" s="5"/>
      <c r="I276" s="4"/>
      <c r="J276" s="6" t="str">
        <f t="shared" si="18"/>
        <v/>
      </c>
      <c r="K276" s="4" t="str">
        <f t="shared" ca="1" si="21"/>
        <v/>
      </c>
      <c r="L276" s="7" t="str">
        <f t="shared" ca="1" si="20"/>
        <v/>
      </c>
      <c r="M276" s="4" t="str">
        <f>IF($I276="Complete","Green",IF($H276="","Amber",IF($H276&lt;'[2]Read Me'!$B$4,"Red",IF($H276-'[2]Read Me'!$B$4&lt;=21,"Amber","Green"))))</f>
        <v>Amber</v>
      </c>
      <c r="N276" s="3"/>
      <c r="O276" t="str">
        <f>IF($I276&lt;&gt;"Complete",IF(COUNTIFS($A$4:$A275,$A276,$B$4:$B275,$B276,$I$4:$I275,"&lt;&gt;Complete")=0,$A276&amp;"|"&amp;$B276,""),"")</f>
        <v>|</v>
      </c>
      <c r="P276" t="str">
        <f ca="1">IF($K276="Yes",COUNTIFS($K$4:$K276,"Yes"),"")</f>
        <v/>
      </c>
      <c r="Q276">
        <f t="shared" ca="1" si="19"/>
        <v>0</v>
      </c>
      <c r="R276" t="str">
        <f ca="1">IF($Q276=1,SUM($Q$4:$Q276),"")</f>
        <v/>
      </c>
    </row>
    <row r="277" spans="1:18" ht="14.25" hidden="1" customHeight="1" x14ac:dyDescent="0.3">
      <c r="A277" s="2"/>
      <c r="B277" s="2"/>
      <c r="C277" s="3"/>
      <c r="D277" s="3"/>
      <c r="E277" s="2"/>
      <c r="F277" s="2"/>
      <c r="G277" s="5"/>
      <c r="H277" s="5"/>
      <c r="I277" s="4"/>
      <c r="J277" s="6" t="str">
        <f t="shared" si="18"/>
        <v/>
      </c>
      <c r="K277" s="4" t="str">
        <f t="shared" ca="1" si="21"/>
        <v/>
      </c>
      <c r="L277" s="7" t="str">
        <f t="shared" ca="1" si="20"/>
        <v/>
      </c>
      <c r="M277" s="4" t="str">
        <f>IF($I277="Complete","Green",IF($H277="","Amber",IF($H277&lt;'[2]Read Me'!$B$4,"Red",IF($H277-'[2]Read Me'!$B$4&lt;=21,"Amber","Green"))))</f>
        <v>Amber</v>
      </c>
      <c r="N277" s="3"/>
      <c r="O277" t="str">
        <f>IF($I277&lt;&gt;"Complete",IF(COUNTIFS($A$4:$A276,$A277,$B$4:$B276,$B277,$I$4:$I276,"&lt;&gt;Complete")=0,$A277&amp;"|"&amp;$B277,""),"")</f>
        <v>|</v>
      </c>
      <c r="P277" t="str">
        <f ca="1">IF($K277="Yes",COUNTIFS($K$4:$K277,"Yes"),"")</f>
        <v/>
      </c>
      <c r="Q277">
        <f t="shared" ca="1" si="19"/>
        <v>0</v>
      </c>
      <c r="R277" t="str">
        <f ca="1">IF($Q277=1,SUM($Q$4:$Q277),"")</f>
        <v/>
      </c>
    </row>
    <row r="278" spans="1:18" ht="14.25" hidden="1" customHeight="1" x14ac:dyDescent="0.3">
      <c r="A278" s="2"/>
      <c r="B278" s="2"/>
      <c r="C278" s="3"/>
      <c r="D278" s="3"/>
      <c r="E278" s="2"/>
      <c r="F278" s="2"/>
      <c r="G278" s="5"/>
      <c r="H278" s="5"/>
      <c r="I278" s="4"/>
      <c r="J278" s="6" t="str">
        <f t="shared" si="18"/>
        <v/>
      </c>
      <c r="K278" s="4" t="str">
        <f t="shared" ca="1" si="21"/>
        <v/>
      </c>
      <c r="L278" s="7" t="str">
        <f t="shared" ca="1" si="20"/>
        <v/>
      </c>
      <c r="M278" s="4" t="str">
        <f>IF($I278="Complete","Green",IF($H278="","Amber",IF($H278&lt;'[2]Read Me'!$B$4,"Red",IF($H278-'[2]Read Me'!$B$4&lt;=21,"Amber","Green"))))</f>
        <v>Amber</v>
      </c>
      <c r="N278" s="3"/>
      <c r="O278" t="str">
        <f>IF($I278&lt;&gt;"Complete",IF(COUNTIFS($A$4:$A277,$A278,$B$4:$B277,$B278,$I$4:$I277,"&lt;&gt;Complete")=0,$A278&amp;"|"&amp;$B278,""),"")</f>
        <v>|</v>
      </c>
      <c r="P278" t="str">
        <f ca="1">IF($K278="Yes",COUNTIFS($K$4:$K278,"Yes"),"")</f>
        <v/>
      </c>
      <c r="Q278">
        <f t="shared" ca="1" si="19"/>
        <v>0</v>
      </c>
      <c r="R278" t="str">
        <f ca="1">IF($Q278=1,SUM($Q$4:$Q278),"")</f>
        <v/>
      </c>
    </row>
    <row r="279" spans="1:18" ht="14.25" hidden="1" customHeight="1" x14ac:dyDescent="0.3">
      <c r="A279" s="2"/>
      <c r="B279" s="2"/>
      <c r="C279" s="3"/>
      <c r="D279" s="3"/>
      <c r="E279" s="2"/>
      <c r="F279" s="2"/>
      <c r="G279" s="5"/>
      <c r="H279" s="5"/>
      <c r="I279" s="4"/>
      <c r="J279" s="6" t="str">
        <f t="shared" si="18"/>
        <v/>
      </c>
      <c r="K279" s="4" t="str">
        <f t="shared" ca="1" si="21"/>
        <v/>
      </c>
      <c r="L279" s="7" t="str">
        <f t="shared" ca="1" si="20"/>
        <v/>
      </c>
      <c r="M279" s="4" t="str">
        <f>IF($I279="Complete","Green",IF($H279="","Amber",IF($H279&lt;'[2]Read Me'!$B$4,"Red",IF($H279-'[2]Read Me'!$B$4&lt;=21,"Amber","Green"))))</f>
        <v>Amber</v>
      </c>
      <c r="N279" s="3"/>
      <c r="O279" t="str">
        <f>IF($I279&lt;&gt;"Complete",IF(COUNTIFS($A$4:$A278,$A279,$B$4:$B278,$B279,$I$4:$I278,"&lt;&gt;Complete")=0,$A279&amp;"|"&amp;$B279,""),"")</f>
        <v>|</v>
      </c>
      <c r="P279" t="str">
        <f ca="1">IF($K279="Yes",COUNTIFS($K$4:$K279,"Yes"),"")</f>
        <v/>
      </c>
      <c r="Q279">
        <f t="shared" ca="1" si="19"/>
        <v>0</v>
      </c>
      <c r="R279" t="str">
        <f ca="1">IF($Q279=1,SUM($Q$4:$Q279),"")</f>
        <v/>
      </c>
    </row>
    <row r="280" spans="1:18" ht="14.25" hidden="1" customHeight="1" x14ac:dyDescent="0.3">
      <c r="A280" s="2"/>
      <c r="B280" s="2"/>
      <c r="C280" s="3"/>
      <c r="D280" s="3"/>
      <c r="E280" s="2"/>
      <c r="F280" s="2"/>
      <c r="G280" s="5"/>
      <c r="H280" s="5"/>
      <c r="I280" s="4"/>
      <c r="J280" s="6" t="str">
        <f t="shared" si="18"/>
        <v/>
      </c>
      <c r="K280" s="4" t="str">
        <f t="shared" ca="1" si="21"/>
        <v/>
      </c>
      <c r="L280" s="7" t="str">
        <f t="shared" ca="1" si="20"/>
        <v/>
      </c>
      <c r="M280" s="4" t="str">
        <f>IF($I280="Complete","Green",IF($H280="","Amber",IF($H280&lt;'[2]Read Me'!$B$4,"Red",IF($H280-'[2]Read Me'!$B$4&lt;=21,"Amber","Green"))))</f>
        <v>Amber</v>
      </c>
      <c r="N280" s="3"/>
      <c r="O280" t="str">
        <f>IF($I280&lt;&gt;"Complete",IF(COUNTIFS($A$4:$A279,$A280,$B$4:$B279,$B280,$I$4:$I279,"&lt;&gt;Complete")=0,$A280&amp;"|"&amp;$B280,""),"")</f>
        <v>|</v>
      </c>
      <c r="P280" t="str">
        <f ca="1">IF($K280="Yes",COUNTIFS($K$4:$K280,"Yes"),"")</f>
        <v/>
      </c>
      <c r="Q280">
        <f t="shared" ca="1" si="19"/>
        <v>0</v>
      </c>
      <c r="R280" t="str">
        <f ca="1">IF($Q280=1,SUM($Q$4:$Q280),"")</f>
        <v/>
      </c>
    </row>
    <row r="281" spans="1:18" ht="14.25" hidden="1" customHeight="1" x14ac:dyDescent="0.3">
      <c r="A281" s="2"/>
      <c r="B281" s="2"/>
      <c r="C281" s="3"/>
      <c r="D281" s="3"/>
      <c r="E281" s="2"/>
      <c r="F281" s="2"/>
      <c r="G281" s="5"/>
      <c r="H281" s="5"/>
      <c r="I281" s="4"/>
      <c r="J281" s="6" t="str">
        <f t="shared" si="18"/>
        <v/>
      </c>
      <c r="K281" s="4" t="str">
        <f t="shared" ca="1" si="21"/>
        <v/>
      </c>
      <c r="L281" s="7" t="str">
        <f t="shared" ca="1" si="20"/>
        <v/>
      </c>
      <c r="M281" s="4" t="str">
        <f>IF($I281="Complete","Green",IF($H281="","Amber",IF($H281&lt;'[2]Read Me'!$B$4,"Red",IF($H281-'[2]Read Me'!$B$4&lt;=21,"Amber","Green"))))</f>
        <v>Amber</v>
      </c>
      <c r="N281" s="3"/>
      <c r="O281" t="str">
        <f>IF($I281&lt;&gt;"Complete",IF(COUNTIFS($A$4:$A280,$A281,$B$4:$B280,$B281,$I$4:$I280,"&lt;&gt;Complete")=0,$A281&amp;"|"&amp;$B281,""),"")</f>
        <v>|</v>
      </c>
      <c r="P281" t="str">
        <f ca="1">IF($K281="Yes",COUNTIFS($K$4:$K281,"Yes"),"")</f>
        <v/>
      </c>
      <c r="Q281">
        <f t="shared" ca="1" si="19"/>
        <v>0</v>
      </c>
      <c r="R281" t="str">
        <f ca="1">IF($Q281=1,SUM($Q$4:$Q281),"")</f>
        <v/>
      </c>
    </row>
    <row r="282" spans="1:18" ht="14.25" hidden="1" customHeight="1" x14ac:dyDescent="0.3">
      <c r="A282" s="2"/>
      <c r="B282" s="2"/>
      <c r="C282" s="3"/>
      <c r="D282" s="3"/>
      <c r="E282" s="2"/>
      <c r="F282" s="2"/>
      <c r="G282" s="5"/>
      <c r="H282" s="5"/>
      <c r="I282" s="4"/>
      <c r="J282" s="6" t="str">
        <f t="shared" si="18"/>
        <v/>
      </c>
      <c r="K282" s="4" t="str">
        <f t="shared" ca="1" si="21"/>
        <v/>
      </c>
      <c r="L282" s="7" t="str">
        <f t="shared" ca="1" si="20"/>
        <v/>
      </c>
      <c r="M282" s="4" t="str">
        <f>IF($I282="Complete","Green",IF($H282="","Amber",IF($H282&lt;'[2]Read Me'!$B$4,"Red",IF($H282-'[2]Read Me'!$B$4&lt;=21,"Amber","Green"))))</f>
        <v>Amber</v>
      </c>
      <c r="N282" s="3"/>
      <c r="O282" t="str">
        <f>IF($I282&lt;&gt;"Complete",IF(COUNTIFS($A$4:$A281,$A282,$B$4:$B281,$B282,$I$4:$I281,"&lt;&gt;Complete")=0,$A282&amp;"|"&amp;$B282,""),"")</f>
        <v>|</v>
      </c>
      <c r="P282" t="str">
        <f ca="1">IF($K282="Yes",COUNTIFS($K$4:$K282,"Yes"),"")</f>
        <v/>
      </c>
      <c r="Q282">
        <f t="shared" ca="1" si="19"/>
        <v>0</v>
      </c>
      <c r="R282" t="str">
        <f ca="1">IF($Q282=1,SUM($Q$4:$Q282),"")</f>
        <v/>
      </c>
    </row>
    <row r="283" spans="1:18" ht="14.25" hidden="1" customHeight="1" x14ac:dyDescent="0.3">
      <c r="A283" s="2"/>
      <c r="B283" s="2"/>
      <c r="C283" s="3"/>
      <c r="D283" s="3"/>
      <c r="E283" s="2"/>
      <c r="F283" s="2"/>
      <c r="G283" s="5"/>
      <c r="H283" s="5"/>
      <c r="I283" s="4"/>
      <c r="J283" s="6" t="str">
        <f t="shared" si="18"/>
        <v/>
      </c>
      <c r="K283" s="4" t="str">
        <f t="shared" ca="1" si="21"/>
        <v/>
      </c>
      <c r="L283" s="7" t="str">
        <f t="shared" ca="1" si="20"/>
        <v/>
      </c>
      <c r="M283" s="4" t="str">
        <f>IF($I283="Complete","Green",IF($H283="","Amber",IF($H283&lt;'[2]Read Me'!$B$4,"Red",IF($H283-'[2]Read Me'!$B$4&lt;=21,"Amber","Green"))))</f>
        <v>Amber</v>
      </c>
      <c r="N283" s="3"/>
      <c r="O283" t="str">
        <f>IF($I283&lt;&gt;"Complete",IF(COUNTIFS($A$4:$A282,$A283,$B$4:$B282,$B283,$I$4:$I282,"&lt;&gt;Complete")=0,$A283&amp;"|"&amp;$B283,""),"")</f>
        <v>|</v>
      </c>
      <c r="P283" t="str">
        <f ca="1">IF($K283="Yes",COUNTIFS($K$4:$K283,"Yes"),"")</f>
        <v/>
      </c>
      <c r="Q283">
        <f t="shared" ca="1" si="19"/>
        <v>0</v>
      </c>
      <c r="R283" t="str">
        <f ca="1">IF($Q283=1,SUM($Q$4:$Q283),"")</f>
        <v/>
      </c>
    </row>
    <row r="284" spans="1:18" ht="14.25" hidden="1" customHeight="1" x14ac:dyDescent="0.3">
      <c r="A284" s="2"/>
      <c r="B284" s="2"/>
      <c r="C284" s="3"/>
      <c r="D284" s="3"/>
      <c r="E284" s="2"/>
      <c r="F284" s="2"/>
      <c r="G284" s="5"/>
      <c r="H284" s="5"/>
      <c r="I284" s="4"/>
      <c r="J284" s="6" t="str">
        <f t="shared" si="18"/>
        <v/>
      </c>
      <c r="K284" s="4" t="str">
        <f t="shared" ca="1" si="21"/>
        <v/>
      </c>
      <c r="L284" s="7" t="str">
        <f t="shared" ca="1" si="20"/>
        <v/>
      </c>
      <c r="M284" s="4" t="str">
        <f>IF($I284="Complete","Green",IF($H284="","Amber",IF($H284&lt;'[2]Read Me'!$B$4,"Red",IF($H284-'[2]Read Me'!$B$4&lt;=21,"Amber","Green"))))</f>
        <v>Amber</v>
      </c>
      <c r="N284" s="3"/>
      <c r="O284" t="str">
        <f>IF($I284&lt;&gt;"Complete",IF(COUNTIFS($A$4:$A283,$A284,$B$4:$B283,$B284,$I$4:$I283,"&lt;&gt;Complete")=0,$A284&amp;"|"&amp;$B284,""),"")</f>
        <v>|</v>
      </c>
      <c r="P284" t="str">
        <f ca="1">IF($K284="Yes",COUNTIFS($K$4:$K284,"Yes"),"")</f>
        <v/>
      </c>
      <c r="Q284">
        <f t="shared" ca="1" si="19"/>
        <v>0</v>
      </c>
      <c r="R284" t="str">
        <f ca="1">IF($Q284=1,SUM($Q$4:$Q284),"")</f>
        <v/>
      </c>
    </row>
    <row r="285" spans="1:18" ht="14.25" hidden="1" customHeight="1" x14ac:dyDescent="0.3">
      <c r="A285" s="2"/>
      <c r="B285" s="2"/>
      <c r="C285" s="3"/>
      <c r="D285" s="3"/>
      <c r="E285" s="2"/>
      <c r="F285" s="2"/>
      <c r="G285" s="5"/>
      <c r="H285" s="5"/>
      <c r="I285" s="4"/>
      <c r="J285" s="6" t="str">
        <f t="shared" si="18"/>
        <v/>
      </c>
      <c r="K285" s="4" t="str">
        <f t="shared" ca="1" si="21"/>
        <v/>
      </c>
      <c r="L285" s="7" t="str">
        <f t="shared" ca="1" si="20"/>
        <v/>
      </c>
      <c r="M285" s="4" t="str">
        <f>IF($I285="Complete","Green",IF($H285="","Amber",IF($H285&lt;'[2]Read Me'!$B$4,"Red",IF($H285-'[2]Read Me'!$B$4&lt;=21,"Amber","Green"))))</f>
        <v>Amber</v>
      </c>
      <c r="N285" s="3"/>
      <c r="O285" t="str">
        <f>IF($I285&lt;&gt;"Complete",IF(COUNTIFS($A$4:$A284,$A285,$B$4:$B284,$B285,$I$4:$I284,"&lt;&gt;Complete")=0,$A285&amp;"|"&amp;$B285,""),"")</f>
        <v>|</v>
      </c>
      <c r="P285" t="str">
        <f ca="1">IF($K285="Yes",COUNTIFS($K$4:$K285,"Yes"),"")</f>
        <v/>
      </c>
      <c r="Q285">
        <f t="shared" ca="1" si="19"/>
        <v>0</v>
      </c>
      <c r="R285" t="str">
        <f ca="1">IF($Q285=1,SUM($Q$4:$Q285),"")</f>
        <v/>
      </c>
    </row>
    <row r="286" spans="1:18" ht="14.25" hidden="1" customHeight="1" x14ac:dyDescent="0.3">
      <c r="A286" s="2"/>
      <c r="B286" s="2"/>
      <c r="C286" s="3"/>
      <c r="D286" s="3"/>
      <c r="E286" s="2"/>
      <c r="F286" s="2"/>
      <c r="G286" s="5"/>
      <c r="H286" s="5"/>
      <c r="I286" s="4"/>
      <c r="J286" s="6" t="str">
        <f t="shared" si="18"/>
        <v/>
      </c>
      <c r="K286" s="4" t="str">
        <f t="shared" ca="1" si="21"/>
        <v/>
      </c>
      <c r="L286" s="7" t="str">
        <f t="shared" ca="1" si="20"/>
        <v/>
      </c>
      <c r="M286" s="4" t="str">
        <f>IF($I286="Complete","Green",IF($H286="","Amber",IF($H286&lt;'[2]Read Me'!$B$4,"Red",IF($H286-'[2]Read Me'!$B$4&lt;=21,"Amber","Green"))))</f>
        <v>Amber</v>
      </c>
      <c r="N286" s="3"/>
      <c r="O286" t="str">
        <f>IF($I286&lt;&gt;"Complete",IF(COUNTIFS($A$4:$A285,$A286,$B$4:$B285,$B286,$I$4:$I285,"&lt;&gt;Complete")=0,$A286&amp;"|"&amp;$B286,""),"")</f>
        <v>|</v>
      </c>
      <c r="P286" t="str">
        <f ca="1">IF($K286="Yes",COUNTIFS($K$4:$K286,"Yes"),"")</f>
        <v/>
      </c>
      <c r="Q286">
        <f t="shared" ca="1" si="19"/>
        <v>0</v>
      </c>
      <c r="R286" t="str">
        <f ca="1">IF($Q286=1,SUM($Q$4:$Q286),"")</f>
        <v/>
      </c>
    </row>
    <row r="287" spans="1:18" ht="14.25" hidden="1" customHeight="1" x14ac:dyDescent="0.3">
      <c r="A287" s="2"/>
      <c r="B287" s="2"/>
      <c r="C287" s="3"/>
      <c r="D287" s="3"/>
      <c r="E287" s="2"/>
      <c r="F287" s="2"/>
      <c r="G287" s="5"/>
      <c r="H287" s="5"/>
      <c r="I287" s="4"/>
      <c r="J287" s="6" t="str">
        <f t="shared" si="18"/>
        <v/>
      </c>
      <c r="K287" s="4" t="str">
        <f t="shared" ca="1" si="21"/>
        <v/>
      </c>
      <c r="L287" s="7" t="str">
        <f t="shared" ca="1" si="20"/>
        <v/>
      </c>
      <c r="M287" s="4" t="str">
        <f>IF($I287="Complete","Green",IF($H287="","Amber",IF($H287&lt;'[2]Read Me'!$B$4,"Red",IF($H287-'[2]Read Me'!$B$4&lt;=21,"Amber","Green"))))</f>
        <v>Amber</v>
      </c>
      <c r="N287" s="3"/>
      <c r="O287" t="str">
        <f>IF($I287&lt;&gt;"Complete",IF(COUNTIFS($A$4:$A286,$A287,$B$4:$B286,$B287,$I$4:$I286,"&lt;&gt;Complete")=0,$A287&amp;"|"&amp;$B287,""),"")</f>
        <v>|</v>
      </c>
      <c r="P287" t="str">
        <f ca="1">IF($K287="Yes",COUNTIFS($K$4:$K287,"Yes"),"")</f>
        <v/>
      </c>
      <c r="Q287">
        <f t="shared" ca="1" si="19"/>
        <v>0</v>
      </c>
      <c r="R287" t="str">
        <f ca="1">IF($Q287=1,SUM($Q$4:$Q287),"")</f>
        <v/>
      </c>
    </row>
    <row r="288" spans="1:18" ht="14.25" hidden="1" customHeight="1" x14ac:dyDescent="0.3">
      <c r="A288" s="2"/>
      <c r="B288" s="2"/>
      <c r="C288" s="3"/>
      <c r="D288" s="3"/>
      <c r="E288" s="2"/>
      <c r="F288" s="2"/>
      <c r="G288" s="5"/>
      <c r="H288" s="5"/>
      <c r="I288" s="4"/>
      <c r="J288" s="6" t="str">
        <f t="shared" si="18"/>
        <v/>
      </c>
      <c r="K288" s="4" t="str">
        <f t="shared" ca="1" si="21"/>
        <v/>
      </c>
      <c r="L288" s="7" t="str">
        <f t="shared" ca="1" si="20"/>
        <v/>
      </c>
      <c r="M288" s="4" t="str">
        <f>IF($I288="Complete","Green",IF($H288="","Amber",IF($H288&lt;'[2]Read Me'!$B$4,"Red",IF($H288-'[2]Read Me'!$B$4&lt;=21,"Amber","Green"))))</f>
        <v>Amber</v>
      </c>
      <c r="N288" s="3"/>
      <c r="O288" t="str">
        <f>IF($I288&lt;&gt;"Complete",IF(COUNTIFS($A$4:$A287,$A288,$B$4:$B287,$B288,$I$4:$I287,"&lt;&gt;Complete")=0,$A288&amp;"|"&amp;$B288,""),"")</f>
        <v>|</v>
      </c>
      <c r="P288" t="str">
        <f ca="1">IF($K288="Yes",COUNTIFS($K$4:$K288,"Yes"),"")</f>
        <v/>
      </c>
      <c r="Q288">
        <f t="shared" ca="1" si="19"/>
        <v>0</v>
      </c>
      <c r="R288" t="str">
        <f ca="1">IF($Q288=1,SUM($Q$4:$Q288),"")</f>
        <v/>
      </c>
    </row>
    <row r="289" spans="1:18" ht="14.25" hidden="1" customHeight="1" x14ac:dyDescent="0.3">
      <c r="A289" s="2"/>
      <c r="B289" s="2"/>
      <c r="C289" s="3"/>
      <c r="D289" s="3"/>
      <c r="E289" s="2"/>
      <c r="F289" s="2"/>
      <c r="G289" s="5"/>
      <c r="H289" s="5"/>
      <c r="I289" s="4"/>
      <c r="J289" s="6" t="str">
        <f t="shared" si="18"/>
        <v/>
      </c>
      <c r="K289" s="4" t="str">
        <f t="shared" ca="1" si="21"/>
        <v/>
      </c>
      <c r="L289" s="7" t="str">
        <f t="shared" ca="1" si="20"/>
        <v/>
      </c>
      <c r="M289" s="4" t="str">
        <f>IF($I289="Complete","Green",IF($H289="","Amber",IF($H289&lt;'[2]Read Me'!$B$4,"Red",IF($H289-'[2]Read Me'!$B$4&lt;=21,"Amber","Green"))))</f>
        <v>Amber</v>
      </c>
      <c r="N289" s="3"/>
      <c r="O289" t="str">
        <f>IF($I289&lt;&gt;"Complete",IF(COUNTIFS($A$4:$A288,$A289,$B$4:$B288,$B289,$I$4:$I288,"&lt;&gt;Complete")=0,$A289&amp;"|"&amp;$B289,""),"")</f>
        <v>|</v>
      </c>
      <c r="P289" t="str">
        <f ca="1">IF($K289="Yes",COUNTIFS($K$4:$K289,"Yes"),"")</f>
        <v/>
      </c>
      <c r="Q289">
        <f t="shared" ca="1" si="19"/>
        <v>0</v>
      </c>
      <c r="R289" t="str">
        <f ca="1">IF($Q289=1,SUM($Q$4:$Q289),"")</f>
        <v/>
      </c>
    </row>
    <row r="290" spans="1:18" ht="14.25" hidden="1" customHeight="1" x14ac:dyDescent="0.3">
      <c r="A290" s="2"/>
      <c r="B290" s="2"/>
      <c r="C290" s="3"/>
      <c r="D290" s="3"/>
      <c r="E290" s="2"/>
      <c r="F290" s="2"/>
      <c r="G290" s="5"/>
      <c r="H290" s="5"/>
      <c r="I290" s="4"/>
      <c r="J290" s="6" t="str">
        <f t="shared" si="18"/>
        <v/>
      </c>
      <c r="K290" s="4" t="str">
        <f t="shared" ca="1" si="21"/>
        <v/>
      </c>
      <c r="L290" s="7" t="str">
        <f t="shared" ca="1" si="20"/>
        <v/>
      </c>
      <c r="M290" s="4" t="str">
        <f>IF($I290="Complete","Green",IF($H290="","Amber",IF($H290&lt;'[2]Read Me'!$B$4,"Red",IF($H290-'[2]Read Me'!$B$4&lt;=21,"Amber","Green"))))</f>
        <v>Amber</v>
      </c>
      <c r="N290" s="3"/>
      <c r="O290" t="str">
        <f>IF($I290&lt;&gt;"Complete",IF(COUNTIFS($A$4:$A289,$A290,$B$4:$B289,$B290,$I$4:$I289,"&lt;&gt;Complete")=0,$A290&amp;"|"&amp;$B290,""),"")</f>
        <v>|</v>
      </c>
      <c r="P290" t="str">
        <f ca="1">IF($K290="Yes",COUNTIFS($K$4:$K290,"Yes"),"")</f>
        <v/>
      </c>
      <c r="Q290">
        <f t="shared" ca="1" si="19"/>
        <v>0</v>
      </c>
      <c r="R290" t="str">
        <f ca="1">IF($Q290=1,SUM($Q$4:$Q290),"")</f>
        <v/>
      </c>
    </row>
    <row r="291" spans="1:18" ht="14.25" hidden="1" customHeight="1" x14ac:dyDescent="0.3">
      <c r="A291" s="2"/>
      <c r="B291" s="2"/>
      <c r="C291" s="3"/>
      <c r="D291" s="3"/>
      <c r="E291" s="2"/>
      <c r="F291" s="2"/>
      <c r="G291" s="5"/>
      <c r="H291" s="5"/>
      <c r="I291" s="4"/>
      <c r="J291" s="6" t="str">
        <f t="shared" si="18"/>
        <v/>
      </c>
      <c r="K291" s="4" t="str">
        <f t="shared" ca="1" si="21"/>
        <v/>
      </c>
      <c r="L291" s="7" t="str">
        <f t="shared" ca="1" si="20"/>
        <v/>
      </c>
      <c r="M291" s="4" t="str">
        <f>IF($I291="Complete","Green",IF($H291="","Amber",IF($H291&lt;'[2]Read Me'!$B$4,"Red",IF($H291-'[2]Read Me'!$B$4&lt;=21,"Amber","Green"))))</f>
        <v>Amber</v>
      </c>
      <c r="N291" s="3"/>
      <c r="O291" t="str">
        <f>IF($I291&lt;&gt;"Complete",IF(COUNTIFS($A$4:$A290,$A291,$B$4:$B290,$B291,$I$4:$I290,"&lt;&gt;Complete")=0,$A291&amp;"|"&amp;$B291,""),"")</f>
        <v>|</v>
      </c>
      <c r="P291" t="str">
        <f ca="1">IF($K291="Yes",COUNTIFS($K$4:$K291,"Yes"),"")</f>
        <v/>
      </c>
      <c r="Q291">
        <f t="shared" ca="1" si="19"/>
        <v>0</v>
      </c>
      <c r="R291" t="str">
        <f ca="1">IF($Q291=1,SUM($Q$4:$Q291),"")</f>
        <v/>
      </c>
    </row>
    <row r="292" spans="1:18" ht="14.25" hidden="1" customHeight="1" x14ac:dyDescent="0.3">
      <c r="A292" s="2"/>
      <c r="B292" s="2"/>
      <c r="C292" s="3"/>
      <c r="D292" s="3"/>
      <c r="E292" s="2"/>
      <c r="F292" s="2"/>
      <c r="G292" s="5"/>
      <c r="H292" s="5"/>
      <c r="I292" s="4"/>
      <c r="J292" s="6" t="str">
        <f t="shared" si="18"/>
        <v/>
      </c>
      <c r="K292" s="4" t="str">
        <f t="shared" ca="1" si="21"/>
        <v/>
      </c>
      <c r="L292" s="7" t="str">
        <f t="shared" ca="1" si="20"/>
        <v/>
      </c>
      <c r="M292" s="4" t="str">
        <f>IF($I292="Complete","Green",IF($H292="","Amber",IF($H292&lt;'[2]Read Me'!$B$4,"Red",IF($H292-'[2]Read Me'!$B$4&lt;=21,"Amber","Green"))))</f>
        <v>Amber</v>
      </c>
      <c r="N292" s="3"/>
      <c r="O292" t="str">
        <f>IF($I292&lt;&gt;"Complete",IF(COUNTIFS($A$4:$A291,$A292,$B$4:$B291,$B292,$I$4:$I291,"&lt;&gt;Complete")=0,$A292&amp;"|"&amp;$B292,""),"")</f>
        <v>|</v>
      </c>
      <c r="P292" t="str">
        <f ca="1">IF($K292="Yes",COUNTIFS($K$4:$K292,"Yes"),"")</f>
        <v/>
      </c>
      <c r="Q292">
        <f t="shared" ca="1" si="19"/>
        <v>0</v>
      </c>
      <c r="R292" t="str">
        <f ca="1">IF($Q292=1,SUM($Q$4:$Q292),"")</f>
        <v/>
      </c>
    </row>
    <row r="293" spans="1:18" ht="22.5" hidden="1" customHeight="1" x14ac:dyDescent="0.3">
      <c r="A293" s="2"/>
      <c r="B293" s="2"/>
      <c r="C293" s="3"/>
      <c r="D293" s="3"/>
      <c r="E293" s="2"/>
      <c r="F293" s="2"/>
      <c r="G293" s="5"/>
      <c r="H293" s="5"/>
      <c r="I293" s="4"/>
      <c r="J293" s="6" t="str">
        <f t="shared" si="18"/>
        <v/>
      </c>
      <c r="K293" s="4" t="str">
        <f t="shared" ca="1" si="21"/>
        <v/>
      </c>
      <c r="L293" s="7" t="str">
        <f t="shared" ca="1" si="20"/>
        <v/>
      </c>
      <c r="M293" s="4" t="str">
        <f>IF($I293="Complete","Green",IF($H293="","Amber",IF($H293&lt;'[2]Read Me'!$B$4,"Red",IF($H293-'[2]Read Me'!$B$4&lt;=21,"Amber","Green"))))</f>
        <v>Amber</v>
      </c>
      <c r="N293" s="3"/>
      <c r="O293" t="str">
        <f>IF($I293&lt;&gt;"Complete",IF(COUNTIFS($A$4:$A292,$A293,$B$4:$B292,$B293,$I$4:$I292,"&lt;&gt;Complete")=0,$A293&amp;"|"&amp;$B293,""),"")</f>
        <v>|</v>
      </c>
      <c r="P293" t="str">
        <f ca="1">IF($K293="Yes",COUNTIFS($K$4:$K293,"Yes"),"")</f>
        <v/>
      </c>
      <c r="Q293">
        <f t="shared" ca="1" si="19"/>
        <v>0</v>
      </c>
      <c r="R293" t="str">
        <f ca="1">IF($Q293=1,SUM($Q$4:$Q293),"")</f>
        <v/>
      </c>
    </row>
    <row r="294" spans="1:18" ht="22.5" hidden="1" customHeight="1" x14ac:dyDescent="0.3">
      <c r="A294" s="2"/>
      <c r="B294" s="2"/>
      <c r="C294" s="3"/>
      <c r="D294" s="3"/>
      <c r="E294" s="2"/>
      <c r="F294" s="2"/>
      <c r="G294" s="5"/>
      <c r="H294" s="5"/>
      <c r="I294" s="4"/>
      <c r="J294" s="6" t="str">
        <f t="shared" si="18"/>
        <v/>
      </c>
      <c r="K294" s="4" t="str">
        <f t="shared" ca="1" si="21"/>
        <v/>
      </c>
      <c r="L294" s="7" t="str">
        <f t="shared" ca="1" si="20"/>
        <v/>
      </c>
      <c r="M294" s="4" t="str">
        <f>IF($I294="Complete","Green",IF($H294="","Amber",IF($H294&lt;'[2]Read Me'!$B$4,"Red",IF($H294-'[2]Read Me'!$B$4&lt;=21,"Amber","Green"))))</f>
        <v>Amber</v>
      </c>
      <c r="N294" s="3"/>
      <c r="O294" t="str">
        <f>IF($I294&lt;&gt;"Complete",IF(COUNTIFS($A$4:$A293,$A294,$B$4:$B293,$B294,$I$4:$I293,"&lt;&gt;Complete")=0,$A294&amp;"|"&amp;$B294,""),"")</f>
        <v>|</v>
      </c>
      <c r="P294" t="str">
        <f ca="1">IF($K294="Yes",COUNTIFS($K$4:$K294,"Yes"),"")</f>
        <v/>
      </c>
      <c r="Q294">
        <f t="shared" ca="1" si="19"/>
        <v>0</v>
      </c>
      <c r="R294" t="str">
        <f ca="1">IF($Q294=1,SUM($Q$4:$Q294),"")</f>
        <v/>
      </c>
    </row>
    <row r="295" spans="1:18" ht="22.5" hidden="1" customHeight="1" x14ac:dyDescent="0.3">
      <c r="A295" s="2"/>
      <c r="B295" s="2"/>
      <c r="C295" s="3"/>
      <c r="D295" s="3"/>
      <c r="E295" s="2"/>
      <c r="F295" s="2"/>
      <c r="G295" s="5"/>
      <c r="H295" s="5"/>
      <c r="I295" s="4"/>
      <c r="J295" s="6" t="str">
        <f t="shared" si="18"/>
        <v/>
      </c>
      <c r="K295" s="4" t="str">
        <f t="shared" ca="1" si="21"/>
        <v/>
      </c>
      <c r="L295" s="7" t="str">
        <f t="shared" ca="1" si="20"/>
        <v/>
      </c>
      <c r="M295" s="4" t="str">
        <f>IF($I295="Complete","Green",IF($H295="","Amber",IF($H295&lt;'[2]Read Me'!$B$4,"Red",IF($H295-'[2]Read Me'!$B$4&lt;=21,"Amber","Green"))))</f>
        <v>Amber</v>
      </c>
      <c r="N295" s="3"/>
      <c r="O295" t="str">
        <f>IF($I295&lt;&gt;"Complete",IF(COUNTIFS($A$4:$A294,$A295,$B$4:$B294,$B295,$I$4:$I294,"&lt;&gt;Complete")=0,$A295&amp;"|"&amp;$B295,""),"")</f>
        <v>|</v>
      </c>
      <c r="P295" t="str">
        <f ca="1">IF($K295="Yes",COUNTIFS($K$4:$K295,"Yes"),"")</f>
        <v/>
      </c>
      <c r="Q295">
        <f t="shared" ca="1" si="19"/>
        <v>0</v>
      </c>
      <c r="R295" t="str">
        <f ca="1">IF($Q295=1,SUM($Q$4:$Q295),"")</f>
        <v/>
      </c>
    </row>
    <row r="296" spans="1:18" ht="22.5" hidden="1" customHeight="1" x14ac:dyDescent="0.3">
      <c r="A296" s="2"/>
      <c r="B296" s="2"/>
      <c r="C296" s="3"/>
      <c r="D296" s="3"/>
      <c r="E296" s="2"/>
      <c r="F296" s="2"/>
      <c r="G296" s="5"/>
      <c r="H296" s="5"/>
      <c r="I296" s="4"/>
      <c r="J296" s="6" t="str">
        <f t="shared" si="18"/>
        <v/>
      </c>
      <c r="K296" s="4" t="str">
        <f t="shared" ca="1" si="21"/>
        <v/>
      </c>
      <c r="L296" s="7" t="str">
        <f t="shared" ca="1" si="20"/>
        <v/>
      </c>
      <c r="M296" s="4" t="str">
        <f>IF($I296="Complete","Green",IF($H296="","Amber",IF($H296&lt;'[2]Read Me'!$B$4,"Red",IF($H296-'[2]Read Me'!$B$4&lt;=21,"Amber","Green"))))</f>
        <v>Amber</v>
      </c>
      <c r="N296" s="3"/>
      <c r="O296" t="str">
        <f>IF($I296&lt;&gt;"Complete",IF(COUNTIFS($A$4:$A295,$A296,$B$4:$B295,$B296,$I$4:$I295,"&lt;&gt;Complete")=0,$A296&amp;"|"&amp;$B296,""),"")</f>
        <v>|</v>
      </c>
      <c r="P296" t="str">
        <f ca="1">IF($K296="Yes",COUNTIFS($K$4:$K296,"Yes"),"")</f>
        <v/>
      </c>
      <c r="Q296">
        <f t="shared" ca="1" si="19"/>
        <v>0</v>
      </c>
      <c r="R296" t="str">
        <f ca="1">IF($Q296=1,SUM($Q$4:$Q296),"")</f>
        <v/>
      </c>
    </row>
    <row r="297" spans="1:18" ht="22.5" hidden="1" customHeight="1" x14ac:dyDescent="0.3">
      <c r="A297" s="2"/>
      <c r="B297" s="2"/>
      <c r="C297" s="3"/>
      <c r="D297" s="3"/>
      <c r="E297" s="2"/>
      <c r="F297" s="2"/>
      <c r="G297" s="5"/>
      <c r="H297" s="5"/>
      <c r="I297" s="4"/>
      <c r="J297" s="6" t="str">
        <f t="shared" si="18"/>
        <v/>
      </c>
      <c r="K297" s="4" t="str">
        <f t="shared" ca="1" si="21"/>
        <v/>
      </c>
      <c r="L297" s="7" t="str">
        <f t="shared" ca="1" si="20"/>
        <v/>
      </c>
      <c r="M297" s="4" t="str">
        <f>IF($I297="Complete","Green",IF($H297="","Amber",IF($H297&lt;'[2]Read Me'!$B$4,"Red",IF($H297-'[2]Read Me'!$B$4&lt;=21,"Amber","Green"))))</f>
        <v>Amber</v>
      </c>
      <c r="N297" s="3"/>
      <c r="O297" t="str">
        <f>IF($I297&lt;&gt;"Complete",IF(COUNTIFS($A$4:$A296,$A297,$B$4:$B296,$B297,$I$4:$I296,"&lt;&gt;Complete")=0,$A297&amp;"|"&amp;$B297,""),"")</f>
        <v>|</v>
      </c>
      <c r="P297" t="str">
        <f ca="1">IF($K297="Yes",COUNTIFS($K$4:$K297,"Yes"),"")</f>
        <v/>
      </c>
      <c r="Q297">
        <f t="shared" ca="1" si="19"/>
        <v>0</v>
      </c>
      <c r="R297" t="str">
        <f ca="1">IF($Q297=1,SUM($Q$4:$Q297),"")</f>
        <v/>
      </c>
    </row>
    <row r="298" spans="1:18" ht="22.5" hidden="1" customHeight="1" x14ac:dyDescent="0.3">
      <c r="A298" s="2"/>
      <c r="B298" s="2"/>
      <c r="C298" s="3"/>
      <c r="D298" s="3"/>
      <c r="E298" s="2"/>
      <c r="F298" s="2"/>
      <c r="G298" s="5"/>
      <c r="H298" s="5"/>
      <c r="I298" s="4"/>
      <c r="J298" s="6" t="str">
        <f t="shared" si="18"/>
        <v/>
      </c>
      <c r="K298" s="4" t="str">
        <f t="shared" ca="1" si="21"/>
        <v/>
      </c>
      <c r="L298" s="7" t="str">
        <f t="shared" ca="1" si="20"/>
        <v/>
      </c>
      <c r="M298" s="4" t="str">
        <f>IF($I298="Complete","Green",IF($H298="","Amber",IF($H298&lt;'[2]Read Me'!$B$4,"Red",IF($H298-'[2]Read Me'!$B$4&lt;=21,"Amber","Green"))))</f>
        <v>Amber</v>
      </c>
      <c r="N298" s="3"/>
      <c r="O298" t="str">
        <f>IF($I298&lt;&gt;"Complete",IF(COUNTIFS($A$4:$A297,$A298,$B$4:$B297,$B298,$I$4:$I297,"&lt;&gt;Complete")=0,$A298&amp;"|"&amp;$B298,""),"")</f>
        <v>|</v>
      </c>
      <c r="P298" t="str">
        <f ca="1">IF($K298="Yes",COUNTIFS($K$4:$K298,"Yes"),"")</f>
        <v/>
      </c>
      <c r="Q298">
        <f t="shared" ca="1" si="19"/>
        <v>0</v>
      </c>
      <c r="R298" t="str">
        <f ca="1">IF($Q298=1,SUM($Q$4:$Q298),"")</f>
        <v/>
      </c>
    </row>
    <row r="299" spans="1:18" ht="22.5" hidden="1" customHeight="1" x14ac:dyDescent="0.3">
      <c r="A299" s="2"/>
      <c r="B299" s="2"/>
      <c r="C299" s="3"/>
      <c r="D299" s="3"/>
      <c r="E299" s="2"/>
      <c r="F299" s="2"/>
      <c r="G299" s="5"/>
      <c r="H299" s="5"/>
      <c r="I299" s="4"/>
      <c r="J299" s="6" t="str">
        <f t="shared" si="18"/>
        <v/>
      </c>
      <c r="K299" s="4" t="str">
        <f t="shared" ca="1" si="21"/>
        <v/>
      </c>
      <c r="L299" s="7" t="str">
        <f t="shared" ca="1" si="20"/>
        <v/>
      </c>
      <c r="M299" s="4" t="str">
        <f>IF($I299="Complete","Green",IF($H299="","Amber",IF($H299&lt;'[2]Read Me'!$B$4,"Red",IF($H299-'[2]Read Me'!$B$4&lt;=21,"Amber","Green"))))</f>
        <v>Amber</v>
      </c>
      <c r="N299" s="3"/>
      <c r="O299" t="str">
        <f>IF($I299&lt;&gt;"Complete",IF(COUNTIFS($A$4:$A298,$A299,$B$4:$B298,$B299,$I$4:$I298,"&lt;&gt;Complete")=0,$A299&amp;"|"&amp;$B299,""),"")</f>
        <v>|</v>
      </c>
      <c r="P299" t="str">
        <f ca="1">IF($K299="Yes",COUNTIFS($K$4:$K299,"Yes"),"")</f>
        <v/>
      </c>
      <c r="Q299">
        <f t="shared" ca="1" si="19"/>
        <v>0</v>
      </c>
      <c r="R299" t="str">
        <f ca="1">IF($Q299=1,SUM($Q$4:$Q299),"")</f>
        <v/>
      </c>
    </row>
    <row r="300" spans="1:18" ht="22.5" hidden="1" customHeight="1" x14ac:dyDescent="0.3">
      <c r="A300" s="2"/>
      <c r="B300" s="2"/>
      <c r="C300" s="3"/>
      <c r="D300" s="3"/>
      <c r="E300" s="2"/>
      <c r="F300" s="2"/>
      <c r="G300" s="5"/>
      <c r="H300" s="5"/>
      <c r="I300" s="4"/>
      <c r="J300" s="6" t="str">
        <f t="shared" si="18"/>
        <v/>
      </c>
      <c r="K300" s="4" t="str">
        <f t="shared" ca="1" si="21"/>
        <v/>
      </c>
      <c r="L300" s="7" t="str">
        <f t="shared" ca="1" si="20"/>
        <v/>
      </c>
      <c r="M300" s="4" t="str">
        <f>IF($I300="Complete","Green",IF($H300="","Amber",IF($H300&lt;'[2]Read Me'!$B$4,"Red",IF($H300-'[2]Read Me'!$B$4&lt;=21,"Amber","Green"))))</f>
        <v>Amber</v>
      </c>
      <c r="N300" s="3"/>
      <c r="O300" t="str">
        <f>IF($I300&lt;&gt;"Complete",IF(COUNTIFS($A$4:$A299,$A300,$B$4:$B299,$B300,$I$4:$I299,"&lt;&gt;Complete")=0,$A300&amp;"|"&amp;$B300,""),"")</f>
        <v>|</v>
      </c>
      <c r="P300" t="str">
        <f ca="1">IF($K300="Yes",COUNTIFS($K$4:$K300,"Yes"),"")</f>
        <v/>
      </c>
      <c r="Q300">
        <f t="shared" ca="1" si="19"/>
        <v>0</v>
      </c>
      <c r="R300" t="str">
        <f ca="1">IF($Q300=1,SUM($Q$4:$Q300),"")</f>
        <v/>
      </c>
    </row>
    <row r="301" spans="1:18" ht="22.5" hidden="1" customHeight="1" x14ac:dyDescent="0.3">
      <c r="A301" s="2"/>
      <c r="B301" s="2"/>
      <c r="C301" s="3"/>
      <c r="D301" s="3"/>
      <c r="E301" s="2"/>
      <c r="F301" s="2"/>
      <c r="G301" s="5"/>
      <c r="H301" s="5"/>
      <c r="I301" s="4"/>
      <c r="J301" s="6" t="str">
        <f t="shared" si="18"/>
        <v/>
      </c>
      <c r="K301" s="4" t="str">
        <f t="shared" ca="1" si="21"/>
        <v/>
      </c>
      <c r="L301" s="7" t="str">
        <f t="shared" ca="1" si="20"/>
        <v/>
      </c>
      <c r="M301" s="4" t="str">
        <f>IF($I301="Complete","Green",IF($H301="","Amber",IF($H301&lt;'[2]Read Me'!$B$4,"Red",IF($H301-'[2]Read Me'!$B$4&lt;=21,"Amber","Green"))))</f>
        <v>Amber</v>
      </c>
      <c r="N301" s="3"/>
      <c r="O301" t="str">
        <f>IF($I301&lt;&gt;"Complete",IF(COUNTIFS($A$4:$A300,$A301,$B$4:$B300,$B301,$I$4:$I300,"&lt;&gt;Complete")=0,$A301&amp;"|"&amp;$B301,""),"")</f>
        <v>|</v>
      </c>
      <c r="P301" t="str">
        <f ca="1">IF($K301="Yes",COUNTIFS($K$4:$K301,"Yes"),"")</f>
        <v/>
      </c>
      <c r="Q301">
        <f t="shared" ca="1" si="19"/>
        <v>0</v>
      </c>
      <c r="R301" t="str">
        <f ca="1">IF($Q301=1,SUM($Q$4:$Q301),"")</f>
        <v/>
      </c>
    </row>
    <row r="302" spans="1:18" ht="22.5" hidden="1" customHeight="1" x14ac:dyDescent="0.3">
      <c r="A302" s="2"/>
      <c r="B302" s="2"/>
      <c r="C302" s="3"/>
      <c r="D302" s="3"/>
      <c r="E302" s="2"/>
      <c r="F302" s="2"/>
      <c r="G302" s="5"/>
      <c r="H302" s="5"/>
      <c r="I302" s="4"/>
      <c r="J302" s="6" t="str">
        <f t="shared" si="18"/>
        <v/>
      </c>
      <c r="K302" s="4" t="str">
        <f t="shared" ca="1" si="21"/>
        <v/>
      </c>
      <c r="L302" s="7" t="str">
        <f t="shared" ca="1" si="20"/>
        <v/>
      </c>
      <c r="M302" s="4" t="str">
        <f>IF($I302="Complete","Green",IF($H302="","Amber",IF($H302&lt;'[2]Read Me'!$B$4,"Red",IF($H302-'[2]Read Me'!$B$4&lt;=21,"Amber","Green"))))</f>
        <v>Amber</v>
      </c>
      <c r="N302" s="3"/>
      <c r="O302" t="str">
        <f>IF($I302&lt;&gt;"Complete",IF(COUNTIFS($A$4:$A301,$A302,$B$4:$B301,$B302,$I$4:$I301,"&lt;&gt;Complete")=0,$A302&amp;"|"&amp;$B302,""),"")</f>
        <v>|</v>
      </c>
      <c r="P302" t="str">
        <f ca="1">IF($K302="Yes",COUNTIFS($K$4:$K302,"Yes"),"")</f>
        <v/>
      </c>
      <c r="Q302">
        <f t="shared" ca="1" si="19"/>
        <v>0</v>
      </c>
      <c r="R302" t="str">
        <f ca="1">IF($Q302=1,SUM($Q$4:$Q302),"")</f>
        <v/>
      </c>
    </row>
    <row r="303" spans="1:18" ht="22.5" hidden="1" customHeight="1" x14ac:dyDescent="0.3">
      <c r="A303" s="2"/>
      <c r="B303" s="2"/>
      <c r="C303" s="3"/>
      <c r="D303" s="3"/>
      <c r="E303" s="2"/>
      <c r="F303" s="2"/>
      <c r="G303" s="5"/>
      <c r="H303" s="5"/>
      <c r="I303" s="4"/>
      <c r="J303" s="6" t="str">
        <f t="shared" si="18"/>
        <v/>
      </c>
      <c r="K303" s="4" t="str">
        <f t="shared" ca="1" si="21"/>
        <v/>
      </c>
      <c r="L303" s="7" t="str">
        <f t="shared" ca="1" si="20"/>
        <v/>
      </c>
      <c r="M303" s="4" t="str">
        <f>IF($I303="Complete","Green",IF($H303="","Amber",IF($H303&lt;'[2]Read Me'!$B$4,"Red",IF($H303-'[2]Read Me'!$B$4&lt;=21,"Amber","Green"))))</f>
        <v>Amber</v>
      </c>
      <c r="N303" s="3"/>
      <c r="O303" t="str">
        <f>IF($I303&lt;&gt;"Complete",IF(COUNTIFS($A$4:$A302,$A303,$B$4:$B302,$B303,$I$4:$I302,"&lt;&gt;Complete")=0,$A303&amp;"|"&amp;$B303,""),"")</f>
        <v>|</v>
      </c>
      <c r="P303" t="str">
        <f ca="1">IF($K303="Yes",COUNTIFS($K$4:$K303,"Yes"),"")</f>
        <v/>
      </c>
      <c r="Q303">
        <f t="shared" ca="1" si="19"/>
        <v>0</v>
      </c>
      <c r="R303" t="str">
        <f ca="1">IF($Q303=1,SUM($Q$4:$Q303),"")</f>
        <v/>
      </c>
    </row>
    <row r="304" spans="1:18" ht="22.5" hidden="1" customHeight="1" x14ac:dyDescent="0.3">
      <c r="A304" s="2"/>
      <c r="B304" s="2"/>
      <c r="C304" s="3"/>
      <c r="D304" s="3"/>
      <c r="E304" s="2"/>
      <c r="F304" s="2"/>
      <c r="G304" s="5"/>
      <c r="H304" s="5"/>
      <c r="I304" s="4"/>
      <c r="J304" s="6" t="str">
        <f t="shared" si="18"/>
        <v/>
      </c>
      <c r="K304" s="4" t="str">
        <f t="shared" ca="1" si="21"/>
        <v/>
      </c>
      <c r="L304" s="7" t="str">
        <f t="shared" ca="1" si="20"/>
        <v/>
      </c>
      <c r="M304" s="4" t="str">
        <f>IF($I304="Complete","Green",IF($H304="","Amber",IF($H304&lt;'[2]Read Me'!$B$4,"Red",IF($H304-'[2]Read Me'!$B$4&lt;=21,"Amber","Green"))))</f>
        <v>Amber</v>
      </c>
      <c r="N304" s="3"/>
      <c r="O304" t="str">
        <f>IF($I304&lt;&gt;"Complete",IF(COUNTIFS($A$4:$A303,$A304,$B$4:$B303,$B304,$I$4:$I303,"&lt;&gt;Complete")=0,$A304&amp;"|"&amp;$B304,""),"")</f>
        <v>|</v>
      </c>
      <c r="P304" t="str">
        <f ca="1">IF($K304="Yes",COUNTIFS($K$4:$K304,"Yes"),"")</f>
        <v/>
      </c>
      <c r="Q304">
        <f t="shared" ca="1" si="19"/>
        <v>0</v>
      </c>
      <c r="R304" t="str">
        <f ca="1">IF($Q304=1,SUM($Q$4:$Q304),"")</f>
        <v/>
      </c>
    </row>
    <row r="305" spans="1:18" ht="22.5" hidden="1" customHeight="1" x14ac:dyDescent="0.3">
      <c r="A305" s="2"/>
      <c r="B305" s="2"/>
      <c r="C305" s="3"/>
      <c r="D305" s="3"/>
      <c r="E305" s="2"/>
      <c r="F305" s="2"/>
      <c r="G305" s="5"/>
      <c r="H305" s="5"/>
      <c r="I305" s="4"/>
      <c r="J305" s="6" t="str">
        <f t="shared" si="18"/>
        <v/>
      </c>
      <c r="K305" s="4" t="str">
        <f t="shared" ca="1" si="21"/>
        <v/>
      </c>
      <c r="L305" s="7" t="str">
        <f t="shared" ca="1" si="20"/>
        <v/>
      </c>
      <c r="M305" s="4" t="str">
        <f>IF($I305="Complete","Green",IF($H305="","Amber",IF($H305&lt;'[2]Read Me'!$B$4,"Red",IF($H305-'[2]Read Me'!$B$4&lt;=21,"Amber","Green"))))</f>
        <v>Amber</v>
      </c>
      <c r="N305" s="3"/>
      <c r="O305" t="str">
        <f>IF($I305&lt;&gt;"Complete",IF(COUNTIFS($A$4:$A304,$A305,$B$4:$B304,$B305,$I$4:$I304,"&lt;&gt;Complete")=0,$A305&amp;"|"&amp;$B305,""),"")</f>
        <v>|</v>
      </c>
      <c r="P305" t="str">
        <f ca="1">IF($K305="Yes",COUNTIFS($K$4:$K305,"Yes"),"")</f>
        <v/>
      </c>
      <c r="Q305">
        <f t="shared" ca="1" si="19"/>
        <v>0</v>
      </c>
      <c r="R305" t="str">
        <f ca="1">IF($Q305=1,SUM($Q$4:$Q305),"")</f>
        <v/>
      </c>
    </row>
    <row r="306" spans="1:18" ht="22.5" hidden="1" customHeight="1" x14ac:dyDescent="0.3">
      <c r="A306" s="2"/>
      <c r="B306" s="2"/>
      <c r="C306" s="3"/>
      <c r="D306" s="3"/>
      <c r="E306" s="2"/>
      <c r="F306" s="2"/>
      <c r="G306" s="5"/>
      <c r="H306" s="5"/>
      <c r="I306" s="4"/>
      <c r="J306" s="6" t="str">
        <f t="shared" si="18"/>
        <v/>
      </c>
      <c r="K306" s="4" t="str">
        <f t="shared" ca="1" si="21"/>
        <v/>
      </c>
      <c r="L306" s="7" t="str">
        <f t="shared" ca="1" si="20"/>
        <v/>
      </c>
      <c r="M306" s="4" t="str">
        <f>IF($I306="Complete","Green",IF($H306="","Amber",IF($H306&lt;'[2]Read Me'!$B$4,"Red",IF($H306-'[2]Read Me'!$B$4&lt;=21,"Amber","Green"))))</f>
        <v>Amber</v>
      </c>
      <c r="N306" s="3"/>
      <c r="O306" t="str">
        <f>IF($I306&lt;&gt;"Complete",IF(COUNTIFS($A$4:$A305,$A306,$B$4:$B305,$B306,$I$4:$I305,"&lt;&gt;Complete")=0,$A306&amp;"|"&amp;$B306,""),"")</f>
        <v>|</v>
      </c>
      <c r="P306" t="str">
        <f ca="1">IF($K306="Yes",COUNTIFS($K$4:$K306,"Yes"),"")</f>
        <v/>
      </c>
      <c r="Q306">
        <f t="shared" ca="1" si="19"/>
        <v>0</v>
      </c>
      <c r="R306" t="str">
        <f ca="1">IF($Q306=1,SUM($Q$4:$Q306),"")</f>
        <v/>
      </c>
    </row>
    <row r="307" spans="1:18" ht="22.5" hidden="1" customHeight="1" x14ac:dyDescent="0.3">
      <c r="A307" s="2"/>
      <c r="B307" s="2"/>
      <c r="C307" s="3"/>
      <c r="D307" s="3"/>
      <c r="E307" s="2"/>
      <c r="F307" s="2"/>
      <c r="G307" s="5"/>
      <c r="H307" s="5"/>
      <c r="I307" s="4"/>
      <c r="J307" s="6" t="str">
        <f t="shared" si="18"/>
        <v/>
      </c>
      <c r="K307" s="4" t="str">
        <f t="shared" ca="1" si="21"/>
        <v/>
      </c>
      <c r="L307" s="7" t="str">
        <f t="shared" ca="1" si="20"/>
        <v/>
      </c>
      <c r="M307" s="4" t="str">
        <f>IF($I307="Complete","Green",IF($H307="","Amber",IF($H307&lt;'[2]Read Me'!$B$4,"Red",IF($H307-'[2]Read Me'!$B$4&lt;=21,"Amber","Green"))))</f>
        <v>Amber</v>
      </c>
      <c r="N307" s="3"/>
      <c r="O307" t="str">
        <f>IF($I307&lt;&gt;"Complete",IF(COUNTIFS($A$4:$A306,$A307,$B$4:$B306,$B307,$I$4:$I306,"&lt;&gt;Complete")=0,$A307&amp;"|"&amp;$B307,""),"")</f>
        <v>|</v>
      </c>
      <c r="P307" t="str">
        <f ca="1">IF($K307="Yes",COUNTIFS($K$4:$K307,"Yes"),"")</f>
        <v/>
      </c>
      <c r="Q307">
        <f t="shared" ca="1" si="19"/>
        <v>0</v>
      </c>
      <c r="R307" t="str">
        <f ca="1">IF($Q307=1,SUM($Q$4:$Q307),"")</f>
        <v/>
      </c>
    </row>
    <row r="308" spans="1:18" ht="22.5" hidden="1" customHeight="1" x14ac:dyDescent="0.3">
      <c r="A308" s="2"/>
      <c r="B308" s="2"/>
      <c r="C308" s="3"/>
      <c r="D308" s="3"/>
      <c r="E308" s="2"/>
      <c r="F308" s="2"/>
      <c r="G308" s="5"/>
      <c r="H308" s="5"/>
      <c r="I308" s="4"/>
      <c r="J308" s="6" t="str">
        <f t="shared" si="18"/>
        <v/>
      </c>
      <c r="K308" s="4" t="str">
        <f t="shared" ca="1" si="21"/>
        <v/>
      </c>
      <c r="L308" s="7" t="str">
        <f t="shared" ca="1" si="20"/>
        <v/>
      </c>
      <c r="M308" s="4" t="str">
        <f>IF($I308="Complete","Green",IF($H308="","Amber",IF($H308&lt;'[2]Read Me'!$B$4,"Red",IF($H308-'[2]Read Me'!$B$4&lt;=21,"Amber","Green"))))</f>
        <v>Amber</v>
      </c>
      <c r="N308" s="3"/>
      <c r="O308" t="str">
        <f>IF($I308&lt;&gt;"Complete",IF(COUNTIFS($A$4:$A307,$A308,$B$4:$B307,$B308,$I$4:$I307,"&lt;&gt;Complete")=0,$A308&amp;"|"&amp;$B308,""),"")</f>
        <v>|</v>
      </c>
      <c r="P308" t="str">
        <f ca="1">IF($K308="Yes",COUNTIFS($K$4:$K308,"Yes"),"")</f>
        <v/>
      </c>
      <c r="Q308">
        <f t="shared" ca="1" si="19"/>
        <v>0</v>
      </c>
      <c r="R308" t="str">
        <f ca="1">IF($Q308=1,SUM($Q$4:$Q308),"")</f>
        <v/>
      </c>
    </row>
    <row r="309" spans="1:18" ht="22.5" hidden="1" customHeight="1" x14ac:dyDescent="0.3">
      <c r="A309" s="2"/>
      <c r="B309" s="2"/>
      <c r="C309" s="3"/>
      <c r="D309" s="3"/>
      <c r="E309" s="2"/>
      <c r="F309" s="2"/>
      <c r="G309" s="5"/>
      <c r="H309" s="5"/>
      <c r="I309" s="4"/>
      <c r="J309" s="6" t="str">
        <f t="shared" si="18"/>
        <v/>
      </c>
      <c r="K309" s="4" t="str">
        <f t="shared" ca="1" si="21"/>
        <v/>
      </c>
      <c r="L309" s="7" t="str">
        <f t="shared" ca="1" si="20"/>
        <v/>
      </c>
      <c r="M309" s="4" t="str">
        <f>IF($I309="Complete","Green",IF($H309="","Amber",IF($H309&lt;'[2]Read Me'!$B$4,"Red",IF($H309-'[2]Read Me'!$B$4&lt;=21,"Amber","Green"))))</f>
        <v>Amber</v>
      </c>
      <c r="N309" s="3"/>
      <c r="O309" t="str">
        <f>IF($I309&lt;&gt;"Complete",IF(COUNTIFS($A$4:$A308,$A309,$B$4:$B308,$B309,$I$4:$I308,"&lt;&gt;Complete")=0,$A309&amp;"|"&amp;$B309,""),"")</f>
        <v>|</v>
      </c>
      <c r="P309" t="str">
        <f ca="1">IF($K309="Yes",COUNTIFS($K$4:$K309,"Yes"),"")</f>
        <v/>
      </c>
      <c r="Q309">
        <f t="shared" ca="1" si="19"/>
        <v>0</v>
      </c>
      <c r="R309" t="str">
        <f ca="1">IF($Q309=1,SUM($Q$4:$Q309),"")</f>
        <v/>
      </c>
    </row>
    <row r="310" spans="1:18" ht="14.25" hidden="1" customHeight="1" x14ac:dyDescent="0.3">
      <c r="A310" s="2"/>
      <c r="B310" s="2"/>
      <c r="C310" s="3"/>
      <c r="D310" s="3"/>
      <c r="E310" s="2"/>
      <c r="F310" s="2"/>
      <c r="G310" s="5"/>
      <c r="H310" s="5"/>
      <c r="I310" s="4"/>
      <c r="J310" s="6" t="str">
        <f t="shared" si="18"/>
        <v/>
      </c>
      <c r="K310" s="4" t="str">
        <f t="shared" ca="1" si="21"/>
        <v/>
      </c>
      <c r="L310" s="7" t="str">
        <f t="shared" ca="1" si="20"/>
        <v/>
      </c>
      <c r="M310" s="4" t="str">
        <f>IF($I310="Complete","Green",IF($H310="","Amber",IF($H310&lt;'[2]Read Me'!$B$4,"Red",IF($H310-'[2]Read Me'!$B$4&lt;=21,"Amber","Green"))))</f>
        <v>Amber</v>
      </c>
      <c r="N310" s="3"/>
      <c r="O310" t="str">
        <f>IF($I310&lt;&gt;"Complete",IF(COUNTIFS($A$4:$A309,$A310,$B$4:$B309,$B310,$I$4:$I309,"&lt;&gt;Complete")=0,$A310&amp;"|"&amp;$B310,""),"")</f>
        <v>|</v>
      </c>
      <c r="P310" t="str">
        <f ca="1">IF($K310="Yes",COUNTIFS($K$4:$K310,"Yes"),"")</f>
        <v/>
      </c>
      <c r="Q310">
        <f t="shared" ca="1" si="19"/>
        <v>0</v>
      </c>
      <c r="R310" t="str">
        <f ca="1">IF($Q310=1,SUM($Q$4:$Q310),"")</f>
        <v/>
      </c>
    </row>
    <row r="311" spans="1:18" ht="14.25" hidden="1" customHeight="1" x14ac:dyDescent="0.3">
      <c r="A311" s="2"/>
      <c r="B311" s="2"/>
      <c r="C311" s="3"/>
      <c r="D311" s="3"/>
      <c r="E311" s="2"/>
      <c r="F311" s="2"/>
      <c r="G311" s="5"/>
      <c r="H311" s="5"/>
      <c r="I311" s="4"/>
      <c r="J311" s="6" t="str">
        <f t="shared" si="18"/>
        <v/>
      </c>
      <c r="K311" s="4" t="str">
        <f t="shared" ca="1" si="21"/>
        <v/>
      </c>
      <c r="L311" s="7" t="str">
        <f t="shared" ca="1" si="20"/>
        <v/>
      </c>
      <c r="M311" s="4" t="str">
        <f>IF($I311="Complete","Green",IF($H311="","Amber",IF($H311&lt;'[2]Read Me'!$B$4,"Red",IF($H311-'[2]Read Me'!$B$4&lt;=21,"Amber","Green"))))</f>
        <v>Amber</v>
      </c>
      <c r="N311" s="3"/>
      <c r="O311" t="str">
        <f>IF($I311&lt;&gt;"Complete",IF(COUNTIFS($A$4:$A310,$A311,$B$4:$B310,$B311,$I$4:$I310,"&lt;&gt;Complete")=0,$A311&amp;"|"&amp;$B311,""),"")</f>
        <v>|</v>
      </c>
      <c r="P311" t="str">
        <f ca="1">IF($K311="Yes",COUNTIFS($K$4:$K311,"Yes"),"")</f>
        <v/>
      </c>
      <c r="Q311">
        <f t="shared" ca="1" si="19"/>
        <v>0</v>
      </c>
      <c r="R311" t="str">
        <f ca="1">IF($Q311=1,SUM($Q$4:$Q311),"")</f>
        <v/>
      </c>
    </row>
    <row r="312" spans="1:18" ht="14.25" hidden="1" customHeight="1" x14ac:dyDescent="0.3">
      <c r="A312" s="2"/>
      <c r="B312" s="2"/>
      <c r="C312" s="3"/>
      <c r="D312" s="3"/>
      <c r="E312" s="2"/>
      <c r="F312" s="2"/>
      <c r="G312" s="5"/>
      <c r="H312" s="5"/>
      <c r="I312" s="4"/>
      <c r="J312" s="6" t="str">
        <f t="shared" si="18"/>
        <v/>
      </c>
      <c r="K312" s="4" t="str">
        <f t="shared" ca="1" si="21"/>
        <v/>
      </c>
      <c r="L312" s="7" t="str">
        <f t="shared" ca="1" si="20"/>
        <v/>
      </c>
      <c r="M312" s="4" t="str">
        <f>IF($I312="Complete","Green",IF($H312="","Amber",IF($H312&lt;'[2]Read Me'!$B$4,"Red",IF($H312-'[2]Read Me'!$B$4&lt;=21,"Amber","Green"))))</f>
        <v>Amber</v>
      </c>
      <c r="N312" s="3"/>
      <c r="O312" t="str">
        <f>IF($I312&lt;&gt;"Complete",IF(COUNTIFS($A$4:$A311,$A312,$B$4:$B311,$B312,$I$4:$I311,"&lt;&gt;Complete")=0,$A312&amp;"|"&amp;$B312,""),"")</f>
        <v>|</v>
      </c>
      <c r="P312" t="str">
        <f ca="1">IF($K312="Yes",COUNTIFS($K$4:$K312,"Yes"),"")</f>
        <v/>
      </c>
      <c r="Q312">
        <f t="shared" ca="1" si="19"/>
        <v>0</v>
      </c>
      <c r="R312" t="str">
        <f ca="1">IF($Q312=1,SUM($Q$4:$Q312),"")</f>
        <v/>
      </c>
    </row>
    <row r="313" spans="1:18" x14ac:dyDescent="0.3">
      <c r="G313" s="9"/>
      <c r="H313" s="9"/>
      <c r="L313" s="7" t="str">
        <f t="shared" ca="1" si="20"/>
        <v/>
      </c>
    </row>
    <row r="314" spans="1:18" x14ac:dyDescent="0.3">
      <c r="G314" s="9"/>
      <c r="H314" s="9"/>
      <c r="L314" s="7" t="str">
        <f t="shared" ca="1" si="20"/>
        <v/>
      </c>
    </row>
    <row r="315" spans="1:18" x14ac:dyDescent="0.3">
      <c r="G315" s="9"/>
      <c r="H315" s="9"/>
      <c r="L315" s="7" t="str">
        <f t="shared" ca="1" si="20"/>
        <v/>
      </c>
    </row>
    <row r="316" spans="1:18" x14ac:dyDescent="0.3">
      <c r="G316" s="9"/>
      <c r="H316" s="9"/>
      <c r="L316" s="7" t="str">
        <f t="shared" ca="1" si="20"/>
        <v/>
      </c>
    </row>
    <row r="317" spans="1:18" x14ac:dyDescent="0.3">
      <c r="G317" s="9"/>
      <c r="H317" s="9"/>
      <c r="L317" s="7" t="str">
        <f t="shared" ca="1" si="20"/>
        <v/>
      </c>
    </row>
    <row r="318" spans="1:18" x14ac:dyDescent="0.3">
      <c r="G318" s="9"/>
      <c r="H318" s="9"/>
      <c r="L318" s="7" t="str">
        <f t="shared" ca="1" si="20"/>
        <v/>
      </c>
    </row>
    <row r="319" spans="1:18" x14ac:dyDescent="0.3">
      <c r="G319" s="9"/>
      <c r="H319" s="9"/>
      <c r="L319" s="7" t="str">
        <f t="shared" ca="1" si="20"/>
        <v/>
      </c>
    </row>
    <row r="320" spans="1:18" x14ac:dyDescent="0.3">
      <c r="G320" s="9"/>
      <c r="H320" s="9"/>
      <c r="L320" s="7" t="str">
        <f t="shared" ca="1" si="20"/>
        <v/>
      </c>
    </row>
    <row r="321" spans="7:12" x14ac:dyDescent="0.3">
      <c r="G321" s="9"/>
      <c r="H321" s="9"/>
      <c r="L321" s="7" t="str">
        <f t="shared" ca="1" si="20"/>
        <v/>
      </c>
    </row>
    <row r="322" spans="7:12" x14ac:dyDescent="0.3">
      <c r="G322" s="9"/>
      <c r="H322" s="9"/>
      <c r="L322" s="7" t="str">
        <f t="shared" ca="1" si="20"/>
        <v/>
      </c>
    </row>
    <row r="323" spans="7:12" x14ac:dyDescent="0.3">
      <c r="G323" s="9"/>
      <c r="H323" s="9"/>
      <c r="L323" s="7" t="str">
        <f t="shared" ca="1" si="20"/>
        <v/>
      </c>
    </row>
    <row r="324" spans="7:12" x14ac:dyDescent="0.3">
      <c r="G324" s="9"/>
      <c r="H324" s="9"/>
      <c r="L324" s="7" t="str">
        <f t="shared" ca="1" si="20"/>
        <v/>
      </c>
    </row>
    <row r="325" spans="7:12" x14ac:dyDescent="0.3">
      <c r="G325" s="9"/>
      <c r="H325" s="9"/>
      <c r="L325" s="7" t="str">
        <f t="shared" ref="L325:L388" ca="1" si="22">IF(I325="Completed",0,IF(H325="","",H325-TODAY()))</f>
        <v/>
      </c>
    </row>
    <row r="326" spans="7:12" x14ac:dyDescent="0.3">
      <c r="G326" s="9"/>
      <c r="H326" s="9"/>
      <c r="L326" s="7" t="str">
        <f t="shared" ca="1" si="22"/>
        <v/>
      </c>
    </row>
    <row r="327" spans="7:12" x14ac:dyDescent="0.3">
      <c r="G327" s="9"/>
      <c r="H327" s="9"/>
      <c r="L327" s="7" t="str">
        <f t="shared" ca="1" si="22"/>
        <v/>
      </c>
    </row>
    <row r="328" spans="7:12" x14ac:dyDescent="0.3">
      <c r="G328" s="9"/>
      <c r="H328" s="9"/>
      <c r="L328" s="7" t="str">
        <f t="shared" ca="1" si="22"/>
        <v/>
      </c>
    </row>
    <row r="329" spans="7:12" x14ac:dyDescent="0.3">
      <c r="G329" s="9"/>
      <c r="H329" s="9"/>
      <c r="L329" s="7" t="str">
        <f t="shared" ca="1" si="22"/>
        <v/>
      </c>
    </row>
    <row r="330" spans="7:12" x14ac:dyDescent="0.3">
      <c r="G330" s="9"/>
      <c r="H330" s="9"/>
      <c r="L330" s="7" t="str">
        <f t="shared" ca="1" si="22"/>
        <v/>
      </c>
    </row>
    <row r="331" spans="7:12" x14ac:dyDescent="0.3">
      <c r="G331" s="9"/>
      <c r="H331" s="9"/>
      <c r="L331" s="7" t="str">
        <f t="shared" ca="1" si="22"/>
        <v/>
      </c>
    </row>
    <row r="332" spans="7:12" x14ac:dyDescent="0.3">
      <c r="G332" s="9"/>
      <c r="H332" s="9"/>
      <c r="L332" s="7" t="str">
        <f t="shared" ca="1" si="22"/>
        <v/>
      </c>
    </row>
    <row r="333" spans="7:12" x14ac:dyDescent="0.3">
      <c r="G333" s="9"/>
      <c r="H333" s="9"/>
      <c r="L333" s="7" t="str">
        <f t="shared" ca="1" si="22"/>
        <v/>
      </c>
    </row>
    <row r="334" spans="7:12" x14ac:dyDescent="0.3">
      <c r="G334" s="9"/>
      <c r="H334" s="9"/>
      <c r="L334" s="7" t="str">
        <f t="shared" ca="1" si="22"/>
        <v/>
      </c>
    </row>
    <row r="335" spans="7:12" x14ac:dyDescent="0.3">
      <c r="G335" s="9"/>
      <c r="H335" s="9"/>
      <c r="L335" s="7" t="str">
        <f t="shared" ca="1" si="22"/>
        <v/>
      </c>
    </row>
    <row r="336" spans="7:12" x14ac:dyDescent="0.3">
      <c r="G336" s="9"/>
      <c r="H336" s="9"/>
      <c r="L336" s="7" t="str">
        <f t="shared" ca="1" si="22"/>
        <v/>
      </c>
    </row>
    <row r="337" spans="7:12" x14ac:dyDescent="0.3">
      <c r="G337" s="9"/>
      <c r="H337" s="9"/>
      <c r="L337" s="7" t="str">
        <f t="shared" ca="1" si="22"/>
        <v/>
      </c>
    </row>
    <row r="338" spans="7:12" x14ac:dyDescent="0.3">
      <c r="G338" s="9"/>
      <c r="H338" s="9"/>
      <c r="L338" s="7" t="str">
        <f t="shared" ca="1" si="22"/>
        <v/>
      </c>
    </row>
    <row r="339" spans="7:12" x14ac:dyDescent="0.3">
      <c r="G339" s="9"/>
      <c r="H339" s="9"/>
      <c r="L339" s="7" t="str">
        <f t="shared" ca="1" si="22"/>
        <v/>
      </c>
    </row>
    <row r="340" spans="7:12" x14ac:dyDescent="0.3">
      <c r="G340" s="9"/>
      <c r="H340" s="9"/>
      <c r="L340" s="7" t="str">
        <f t="shared" ca="1" si="22"/>
        <v/>
      </c>
    </row>
    <row r="341" spans="7:12" x14ac:dyDescent="0.3">
      <c r="G341" s="9"/>
      <c r="H341" s="9"/>
      <c r="L341" s="7" t="str">
        <f t="shared" ca="1" si="22"/>
        <v/>
      </c>
    </row>
    <row r="342" spans="7:12" x14ac:dyDescent="0.3">
      <c r="G342" s="9"/>
      <c r="H342" s="9"/>
      <c r="L342" s="7" t="str">
        <f t="shared" ca="1" si="22"/>
        <v/>
      </c>
    </row>
    <row r="343" spans="7:12" x14ac:dyDescent="0.3">
      <c r="G343" s="9"/>
      <c r="H343" s="9"/>
      <c r="L343" s="7" t="str">
        <f t="shared" ca="1" si="22"/>
        <v/>
      </c>
    </row>
    <row r="344" spans="7:12" x14ac:dyDescent="0.3">
      <c r="G344" s="9"/>
      <c r="H344" s="9"/>
      <c r="L344" s="7" t="str">
        <f t="shared" ca="1" si="22"/>
        <v/>
      </c>
    </row>
    <row r="345" spans="7:12" x14ac:dyDescent="0.3">
      <c r="G345" s="9"/>
      <c r="H345" s="9"/>
      <c r="L345" s="7" t="str">
        <f t="shared" ca="1" si="22"/>
        <v/>
      </c>
    </row>
    <row r="346" spans="7:12" x14ac:dyDescent="0.3">
      <c r="G346" s="9"/>
      <c r="H346" s="9"/>
      <c r="L346" s="7" t="str">
        <f t="shared" ca="1" si="22"/>
        <v/>
      </c>
    </row>
    <row r="347" spans="7:12" x14ac:dyDescent="0.3">
      <c r="G347" s="9"/>
      <c r="H347" s="9"/>
      <c r="L347" s="7" t="str">
        <f t="shared" ca="1" si="22"/>
        <v/>
      </c>
    </row>
    <row r="348" spans="7:12" x14ac:dyDescent="0.3">
      <c r="G348" s="9"/>
      <c r="H348" s="9"/>
      <c r="L348" s="7" t="str">
        <f t="shared" ca="1" si="22"/>
        <v/>
      </c>
    </row>
    <row r="349" spans="7:12" x14ac:dyDescent="0.3">
      <c r="G349" s="9"/>
      <c r="H349" s="9"/>
      <c r="L349" s="7" t="str">
        <f t="shared" ca="1" si="22"/>
        <v/>
      </c>
    </row>
    <row r="350" spans="7:12" x14ac:dyDescent="0.3">
      <c r="G350" s="9"/>
      <c r="H350" s="9"/>
      <c r="L350" s="7" t="str">
        <f t="shared" ca="1" si="22"/>
        <v/>
      </c>
    </row>
    <row r="351" spans="7:12" x14ac:dyDescent="0.3">
      <c r="G351" s="9"/>
      <c r="H351" s="9"/>
      <c r="L351" s="7" t="str">
        <f t="shared" ca="1" si="22"/>
        <v/>
      </c>
    </row>
    <row r="352" spans="7:12" x14ac:dyDescent="0.3">
      <c r="G352" s="9"/>
      <c r="H352" s="9"/>
      <c r="L352" s="7" t="str">
        <f t="shared" ca="1" si="22"/>
        <v/>
      </c>
    </row>
    <row r="353" spans="7:12" x14ac:dyDescent="0.3">
      <c r="G353" s="9"/>
      <c r="H353" s="9"/>
      <c r="L353" s="7" t="str">
        <f t="shared" ca="1" si="22"/>
        <v/>
      </c>
    </row>
    <row r="354" spans="7:12" x14ac:dyDescent="0.3">
      <c r="G354" s="9"/>
      <c r="H354" s="9"/>
      <c r="L354" s="7" t="str">
        <f t="shared" ca="1" si="22"/>
        <v/>
      </c>
    </row>
    <row r="355" spans="7:12" x14ac:dyDescent="0.3">
      <c r="G355" s="9"/>
      <c r="H355" s="9"/>
      <c r="L355" s="7" t="str">
        <f t="shared" ca="1" si="22"/>
        <v/>
      </c>
    </row>
    <row r="356" spans="7:12" x14ac:dyDescent="0.3">
      <c r="G356" s="9"/>
      <c r="H356" s="9"/>
      <c r="L356" s="7" t="str">
        <f t="shared" ca="1" si="22"/>
        <v/>
      </c>
    </row>
    <row r="357" spans="7:12" x14ac:dyDescent="0.3">
      <c r="G357" s="9"/>
      <c r="H357" s="9"/>
      <c r="L357" s="7" t="str">
        <f t="shared" ca="1" si="22"/>
        <v/>
      </c>
    </row>
    <row r="358" spans="7:12" x14ac:dyDescent="0.3">
      <c r="G358" s="9"/>
      <c r="H358" s="9"/>
      <c r="L358" s="7" t="str">
        <f t="shared" ca="1" si="22"/>
        <v/>
      </c>
    </row>
    <row r="359" spans="7:12" x14ac:dyDescent="0.3">
      <c r="G359" s="9"/>
      <c r="H359" s="9"/>
      <c r="L359" s="7" t="str">
        <f t="shared" ca="1" si="22"/>
        <v/>
      </c>
    </row>
    <row r="360" spans="7:12" x14ac:dyDescent="0.3">
      <c r="G360" s="9"/>
      <c r="H360" s="9"/>
      <c r="L360" s="7" t="str">
        <f t="shared" ca="1" si="22"/>
        <v/>
      </c>
    </row>
    <row r="361" spans="7:12" x14ac:dyDescent="0.3">
      <c r="G361" s="9"/>
      <c r="H361" s="9"/>
      <c r="L361" s="7" t="str">
        <f t="shared" ca="1" si="22"/>
        <v/>
      </c>
    </row>
    <row r="362" spans="7:12" x14ac:dyDescent="0.3">
      <c r="G362" s="9"/>
      <c r="H362" s="9"/>
      <c r="L362" s="7" t="str">
        <f t="shared" ca="1" si="22"/>
        <v/>
      </c>
    </row>
    <row r="363" spans="7:12" x14ac:dyDescent="0.3">
      <c r="G363" s="9"/>
      <c r="H363" s="9"/>
      <c r="L363" s="7" t="str">
        <f t="shared" ca="1" si="22"/>
        <v/>
      </c>
    </row>
    <row r="364" spans="7:12" x14ac:dyDescent="0.3">
      <c r="G364" s="9"/>
      <c r="H364" s="9"/>
      <c r="L364" s="7" t="str">
        <f t="shared" ca="1" si="22"/>
        <v/>
      </c>
    </row>
    <row r="365" spans="7:12" x14ac:dyDescent="0.3">
      <c r="G365" s="9"/>
      <c r="H365" s="9"/>
      <c r="L365" s="7" t="str">
        <f t="shared" ca="1" si="22"/>
        <v/>
      </c>
    </row>
    <row r="366" spans="7:12" x14ac:dyDescent="0.3">
      <c r="G366" s="9"/>
      <c r="H366" s="9"/>
      <c r="L366" s="7" t="str">
        <f t="shared" ca="1" si="22"/>
        <v/>
      </c>
    </row>
    <row r="367" spans="7:12" x14ac:dyDescent="0.3">
      <c r="G367" s="9"/>
      <c r="H367" s="9"/>
      <c r="L367" s="7" t="str">
        <f t="shared" ca="1" si="22"/>
        <v/>
      </c>
    </row>
    <row r="368" spans="7:12" x14ac:dyDescent="0.3">
      <c r="G368" s="9"/>
      <c r="H368" s="9"/>
      <c r="L368" s="7" t="str">
        <f t="shared" ca="1" si="22"/>
        <v/>
      </c>
    </row>
    <row r="369" spans="7:12" x14ac:dyDescent="0.3">
      <c r="G369" s="9"/>
      <c r="H369" s="9"/>
      <c r="L369" s="7" t="str">
        <f t="shared" ca="1" si="22"/>
        <v/>
      </c>
    </row>
    <row r="370" spans="7:12" x14ac:dyDescent="0.3">
      <c r="G370" s="9"/>
      <c r="H370" s="9"/>
      <c r="L370" s="7" t="str">
        <f t="shared" ca="1" si="22"/>
        <v/>
      </c>
    </row>
    <row r="371" spans="7:12" x14ac:dyDescent="0.3">
      <c r="G371" s="9"/>
      <c r="H371" s="9"/>
      <c r="L371" s="7" t="str">
        <f t="shared" ca="1" si="22"/>
        <v/>
      </c>
    </row>
    <row r="372" spans="7:12" x14ac:dyDescent="0.3">
      <c r="G372" s="9"/>
      <c r="H372" s="9"/>
      <c r="L372" s="7" t="str">
        <f t="shared" ca="1" si="22"/>
        <v/>
      </c>
    </row>
    <row r="373" spans="7:12" x14ac:dyDescent="0.3">
      <c r="G373" s="9"/>
      <c r="H373" s="9"/>
      <c r="L373" s="7" t="str">
        <f t="shared" ca="1" si="22"/>
        <v/>
      </c>
    </row>
    <row r="374" spans="7:12" x14ac:dyDescent="0.3">
      <c r="G374" s="9"/>
      <c r="H374" s="9"/>
      <c r="L374" s="7" t="str">
        <f t="shared" ca="1" si="22"/>
        <v/>
      </c>
    </row>
    <row r="375" spans="7:12" x14ac:dyDescent="0.3">
      <c r="G375" s="9"/>
      <c r="H375" s="9"/>
      <c r="L375" s="7" t="str">
        <f t="shared" ca="1" si="22"/>
        <v/>
      </c>
    </row>
    <row r="376" spans="7:12" x14ac:dyDescent="0.3">
      <c r="G376" s="9"/>
      <c r="H376" s="9"/>
      <c r="L376" s="7" t="str">
        <f t="shared" ca="1" si="22"/>
        <v/>
      </c>
    </row>
    <row r="377" spans="7:12" x14ac:dyDescent="0.3">
      <c r="G377" s="9"/>
      <c r="H377" s="9"/>
      <c r="L377" s="7" t="str">
        <f t="shared" ca="1" si="22"/>
        <v/>
      </c>
    </row>
    <row r="378" spans="7:12" x14ac:dyDescent="0.3">
      <c r="G378" s="9"/>
      <c r="H378" s="9"/>
      <c r="L378" s="7" t="str">
        <f t="shared" ca="1" si="22"/>
        <v/>
      </c>
    </row>
    <row r="379" spans="7:12" x14ac:dyDescent="0.3">
      <c r="G379" s="9"/>
      <c r="H379" s="9"/>
      <c r="L379" s="7" t="str">
        <f t="shared" ca="1" si="22"/>
        <v/>
      </c>
    </row>
    <row r="380" spans="7:12" x14ac:dyDescent="0.3">
      <c r="G380" s="9"/>
      <c r="H380" s="9"/>
      <c r="L380" s="7" t="str">
        <f t="shared" ca="1" si="22"/>
        <v/>
      </c>
    </row>
    <row r="381" spans="7:12" x14ac:dyDescent="0.3">
      <c r="G381" s="9"/>
      <c r="H381" s="9"/>
      <c r="L381" s="7" t="str">
        <f t="shared" ca="1" si="22"/>
        <v/>
      </c>
    </row>
    <row r="382" spans="7:12" x14ac:dyDescent="0.3">
      <c r="G382" s="9"/>
      <c r="H382" s="9"/>
      <c r="L382" s="7" t="str">
        <f t="shared" ca="1" si="22"/>
        <v/>
      </c>
    </row>
    <row r="383" spans="7:12" x14ac:dyDescent="0.3">
      <c r="G383" s="9"/>
      <c r="H383" s="9"/>
      <c r="L383" s="7" t="str">
        <f t="shared" ca="1" si="22"/>
        <v/>
      </c>
    </row>
    <row r="384" spans="7:12" x14ac:dyDescent="0.3">
      <c r="G384" s="9"/>
      <c r="H384" s="9"/>
      <c r="L384" s="7" t="str">
        <f t="shared" ca="1" si="22"/>
        <v/>
      </c>
    </row>
    <row r="385" spans="7:12" x14ac:dyDescent="0.3">
      <c r="G385" s="9"/>
      <c r="H385" s="9"/>
      <c r="L385" s="7" t="str">
        <f t="shared" ca="1" si="22"/>
        <v/>
      </c>
    </row>
    <row r="386" spans="7:12" x14ac:dyDescent="0.3">
      <c r="G386" s="9"/>
      <c r="H386" s="9"/>
      <c r="L386" s="7" t="str">
        <f t="shared" ca="1" si="22"/>
        <v/>
      </c>
    </row>
    <row r="387" spans="7:12" x14ac:dyDescent="0.3">
      <c r="G387" s="9"/>
      <c r="H387" s="9"/>
      <c r="L387" s="7" t="str">
        <f t="shared" ca="1" si="22"/>
        <v/>
      </c>
    </row>
    <row r="388" spans="7:12" x14ac:dyDescent="0.3">
      <c r="G388" s="9"/>
      <c r="H388" s="9"/>
      <c r="L388" s="7" t="str">
        <f t="shared" ca="1" si="22"/>
        <v/>
      </c>
    </row>
    <row r="389" spans="7:12" x14ac:dyDescent="0.3">
      <c r="G389" s="9"/>
      <c r="H389" s="9"/>
      <c r="L389" s="7" t="str">
        <f t="shared" ref="L389:L452" ca="1" si="23">IF(I389="Completed",0,IF(H389="","",H389-TODAY()))</f>
        <v/>
      </c>
    </row>
    <row r="390" spans="7:12" x14ac:dyDescent="0.3">
      <c r="G390" s="9"/>
      <c r="H390" s="9"/>
      <c r="L390" s="7" t="str">
        <f t="shared" ca="1" si="23"/>
        <v/>
      </c>
    </row>
    <row r="391" spans="7:12" x14ac:dyDescent="0.3">
      <c r="G391" s="9"/>
      <c r="H391" s="9"/>
      <c r="L391" s="7" t="str">
        <f t="shared" ca="1" si="23"/>
        <v/>
      </c>
    </row>
    <row r="392" spans="7:12" x14ac:dyDescent="0.3">
      <c r="G392" s="9"/>
      <c r="H392" s="9"/>
      <c r="L392" s="7" t="str">
        <f t="shared" ca="1" si="23"/>
        <v/>
      </c>
    </row>
    <row r="393" spans="7:12" x14ac:dyDescent="0.3">
      <c r="G393" s="9"/>
      <c r="H393" s="9"/>
      <c r="L393" s="7" t="str">
        <f t="shared" ca="1" si="23"/>
        <v/>
      </c>
    </row>
    <row r="394" spans="7:12" x14ac:dyDescent="0.3">
      <c r="G394" s="9"/>
      <c r="H394" s="9"/>
      <c r="L394" s="7" t="str">
        <f t="shared" ca="1" si="23"/>
        <v/>
      </c>
    </row>
    <row r="395" spans="7:12" x14ac:dyDescent="0.3">
      <c r="G395" s="9"/>
      <c r="H395" s="9"/>
      <c r="L395" s="7" t="str">
        <f t="shared" ca="1" si="23"/>
        <v/>
      </c>
    </row>
    <row r="396" spans="7:12" x14ac:dyDescent="0.3">
      <c r="G396" s="9"/>
      <c r="H396" s="9"/>
      <c r="L396" s="7" t="str">
        <f t="shared" ca="1" si="23"/>
        <v/>
      </c>
    </row>
    <row r="397" spans="7:12" x14ac:dyDescent="0.3">
      <c r="G397" s="9"/>
      <c r="H397" s="9"/>
      <c r="L397" s="7" t="str">
        <f t="shared" ca="1" si="23"/>
        <v/>
      </c>
    </row>
    <row r="398" spans="7:12" x14ac:dyDescent="0.3">
      <c r="G398" s="9"/>
      <c r="H398" s="9"/>
      <c r="L398" s="7" t="str">
        <f t="shared" ca="1" si="23"/>
        <v/>
      </c>
    </row>
    <row r="399" spans="7:12" x14ac:dyDescent="0.3">
      <c r="G399" s="9"/>
      <c r="H399" s="9"/>
      <c r="L399" s="7" t="str">
        <f t="shared" ca="1" si="23"/>
        <v/>
      </c>
    </row>
    <row r="400" spans="7:12" x14ac:dyDescent="0.3">
      <c r="G400" s="9"/>
      <c r="H400" s="9"/>
      <c r="L400" s="7" t="str">
        <f t="shared" ca="1" si="23"/>
        <v/>
      </c>
    </row>
    <row r="401" spans="7:12" x14ac:dyDescent="0.3">
      <c r="G401" s="9"/>
      <c r="H401" s="9"/>
      <c r="L401" s="7" t="str">
        <f t="shared" ca="1" si="23"/>
        <v/>
      </c>
    </row>
    <row r="402" spans="7:12" x14ac:dyDescent="0.3">
      <c r="G402" s="9"/>
      <c r="H402" s="9"/>
      <c r="L402" s="7" t="str">
        <f t="shared" ca="1" si="23"/>
        <v/>
      </c>
    </row>
    <row r="403" spans="7:12" x14ac:dyDescent="0.3">
      <c r="G403" s="9"/>
      <c r="H403" s="9"/>
      <c r="L403" s="7" t="str">
        <f t="shared" ca="1" si="23"/>
        <v/>
      </c>
    </row>
    <row r="404" spans="7:12" x14ac:dyDescent="0.3">
      <c r="G404" s="9"/>
      <c r="H404" s="9"/>
      <c r="L404" s="7" t="str">
        <f t="shared" ca="1" si="23"/>
        <v/>
      </c>
    </row>
    <row r="405" spans="7:12" x14ac:dyDescent="0.3">
      <c r="G405" s="9"/>
      <c r="H405" s="9"/>
      <c r="L405" s="7" t="str">
        <f t="shared" ca="1" si="23"/>
        <v/>
      </c>
    </row>
    <row r="406" spans="7:12" x14ac:dyDescent="0.3">
      <c r="G406" s="9"/>
      <c r="H406" s="9"/>
      <c r="L406" s="7" t="str">
        <f t="shared" ca="1" si="23"/>
        <v/>
      </c>
    </row>
    <row r="407" spans="7:12" x14ac:dyDescent="0.3">
      <c r="G407" s="9"/>
      <c r="H407" s="9"/>
      <c r="L407" s="7" t="str">
        <f t="shared" ca="1" si="23"/>
        <v/>
      </c>
    </row>
    <row r="408" spans="7:12" x14ac:dyDescent="0.3">
      <c r="G408" s="9"/>
      <c r="H408" s="9"/>
      <c r="L408" s="7" t="str">
        <f t="shared" ca="1" si="23"/>
        <v/>
      </c>
    </row>
    <row r="409" spans="7:12" x14ac:dyDescent="0.3">
      <c r="G409" s="9"/>
      <c r="H409" s="9"/>
      <c r="L409" s="7" t="str">
        <f t="shared" ca="1" si="23"/>
        <v/>
      </c>
    </row>
    <row r="410" spans="7:12" x14ac:dyDescent="0.3">
      <c r="L410" s="7" t="str">
        <f t="shared" ca="1" si="23"/>
        <v/>
      </c>
    </row>
    <row r="411" spans="7:12" x14ac:dyDescent="0.3">
      <c r="L411" s="7" t="str">
        <f t="shared" ca="1" si="23"/>
        <v/>
      </c>
    </row>
    <row r="412" spans="7:12" x14ac:dyDescent="0.3">
      <c r="L412" s="7" t="str">
        <f t="shared" ca="1" si="23"/>
        <v/>
      </c>
    </row>
    <row r="413" spans="7:12" x14ac:dyDescent="0.3">
      <c r="L413" s="7" t="str">
        <f t="shared" ca="1" si="23"/>
        <v/>
      </c>
    </row>
    <row r="414" spans="7:12" x14ac:dyDescent="0.3">
      <c r="L414" s="7" t="str">
        <f t="shared" ca="1" si="23"/>
        <v/>
      </c>
    </row>
    <row r="415" spans="7:12" x14ac:dyDescent="0.3">
      <c r="L415" s="7" t="str">
        <f t="shared" ca="1" si="23"/>
        <v/>
      </c>
    </row>
    <row r="416" spans="7:12" x14ac:dyDescent="0.3">
      <c r="L416" s="7" t="str">
        <f t="shared" ca="1" si="23"/>
        <v/>
      </c>
    </row>
    <row r="417" spans="12:12" x14ac:dyDescent="0.3">
      <c r="L417" s="7" t="str">
        <f t="shared" ca="1" si="23"/>
        <v/>
      </c>
    </row>
    <row r="418" spans="12:12" x14ac:dyDescent="0.3">
      <c r="L418" s="7" t="str">
        <f t="shared" ca="1" si="23"/>
        <v/>
      </c>
    </row>
    <row r="419" spans="12:12" x14ac:dyDescent="0.3">
      <c r="L419" s="7" t="str">
        <f t="shared" ca="1" si="23"/>
        <v/>
      </c>
    </row>
    <row r="420" spans="12:12" x14ac:dyDescent="0.3">
      <c r="L420" s="7" t="str">
        <f t="shared" ca="1" si="23"/>
        <v/>
      </c>
    </row>
    <row r="421" spans="12:12" x14ac:dyDescent="0.3">
      <c r="L421" s="7" t="str">
        <f t="shared" ca="1" si="23"/>
        <v/>
      </c>
    </row>
    <row r="422" spans="12:12" x14ac:dyDescent="0.3">
      <c r="L422" s="7" t="str">
        <f t="shared" ca="1" si="23"/>
        <v/>
      </c>
    </row>
    <row r="423" spans="12:12" x14ac:dyDescent="0.3">
      <c r="L423" s="7" t="str">
        <f t="shared" ca="1" si="23"/>
        <v/>
      </c>
    </row>
    <row r="424" spans="12:12" x14ac:dyDescent="0.3">
      <c r="L424" s="7" t="str">
        <f t="shared" ca="1" si="23"/>
        <v/>
      </c>
    </row>
    <row r="425" spans="12:12" x14ac:dyDescent="0.3">
      <c r="L425" s="7" t="str">
        <f t="shared" ca="1" si="23"/>
        <v/>
      </c>
    </row>
    <row r="426" spans="12:12" x14ac:dyDescent="0.3">
      <c r="L426" s="7" t="str">
        <f t="shared" ca="1" si="23"/>
        <v/>
      </c>
    </row>
    <row r="427" spans="12:12" x14ac:dyDescent="0.3">
      <c r="L427" s="7" t="str">
        <f t="shared" ca="1" si="23"/>
        <v/>
      </c>
    </row>
    <row r="428" spans="12:12" x14ac:dyDescent="0.3">
      <c r="L428" s="7" t="str">
        <f t="shared" ca="1" si="23"/>
        <v/>
      </c>
    </row>
    <row r="429" spans="12:12" x14ac:dyDescent="0.3">
      <c r="L429" s="7" t="str">
        <f t="shared" ca="1" si="23"/>
        <v/>
      </c>
    </row>
    <row r="430" spans="12:12" x14ac:dyDescent="0.3">
      <c r="L430" s="7" t="str">
        <f t="shared" ca="1" si="23"/>
        <v/>
      </c>
    </row>
    <row r="431" spans="12:12" x14ac:dyDescent="0.3">
      <c r="L431" s="7" t="str">
        <f t="shared" ca="1" si="23"/>
        <v/>
      </c>
    </row>
    <row r="432" spans="12:12" x14ac:dyDescent="0.3">
      <c r="L432" s="7" t="str">
        <f t="shared" ca="1" si="23"/>
        <v/>
      </c>
    </row>
    <row r="433" spans="12:12" x14ac:dyDescent="0.3">
      <c r="L433" s="7" t="str">
        <f t="shared" ca="1" si="23"/>
        <v/>
      </c>
    </row>
    <row r="434" spans="12:12" x14ac:dyDescent="0.3">
      <c r="L434" s="7" t="str">
        <f t="shared" ca="1" si="23"/>
        <v/>
      </c>
    </row>
    <row r="435" spans="12:12" x14ac:dyDescent="0.3">
      <c r="L435" s="7" t="str">
        <f t="shared" ca="1" si="23"/>
        <v/>
      </c>
    </row>
    <row r="436" spans="12:12" x14ac:dyDescent="0.3">
      <c r="L436" s="7" t="str">
        <f t="shared" ca="1" si="23"/>
        <v/>
      </c>
    </row>
    <row r="437" spans="12:12" x14ac:dyDescent="0.3">
      <c r="L437" s="7" t="str">
        <f t="shared" ca="1" si="23"/>
        <v/>
      </c>
    </row>
    <row r="438" spans="12:12" x14ac:dyDescent="0.3">
      <c r="L438" s="7" t="str">
        <f t="shared" ca="1" si="23"/>
        <v/>
      </c>
    </row>
    <row r="439" spans="12:12" x14ac:dyDescent="0.3">
      <c r="L439" s="7" t="str">
        <f t="shared" ca="1" si="23"/>
        <v/>
      </c>
    </row>
    <row r="440" spans="12:12" x14ac:dyDescent="0.3">
      <c r="L440" s="7" t="str">
        <f t="shared" ca="1" si="23"/>
        <v/>
      </c>
    </row>
    <row r="441" spans="12:12" x14ac:dyDescent="0.3">
      <c r="L441" s="7" t="str">
        <f t="shared" ca="1" si="23"/>
        <v/>
      </c>
    </row>
    <row r="442" spans="12:12" x14ac:dyDescent="0.3">
      <c r="L442" s="7" t="str">
        <f t="shared" ca="1" si="23"/>
        <v/>
      </c>
    </row>
    <row r="443" spans="12:12" x14ac:dyDescent="0.3">
      <c r="L443" s="7" t="str">
        <f t="shared" ca="1" si="23"/>
        <v/>
      </c>
    </row>
    <row r="444" spans="12:12" x14ac:dyDescent="0.3">
      <c r="L444" s="7" t="str">
        <f t="shared" ca="1" si="23"/>
        <v/>
      </c>
    </row>
    <row r="445" spans="12:12" x14ac:dyDescent="0.3">
      <c r="L445" s="7" t="str">
        <f t="shared" ca="1" si="23"/>
        <v/>
      </c>
    </row>
    <row r="446" spans="12:12" x14ac:dyDescent="0.3">
      <c r="L446" s="7" t="str">
        <f t="shared" ca="1" si="23"/>
        <v/>
      </c>
    </row>
    <row r="447" spans="12:12" x14ac:dyDescent="0.3">
      <c r="L447" s="7" t="str">
        <f t="shared" ca="1" si="23"/>
        <v/>
      </c>
    </row>
    <row r="448" spans="12:12" x14ac:dyDescent="0.3">
      <c r="L448" s="7" t="str">
        <f t="shared" ca="1" si="23"/>
        <v/>
      </c>
    </row>
    <row r="449" spans="12:12" x14ac:dyDescent="0.3">
      <c r="L449" s="7" t="str">
        <f t="shared" ca="1" si="23"/>
        <v/>
      </c>
    </row>
    <row r="450" spans="12:12" x14ac:dyDescent="0.3">
      <c r="L450" s="7" t="str">
        <f t="shared" ca="1" si="23"/>
        <v/>
      </c>
    </row>
    <row r="451" spans="12:12" x14ac:dyDescent="0.3">
      <c r="L451" s="7" t="str">
        <f t="shared" ca="1" si="23"/>
        <v/>
      </c>
    </row>
    <row r="452" spans="12:12" x14ac:dyDescent="0.3">
      <c r="L452" s="7" t="str">
        <f t="shared" ca="1" si="23"/>
        <v/>
      </c>
    </row>
    <row r="453" spans="12:12" x14ac:dyDescent="0.3">
      <c r="L453" s="7" t="str">
        <f t="shared" ref="L453:L516" ca="1" si="24">IF(I453="Completed",0,IF(H453="","",H453-TODAY()))</f>
        <v/>
      </c>
    </row>
    <row r="454" spans="12:12" x14ac:dyDescent="0.3">
      <c r="L454" s="7" t="str">
        <f t="shared" ca="1" si="24"/>
        <v/>
      </c>
    </row>
    <row r="455" spans="12:12" x14ac:dyDescent="0.3">
      <c r="L455" s="7" t="str">
        <f t="shared" ca="1" si="24"/>
        <v/>
      </c>
    </row>
    <row r="456" spans="12:12" x14ac:dyDescent="0.3">
      <c r="L456" s="7" t="str">
        <f t="shared" ca="1" si="24"/>
        <v/>
      </c>
    </row>
    <row r="457" spans="12:12" x14ac:dyDescent="0.3">
      <c r="L457" s="7" t="str">
        <f t="shared" ca="1" si="24"/>
        <v/>
      </c>
    </row>
    <row r="458" spans="12:12" x14ac:dyDescent="0.3">
      <c r="L458" s="7" t="str">
        <f t="shared" ca="1" si="24"/>
        <v/>
      </c>
    </row>
    <row r="459" spans="12:12" x14ac:dyDescent="0.3">
      <c r="L459" s="7" t="str">
        <f t="shared" ca="1" si="24"/>
        <v/>
      </c>
    </row>
    <row r="460" spans="12:12" x14ac:dyDescent="0.3">
      <c r="L460" s="7" t="str">
        <f t="shared" ca="1" si="24"/>
        <v/>
      </c>
    </row>
    <row r="461" spans="12:12" x14ac:dyDescent="0.3">
      <c r="L461" s="7" t="str">
        <f t="shared" ca="1" si="24"/>
        <v/>
      </c>
    </row>
    <row r="462" spans="12:12" x14ac:dyDescent="0.3">
      <c r="L462" s="7" t="str">
        <f t="shared" ca="1" si="24"/>
        <v/>
      </c>
    </row>
    <row r="463" spans="12:12" x14ac:dyDescent="0.3">
      <c r="L463" s="7" t="str">
        <f t="shared" ca="1" si="24"/>
        <v/>
      </c>
    </row>
    <row r="464" spans="12:12" x14ac:dyDescent="0.3">
      <c r="L464" s="7" t="str">
        <f t="shared" ca="1" si="24"/>
        <v/>
      </c>
    </row>
    <row r="465" spans="12:12" x14ac:dyDescent="0.3">
      <c r="L465" s="7" t="str">
        <f t="shared" ca="1" si="24"/>
        <v/>
      </c>
    </row>
    <row r="466" spans="12:12" x14ac:dyDescent="0.3">
      <c r="L466" s="7" t="str">
        <f t="shared" ca="1" si="24"/>
        <v/>
      </c>
    </row>
    <row r="467" spans="12:12" x14ac:dyDescent="0.3">
      <c r="L467" s="7" t="str">
        <f t="shared" ca="1" si="24"/>
        <v/>
      </c>
    </row>
    <row r="468" spans="12:12" x14ac:dyDescent="0.3">
      <c r="L468" s="7" t="str">
        <f t="shared" ca="1" si="24"/>
        <v/>
      </c>
    </row>
    <row r="469" spans="12:12" x14ac:dyDescent="0.3">
      <c r="L469" s="7" t="str">
        <f t="shared" ca="1" si="24"/>
        <v/>
      </c>
    </row>
    <row r="470" spans="12:12" x14ac:dyDescent="0.3">
      <c r="L470" s="7" t="str">
        <f t="shared" ca="1" si="24"/>
        <v/>
      </c>
    </row>
    <row r="471" spans="12:12" x14ac:dyDescent="0.3">
      <c r="L471" s="7" t="str">
        <f t="shared" ca="1" si="24"/>
        <v/>
      </c>
    </row>
    <row r="472" spans="12:12" x14ac:dyDescent="0.3">
      <c r="L472" s="7" t="str">
        <f t="shared" ca="1" si="24"/>
        <v/>
      </c>
    </row>
    <row r="473" spans="12:12" x14ac:dyDescent="0.3">
      <c r="L473" s="7" t="str">
        <f t="shared" ca="1" si="24"/>
        <v/>
      </c>
    </row>
    <row r="474" spans="12:12" x14ac:dyDescent="0.3">
      <c r="L474" s="7" t="str">
        <f t="shared" ca="1" si="24"/>
        <v/>
      </c>
    </row>
    <row r="475" spans="12:12" x14ac:dyDescent="0.3">
      <c r="L475" s="7" t="str">
        <f t="shared" ca="1" si="24"/>
        <v/>
      </c>
    </row>
    <row r="476" spans="12:12" x14ac:dyDescent="0.3">
      <c r="L476" s="7" t="str">
        <f t="shared" ca="1" si="24"/>
        <v/>
      </c>
    </row>
    <row r="477" spans="12:12" x14ac:dyDescent="0.3">
      <c r="L477" s="7" t="str">
        <f t="shared" ca="1" si="24"/>
        <v/>
      </c>
    </row>
    <row r="478" spans="12:12" x14ac:dyDescent="0.3">
      <c r="L478" s="7" t="str">
        <f t="shared" ca="1" si="24"/>
        <v/>
      </c>
    </row>
    <row r="479" spans="12:12" x14ac:dyDescent="0.3">
      <c r="L479" s="7" t="str">
        <f t="shared" ca="1" si="24"/>
        <v/>
      </c>
    </row>
    <row r="480" spans="12:12" x14ac:dyDescent="0.3">
      <c r="L480" s="7" t="str">
        <f t="shared" ca="1" si="24"/>
        <v/>
      </c>
    </row>
    <row r="481" spans="12:12" x14ac:dyDescent="0.3">
      <c r="L481" s="7" t="str">
        <f t="shared" ca="1" si="24"/>
        <v/>
      </c>
    </row>
    <row r="482" spans="12:12" x14ac:dyDescent="0.3">
      <c r="L482" s="7" t="str">
        <f t="shared" ca="1" si="24"/>
        <v/>
      </c>
    </row>
    <row r="483" spans="12:12" x14ac:dyDescent="0.3">
      <c r="L483" s="7" t="str">
        <f t="shared" ca="1" si="24"/>
        <v/>
      </c>
    </row>
    <row r="484" spans="12:12" x14ac:dyDescent="0.3">
      <c r="L484" s="7" t="str">
        <f t="shared" ca="1" si="24"/>
        <v/>
      </c>
    </row>
    <row r="485" spans="12:12" x14ac:dyDescent="0.3">
      <c r="L485" s="7" t="str">
        <f t="shared" ca="1" si="24"/>
        <v/>
      </c>
    </row>
    <row r="486" spans="12:12" x14ac:dyDescent="0.3">
      <c r="L486" s="7" t="str">
        <f t="shared" ca="1" si="24"/>
        <v/>
      </c>
    </row>
    <row r="487" spans="12:12" x14ac:dyDescent="0.3">
      <c r="L487" s="7" t="str">
        <f t="shared" ca="1" si="24"/>
        <v/>
      </c>
    </row>
    <row r="488" spans="12:12" x14ac:dyDescent="0.3">
      <c r="L488" s="7" t="str">
        <f t="shared" ca="1" si="24"/>
        <v/>
      </c>
    </row>
    <row r="489" spans="12:12" x14ac:dyDescent="0.3">
      <c r="L489" s="7" t="str">
        <f t="shared" ca="1" si="24"/>
        <v/>
      </c>
    </row>
    <row r="490" spans="12:12" x14ac:dyDescent="0.3">
      <c r="L490" s="7" t="str">
        <f t="shared" ca="1" si="24"/>
        <v/>
      </c>
    </row>
    <row r="491" spans="12:12" x14ac:dyDescent="0.3">
      <c r="L491" s="7" t="str">
        <f t="shared" ca="1" si="24"/>
        <v/>
      </c>
    </row>
    <row r="492" spans="12:12" x14ac:dyDescent="0.3">
      <c r="L492" s="7" t="str">
        <f t="shared" ca="1" si="24"/>
        <v/>
      </c>
    </row>
    <row r="493" spans="12:12" x14ac:dyDescent="0.3">
      <c r="L493" s="7" t="str">
        <f t="shared" ca="1" si="24"/>
        <v/>
      </c>
    </row>
    <row r="494" spans="12:12" x14ac:dyDescent="0.3">
      <c r="L494" s="7" t="str">
        <f t="shared" ca="1" si="24"/>
        <v/>
      </c>
    </row>
    <row r="495" spans="12:12" x14ac:dyDescent="0.3">
      <c r="L495" s="7" t="str">
        <f t="shared" ca="1" si="24"/>
        <v/>
      </c>
    </row>
    <row r="496" spans="12:12" x14ac:dyDescent="0.3">
      <c r="L496" s="7" t="str">
        <f t="shared" ca="1" si="24"/>
        <v/>
      </c>
    </row>
    <row r="497" spans="12:12" x14ac:dyDescent="0.3">
      <c r="L497" s="7" t="str">
        <f t="shared" ca="1" si="24"/>
        <v/>
      </c>
    </row>
    <row r="498" spans="12:12" x14ac:dyDescent="0.3">
      <c r="L498" s="7" t="str">
        <f t="shared" ca="1" si="24"/>
        <v/>
      </c>
    </row>
    <row r="499" spans="12:12" x14ac:dyDescent="0.3">
      <c r="L499" s="7" t="str">
        <f t="shared" ca="1" si="24"/>
        <v/>
      </c>
    </row>
    <row r="500" spans="12:12" x14ac:dyDescent="0.3">
      <c r="L500" s="7" t="str">
        <f t="shared" ca="1" si="24"/>
        <v/>
      </c>
    </row>
    <row r="501" spans="12:12" x14ac:dyDescent="0.3">
      <c r="L501" s="7" t="str">
        <f t="shared" ca="1" si="24"/>
        <v/>
      </c>
    </row>
    <row r="502" spans="12:12" x14ac:dyDescent="0.3">
      <c r="L502" s="7" t="str">
        <f t="shared" ca="1" si="24"/>
        <v/>
      </c>
    </row>
    <row r="503" spans="12:12" x14ac:dyDescent="0.3">
      <c r="L503" s="7" t="str">
        <f t="shared" ca="1" si="24"/>
        <v/>
      </c>
    </row>
    <row r="504" spans="12:12" x14ac:dyDescent="0.3">
      <c r="L504" s="7" t="str">
        <f t="shared" ca="1" si="24"/>
        <v/>
      </c>
    </row>
    <row r="505" spans="12:12" x14ac:dyDescent="0.3">
      <c r="L505" s="7" t="str">
        <f t="shared" ca="1" si="24"/>
        <v/>
      </c>
    </row>
    <row r="506" spans="12:12" x14ac:dyDescent="0.3">
      <c r="L506" s="7" t="str">
        <f t="shared" ca="1" si="24"/>
        <v/>
      </c>
    </row>
    <row r="507" spans="12:12" x14ac:dyDescent="0.3">
      <c r="L507" s="7" t="str">
        <f t="shared" ca="1" si="24"/>
        <v/>
      </c>
    </row>
    <row r="508" spans="12:12" x14ac:dyDescent="0.3">
      <c r="L508" s="7" t="str">
        <f t="shared" ca="1" si="24"/>
        <v/>
      </c>
    </row>
    <row r="509" spans="12:12" x14ac:dyDescent="0.3">
      <c r="L509" s="7" t="str">
        <f t="shared" ca="1" si="24"/>
        <v/>
      </c>
    </row>
    <row r="510" spans="12:12" x14ac:dyDescent="0.3">
      <c r="L510" s="7" t="str">
        <f t="shared" ca="1" si="24"/>
        <v/>
      </c>
    </row>
    <row r="511" spans="12:12" x14ac:dyDescent="0.3">
      <c r="L511" s="7" t="str">
        <f t="shared" ca="1" si="24"/>
        <v/>
      </c>
    </row>
    <row r="512" spans="12:12" x14ac:dyDescent="0.3">
      <c r="L512" s="7" t="str">
        <f t="shared" ca="1" si="24"/>
        <v/>
      </c>
    </row>
    <row r="513" spans="12:12" x14ac:dyDescent="0.3">
      <c r="L513" s="7" t="str">
        <f t="shared" ca="1" si="24"/>
        <v/>
      </c>
    </row>
    <row r="514" spans="12:12" x14ac:dyDescent="0.3">
      <c r="L514" s="7" t="str">
        <f t="shared" ca="1" si="24"/>
        <v/>
      </c>
    </row>
    <row r="515" spans="12:12" x14ac:dyDescent="0.3">
      <c r="L515" s="7" t="str">
        <f t="shared" ca="1" si="24"/>
        <v/>
      </c>
    </row>
    <row r="516" spans="12:12" x14ac:dyDescent="0.3">
      <c r="L516" s="7" t="str">
        <f t="shared" ca="1" si="24"/>
        <v/>
      </c>
    </row>
    <row r="517" spans="12:12" x14ac:dyDescent="0.3">
      <c r="L517" s="7" t="str">
        <f t="shared" ref="L517:L580" ca="1" si="25">IF(I517="Completed",0,IF(H517="","",H517-TODAY()))</f>
        <v/>
      </c>
    </row>
    <row r="518" spans="12:12" x14ac:dyDescent="0.3">
      <c r="L518" s="7" t="str">
        <f t="shared" ca="1" si="25"/>
        <v/>
      </c>
    </row>
    <row r="519" spans="12:12" x14ac:dyDescent="0.3">
      <c r="L519" s="7" t="str">
        <f t="shared" ca="1" si="25"/>
        <v/>
      </c>
    </row>
    <row r="520" spans="12:12" x14ac:dyDescent="0.3">
      <c r="L520" s="7" t="str">
        <f t="shared" ca="1" si="25"/>
        <v/>
      </c>
    </row>
    <row r="521" spans="12:12" x14ac:dyDescent="0.3">
      <c r="L521" s="7" t="str">
        <f t="shared" ca="1" si="25"/>
        <v/>
      </c>
    </row>
    <row r="522" spans="12:12" x14ac:dyDescent="0.3">
      <c r="L522" s="7" t="str">
        <f t="shared" ca="1" si="25"/>
        <v/>
      </c>
    </row>
    <row r="523" spans="12:12" x14ac:dyDescent="0.3">
      <c r="L523" s="7" t="str">
        <f t="shared" ca="1" si="25"/>
        <v/>
      </c>
    </row>
    <row r="524" spans="12:12" x14ac:dyDescent="0.3">
      <c r="L524" s="7" t="str">
        <f t="shared" ca="1" si="25"/>
        <v/>
      </c>
    </row>
    <row r="525" spans="12:12" x14ac:dyDescent="0.3">
      <c r="L525" s="7" t="str">
        <f t="shared" ca="1" si="25"/>
        <v/>
      </c>
    </row>
    <row r="526" spans="12:12" x14ac:dyDescent="0.3">
      <c r="L526" s="7" t="str">
        <f t="shared" ca="1" si="25"/>
        <v/>
      </c>
    </row>
    <row r="527" spans="12:12" x14ac:dyDescent="0.3">
      <c r="L527" s="7" t="str">
        <f t="shared" ca="1" si="25"/>
        <v/>
      </c>
    </row>
    <row r="528" spans="12:12" x14ac:dyDescent="0.3">
      <c r="L528" s="7" t="str">
        <f t="shared" ca="1" si="25"/>
        <v/>
      </c>
    </row>
    <row r="529" spans="12:12" x14ac:dyDescent="0.3">
      <c r="L529" s="7" t="str">
        <f t="shared" ca="1" si="25"/>
        <v/>
      </c>
    </row>
    <row r="530" spans="12:12" x14ac:dyDescent="0.3">
      <c r="L530" s="7" t="str">
        <f t="shared" ca="1" si="25"/>
        <v/>
      </c>
    </row>
    <row r="531" spans="12:12" x14ac:dyDescent="0.3">
      <c r="L531" s="7" t="str">
        <f t="shared" ca="1" si="25"/>
        <v/>
      </c>
    </row>
    <row r="532" spans="12:12" x14ac:dyDescent="0.3">
      <c r="L532" s="7" t="str">
        <f t="shared" ca="1" si="25"/>
        <v/>
      </c>
    </row>
    <row r="533" spans="12:12" x14ac:dyDescent="0.3">
      <c r="L533" s="7" t="str">
        <f t="shared" ca="1" si="25"/>
        <v/>
      </c>
    </row>
    <row r="534" spans="12:12" x14ac:dyDescent="0.3">
      <c r="L534" s="7" t="str">
        <f t="shared" ca="1" si="25"/>
        <v/>
      </c>
    </row>
    <row r="535" spans="12:12" x14ac:dyDescent="0.3">
      <c r="L535" s="7" t="str">
        <f t="shared" ca="1" si="25"/>
        <v/>
      </c>
    </row>
    <row r="536" spans="12:12" x14ac:dyDescent="0.3">
      <c r="L536" s="7" t="str">
        <f t="shared" ca="1" si="25"/>
        <v/>
      </c>
    </row>
    <row r="537" spans="12:12" x14ac:dyDescent="0.3">
      <c r="L537" s="7" t="str">
        <f t="shared" ca="1" si="25"/>
        <v/>
      </c>
    </row>
    <row r="538" spans="12:12" x14ac:dyDescent="0.3">
      <c r="L538" s="7" t="str">
        <f t="shared" ca="1" si="25"/>
        <v/>
      </c>
    </row>
    <row r="539" spans="12:12" x14ac:dyDescent="0.3">
      <c r="L539" s="7" t="str">
        <f t="shared" ca="1" si="25"/>
        <v/>
      </c>
    </row>
    <row r="540" spans="12:12" x14ac:dyDescent="0.3">
      <c r="L540" s="7" t="str">
        <f t="shared" ca="1" si="25"/>
        <v/>
      </c>
    </row>
    <row r="541" spans="12:12" x14ac:dyDescent="0.3">
      <c r="L541" s="7" t="str">
        <f t="shared" ca="1" si="25"/>
        <v/>
      </c>
    </row>
    <row r="542" spans="12:12" x14ac:dyDescent="0.3">
      <c r="L542" s="7" t="str">
        <f t="shared" ca="1" si="25"/>
        <v/>
      </c>
    </row>
    <row r="543" spans="12:12" x14ac:dyDescent="0.3">
      <c r="L543" s="7" t="str">
        <f t="shared" ca="1" si="25"/>
        <v/>
      </c>
    </row>
    <row r="544" spans="12:12" x14ac:dyDescent="0.3">
      <c r="L544" s="7" t="str">
        <f t="shared" ca="1" si="25"/>
        <v/>
      </c>
    </row>
    <row r="545" spans="12:12" x14ac:dyDescent="0.3">
      <c r="L545" s="7" t="str">
        <f t="shared" ca="1" si="25"/>
        <v/>
      </c>
    </row>
    <row r="546" spans="12:12" x14ac:dyDescent="0.3">
      <c r="L546" s="7" t="str">
        <f t="shared" ca="1" si="25"/>
        <v/>
      </c>
    </row>
    <row r="547" spans="12:12" x14ac:dyDescent="0.3">
      <c r="L547" s="7" t="str">
        <f t="shared" ca="1" si="25"/>
        <v/>
      </c>
    </row>
    <row r="548" spans="12:12" x14ac:dyDescent="0.3">
      <c r="L548" s="7" t="str">
        <f t="shared" ca="1" si="25"/>
        <v/>
      </c>
    </row>
    <row r="549" spans="12:12" x14ac:dyDescent="0.3">
      <c r="L549" s="7" t="str">
        <f t="shared" ca="1" si="25"/>
        <v/>
      </c>
    </row>
    <row r="550" spans="12:12" x14ac:dyDescent="0.3">
      <c r="L550" s="7" t="str">
        <f t="shared" ca="1" si="25"/>
        <v/>
      </c>
    </row>
    <row r="551" spans="12:12" x14ac:dyDescent="0.3">
      <c r="L551" s="7" t="str">
        <f t="shared" ca="1" si="25"/>
        <v/>
      </c>
    </row>
    <row r="552" spans="12:12" x14ac:dyDescent="0.3">
      <c r="L552" s="7" t="str">
        <f t="shared" ca="1" si="25"/>
        <v/>
      </c>
    </row>
    <row r="553" spans="12:12" x14ac:dyDescent="0.3">
      <c r="L553" s="7" t="str">
        <f t="shared" ca="1" si="25"/>
        <v/>
      </c>
    </row>
    <row r="554" spans="12:12" x14ac:dyDescent="0.3">
      <c r="L554" s="7" t="str">
        <f t="shared" ca="1" si="25"/>
        <v/>
      </c>
    </row>
    <row r="555" spans="12:12" x14ac:dyDescent="0.3">
      <c r="L555" s="7" t="str">
        <f t="shared" ca="1" si="25"/>
        <v/>
      </c>
    </row>
    <row r="556" spans="12:12" x14ac:dyDescent="0.3">
      <c r="L556" s="7" t="str">
        <f t="shared" ca="1" si="25"/>
        <v/>
      </c>
    </row>
    <row r="557" spans="12:12" x14ac:dyDescent="0.3">
      <c r="L557" s="7" t="str">
        <f t="shared" ca="1" si="25"/>
        <v/>
      </c>
    </row>
    <row r="558" spans="12:12" x14ac:dyDescent="0.3">
      <c r="L558" s="7" t="str">
        <f t="shared" ca="1" si="25"/>
        <v/>
      </c>
    </row>
    <row r="559" spans="12:12" x14ac:dyDescent="0.3">
      <c r="L559" s="7" t="str">
        <f t="shared" ca="1" si="25"/>
        <v/>
      </c>
    </row>
    <row r="560" spans="12:12" x14ac:dyDescent="0.3">
      <c r="L560" s="7" t="str">
        <f t="shared" ca="1" si="25"/>
        <v/>
      </c>
    </row>
    <row r="561" spans="12:12" x14ac:dyDescent="0.3">
      <c r="L561" s="7" t="str">
        <f t="shared" ca="1" si="25"/>
        <v/>
      </c>
    </row>
    <row r="562" spans="12:12" x14ac:dyDescent="0.3">
      <c r="L562" s="7" t="str">
        <f t="shared" ca="1" si="25"/>
        <v/>
      </c>
    </row>
    <row r="563" spans="12:12" x14ac:dyDescent="0.3">
      <c r="L563" s="7" t="str">
        <f t="shared" ca="1" si="25"/>
        <v/>
      </c>
    </row>
    <row r="564" spans="12:12" x14ac:dyDescent="0.3">
      <c r="L564" s="7" t="str">
        <f t="shared" ca="1" si="25"/>
        <v/>
      </c>
    </row>
    <row r="565" spans="12:12" x14ac:dyDescent="0.3">
      <c r="L565" s="7" t="str">
        <f t="shared" ca="1" si="25"/>
        <v/>
      </c>
    </row>
    <row r="566" spans="12:12" x14ac:dyDescent="0.3">
      <c r="L566" s="7" t="str">
        <f t="shared" ca="1" si="25"/>
        <v/>
      </c>
    </row>
    <row r="567" spans="12:12" x14ac:dyDescent="0.3">
      <c r="L567" s="7" t="str">
        <f t="shared" ca="1" si="25"/>
        <v/>
      </c>
    </row>
    <row r="568" spans="12:12" x14ac:dyDescent="0.3">
      <c r="L568" s="7" t="str">
        <f t="shared" ca="1" si="25"/>
        <v/>
      </c>
    </row>
    <row r="569" spans="12:12" x14ac:dyDescent="0.3">
      <c r="L569" s="7" t="str">
        <f t="shared" ca="1" si="25"/>
        <v/>
      </c>
    </row>
    <row r="570" spans="12:12" x14ac:dyDescent="0.3">
      <c r="L570" s="7" t="str">
        <f t="shared" ca="1" si="25"/>
        <v/>
      </c>
    </row>
    <row r="571" spans="12:12" x14ac:dyDescent="0.3">
      <c r="L571" s="7" t="str">
        <f t="shared" ca="1" si="25"/>
        <v/>
      </c>
    </row>
    <row r="572" spans="12:12" x14ac:dyDescent="0.3">
      <c r="L572" s="7" t="str">
        <f t="shared" ca="1" si="25"/>
        <v/>
      </c>
    </row>
    <row r="573" spans="12:12" x14ac:dyDescent="0.3">
      <c r="L573" s="7" t="str">
        <f t="shared" ca="1" si="25"/>
        <v/>
      </c>
    </row>
    <row r="574" spans="12:12" x14ac:dyDescent="0.3">
      <c r="L574" s="7" t="str">
        <f t="shared" ca="1" si="25"/>
        <v/>
      </c>
    </row>
    <row r="575" spans="12:12" x14ac:dyDescent="0.3">
      <c r="L575" s="7" t="str">
        <f t="shared" ca="1" si="25"/>
        <v/>
      </c>
    </row>
    <row r="576" spans="12:12" x14ac:dyDescent="0.3">
      <c r="L576" s="7" t="str">
        <f t="shared" ca="1" si="25"/>
        <v/>
      </c>
    </row>
    <row r="577" spans="12:12" x14ac:dyDescent="0.3">
      <c r="L577" s="7" t="str">
        <f t="shared" ca="1" si="25"/>
        <v/>
      </c>
    </row>
    <row r="578" spans="12:12" x14ac:dyDescent="0.3">
      <c r="L578" s="7" t="str">
        <f t="shared" ca="1" si="25"/>
        <v/>
      </c>
    </row>
    <row r="579" spans="12:12" x14ac:dyDescent="0.3">
      <c r="L579" s="7" t="str">
        <f t="shared" ca="1" si="25"/>
        <v/>
      </c>
    </row>
    <row r="580" spans="12:12" x14ac:dyDescent="0.3">
      <c r="L580" s="7" t="str">
        <f t="shared" ca="1" si="25"/>
        <v/>
      </c>
    </row>
    <row r="581" spans="12:12" x14ac:dyDescent="0.3">
      <c r="L581" s="7" t="str">
        <f t="shared" ref="L581:L644" ca="1" si="26">IF(I581="Completed",0,IF(H581="","",H581-TODAY()))</f>
        <v/>
      </c>
    </row>
    <row r="582" spans="12:12" x14ac:dyDescent="0.3">
      <c r="L582" s="7" t="str">
        <f t="shared" ca="1" si="26"/>
        <v/>
      </c>
    </row>
    <row r="583" spans="12:12" x14ac:dyDescent="0.3">
      <c r="L583" s="7" t="str">
        <f t="shared" ca="1" si="26"/>
        <v/>
      </c>
    </row>
    <row r="584" spans="12:12" x14ac:dyDescent="0.3">
      <c r="L584" s="7" t="str">
        <f t="shared" ca="1" si="26"/>
        <v/>
      </c>
    </row>
    <row r="585" spans="12:12" x14ac:dyDescent="0.3">
      <c r="L585" s="7" t="str">
        <f t="shared" ca="1" si="26"/>
        <v/>
      </c>
    </row>
    <row r="586" spans="12:12" x14ac:dyDescent="0.3">
      <c r="L586" s="7" t="str">
        <f t="shared" ca="1" si="26"/>
        <v/>
      </c>
    </row>
    <row r="587" spans="12:12" x14ac:dyDescent="0.3">
      <c r="L587" s="7" t="str">
        <f t="shared" ca="1" si="26"/>
        <v/>
      </c>
    </row>
    <row r="588" spans="12:12" x14ac:dyDescent="0.3">
      <c r="L588" s="7" t="str">
        <f t="shared" ca="1" si="26"/>
        <v/>
      </c>
    </row>
    <row r="589" spans="12:12" x14ac:dyDescent="0.3">
      <c r="L589" s="7" t="str">
        <f t="shared" ca="1" si="26"/>
        <v/>
      </c>
    </row>
    <row r="590" spans="12:12" x14ac:dyDescent="0.3">
      <c r="L590" s="7" t="str">
        <f t="shared" ca="1" si="26"/>
        <v/>
      </c>
    </row>
    <row r="591" spans="12:12" x14ac:dyDescent="0.3">
      <c r="L591" s="7" t="str">
        <f t="shared" ca="1" si="26"/>
        <v/>
      </c>
    </row>
    <row r="592" spans="12:12" x14ac:dyDescent="0.3">
      <c r="L592" s="7" t="str">
        <f t="shared" ca="1" si="26"/>
        <v/>
      </c>
    </row>
    <row r="593" spans="12:12" x14ac:dyDescent="0.3">
      <c r="L593" s="7" t="str">
        <f t="shared" ca="1" si="26"/>
        <v/>
      </c>
    </row>
    <row r="594" spans="12:12" x14ac:dyDescent="0.3">
      <c r="L594" s="7" t="str">
        <f t="shared" ca="1" si="26"/>
        <v/>
      </c>
    </row>
    <row r="595" spans="12:12" x14ac:dyDescent="0.3">
      <c r="L595" s="7" t="str">
        <f t="shared" ca="1" si="26"/>
        <v/>
      </c>
    </row>
    <row r="596" spans="12:12" x14ac:dyDescent="0.3">
      <c r="L596" s="7" t="str">
        <f t="shared" ca="1" si="26"/>
        <v/>
      </c>
    </row>
    <row r="597" spans="12:12" x14ac:dyDescent="0.3">
      <c r="L597" s="7" t="str">
        <f t="shared" ca="1" si="26"/>
        <v/>
      </c>
    </row>
    <row r="598" spans="12:12" x14ac:dyDescent="0.3">
      <c r="L598" s="7" t="str">
        <f t="shared" ca="1" si="26"/>
        <v/>
      </c>
    </row>
    <row r="599" spans="12:12" x14ac:dyDescent="0.3">
      <c r="L599" s="7" t="str">
        <f t="shared" ca="1" si="26"/>
        <v/>
      </c>
    </row>
    <row r="600" spans="12:12" x14ac:dyDescent="0.3">
      <c r="L600" s="7" t="str">
        <f t="shared" ca="1" si="26"/>
        <v/>
      </c>
    </row>
    <row r="601" spans="12:12" x14ac:dyDescent="0.3">
      <c r="L601" s="7" t="str">
        <f t="shared" ca="1" si="26"/>
        <v/>
      </c>
    </row>
    <row r="602" spans="12:12" x14ac:dyDescent="0.3">
      <c r="L602" s="7" t="str">
        <f t="shared" ca="1" si="26"/>
        <v/>
      </c>
    </row>
    <row r="603" spans="12:12" x14ac:dyDescent="0.3">
      <c r="L603" s="7" t="str">
        <f t="shared" ca="1" si="26"/>
        <v/>
      </c>
    </row>
    <row r="604" spans="12:12" x14ac:dyDescent="0.3">
      <c r="L604" s="7" t="str">
        <f t="shared" ca="1" si="26"/>
        <v/>
      </c>
    </row>
    <row r="605" spans="12:12" x14ac:dyDescent="0.3">
      <c r="L605" s="7" t="str">
        <f t="shared" ca="1" si="26"/>
        <v/>
      </c>
    </row>
    <row r="606" spans="12:12" x14ac:dyDescent="0.3">
      <c r="L606" s="7" t="str">
        <f t="shared" ca="1" si="26"/>
        <v/>
      </c>
    </row>
    <row r="607" spans="12:12" x14ac:dyDescent="0.3">
      <c r="L607" s="7" t="str">
        <f t="shared" ca="1" si="26"/>
        <v/>
      </c>
    </row>
    <row r="608" spans="12:12" x14ac:dyDescent="0.3">
      <c r="L608" s="7" t="str">
        <f t="shared" ca="1" si="26"/>
        <v/>
      </c>
    </row>
    <row r="609" spans="12:12" x14ac:dyDescent="0.3">
      <c r="L609" s="7" t="str">
        <f t="shared" ca="1" si="26"/>
        <v/>
      </c>
    </row>
    <row r="610" spans="12:12" x14ac:dyDescent="0.3">
      <c r="L610" s="7" t="str">
        <f t="shared" ca="1" si="26"/>
        <v/>
      </c>
    </row>
    <row r="611" spans="12:12" x14ac:dyDescent="0.3">
      <c r="L611" s="7" t="str">
        <f t="shared" ca="1" si="26"/>
        <v/>
      </c>
    </row>
    <row r="612" spans="12:12" x14ac:dyDescent="0.3">
      <c r="L612" s="7" t="str">
        <f t="shared" ca="1" si="26"/>
        <v/>
      </c>
    </row>
    <row r="613" spans="12:12" x14ac:dyDescent="0.3">
      <c r="L613" s="7" t="str">
        <f t="shared" ca="1" si="26"/>
        <v/>
      </c>
    </row>
    <row r="614" spans="12:12" x14ac:dyDescent="0.3">
      <c r="L614" s="7" t="str">
        <f t="shared" ca="1" si="26"/>
        <v/>
      </c>
    </row>
    <row r="615" spans="12:12" x14ac:dyDescent="0.3">
      <c r="L615" s="7" t="str">
        <f t="shared" ca="1" si="26"/>
        <v/>
      </c>
    </row>
    <row r="616" spans="12:12" x14ac:dyDescent="0.3">
      <c r="L616" s="7" t="str">
        <f t="shared" ca="1" si="26"/>
        <v/>
      </c>
    </row>
    <row r="617" spans="12:12" x14ac:dyDescent="0.3">
      <c r="L617" s="7" t="str">
        <f t="shared" ca="1" si="26"/>
        <v/>
      </c>
    </row>
    <row r="618" spans="12:12" x14ac:dyDescent="0.3">
      <c r="L618" s="7" t="str">
        <f t="shared" ca="1" si="26"/>
        <v/>
      </c>
    </row>
    <row r="619" spans="12:12" x14ac:dyDescent="0.3">
      <c r="L619" s="7" t="str">
        <f t="shared" ca="1" si="26"/>
        <v/>
      </c>
    </row>
    <row r="620" spans="12:12" x14ac:dyDescent="0.3">
      <c r="L620" s="7" t="str">
        <f t="shared" ca="1" si="26"/>
        <v/>
      </c>
    </row>
    <row r="621" spans="12:12" x14ac:dyDescent="0.3">
      <c r="L621" s="7" t="str">
        <f t="shared" ca="1" si="26"/>
        <v/>
      </c>
    </row>
    <row r="622" spans="12:12" x14ac:dyDescent="0.3">
      <c r="L622" s="7" t="str">
        <f t="shared" ca="1" si="26"/>
        <v/>
      </c>
    </row>
    <row r="623" spans="12:12" x14ac:dyDescent="0.3">
      <c r="L623" s="7" t="str">
        <f t="shared" ca="1" si="26"/>
        <v/>
      </c>
    </row>
    <row r="624" spans="12:12" x14ac:dyDescent="0.3">
      <c r="L624" s="7" t="str">
        <f t="shared" ca="1" si="26"/>
        <v/>
      </c>
    </row>
    <row r="625" spans="12:12" x14ac:dyDescent="0.3">
      <c r="L625" s="7" t="str">
        <f t="shared" ca="1" si="26"/>
        <v/>
      </c>
    </row>
    <row r="626" spans="12:12" x14ac:dyDescent="0.3">
      <c r="L626" s="7" t="str">
        <f t="shared" ca="1" si="26"/>
        <v/>
      </c>
    </row>
    <row r="627" spans="12:12" x14ac:dyDescent="0.3">
      <c r="L627" s="7" t="str">
        <f t="shared" ca="1" si="26"/>
        <v/>
      </c>
    </row>
    <row r="628" spans="12:12" x14ac:dyDescent="0.3">
      <c r="L628" s="7" t="str">
        <f t="shared" ca="1" si="26"/>
        <v/>
      </c>
    </row>
    <row r="629" spans="12:12" x14ac:dyDescent="0.3">
      <c r="L629" s="7" t="str">
        <f t="shared" ca="1" si="26"/>
        <v/>
      </c>
    </row>
    <row r="630" spans="12:12" x14ac:dyDescent="0.3">
      <c r="L630" s="7" t="str">
        <f t="shared" ca="1" si="26"/>
        <v/>
      </c>
    </row>
    <row r="631" spans="12:12" x14ac:dyDescent="0.3">
      <c r="L631" s="7" t="str">
        <f t="shared" ca="1" si="26"/>
        <v/>
      </c>
    </row>
    <row r="632" spans="12:12" x14ac:dyDescent="0.3">
      <c r="L632" s="7" t="str">
        <f t="shared" ca="1" si="26"/>
        <v/>
      </c>
    </row>
    <row r="633" spans="12:12" x14ac:dyDescent="0.3">
      <c r="L633" s="7" t="str">
        <f t="shared" ca="1" si="26"/>
        <v/>
      </c>
    </row>
    <row r="634" spans="12:12" x14ac:dyDescent="0.3">
      <c r="L634" s="7" t="str">
        <f t="shared" ca="1" si="26"/>
        <v/>
      </c>
    </row>
    <row r="635" spans="12:12" x14ac:dyDescent="0.3">
      <c r="L635" s="7" t="str">
        <f t="shared" ca="1" si="26"/>
        <v/>
      </c>
    </row>
    <row r="636" spans="12:12" x14ac:dyDescent="0.3">
      <c r="L636" s="7" t="str">
        <f t="shared" ca="1" si="26"/>
        <v/>
      </c>
    </row>
    <row r="637" spans="12:12" x14ac:dyDescent="0.3">
      <c r="L637" s="7" t="str">
        <f t="shared" ca="1" si="26"/>
        <v/>
      </c>
    </row>
    <row r="638" spans="12:12" x14ac:dyDescent="0.3">
      <c r="L638" s="7" t="str">
        <f t="shared" ca="1" si="26"/>
        <v/>
      </c>
    </row>
    <row r="639" spans="12:12" x14ac:dyDescent="0.3">
      <c r="L639" s="7" t="str">
        <f t="shared" ca="1" si="26"/>
        <v/>
      </c>
    </row>
    <row r="640" spans="12:12" x14ac:dyDescent="0.3">
      <c r="L640" s="7" t="str">
        <f t="shared" ca="1" si="26"/>
        <v/>
      </c>
    </row>
    <row r="641" spans="12:12" x14ac:dyDescent="0.3">
      <c r="L641" s="7" t="str">
        <f t="shared" ca="1" si="26"/>
        <v/>
      </c>
    </row>
    <row r="642" spans="12:12" x14ac:dyDescent="0.3">
      <c r="L642" s="7" t="str">
        <f t="shared" ca="1" si="26"/>
        <v/>
      </c>
    </row>
    <row r="643" spans="12:12" x14ac:dyDescent="0.3">
      <c r="L643" s="7" t="str">
        <f t="shared" ca="1" si="26"/>
        <v/>
      </c>
    </row>
    <row r="644" spans="12:12" x14ac:dyDescent="0.3">
      <c r="L644" s="7" t="str">
        <f t="shared" ca="1" si="26"/>
        <v/>
      </c>
    </row>
    <row r="645" spans="12:12" x14ac:dyDescent="0.3">
      <c r="L645" s="7" t="str">
        <f t="shared" ref="L645:L708" ca="1" si="27">IF(I645="Completed",0,IF(H645="","",H645-TODAY()))</f>
        <v/>
      </c>
    </row>
    <row r="646" spans="12:12" x14ac:dyDescent="0.3">
      <c r="L646" s="7" t="str">
        <f t="shared" ca="1" si="27"/>
        <v/>
      </c>
    </row>
    <row r="647" spans="12:12" x14ac:dyDescent="0.3">
      <c r="L647" s="7" t="str">
        <f t="shared" ca="1" si="27"/>
        <v/>
      </c>
    </row>
    <row r="648" spans="12:12" x14ac:dyDescent="0.3">
      <c r="L648" s="7" t="str">
        <f t="shared" ca="1" si="27"/>
        <v/>
      </c>
    </row>
    <row r="649" spans="12:12" x14ac:dyDescent="0.3">
      <c r="L649" s="7" t="str">
        <f t="shared" ca="1" si="27"/>
        <v/>
      </c>
    </row>
    <row r="650" spans="12:12" x14ac:dyDescent="0.3">
      <c r="L650" s="7" t="str">
        <f t="shared" ca="1" si="27"/>
        <v/>
      </c>
    </row>
    <row r="651" spans="12:12" x14ac:dyDescent="0.3">
      <c r="L651" s="7" t="str">
        <f t="shared" ca="1" si="27"/>
        <v/>
      </c>
    </row>
    <row r="652" spans="12:12" x14ac:dyDescent="0.3">
      <c r="L652" s="7" t="str">
        <f t="shared" ca="1" si="27"/>
        <v/>
      </c>
    </row>
    <row r="653" spans="12:12" x14ac:dyDescent="0.3">
      <c r="L653" s="7" t="str">
        <f t="shared" ca="1" si="27"/>
        <v/>
      </c>
    </row>
    <row r="654" spans="12:12" x14ac:dyDescent="0.3">
      <c r="L654" s="7" t="str">
        <f t="shared" ca="1" si="27"/>
        <v/>
      </c>
    </row>
    <row r="655" spans="12:12" x14ac:dyDescent="0.3">
      <c r="L655" s="7" t="str">
        <f t="shared" ca="1" si="27"/>
        <v/>
      </c>
    </row>
    <row r="656" spans="12:12" x14ac:dyDescent="0.3">
      <c r="L656" s="7" t="str">
        <f t="shared" ca="1" si="27"/>
        <v/>
      </c>
    </row>
    <row r="657" spans="12:12" x14ac:dyDescent="0.3">
      <c r="L657" s="7" t="str">
        <f t="shared" ca="1" si="27"/>
        <v/>
      </c>
    </row>
    <row r="658" spans="12:12" x14ac:dyDescent="0.3">
      <c r="L658" s="7" t="str">
        <f t="shared" ca="1" si="27"/>
        <v/>
      </c>
    </row>
    <row r="659" spans="12:12" x14ac:dyDescent="0.3">
      <c r="L659" s="7" t="str">
        <f t="shared" ca="1" si="27"/>
        <v/>
      </c>
    </row>
    <row r="660" spans="12:12" x14ac:dyDescent="0.3">
      <c r="L660" s="7" t="str">
        <f t="shared" ca="1" si="27"/>
        <v/>
      </c>
    </row>
    <row r="661" spans="12:12" x14ac:dyDescent="0.3">
      <c r="L661" s="7" t="str">
        <f t="shared" ca="1" si="27"/>
        <v/>
      </c>
    </row>
    <row r="662" spans="12:12" x14ac:dyDescent="0.3">
      <c r="L662" s="7" t="str">
        <f t="shared" ca="1" si="27"/>
        <v/>
      </c>
    </row>
    <row r="663" spans="12:12" x14ac:dyDescent="0.3">
      <c r="L663" s="7" t="str">
        <f t="shared" ca="1" si="27"/>
        <v/>
      </c>
    </row>
    <row r="664" spans="12:12" x14ac:dyDescent="0.3">
      <c r="L664" s="7" t="str">
        <f t="shared" ca="1" si="27"/>
        <v/>
      </c>
    </row>
    <row r="665" spans="12:12" x14ac:dyDescent="0.3">
      <c r="L665" s="7" t="str">
        <f t="shared" ca="1" si="27"/>
        <v/>
      </c>
    </row>
    <row r="666" spans="12:12" x14ac:dyDescent="0.3">
      <c r="L666" s="7" t="str">
        <f t="shared" ca="1" si="27"/>
        <v/>
      </c>
    </row>
    <row r="667" spans="12:12" x14ac:dyDescent="0.3">
      <c r="L667" s="7" t="str">
        <f t="shared" ca="1" si="27"/>
        <v/>
      </c>
    </row>
    <row r="668" spans="12:12" x14ac:dyDescent="0.3">
      <c r="L668" s="7" t="str">
        <f t="shared" ca="1" si="27"/>
        <v/>
      </c>
    </row>
    <row r="669" spans="12:12" x14ac:dyDescent="0.3">
      <c r="L669" s="7" t="str">
        <f t="shared" ca="1" si="27"/>
        <v/>
      </c>
    </row>
    <row r="670" spans="12:12" x14ac:dyDescent="0.3">
      <c r="L670" s="7" t="str">
        <f t="shared" ca="1" si="27"/>
        <v/>
      </c>
    </row>
    <row r="671" spans="12:12" x14ac:dyDescent="0.3">
      <c r="L671" s="7" t="str">
        <f t="shared" ca="1" si="27"/>
        <v/>
      </c>
    </row>
    <row r="672" spans="12:12" x14ac:dyDescent="0.3">
      <c r="L672" s="7" t="str">
        <f t="shared" ca="1" si="27"/>
        <v/>
      </c>
    </row>
    <row r="673" spans="12:12" x14ac:dyDescent="0.3">
      <c r="L673" s="7" t="str">
        <f t="shared" ca="1" si="27"/>
        <v/>
      </c>
    </row>
    <row r="674" spans="12:12" x14ac:dyDescent="0.3">
      <c r="L674" s="7" t="str">
        <f t="shared" ca="1" si="27"/>
        <v/>
      </c>
    </row>
    <row r="675" spans="12:12" x14ac:dyDescent="0.3">
      <c r="L675" s="7" t="str">
        <f t="shared" ca="1" si="27"/>
        <v/>
      </c>
    </row>
    <row r="676" spans="12:12" x14ac:dyDescent="0.3">
      <c r="L676" s="7" t="str">
        <f t="shared" ca="1" si="27"/>
        <v/>
      </c>
    </row>
    <row r="677" spans="12:12" x14ac:dyDescent="0.3">
      <c r="L677" s="7" t="str">
        <f t="shared" ca="1" si="27"/>
        <v/>
      </c>
    </row>
    <row r="678" spans="12:12" x14ac:dyDescent="0.3">
      <c r="L678" s="7" t="str">
        <f t="shared" ca="1" si="27"/>
        <v/>
      </c>
    </row>
    <row r="679" spans="12:12" x14ac:dyDescent="0.3">
      <c r="L679" s="7" t="str">
        <f t="shared" ca="1" si="27"/>
        <v/>
      </c>
    </row>
    <row r="680" spans="12:12" x14ac:dyDescent="0.3">
      <c r="L680" s="7" t="str">
        <f t="shared" ca="1" si="27"/>
        <v/>
      </c>
    </row>
    <row r="681" spans="12:12" x14ac:dyDescent="0.3">
      <c r="L681" s="7" t="str">
        <f t="shared" ca="1" si="27"/>
        <v/>
      </c>
    </row>
    <row r="682" spans="12:12" x14ac:dyDescent="0.3">
      <c r="L682" s="7" t="str">
        <f t="shared" ca="1" si="27"/>
        <v/>
      </c>
    </row>
    <row r="683" spans="12:12" x14ac:dyDescent="0.3">
      <c r="L683" s="7" t="str">
        <f t="shared" ca="1" si="27"/>
        <v/>
      </c>
    </row>
    <row r="684" spans="12:12" x14ac:dyDescent="0.3">
      <c r="L684" s="7" t="str">
        <f t="shared" ca="1" si="27"/>
        <v/>
      </c>
    </row>
    <row r="685" spans="12:12" x14ac:dyDescent="0.3">
      <c r="L685" s="7" t="str">
        <f t="shared" ca="1" si="27"/>
        <v/>
      </c>
    </row>
    <row r="686" spans="12:12" x14ac:dyDescent="0.3">
      <c r="L686" s="7" t="str">
        <f t="shared" ca="1" si="27"/>
        <v/>
      </c>
    </row>
    <row r="687" spans="12:12" x14ac:dyDescent="0.3">
      <c r="L687" s="7" t="str">
        <f t="shared" ca="1" si="27"/>
        <v/>
      </c>
    </row>
    <row r="688" spans="12:12" x14ac:dyDescent="0.3">
      <c r="L688" s="7" t="str">
        <f t="shared" ca="1" si="27"/>
        <v/>
      </c>
    </row>
    <row r="689" spans="12:12" x14ac:dyDescent="0.3">
      <c r="L689" s="7" t="str">
        <f t="shared" ca="1" si="27"/>
        <v/>
      </c>
    </row>
    <row r="690" spans="12:12" x14ac:dyDescent="0.3">
      <c r="L690" s="7" t="str">
        <f t="shared" ca="1" si="27"/>
        <v/>
      </c>
    </row>
    <row r="691" spans="12:12" x14ac:dyDescent="0.3">
      <c r="L691" s="7" t="str">
        <f t="shared" ca="1" si="27"/>
        <v/>
      </c>
    </row>
    <row r="692" spans="12:12" x14ac:dyDescent="0.3">
      <c r="L692" s="7" t="str">
        <f t="shared" ca="1" si="27"/>
        <v/>
      </c>
    </row>
    <row r="693" spans="12:12" x14ac:dyDescent="0.3">
      <c r="L693" s="7" t="str">
        <f t="shared" ca="1" si="27"/>
        <v/>
      </c>
    </row>
    <row r="694" spans="12:12" x14ac:dyDescent="0.3">
      <c r="L694" s="7" t="str">
        <f t="shared" ca="1" si="27"/>
        <v/>
      </c>
    </row>
    <row r="695" spans="12:12" x14ac:dyDescent="0.3">
      <c r="L695" s="7" t="str">
        <f t="shared" ca="1" si="27"/>
        <v/>
      </c>
    </row>
    <row r="696" spans="12:12" x14ac:dyDescent="0.3">
      <c r="L696" s="7" t="str">
        <f t="shared" ca="1" si="27"/>
        <v/>
      </c>
    </row>
    <row r="697" spans="12:12" x14ac:dyDescent="0.3">
      <c r="L697" s="7" t="str">
        <f t="shared" ca="1" si="27"/>
        <v/>
      </c>
    </row>
    <row r="698" spans="12:12" x14ac:dyDescent="0.3">
      <c r="L698" s="7" t="str">
        <f t="shared" ca="1" si="27"/>
        <v/>
      </c>
    </row>
    <row r="699" spans="12:12" x14ac:dyDescent="0.3">
      <c r="L699" s="7" t="str">
        <f t="shared" ca="1" si="27"/>
        <v/>
      </c>
    </row>
    <row r="700" spans="12:12" x14ac:dyDescent="0.3">
      <c r="L700" s="7" t="str">
        <f t="shared" ca="1" si="27"/>
        <v/>
      </c>
    </row>
    <row r="701" spans="12:12" x14ac:dyDescent="0.3">
      <c r="L701" s="7" t="str">
        <f t="shared" ca="1" si="27"/>
        <v/>
      </c>
    </row>
    <row r="702" spans="12:12" x14ac:dyDescent="0.3">
      <c r="L702" s="7" t="str">
        <f t="shared" ca="1" si="27"/>
        <v/>
      </c>
    </row>
    <row r="703" spans="12:12" x14ac:dyDescent="0.3">
      <c r="L703" s="7" t="str">
        <f t="shared" ca="1" si="27"/>
        <v/>
      </c>
    </row>
    <row r="704" spans="12:12" x14ac:dyDescent="0.3">
      <c r="L704" s="7" t="str">
        <f t="shared" ca="1" si="27"/>
        <v/>
      </c>
    </row>
    <row r="705" spans="12:12" x14ac:dyDescent="0.3">
      <c r="L705" s="7" t="str">
        <f t="shared" ca="1" si="27"/>
        <v/>
      </c>
    </row>
    <row r="706" spans="12:12" x14ac:dyDescent="0.3">
      <c r="L706" s="7" t="str">
        <f t="shared" ca="1" si="27"/>
        <v/>
      </c>
    </row>
    <row r="707" spans="12:12" x14ac:dyDescent="0.3">
      <c r="L707" s="7" t="str">
        <f t="shared" ca="1" si="27"/>
        <v/>
      </c>
    </row>
    <row r="708" spans="12:12" x14ac:dyDescent="0.3">
      <c r="L708" s="7" t="str">
        <f t="shared" ca="1" si="27"/>
        <v/>
      </c>
    </row>
    <row r="709" spans="12:12" x14ac:dyDescent="0.3">
      <c r="L709" s="7" t="str">
        <f t="shared" ref="L709:L772" ca="1" si="28">IF(I709="Completed",0,IF(H709="","",H709-TODAY()))</f>
        <v/>
      </c>
    </row>
    <row r="710" spans="12:12" x14ac:dyDescent="0.3">
      <c r="L710" s="7" t="str">
        <f t="shared" ca="1" si="28"/>
        <v/>
      </c>
    </row>
    <row r="711" spans="12:12" x14ac:dyDescent="0.3">
      <c r="L711" s="7" t="str">
        <f t="shared" ca="1" si="28"/>
        <v/>
      </c>
    </row>
    <row r="712" spans="12:12" x14ac:dyDescent="0.3">
      <c r="L712" s="7" t="str">
        <f t="shared" ca="1" si="28"/>
        <v/>
      </c>
    </row>
    <row r="713" spans="12:12" x14ac:dyDescent="0.3">
      <c r="L713" s="7" t="str">
        <f t="shared" ca="1" si="28"/>
        <v/>
      </c>
    </row>
    <row r="714" spans="12:12" x14ac:dyDescent="0.3">
      <c r="L714" s="7" t="str">
        <f t="shared" ca="1" si="28"/>
        <v/>
      </c>
    </row>
    <row r="715" spans="12:12" x14ac:dyDescent="0.3">
      <c r="L715" s="7" t="str">
        <f t="shared" ca="1" si="28"/>
        <v/>
      </c>
    </row>
    <row r="716" spans="12:12" x14ac:dyDescent="0.3">
      <c r="L716" s="7" t="str">
        <f t="shared" ca="1" si="28"/>
        <v/>
      </c>
    </row>
    <row r="717" spans="12:12" x14ac:dyDescent="0.3">
      <c r="L717" s="7" t="str">
        <f t="shared" ca="1" si="28"/>
        <v/>
      </c>
    </row>
    <row r="718" spans="12:12" x14ac:dyDescent="0.3">
      <c r="L718" s="7" t="str">
        <f t="shared" ca="1" si="28"/>
        <v/>
      </c>
    </row>
    <row r="719" spans="12:12" x14ac:dyDescent="0.3">
      <c r="L719" s="7" t="str">
        <f t="shared" ca="1" si="28"/>
        <v/>
      </c>
    </row>
    <row r="720" spans="12:12" x14ac:dyDescent="0.3">
      <c r="L720" s="7" t="str">
        <f t="shared" ca="1" si="28"/>
        <v/>
      </c>
    </row>
    <row r="721" spans="12:12" x14ac:dyDescent="0.3">
      <c r="L721" s="7" t="str">
        <f t="shared" ca="1" si="28"/>
        <v/>
      </c>
    </row>
    <row r="722" spans="12:12" x14ac:dyDescent="0.3">
      <c r="L722" s="7" t="str">
        <f t="shared" ca="1" si="28"/>
        <v/>
      </c>
    </row>
    <row r="723" spans="12:12" x14ac:dyDescent="0.3">
      <c r="L723" s="7" t="str">
        <f t="shared" ca="1" si="28"/>
        <v/>
      </c>
    </row>
    <row r="724" spans="12:12" x14ac:dyDescent="0.3">
      <c r="L724" s="7" t="str">
        <f t="shared" ca="1" si="28"/>
        <v/>
      </c>
    </row>
    <row r="725" spans="12:12" x14ac:dyDescent="0.3">
      <c r="L725" s="7" t="str">
        <f t="shared" ca="1" si="28"/>
        <v/>
      </c>
    </row>
    <row r="726" spans="12:12" x14ac:dyDescent="0.3">
      <c r="L726" s="7" t="str">
        <f t="shared" ca="1" si="28"/>
        <v/>
      </c>
    </row>
    <row r="727" spans="12:12" x14ac:dyDescent="0.3">
      <c r="L727" s="7" t="str">
        <f t="shared" ca="1" si="28"/>
        <v/>
      </c>
    </row>
    <row r="728" spans="12:12" x14ac:dyDescent="0.3">
      <c r="L728" s="7" t="str">
        <f t="shared" ca="1" si="28"/>
        <v/>
      </c>
    </row>
    <row r="729" spans="12:12" x14ac:dyDescent="0.3">
      <c r="L729" s="7" t="str">
        <f t="shared" ca="1" si="28"/>
        <v/>
      </c>
    </row>
    <row r="730" spans="12:12" x14ac:dyDescent="0.3">
      <c r="L730" s="7" t="str">
        <f t="shared" ca="1" si="28"/>
        <v/>
      </c>
    </row>
    <row r="731" spans="12:12" x14ac:dyDescent="0.3">
      <c r="L731" s="7" t="str">
        <f t="shared" ca="1" si="28"/>
        <v/>
      </c>
    </row>
    <row r="732" spans="12:12" x14ac:dyDescent="0.3">
      <c r="L732" s="7" t="str">
        <f t="shared" ca="1" si="28"/>
        <v/>
      </c>
    </row>
    <row r="733" spans="12:12" x14ac:dyDescent="0.3">
      <c r="L733" s="7" t="str">
        <f t="shared" ca="1" si="28"/>
        <v/>
      </c>
    </row>
    <row r="734" spans="12:12" x14ac:dyDescent="0.3">
      <c r="L734" s="7" t="str">
        <f t="shared" ca="1" si="28"/>
        <v/>
      </c>
    </row>
    <row r="735" spans="12:12" x14ac:dyDescent="0.3">
      <c r="L735" s="7" t="str">
        <f t="shared" ca="1" si="28"/>
        <v/>
      </c>
    </row>
    <row r="736" spans="12:12" x14ac:dyDescent="0.3">
      <c r="L736" s="7" t="str">
        <f t="shared" ca="1" si="28"/>
        <v/>
      </c>
    </row>
    <row r="737" spans="12:12" x14ac:dyDescent="0.3">
      <c r="L737" s="7" t="str">
        <f t="shared" ca="1" si="28"/>
        <v/>
      </c>
    </row>
    <row r="738" spans="12:12" x14ac:dyDescent="0.3">
      <c r="L738" s="7" t="str">
        <f t="shared" ca="1" si="28"/>
        <v/>
      </c>
    </row>
    <row r="739" spans="12:12" x14ac:dyDescent="0.3">
      <c r="L739" s="7" t="str">
        <f t="shared" ca="1" si="28"/>
        <v/>
      </c>
    </row>
    <row r="740" spans="12:12" x14ac:dyDescent="0.3">
      <c r="L740" s="7" t="str">
        <f t="shared" ca="1" si="28"/>
        <v/>
      </c>
    </row>
    <row r="741" spans="12:12" x14ac:dyDescent="0.3">
      <c r="L741" s="7" t="str">
        <f t="shared" ca="1" si="28"/>
        <v/>
      </c>
    </row>
    <row r="742" spans="12:12" x14ac:dyDescent="0.3">
      <c r="L742" s="7" t="str">
        <f t="shared" ca="1" si="28"/>
        <v/>
      </c>
    </row>
    <row r="743" spans="12:12" x14ac:dyDescent="0.3">
      <c r="L743" s="7" t="str">
        <f t="shared" ca="1" si="28"/>
        <v/>
      </c>
    </row>
    <row r="744" spans="12:12" x14ac:dyDescent="0.3">
      <c r="L744" s="7" t="str">
        <f t="shared" ca="1" si="28"/>
        <v/>
      </c>
    </row>
    <row r="745" spans="12:12" x14ac:dyDescent="0.3">
      <c r="L745" s="7" t="str">
        <f t="shared" ca="1" si="28"/>
        <v/>
      </c>
    </row>
    <row r="746" spans="12:12" x14ac:dyDescent="0.3">
      <c r="L746" s="7" t="str">
        <f t="shared" ca="1" si="28"/>
        <v/>
      </c>
    </row>
    <row r="747" spans="12:12" x14ac:dyDescent="0.3">
      <c r="L747" s="7" t="str">
        <f t="shared" ca="1" si="28"/>
        <v/>
      </c>
    </row>
    <row r="748" spans="12:12" x14ac:dyDescent="0.3">
      <c r="L748" s="7" t="str">
        <f t="shared" ca="1" si="28"/>
        <v/>
      </c>
    </row>
    <row r="749" spans="12:12" x14ac:dyDescent="0.3">
      <c r="L749" s="7" t="str">
        <f t="shared" ca="1" si="28"/>
        <v/>
      </c>
    </row>
    <row r="750" spans="12:12" x14ac:dyDescent="0.3">
      <c r="L750" s="7" t="str">
        <f t="shared" ca="1" si="28"/>
        <v/>
      </c>
    </row>
    <row r="751" spans="12:12" x14ac:dyDescent="0.3">
      <c r="L751" s="7" t="str">
        <f t="shared" ca="1" si="28"/>
        <v/>
      </c>
    </row>
    <row r="752" spans="12:12" x14ac:dyDescent="0.3">
      <c r="L752" s="7" t="str">
        <f t="shared" ca="1" si="28"/>
        <v/>
      </c>
    </row>
    <row r="753" spans="12:12" x14ac:dyDescent="0.3">
      <c r="L753" s="7" t="str">
        <f t="shared" ca="1" si="28"/>
        <v/>
      </c>
    </row>
    <row r="754" spans="12:12" x14ac:dyDescent="0.3">
      <c r="L754" s="7" t="str">
        <f t="shared" ca="1" si="28"/>
        <v/>
      </c>
    </row>
    <row r="755" spans="12:12" x14ac:dyDescent="0.3">
      <c r="L755" s="7" t="str">
        <f t="shared" ca="1" si="28"/>
        <v/>
      </c>
    </row>
    <row r="756" spans="12:12" x14ac:dyDescent="0.3">
      <c r="L756" s="7" t="str">
        <f t="shared" ca="1" si="28"/>
        <v/>
      </c>
    </row>
    <row r="757" spans="12:12" x14ac:dyDescent="0.3">
      <c r="L757" s="7" t="str">
        <f t="shared" ca="1" si="28"/>
        <v/>
      </c>
    </row>
    <row r="758" spans="12:12" x14ac:dyDescent="0.3">
      <c r="L758" s="7" t="str">
        <f t="shared" ca="1" si="28"/>
        <v/>
      </c>
    </row>
    <row r="759" spans="12:12" x14ac:dyDescent="0.3">
      <c r="L759" s="7" t="str">
        <f t="shared" ca="1" si="28"/>
        <v/>
      </c>
    </row>
    <row r="760" spans="12:12" x14ac:dyDescent="0.3">
      <c r="L760" s="7" t="str">
        <f t="shared" ca="1" si="28"/>
        <v/>
      </c>
    </row>
    <row r="761" spans="12:12" x14ac:dyDescent="0.3">
      <c r="L761" s="7" t="str">
        <f t="shared" ca="1" si="28"/>
        <v/>
      </c>
    </row>
    <row r="762" spans="12:12" x14ac:dyDescent="0.3">
      <c r="L762" s="7" t="str">
        <f t="shared" ca="1" si="28"/>
        <v/>
      </c>
    </row>
    <row r="763" spans="12:12" x14ac:dyDescent="0.3">
      <c r="L763" s="7" t="str">
        <f t="shared" ca="1" si="28"/>
        <v/>
      </c>
    </row>
    <row r="764" spans="12:12" x14ac:dyDescent="0.3">
      <c r="L764" s="7" t="str">
        <f t="shared" ca="1" si="28"/>
        <v/>
      </c>
    </row>
    <row r="765" spans="12:12" x14ac:dyDescent="0.3">
      <c r="L765" s="7" t="str">
        <f t="shared" ca="1" si="28"/>
        <v/>
      </c>
    </row>
    <row r="766" spans="12:12" x14ac:dyDescent="0.3">
      <c r="L766" s="7" t="str">
        <f t="shared" ca="1" si="28"/>
        <v/>
      </c>
    </row>
    <row r="767" spans="12:12" x14ac:dyDescent="0.3">
      <c r="L767" s="7" t="str">
        <f t="shared" ca="1" si="28"/>
        <v/>
      </c>
    </row>
    <row r="768" spans="12:12" x14ac:dyDescent="0.3">
      <c r="L768" s="7" t="str">
        <f t="shared" ca="1" si="28"/>
        <v/>
      </c>
    </row>
    <row r="769" spans="12:12" x14ac:dyDescent="0.3">
      <c r="L769" s="7" t="str">
        <f t="shared" ca="1" si="28"/>
        <v/>
      </c>
    </row>
    <row r="770" spans="12:12" x14ac:dyDescent="0.3">
      <c r="L770" s="7" t="str">
        <f t="shared" ca="1" si="28"/>
        <v/>
      </c>
    </row>
    <row r="771" spans="12:12" x14ac:dyDescent="0.3">
      <c r="L771" s="7" t="str">
        <f t="shared" ca="1" si="28"/>
        <v/>
      </c>
    </row>
    <row r="772" spans="12:12" x14ac:dyDescent="0.3">
      <c r="L772" s="7" t="str">
        <f t="shared" ca="1" si="28"/>
        <v/>
      </c>
    </row>
    <row r="773" spans="12:12" x14ac:dyDescent="0.3">
      <c r="L773" s="7" t="str">
        <f t="shared" ref="L773:L836" ca="1" si="29">IF(I773="Completed",0,IF(H773="","",H773-TODAY()))</f>
        <v/>
      </c>
    </row>
    <row r="774" spans="12:12" x14ac:dyDescent="0.3">
      <c r="L774" s="7" t="str">
        <f t="shared" ca="1" si="29"/>
        <v/>
      </c>
    </row>
    <row r="775" spans="12:12" x14ac:dyDescent="0.3">
      <c r="L775" s="7" t="str">
        <f t="shared" ca="1" si="29"/>
        <v/>
      </c>
    </row>
    <row r="776" spans="12:12" x14ac:dyDescent="0.3">
      <c r="L776" s="7" t="str">
        <f t="shared" ca="1" si="29"/>
        <v/>
      </c>
    </row>
    <row r="777" spans="12:12" x14ac:dyDescent="0.3">
      <c r="L777" s="7" t="str">
        <f t="shared" ca="1" si="29"/>
        <v/>
      </c>
    </row>
    <row r="778" spans="12:12" x14ac:dyDescent="0.3">
      <c r="L778" s="7" t="str">
        <f t="shared" ca="1" si="29"/>
        <v/>
      </c>
    </row>
    <row r="779" spans="12:12" x14ac:dyDescent="0.3">
      <c r="L779" s="7" t="str">
        <f t="shared" ca="1" si="29"/>
        <v/>
      </c>
    </row>
    <row r="780" spans="12:12" x14ac:dyDescent="0.3">
      <c r="L780" s="7" t="str">
        <f t="shared" ca="1" si="29"/>
        <v/>
      </c>
    </row>
    <row r="781" spans="12:12" x14ac:dyDescent="0.3">
      <c r="L781" s="7" t="str">
        <f t="shared" ca="1" si="29"/>
        <v/>
      </c>
    </row>
    <row r="782" spans="12:12" x14ac:dyDescent="0.3">
      <c r="L782" s="7" t="str">
        <f t="shared" ca="1" si="29"/>
        <v/>
      </c>
    </row>
    <row r="783" spans="12:12" x14ac:dyDescent="0.3">
      <c r="L783" s="7" t="str">
        <f t="shared" ca="1" si="29"/>
        <v/>
      </c>
    </row>
    <row r="784" spans="12:12" x14ac:dyDescent="0.3">
      <c r="L784" s="7" t="str">
        <f t="shared" ca="1" si="29"/>
        <v/>
      </c>
    </row>
    <row r="785" spans="12:12" x14ac:dyDescent="0.3">
      <c r="L785" s="7" t="str">
        <f t="shared" ca="1" si="29"/>
        <v/>
      </c>
    </row>
    <row r="786" spans="12:12" x14ac:dyDescent="0.3">
      <c r="L786" s="7" t="str">
        <f t="shared" ca="1" si="29"/>
        <v/>
      </c>
    </row>
    <row r="787" spans="12:12" x14ac:dyDescent="0.3">
      <c r="L787" s="7" t="str">
        <f t="shared" ca="1" si="29"/>
        <v/>
      </c>
    </row>
    <row r="788" spans="12:12" x14ac:dyDescent="0.3">
      <c r="L788" s="7" t="str">
        <f t="shared" ca="1" si="29"/>
        <v/>
      </c>
    </row>
    <row r="789" spans="12:12" x14ac:dyDescent="0.3">
      <c r="L789" s="7" t="str">
        <f t="shared" ca="1" si="29"/>
        <v/>
      </c>
    </row>
    <row r="790" spans="12:12" x14ac:dyDescent="0.3">
      <c r="L790" s="7" t="str">
        <f t="shared" ca="1" si="29"/>
        <v/>
      </c>
    </row>
    <row r="791" spans="12:12" x14ac:dyDescent="0.3">
      <c r="L791" s="7" t="str">
        <f t="shared" ca="1" si="29"/>
        <v/>
      </c>
    </row>
    <row r="792" spans="12:12" x14ac:dyDescent="0.3">
      <c r="L792" s="7" t="str">
        <f t="shared" ca="1" si="29"/>
        <v/>
      </c>
    </row>
    <row r="793" spans="12:12" x14ac:dyDescent="0.3">
      <c r="L793" s="7" t="str">
        <f t="shared" ca="1" si="29"/>
        <v/>
      </c>
    </row>
    <row r="794" spans="12:12" x14ac:dyDescent="0.3">
      <c r="L794" s="7" t="str">
        <f t="shared" ca="1" si="29"/>
        <v/>
      </c>
    </row>
    <row r="795" spans="12:12" x14ac:dyDescent="0.3">
      <c r="L795" s="7" t="str">
        <f t="shared" ca="1" si="29"/>
        <v/>
      </c>
    </row>
    <row r="796" spans="12:12" x14ac:dyDescent="0.3">
      <c r="L796" s="7" t="str">
        <f t="shared" ca="1" si="29"/>
        <v/>
      </c>
    </row>
    <row r="797" spans="12:12" x14ac:dyDescent="0.3">
      <c r="L797" s="7" t="str">
        <f t="shared" ca="1" si="29"/>
        <v/>
      </c>
    </row>
    <row r="798" spans="12:12" x14ac:dyDescent="0.3">
      <c r="L798" s="7" t="str">
        <f t="shared" ca="1" si="29"/>
        <v/>
      </c>
    </row>
    <row r="799" spans="12:12" x14ac:dyDescent="0.3">
      <c r="L799" s="7" t="str">
        <f t="shared" ca="1" si="29"/>
        <v/>
      </c>
    </row>
    <row r="800" spans="12:12" x14ac:dyDescent="0.3">
      <c r="L800" s="7" t="str">
        <f t="shared" ca="1" si="29"/>
        <v/>
      </c>
    </row>
    <row r="801" spans="12:12" x14ac:dyDescent="0.3">
      <c r="L801" s="7" t="str">
        <f t="shared" ca="1" si="29"/>
        <v/>
      </c>
    </row>
    <row r="802" spans="12:12" x14ac:dyDescent="0.3">
      <c r="L802" s="7" t="str">
        <f t="shared" ca="1" si="29"/>
        <v/>
      </c>
    </row>
    <row r="803" spans="12:12" x14ac:dyDescent="0.3">
      <c r="L803" s="7" t="str">
        <f t="shared" ca="1" si="29"/>
        <v/>
      </c>
    </row>
    <row r="804" spans="12:12" x14ac:dyDescent="0.3">
      <c r="L804" s="7" t="str">
        <f t="shared" ca="1" si="29"/>
        <v/>
      </c>
    </row>
    <row r="805" spans="12:12" x14ac:dyDescent="0.3">
      <c r="L805" s="7" t="str">
        <f t="shared" ca="1" si="29"/>
        <v/>
      </c>
    </row>
    <row r="806" spans="12:12" x14ac:dyDescent="0.3">
      <c r="L806" s="7" t="str">
        <f t="shared" ca="1" si="29"/>
        <v/>
      </c>
    </row>
    <row r="807" spans="12:12" x14ac:dyDescent="0.3">
      <c r="L807" s="7" t="str">
        <f t="shared" ca="1" si="29"/>
        <v/>
      </c>
    </row>
    <row r="808" spans="12:12" x14ac:dyDescent="0.3">
      <c r="L808" s="7" t="str">
        <f t="shared" ca="1" si="29"/>
        <v/>
      </c>
    </row>
    <row r="809" spans="12:12" x14ac:dyDescent="0.3">
      <c r="L809" s="7" t="str">
        <f t="shared" ca="1" si="29"/>
        <v/>
      </c>
    </row>
    <row r="810" spans="12:12" x14ac:dyDescent="0.3">
      <c r="L810" s="7" t="str">
        <f t="shared" ca="1" si="29"/>
        <v/>
      </c>
    </row>
    <row r="811" spans="12:12" x14ac:dyDescent="0.3">
      <c r="L811" s="7" t="str">
        <f t="shared" ca="1" si="29"/>
        <v/>
      </c>
    </row>
    <row r="812" spans="12:12" x14ac:dyDescent="0.3">
      <c r="L812" s="7" t="str">
        <f t="shared" ca="1" si="29"/>
        <v/>
      </c>
    </row>
    <row r="813" spans="12:12" x14ac:dyDescent="0.3">
      <c r="L813" s="7" t="str">
        <f t="shared" ca="1" si="29"/>
        <v/>
      </c>
    </row>
    <row r="814" spans="12:12" x14ac:dyDescent="0.3">
      <c r="L814" s="7" t="str">
        <f t="shared" ca="1" si="29"/>
        <v/>
      </c>
    </row>
    <row r="815" spans="12:12" x14ac:dyDescent="0.3">
      <c r="L815" s="7" t="str">
        <f t="shared" ca="1" si="29"/>
        <v/>
      </c>
    </row>
    <row r="816" spans="12:12" x14ac:dyDescent="0.3">
      <c r="L816" s="7" t="str">
        <f t="shared" ca="1" si="29"/>
        <v/>
      </c>
    </row>
    <row r="817" spans="12:12" x14ac:dyDescent="0.3">
      <c r="L817" s="7" t="str">
        <f t="shared" ca="1" si="29"/>
        <v/>
      </c>
    </row>
    <row r="818" spans="12:12" x14ac:dyDescent="0.3">
      <c r="L818" s="7" t="str">
        <f t="shared" ca="1" si="29"/>
        <v/>
      </c>
    </row>
    <row r="819" spans="12:12" x14ac:dyDescent="0.3">
      <c r="L819" s="7" t="str">
        <f t="shared" ca="1" si="29"/>
        <v/>
      </c>
    </row>
    <row r="820" spans="12:12" x14ac:dyDescent="0.3">
      <c r="L820" s="7" t="str">
        <f t="shared" ca="1" si="29"/>
        <v/>
      </c>
    </row>
    <row r="821" spans="12:12" x14ac:dyDescent="0.3">
      <c r="L821" s="7" t="str">
        <f t="shared" ca="1" si="29"/>
        <v/>
      </c>
    </row>
    <row r="822" spans="12:12" x14ac:dyDescent="0.3">
      <c r="L822" s="7" t="str">
        <f t="shared" ca="1" si="29"/>
        <v/>
      </c>
    </row>
    <row r="823" spans="12:12" x14ac:dyDescent="0.3">
      <c r="L823" s="7" t="str">
        <f t="shared" ca="1" si="29"/>
        <v/>
      </c>
    </row>
    <row r="824" spans="12:12" x14ac:dyDescent="0.3">
      <c r="L824" s="7" t="str">
        <f t="shared" ca="1" si="29"/>
        <v/>
      </c>
    </row>
    <row r="825" spans="12:12" x14ac:dyDescent="0.3">
      <c r="L825" s="7" t="str">
        <f t="shared" ca="1" si="29"/>
        <v/>
      </c>
    </row>
    <row r="826" spans="12:12" x14ac:dyDescent="0.3">
      <c r="L826" s="7" t="str">
        <f t="shared" ca="1" si="29"/>
        <v/>
      </c>
    </row>
    <row r="827" spans="12:12" x14ac:dyDescent="0.3">
      <c r="L827" s="7" t="str">
        <f t="shared" ca="1" si="29"/>
        <v/>
      </c>
    </row>
    <row r="828" spans="12:12" x14ac:dyDescent="0.3">
      <c r="L828" s="7" t="str">
        <f t="shared" ca="1" si="29"/>
        <v/>
      </c>
    </row>
    <row r="829" spans="12:12" x14ac:dyDescent="0.3">
      <c r="L829" s="7" t="str">
        <f t="shared" ca="1" si="29"/>
        <v/>
      </c>
    </row>
    <row r="830" spans="12:12" x14ac:dyDescent="0.3">
      <c r="L830" s="7" t="str">
        <f t="shared" ca="1" si="29"/>
        <v/>
      </c>
    </row>
    <row r="831" spans="12:12" x14ac:dyDescent="0.3">
      <c r="L831" s="7" t="str">
        <f t="shared" ca="1" si="29"/>
        <v/>
      </c>
    </row>
    <row r="832" spans="12:12" x14ac:dyDescent="0.3">
      <c r="L832" s="7" t="str">
        <f t="shared" ca="1" si="29"/>
        <v/>
      </c>
    </row>
    <row r="833" spans="12:12" x14ac:dyDescent="0.3">
      <c r="L833" s="7" t="str">
        <f t="shared" ca="1" si="29"/>
        <v/>
      </c>
    </row>
    <row r="834" spans="12:12" x14ac:dyDescent="0.3">
      <c r="L834" s="7" t="str">
        <f t="shared" ca="1" si="29"/>
        <v/>
      </c>
    </row>
    <row r="835" spans="12:12" x14ac:dyDescent="0.3">
      <c r="L835" s="7" t="str">
        <f t="shared" ca="1" si="29"/>
        <v/>
      </c>
    </row>
    <row r="836" spans="12:12" x14ac:dyDescent="0.3">
      <c r="L836" s="7" t="str">
        <f t="shared" ca="1" si="29"/>
        <v/>
      </c>
    </row>
    <row r="837" spans="12:12" x14ac:dyDescent="0.3">
      <c r="L837" s="7" t="str">
        <f t="shared" ref="L837:L900" ca="1" si="30">IF(I837="Completed",0,IF(H837="","",H837-TODAY()))</f>
        <v/>
      </c>
    </row>
    <row r="838" spans="12:12" x14ac:dyDescent="0.3">
      <c r="L838" s="7" t="str">
        <f t="shared" ca="1" si="30"/>
        <v/>
      </c>
    </row>
    <row r="839" spans="12:12" x14ac:dyDescent="0.3">
      <c r="L839" s="7" t="str">
        <f t="shared" ca="1" si="30"/>
        <v/>
      </c>
    </row>
    <row r="840" spans="12:12" x14ac:dyDescent="0.3">
      <c r="L840" s="7" t="str">
        <f t="shared" ca="1" si="30"/>
        <v/>
      </c>
    </row>
    <row r="841" spans="12:12" x14ac:dyDescent="0.3">
      <c r="L841" s="7" t="str">
        <f t="shared" ca="1" si="30"/>
        <v/>
      </c>
    </row>
    <row r="842" spans="12:12" x14ac:dyDescent="0.3">
      <c r="L842" s="7" t="str">
        <f t="shared" ca="1" si="30"/>
        <v/>
      </c>
    </row>
    <row r="843" spans="12:12" x14ac:dyDescent="0.3">
      <c r="L843" s="7" t="str">
        <f t="shared" ca="1" si="30"/>
        <v/>
      </c>
    </row>
    <row r="844" spans="12:12" x14ac:dyDescent="0.3">
      <c r="L844" s="7" t="str">
        <f t="shared" ca="1" si="30"/>
        <v/>
      </c>
    </row>
    <row r="845" spans="12:12" x14ac:dyDescent="0.3">
      <c r="L845" s="7" t="str">
        <f t="shared" ca="1" si="30"/>
        <v/>
      </c>
    </row>
    <row r="846" spans="12:12" x14ac:dyDescent="0.3">
      <c r="L846" s="7" t="str">
        <f t="shared" ca="1" si="30"/>
        <v/>
      </c>
    </row>
    <row r="847" spans="12:12" x14ac:dyDescent="0.3">
      <c r="L847" s="7" t="str">
        <f t="shared" ca="1" si="30"/>
        <v/>
      </c>
    </row>
    <row r="848" spans="12:12" x14ac:dyDescent="0.3">
      <c r="L848" s="7" t="str">
        <f t="shared" ca="1" si="30"/>
        <v/>
      </c>
    </row>
    <row r="849" spans="12:12" x14ac:dyDescent="0.3">
      <c r="L849" s="7" t="str">
        <f t="shared" ca="1" si="30"/>
        <v/>
      </c>
    </row>
    <row r="850" spans="12:12" x14ac:dyDescent="0.3">
      <c r="L850" s="7" t="str">
        <f t="shared" ca="1" si="30"/>
        <v/>
      </c>
    </row>
    <row r="851" spans="12:12" x14ac:dyDescent="0.3">
      <c r="L851" s="7" t="str">
        <f t="shared" ca="1" si="30"/>
        <v/>
      </c>
    </row>
    <row r="852" spans="12:12" x14ac:dyDescent="0.3">
      <c r="L852" s="7" t="str">
        <f t="shared" ca="1" si="30"/>
        <v/>
      </c>
    </row>
    <row r="853" spans="12:12" x14ac:dyDescent="0.3">
      <c r="L853" s="7" t="str">
        <f t="shared" ca="1" si="30"/>
        <v/>
      </c>
    </row>
    <row r="854" spans="12:12" x14ac:dyDescent="0.3">
      <c r="L854" s="7" t="str">
        <f t="shared" ca="1" si="30"/>
        <v/>
      </c>
    </row>
    <row r="855" spans="12:12" x14ac:dyDescent="0.3">
      <c r="L855" s="7" t="str">
        <f t="shared" ca="1" si="30"/>
        <v/>
      </c>
    </row>
    <row r="856" spans="12:12" x14ac:dyDescent="0.3">
      <c r="L856" s="7" t="str">
        <f t="shared" ca="1" si="30"/>
        <v/>
      </c>
    </row>
    <row r="857" spans="12:12" x14ac:dyDescent="0.3">
      <c r="L857" s="7" t="str">
        <f t="shared" ca="1" si="30"/>
        <v/>
      </c>
    </row>
    <row r="858" spans="12:12" x14ac:dyDescent="0.3">
      <c r="L858" s="7" t="str">
        <f t="shared" ca="1" si="30"/>
        <v/>
      </c>
    </row>
    <row r="859" spans="12:12" x14ac:dyDescent="0.3">
      <c r="L859" s="7" t="str">
        <f t="shared" ca="1" si="30"/>
        <v/>
      </c>
    </row>
    <row r="860" spans="12:12" x14ac:dyDescent="0.3">
      <c r="L860" s="7" t="str">
        <f t="shared" ca="1" si="30"/>
        <v/>
      </c>
    </row>
    <row r="861" spans="12:12" x14ac:dyDescent="0.3">
      <c r="L861" s="7" t="str">
        <f t="shared" ca="1" si="30"/>
        <v/>
      </c>
    </row>
    <row r="862" spans="12:12" x14ac:dyDescent="0.3">
      <c r="L862" s="7" t="str">
        <f t="shared" ca="1" si="30"/>
        <v/>
      </c>
    </row>
    <row r="863" spans="12:12" x14ac:dyDescent="0.3">
      <c r="L863" s="7" t="str">
        <f t="shared" ca="1" si="30"/>
        <v/>
      </c>
    </row>
    <row r="864" spans="12:12" x14ac:dyDescent="0.3">
      <c r="L864" s="7" t="str">
        <f t="shared" ca="1" si="30"/>
        <v/>
      </c>
    </row>
    <row r="865" spans="12:12" x14ac:dyDescent="0.3">
      <c r="L865" s="7" t="str">
        <f t="shared" ca="1" si="30"/>
        <v/>
      </c>
    </row>
    <row r="866" spans="12:12" x14ac:dyDescent="0.3">
      <c r="L866" s="7" t="str">
        <f t="shared" ca="1" si="30"/>
        <v/>
      </c>
    </row>
    <row r="867" spans="12:12" x14ac:dyDescent="0.3">
      <c r="L867" s="7" t="str">
        <f t="shared" ca="1" si="30"/>
        <v/>
      </c>
    </row>
    <row r="868" spans="12:12" x14ac:dyDescent="0.3">
      <c r="L868" s="7" t="str">
        <f t="shared" ca="1" si="30"/>
        <v/>
      </c>
    </row>
    <row r="869" spans="12:12" x14ac:dyDescent="0.3">
      <c r="L869" s="7" t="str">
        <f t="shared" ca="1" si="30"/>
        <v/>
      </c>
    </row>
    <row r="870" spans="12:12" x14ac:dyDescent="0.3">
      <c r="L870" s="7" t="str">
        <f t="shared" ca="1" si="30"/>
        <v/>
      </c>
    </row>
    <row r="871" spans="12:12" x14ac:dyDescent="0.3">
      <c r="L871" s="7" t="str">
        <f t="shared" ca="1" si="30"/>
        <v/>
      </c>
    </row>
    <row r="872" spans="12:12" x14ac:dyDescent="0.3">
      <c r="L872" s="7" t="str">
        <f t="shared" ca="1" si="30"/>
        <v/>
      </c>
    </row>
    <row r="873" spans="12:12" x14ac:dyDescent="0.3">
      <c r="L873" s="7" t="str">
        <f t="shared" ca="1" si="30"/>
        <v/>
      </c>
    </row>
    <row r="874" spans="12:12" x14ac:dyDescent="0.3">
      <c r="L874" s="7" t="str">
        <f t="shared" ca="1" si="30"/>
        <v/>
      </c>
    </row>
    <row r="875" spans="12:12" x14ac:dyDescent="0.3">
      <c r="L875" s="7" t="str">
        <f t="shared" ca="1" si="30"/>
        <v/>
      </c>
    </row>
    <row r="876" spans="12:12" x14ac:dyDescent="0.3">
      <c r="L876" s="7" t="str">
        <f t="shared" ca="1" si="30"/>
        <v/>
      </c>
    </row>
    <row r="877" spans="12:12" x14ac:dyDescent="0.3">
      <c r="L877" s="7" t="str">
        <f t="shared" ca="1" si="30"/>
        <v/>
      </c>
    </row>
    <row r="878" spans="12:12" x14ac:dyDescent="0.3">
      <c r="L878" s="7" t="str">
        <f t="shared" ca="1" si="30"/>
        <v/>
      </c>
    </row>
    <row r="879" spans="12:12" x14ac:dyDescent="0.3">
      <c r="L879" s="7" t="str">
        <f t="shared" ca="1" si="30"/>
        <v/>
      </c>
    </row>
    <row r="880" spans="12:12" x14ac:dyDescent="0.3">
      <c r="L880" s="7" t="str">
        <f t="shared" ca="1" si="30"/>
        <v/>
      </c>
    </row>
    <row r="881" spans="12:12" x14ac:dyDescent="0.3">
      <c r="L881" s="7" t="str">
        <f t="shared" ca="1" si="30"/>
        <v/>
      </c>
    </row>
    <row r="882" spans="12:12" x14ac:dyDescent="0.3">
      <c r="L882" s="7" t="str">
        <f t="shared" ca="1" si="30"/>
        <v/>
      </c>
    </row>
    <row r="883" spans="12:12" x14ac:dyDescent="0.3">
      <c r="L883" s="7" t="str">
        <f t="shared" ca="1" si="30"/>
        <v/>
      </c>
    </row>
    <row r="884" spans="12:12" x14ac:dyDescent="0.3">
      <c r="L884" s="7" t="str">
        <f t="shared" ca="1" si="30"/>
        <v/>
      </c>
    </row>
    <row r="885" spans="12:12" x14ac:dyDescent="0.3">
      <c r="L885" s="7" t="str">
        <f t="shared" ca="1" si="30"/>
        <v/>
      </c>
    </row>
    <row r="886" spans="12:12" x14ac:dyDescent="0.3">
      <c r="L886" s="7" t="str">
        <f t="shared" ca="1" si="30"/>
        <v/>
      </c>
    </row>
    <row r="887" spans="12:12" x14ac:dyDescent="0.3">
      <c r="L887" s="7" t="str">
        <f t="shared" ca="1" si="30"/>
        <v/>
      </c>
    </row>
    <row r="888" spans="12:12" x14ac:dyDescent="0.3">
      <c r="L888" s="7" t="str">
        <f t="shared" ca="1" si="30"/>
        <v/>
      </c>
    </row>
    <row r="889" spans="12:12" x14ac:dyDescent="0.3">
      <c r="L889" s="7" t="str">
        <f t="shared" ca="1" si="30"/>
        <v/>
      </c>
    </row>
    <row r="890" spans="12:12" x14ac:dyDescent="0.3">
      <c r="L890" s="7" t="str">
        <f t="shared" ca="1" si="30"/>
        <v/>
      </c>
    </row>
    <row r="891" spans="12:12" x14ac:dyDescent="0.3">
      <c r="L891" s="7" t="str">
        <f t="shared" ca="1" si="30"/>
        <v/>
      </c>
    </row>
    <row r="892" spans="12:12" x14ac:dyDescent="0.3">
      <c r="L892" s="7" t="str">
        <f t="shared" ca="1" si="30"/>
        <v/>
      </c>
    </row>
    <row r="893" spans="12:12" x14ac:dyDescent="0.3">
      <c r="L893" s="7" t="str">
        <f t="shared" ca="1" si="30"/>
        <v/>
      </c>
    </row>
    <row r="894" spans="12:12" x14ac:dyDescent="0.3">
      <c r="L894" s="7" t="str">
        <f t="shared" ca="1" si="30"/>
        <v/>
      </c>
    </row>
    <row r="895" spans="12:12" x14ac:dyDescent="0.3">
      <c r="L895" s="7" t="str">
        <f t="shared" ca="1" si="30"/>
        <v/>
      </c>
    </row>
    <row r="896" spans="12:12" x14ac:dyDescent="0.3">
      <c r="L896" s="7" t="str">
        <f t="shared" ca="1" si="30"/>
        <v/>
      </c>
    </row>
    <row r="897" spans="12:12" x14ac:dyDescent="0.3">
      <c r="L897" s="7" t="str">
        <f t="shared" ca="1" si="30"/>
        <v/>
      </c>
    </row>
    <row r="898" spans="12:12" x14ac:dyDescent="0.3">
      <c r="L898" s="7" t="str">
        <f t="shared" ca="1" si="30"/>
        <v/>
      </c>
    </row>
    <row r="899" spans="12:12" x14ac:dyDescent="0.3">
      <c r="L899" s="7" t="str">
        <f t="shared" ca="1" si="30"/>
        <v/>
      </c>
    </row>
    <row r="900" spans="12:12" x14ac:dyDescent="0.3">
      <c r="L900" s="7" t="str">
        <f t="shared" ca="1" si="30"/>
        <v/>
      </c>
    </row>
    <row r="901" spans="12:12" x14ac:dyDescent="0.3">
      <c r="L901" s="7" t="str">
        <f t="shared" ref="L901:L964" ca="1" si="31">IF(I901="Completed",0,IF(H901="","",H901-TODAY()))</f>
        <v/>
      </c>
    </row>
    <row r="902" spans="12:12" x14ac:dyDescent="0.3">
      <c r="L902" s="7" t="str">
        <f t="shared" ca="1" si="31"/>
        <v/>
      </c>
    </row>
    <row r="903" spans="12:12" x14ac:dyDescent="0.3">
      <c r="L903" s="7" t="str">
        <f t="shared" ca="1" si="31"/>
        <v/>
      </c>
    </row>
    <row r="904" spans="12:12" x14ac:dyDescent="0.3">
      <c r="L904" s="7" t="str">
        <f t="shared" ca="1" si="31"/>
        <v/>
      </c>
    </row>
    <row r="905" spans="12:12" x14ac:dyDescent="0.3">
      <c r="L905" s="7" t="str">
        <f t="shared" ca="1" si="31"/>
        <v/>
      </c>
    </row>
    <row r="906" spans="12:12" x14ac:dyDescent="0.3">
      <c r="L906" s="7" t="str">
        <f t="shared" ca="1" si="31"/>
        <v/>
      </c>
    </row>
    <row r="907" spans="12:12" x14ac:dyDescent="0.3">
      <c r="L907" s="7" t="str">
        <f t="shared" ca="1" si="31"/>
        <v/>
      </c>
    </row>
    <row r="908" spans="12:12" x14ac:dyDescent="0.3">
      <c r="L908" s="7" t="str">
        <f t="shared" ca="1" si="31"/>
        <v/>
      </c>
    </row>
    <row r="909" spans="12:12" x14ac:dyDescent="0.3">
      <c r="L909" s="7" t="str">
        <f t="shared" ca="1" si="31"/>
        <v/>
      </c>
    </row>
    <row r="910" spans="12:12" x14ac:dyDescent="0.3">
      <c r="L910" s="7" t="str">
        <f t="shared" ca="1" si="31"/>
        <v/>
      </c>
    </row>
    <row r="911" spans="12:12" x14ac:dyDescent="0.3">
      <c r="L911" s="7" t="str">
        <f t="shared" ca="1" si="31"/>
        <v/>
      </c>
    </row>
    <row r="912" spans="12:12" x14ac:dyDescent="0.3">
      <c r="L912" s="7" t="str">
        <f t="shared" ca="1" si="31"/>
        <v/>
      </c>
    </row>
    <row r="913" spans="12:12" x14ac:dyDescent="0.3">
      <c r="L913" s="7" t="str">
        <f t="shared" ca="1" si="31"/>
        <v/>
      </c>
    </row>
    <row r="914" spans="12:12" x14ac:dyDescent="0.3">
      <c r="L914" s="7" t="str">
        <f t="shared" ca="1" si="31"/>
        <v/>
      </c>
    </row>
    <row r="915" spans="12:12" x14ac:dyDescent="0.3">
      <c r="L915" s="7" t="str">
        <f t="shared" ca="1" si="31"/>
        <v/>
      </c>
    </row>
    <row r="916" spans="12:12" x14ac:dyDescent="0.3">
      <c r="L916" s="7" t="str">
        <f t="shared" ca="1" si="31"/>
        <v/>
      </c>
    </row>
    <row r="917" spans="12:12" x14ac:dyDescent="0.3">
      <c r="L917" s="7" t="str">
        <f t="shared" ca="1" si="31"/>
        <v/>
      </c>
    </row>
    <row r="918" spans="12:12" x14ac:dyDescent="0.3">
      <c r="L918" s="7" t="str">
        <f t="shared" ca="1" si="31"/>
        <v/>
      </c>
    </row>
    <row r="919" spans="12:12" x14ac:dyDescent="0.3">
      <c r="L919" s="7" t="str">
        <f t="shared" ca="1" si="31"/>
        <v/>
      </c>
    </row>
    <row r="920" spans="12:12" x14ac:dyDescent="0.3">
      <c r="L920" s="7" t="str">
        <f t="shared" ca="1" si="31"/>
        <v/>
      </c>
    </row>
    <row r="921" spans="12:12" x14ac:dyDescent="0.3">
      <c r="L921" s="7" t="str">
        <f t="shared" ca="1" si="31"/>
        <v/>
      </c>
    </row>
    <row r="922" spans="12:12" x14ac:dyDescent="0.3">
      <c r="L922" s="7" t="str">
        <f t="shared" ca="1" si="31"/>
        <v/>
      </c>
    </row>
    <row r="923" spans="12:12" x14ac:dyDescent="0.3">
      <c r="L923" s="7" t="str">
        <f t="shared" ca="1" si="31"/>
        <v/>
      </c>
    </row>
    <row r="924" spans="12:12" x14ac:dyDescent="0.3">
      <c r="L924" s="7" t="str">
        <f t="shared" ca="1" si="31"/>
        <v/>
      </c>
    </row>
    <row r="925" spans="12:12" x14ac:dyDescent="0.3">
      <c r="L925" s="7" t="str">
        <f t="shared" ca="1" si="31"/>
        <v/>
      </c>
    </row>
    <row r="926" spans="12:12" x14ac:dyDescent="0.3">
      <c r="L926" s="7" t="str">
        <f t="shared" ca="1" si="31"/>
        <v/>
      </c>
    </row>
    <row r="927" spans="12:12" x14ac:dyDescent="0.3">
      <c r="L927" s="7" t="str">
        <f t="shared" ca="1" si="31"/>
        <v/>
      </c>
    </row>
    <row r="928" spans="12:12" x14ac:dyDescent="0.3">
      <c r="L928" s="7" t="str">
        <f t="shared" ca="1" si="31"/>
        <v/>
      </c>
    </row>
    <row r="929" spans="12:12" x14ac:dyDescent="0.3">
      <c r="L929" s="7" t="str">
        <f t="shared" ca="1" si="31"/>
        <v/>
      </c>
    </row>
    <row r="930" spans="12:12" x14ac:dyDescent="0.3">
      <c r="L930" s="7" t="str">
        <f t="shared" ca="1" si="31"/>
        <v/>
      </c>
    </row>
    <row r="931" spans="12:12" x14ac:dyDescent="0.3">
      <c r="L931" s="7" t="str">
        <f t="shared" ca="1" si="31"/>
        <v/>
      </c>
    </row>
    <row r="932" spans="12:12" x14ac:dyDescent="0.3">
      <c r="L932" s="7" t="str">
        <f t="shared" ca="1" si="31"/>
        <v/>
      </c>
    </row>
    <row r="933" spans="12:12" x14ac:dyDescent="0.3">
      <c r="L933" s="7" t="str">
        <f t="shared" ca="1" si="31"/>
        <v/>
      </c>
    </row>
    <row r="934" spans="12:12" x14ac:dyDescent="0.3">
      <c r="L934" s="7" t="str">
        <f t="shared" ca="1" si="31"/>
        <v/>
      </c>
    </row>
    <row r="935" spans="12:12" x14ac:dyDescent="0.3">
      <c r="L935" s="7" t="str">
        <f t="shared" ca="1" si="31"/>
        <v/>
      </c>
    </row>
    <row r="936" spans="12:12" x14ac:dyDescent="0.3">
      <c r="L936" s="7" t="str">
        <f t="shared" ca="1" si="31"/>
        <v/>
      </c>
    </row>
    <row r="937" spans="12:12" x14ac:dyDescent="0.3">
      <c r="L937" s="7" t="str">
        <f t="shared" ca="1" si="31"/>
        <v/>
      </c>
    </row>
    <row r="938" spans="12:12" x14ac:dyDescent="0.3">
      <c r="L938" s="7" t="str">
        <f t="shared" ca="1" si="31"/>
        <v/>
      </c>
    </row>
    <row r="939" spans="12:12" x14ac:dyDescent="0.3">
      <c r="L939" s="7" t="str">
        <f t="shared" ca="1" si="31"/>
        <v/>
      </c>
    </row>
    <row r="940" spans="12:12" x14ac:dyDescent="0.3">
      <c r="L940" s="7" t="str">
        <f t="shared" ca="1" si="31"/>
        <v/>
      </c>
    </row>
    <row r="941" spans="12:12" x14ac:dyDescent="0.3">
      <c r="L941" s="7" t="str">
        <f t="shared" ca="1" si="31"/>
        <v/>
      </c>
    </row>
    <row r="942" spans="12:12" x14ac:dyDescent="0.3">
      <c r="L942" s="7" t="str">
        <f t="shared" ca="1" si="31"/>
        <v/>
      </c>
    </row>
    <row r="943" spans="12:12" x14ac:dyDescent="0.3">
      <c r="L943" s="7" t="str">
        <f t="shared" ca="1" si="31"/>
        <v/>
      </c>
    </row>
    <row r="944" spans="12:12" x14ac:dyDescent="0.3">
      <c r="L944" s="7" t="str">
        <f t="shared" ca="1" si="31"/>
        <v/>
      </c>
    </row>
    <row r="945" spans="12:12" x14ac:dyDescent="0.3">
      <c r="L945" s="7" t="str">
        <f t="shared" ca="1" si="31"/>
        <v/>
      </c>
    </row>
    <row r="946" spans="12:12" x14ac:dyDescent="0.3">
      <c r="L946" s="7" t="str">
        <f t="shared" ca="1" si="31"/>
        <v/>
      </c>
    </row>
    <row r="947" spans="12:12" x14ac:dyDescent="0.3">
      <c r="L947" s="7" t="str">
        <f t="shared" ca="1" si="31"/>
        <v/>
      </c>
    </row>
    <row r="948" spans="12:12" x14ac:dyDescent="0.3">
      <c r="L948" s="7" t="str">
        <f t="shared" ca="1" si="31"/>
        <v/>
      </c>
    </row>
    <row r="949" spans="12:12" x14ac:dyDescent="0.3">
      <c r="L949" s="7" t="str">
        <f t="shared" ca="1" si="31"/>
        <v/>
      </c>
    </row>
    <row r="950" spans="12:12" x14ac:dyDescent="0.3">
      <c r="L950" s="7" t="str">
        <f t="shared" ca="1" si="31"/>
        <v/>
      </c>
    </row>
    <row r="951" spans="12:12" x14ac:dyDescent="0.3">
      <c r="L951" s="7" t="str">
        <f t="shared" ca="1" si="31"/>
        <v/>
      </c>
    </row>
    <row r="952" spans="12:12" x14ac:dyDescent="0.3">
      <c r="L952" s="7" t="str">
        <f t="shared" ca="1" si="31"/>
        <v/>
      </c>
    </row>
    <row r="953" spans="12:12" x14ac:dyDescent="0.3">
      <c r="L953" s="7" t="str">
        <f t="shared" ca="1" si="31"/>
        <v/>
      </c>
    </row>
    <row r="954" spans="12:12" x14ac:dyDescent="0.3">
      <c r="L954" s="7" t="str">
        <f t="shared" ca="1" si="31"/>
        <v/>
      </c>
    </row>
    <row r="955" spans="12:12" x14ac:dyDescent="0.3">
      <c r="L955" s="7" t="str">
        <f t="shared" ca="1" si="31"/>
        <v/>
      </c>
    </row>
    <row r="956" spans="12:12" x14ac:dyDescent="0.3">
      <c r="L956" s="7" t="str">
        <f t="shared" ca="1" si="31"/>
        <v/>
      </c>
    </row>
    <row r="957" spans="12:12" x14ac:dyDescent="0.3">
      <c r="L957" s="7" t="str">
        <f t="shared" ca="1" si="31"/>
        <v/>
      </c>
    </row>
    <row r="958" spans="12:12" x14ac:dyDescent="0.3">
      <c r="L958" s="7" t="str">
        <f t="shared" ca="1" si="31"/>
        <v/>
      </c>
    </row>
    <row r="959" spans="12:12" x14ac:dyDescent="0.3">
      <c r="L959" s="7" t="str">
        <f t="shared" ca="1" si="31"/>
        <v/>
      </c>
    </row>
    <row r="960" spans="12:12" x14ac:dyDescent="0.3">
      <c r="L960" s="7" t="str">
        <f t="shared" ca="1" si="31"/>
        <v/>
      </c>
    </row>
    <row r="961" spans="12:12" x14ac:dyDescent="0.3">
      <c r="L961" s="7" t="str">
        <f t="shared" ca="1" si="31"/>
        <v/>
      </c>
    </row>
    <row r="962" spans="12:12" x14ac:dyDescent="0.3">
      <c r="L962" s="7" t="str">
        <f t="shared" ca="1" si="31"/>
        <v/>
      </c>
    </row>
    <row r="963" spans="12:12" x14ac:dyDescent="0.3">
      <c r="L963" s="7" t="str">
        <f t="shared" ca="1" si="31"/>
        <v/>
      </c>
    </row>
    <row r="964" spans="12:12" x14ac:dyDescent="0.3">
      <c r="L964" s="7" t="str">
        <f t="shared" ca="1" si="31"/>
        <v/>
      </c>
    </row>
    <row r="965" spans="12:12" x14ac:dyDescent="0.3">
      <c r="L965" s="7" t="str">
        <f t="shared" ref="L965:L1028" ca="1" si="32">IF(I965="Completed",0,IF(H965="","",H965-TODAY()))</f>
        <v/>
      </c>
    </row>
    <row r="966" spans="12:12" x14ac:dyDescent="0.3">
      <c r="L966" s="7" t="str">
        <f t="shared" ca="1" si="32"/>
        <v/>
      </c>
    </row>
    <row r="967" spans="12:12" x14ac:dyDescent="0.3">
      <c r="L967" s="7" t="str">
        <f t="shared" ca="1" si="32"/>
        <v/>
      </c>
    </row>
    <row r="968" spans="12:12" x14ac:dyDescent="0.3">
      <c r="L968" s="7" t="str">
        <f t="shared" ca="1" si="32"/>
        <v/>
      </c>
    </row>
    <row r="969" spans="12:12" x14ac:dyDescent="0.3">
      <c r="L969" s="7" t="str">
        <f t="shared" ca="1" si="32"/>
        <v/>
      </c>
    </row>
    <row r="970" spans="12:12" x14ac:dyDescent="0.3">
      <c r="L970" s="7" t="str">
        <f t="shared" ca="1" si="32"/>
        <v/>
      </c>
    </row>
    <row r="971" spans="12:12" x14ac:dyDescent="0.3">
      <c r="L971" s="7" t="str">
        <f t="shared" ca="1" si="32"/>
        <v/>
      </c>
    </row>
    <row r="972" spans="12:12" x14ac:dyDescent="0.3">
      <c r="L972" s="7" t="str">
        <f t="shared" ca="1" si="32"/>
        <v/>
      </c>
    </row>
    <row r="973" spans="12:12" x14ac:dyDescent="0.3">
      <c r="L973" s="7" t="str">
        <f t="shared" ca="1" si="32"/>
        <v/>
      </c>
    </row>
    <row r="974" spans="12:12" x14ac:dyDescent="0.3">
      <c r="L974" s="7" t="str">
        <f t="shared" ca="1" si="32"/>
        <v/>
      </c>
    </row>
    <row r="975" spans="12:12" x14ac:dyDescent="0.3">
      <c r="L975" s="7" t="str">
        <f t="shared" ca="1" si="32"/>
        <v/>
      </c>
    </row>
    <row r="976" spans="12:12" x14ac:dyDescent="0.3">
      <c r="L976" s="7" t="str">
        <f t="shared" ca="1" si="32"/>
        <v/>
      </c>
    </row>
    <row r="977" spans="12:12" x14ac:dyDescent="0.3">
      <c r="L977" s="7" t="str">
        <f t="shared" ca="1" si="32"/>
        <v/>
      </c>
    </row>
    <row r="978" spans="12:12" x14ac:dyDescent="0.3">
      <c r="L978" s="7" t="str">
        <f t="shared" ca="1" si="32"/>
        <v/>
      </c>
    </row>
    <row r="979" spans="12:12" x14ac:dyDescent="0.3">
      <c r="L979" s="7" t="str">
        <f t="shared" ca="1" si="32"/>
        <v/>
      </c>
    </row>
    <row r="980" spans="12:12" x14ac:dyDescent="0.3">
      <c r="L980" s="7" t="str">
        <f t="shared" ca="1" si="32"/>
        <v/>
      </c>
    </row>
    <row r="981" spans="12:12" x14ac:dyDescent="0.3">
      <c r="L981" s="7" t="str">
        <f t="shared" ca="1" si="32"/>
        <v/>
      </c>
    </row>
    <row r="982" spans="12:12" x14ac:dyDescent="0.3">
      <c r="L982" s="7" t="str">
        <f t="shared" ca="1" si="32"/>
        <v/>
      </c>
    </row>
    <row r="983" spans="12:12" x14ac:dyDescent="0.3">
      <c r="L983" s="7" t="str">
        <f t="shared" ca="1" si="32"/>
        <v/>
      </c>
    </row>
    <row r="984" spans="12:12" x14ac:dyDescent="0.3">
      <c r="L984" s="7" t="str">
        <f t="shared" ca="1" si="32"/>
        <v/>
      </c>
    </row>
    <row r="985" spans="12:12" x14ac:dyDescent="0.3">
      <c r="L985" s="7" t="str">
        <f t="shared" ca="1" si="32"/>
        <v/>
      </c>
    </row>
    <row r="986" spans="12:12" x14ac:dyDescent="0.3">
      <c r="L986" s="7" t="str">
        <f t="shared" ca="1" si="32"/>
        <v/>
      </c>
    </row>
    <row r="987" spans="12:12" x14ac:dyDescent="0.3">
      <c r="L987" s="7" t="str">
        <f t="shared" ca="1" si="32"/>
        <v/>
      </c>
    </row>
    <row r="988" spans="12:12" x14ac:dyDescent="0.3">
      <c r="L988" s="7" t="str">
        <f t="shared" ca="1" si="32"/>
        <v/>
      </c>
    </row>
    <row r="989" spans="12:12" x14ac:dyDescent="0.3">
      <c r="L989" s="7" t="str">
        <f t="shared" ca="1" si="32"/>
        <v/>
      </c>
    </row>
    <row r="990" spans="12:12" x14ac:dyDescent="0.3">
      <c r="L990" s="7" t="str">
        <f t="shared" ca="1" si="32"/>
        <v/>
      </c>
    </row>
    <row r="991" spans="12:12" x14ac:dyDescent="0.3">
      <c r="L991" s="7" t="str">
        <f t="shared" ca="1" si="32"/>
        <v/>
      </c>
    </row>
    <row r="992" spans="12:12" x14ac:dyDescent="0.3">
      <c r="L992" s="7" t="str">
        <f t="shared" ca="1" si="32"/>
        <v/>
      </c>
    </row>
    <row r="993" spans="12:12" x14ac:dyDescent="0.3">
      <c r="L993" s="7" t="str">
        <f t="shared" ca="1" si="32"/>
        <v/>
      </c>
    </row>
    <row r="994" spans="12:12" x14ac:dyDescent="0.3">
      <c r="L994" s="7" t="str">
        <f t="shared" ca="1" si="32"/>
        <v/>
      </c>
    </row>
    <row r="995" spans="12:12" x14ac:dyDescent="0.3">
      <c r="L995" s="7" t="str">
        <f t="shared" ca="1" si="32"/>
        <v/>
      </c>
    </row>
    <row r="996" spans="12:12" x14ac:dyDescent="0.3">
      <c r="L996" s="7" t="str">
        <f t="shared" ca="1" si="32"/>
        <v/>
      </c>
    </row>
    <row r="997" spans="12:12" x14ac:dyDescent="0.3">
      <c r="L997" s="7" t="str">
        <f t="shared" ca="1" si="32"/>
        <v/>
      </c>
    </row>
    <row r="998" spans="12:12" x14ac:dyDescent="0.3">
      <c r="L998" s="7" t="str">
        <f t="shared" ca="1" si="32"/>
        <v/>
      </c>
    </row>
    <row r="999" spans="12:12" x14ac:dyDescent="0.3">
      <c r="L999" s="7" t="str">
        <f t="shared" ca="1" si="32"/>
        <v/>
      </c>
    </row>
    <row r="1000" spans="12:12" x14ac:dyDescent="0.3">
      <c r="L1000" s="7" t="str">
        <f t="shared" ca="1" si="32"/>
        <v/>
      </c>
    </row>
    <row r="1001" spans="12:12" x14ac:dyDescent="0.3">
      <c r="L1001" s="7" t="str">
        <f t="shared" ca="1" si="32"/>
        <v/>
      </c>
    </row>
    <row r="1002" spans="12:12" x14ac:dyDescent="0.3">
      <c r="L1002" s="7" t="str">
        <f t="shared" ca="1" si="32"/>
        <v/>
      </c>
    </row>
    <row r="1003" spans="12:12" x14ac:dyDescent="0.3">
      <c r="L1003" s="7" t="str">
        <f t="shared" ca="1" si="32"/>
        <v/>
      </c>
    </row>
    <row r="1004" spans="12:12" x14ac:dyDescent="0.3">
      <c r="L1004" s="7" t="str">
        <f t="shared" ca="1" si="32"/>
        <v/>
      </c>
    </row>
    <row r="1005" spans="12:12" x14ac:dyDescent="0.3">
      <c r="L1005" s="7" t="str">
        <f t="shared" ca="1" si="32"/>
        <v/>
      </c>
    </row>
    <row r="1006" spans="12:12" x14ac:dyDescent="0.3">
      <c r="L1006" s="7" t="str">
        <f t="shared" ca="1" si="32"/>
        <v/>
      </c>
    </row>
    <row r="1007" spans="12:12" x14ac:dyDescent="0.3">
      <c r="L1007" s="7" t="str">
        <f t="shared" ca="1" si="32"/>
        <v/>
      </c>
    </row>
    <row r="1008" spans="12:12" x14ac:dyDescent="0.3">
      <c r="L1008" s="7" t="str">
        <f t="shared" ca="1" si="32"/>
        <v/>
      </c>
    </row>
    <row r="1009" spans="12:12" x14ac:dyDescent="0.3">
      <c r="L1009" s="7" t="str">
        <f t="shared" ca="1" si="32"/>
        <v/>
      </c>
    </row>
    <row r="1010" spans="12:12" x14ac:dyDescent="0.3">
      <c r="L1010" s="7" t="str">
        <f t="shared" ca="1" si="32"/>
        <v/>
      </c>
    </row>
    <row r="1011" spans="12:12" x14ac:dyDescent="0.3">
      <c r="L1011" s="7" t="str">
        <f t="shared" ca="1" si="32"/>
        <v/>
      </c>
    </row>
    <row r="1012" spans="12:12" x14ac:dyDescent="0.3">
      <c r="L1012" s="7" t="str">
        <f t="shared" ca="1" si="32"/>
        <v/>
      </c>
    </row>
    <row r="1013" spans="12:12" x14ac:dyDescent="0.3">
      <c r="L1013" s="7" t="str">
        <f t="shared" ca="1" si="32"/>
        <v/>
      </c>
    </row>
    <row r="1014" spans="12:12" x14ac:dyDescent="0.3">
      <c r="L1014" s="7" t="str">
        <f t="shared" ca="1" si="32"/>
        <v/>
      </c>
    </row>
    <row r="1015" spans="12:12" x14ac:dyDescent="0.3">
      <c r="L1015" s="7" t="str">
        <f t="shared" ca="1" si="32"/>
        <v/>
      </c>
    </row>
    <row r="1016" spans="12:12" x14ac:dyDescent="0.3">
      <c r="L1016" s="7" t="str">
        <f t="shared" ca="1" si="32"/>
        <v/>
      </c>
    </row>
    <row r="1017" spans="12:12" x14ac:dyDescent="0.3">
      <c r="L1017" s="7" t="str">
        <f t="shared" ca="1" si="32"/>
        <v/>
      </c>
    </row>
    <row r="1018" spans="12:12" x14ac:dyDescent="0.3">
      <c r="L1018" s="7" t="str">
        <f t="shared" ca="1" si="32"/>
        <v/>
      </c>
    </row>
    <row r="1019" spans="12:12" x14ac:dyDescent="0.3">
      <c r="L1019" s="7" t="str">
        <f t="shared" ca="1" si="32"/>
        <v/>
      </c>
    </row>
    <row r="1020" spans="12:12" x14ac:dyDescent="0.3">
      <c r="L1020" s="7" t="str">
        <f t="shared" ca="1" si="32"/>
        <v/>
      </c>
    </row>
    <row r="1021" spans="12:12" x14ac:dyDescent="0.3">
      <c r="L1021" s="7" t="str">
        <f t="shared" ca="1" si="32"/>
        <v/>
      </c>
    </row>
    <row r="1022" spans="12:12" x14ac:dyDescent="0.3">
      <c r="L1022" s="7" t="str">
        <f t="shared" ca="1" si="32"/>
        <v/>
      </c>
    </row>
    <row r="1023" spans="12:12" x14ac:dyDescent="0.3">
      <c r="L1023" s="7" t="str">
        <f t="shared" ca="1" si="32"/>
        <v/>
      </c>
    </row>
    <row r="1024" spans="12:12" x14ac:dyDescent="0.3">
      <c r="L1024" s="7" t="str">
        <f t="shared" ca="1" si="32"/>
        <v/>
      </c>
    </row>
    <row r="1025" spans="12:12" x14ac:dyDescent="0.3">
      <c r="L1025" s="7" t="str">
        <f t="shared" ca="1" si="32"/>
        <v/>
      </c>
    </row>
    <row r="1026" spans="12:12" x14ac:dyDescent="0.3">
      <c r="L1026" s="7" t="str">
        <f t="shared" ca="1" si="32"/>
        <v/>
      </c>
    </row>
    <row r="1027" spans="12:12" x14ac:dyDescent="0.3">
      <c r="L1027" s="7" t="str">
        <f t="shared" ca="1" si="32"/>
        <v/>
      </c>
    </row>
    <row r="1028" spans="12:12" x14ac:dyDescent="0.3">
      <c r="L1028" s="7" t="str">
        <f t="shared" ca="1" si="32"/>
        <v/>
      </c>
    </row>
    <row r="1029" spans="12:12" x14ac:dyDescent="0.3">
      <c r="L1029" s="7" t="str">
        <f t="shared" ref="L1029:L1092" ca="1" si="33">IF(I1029="Completed",0,IF(H1029="","",H1029-TODAY()))</f>
        <v/>
      </c>
    </row>
    <row r="1030" spans="12:12" x14ac:dyDescent="0.3">
      <c r="L1030" s="7" t="str">
        <f t="shared" ca="1" si="33"/>
        <v/>
      </c>
    </row>
    <row r="1031" spans="12:12" x14ac:dyDescent="0.3">
      <c r="L1031" s="7" t="str">
        <f t="shared" ca="1" si="33"/>
        <v/>
      </c>
    </row>
    <row r="1032" spans="12:12" x14ac:dyDescent="0.3">
      <c r="L1032" s="7" t="str">
        <f t="shared" ca="1" si="33"/>
        <v/>
      </c>
    </row>
    <row r="1033" spans="12:12" x14ac:dyDescent="0.3">
      <c r="L1033" s="7" t="str">
        <f t="shared" ca="1" si="33"/>
        <v/>
      </c>
    </row>
    <row r="1034" spans="12:12" x14ac:dyDescent="0.3">
      <c r="L1034" s="7" t="str">
        <f t="shared" ca="1" si="33"/>
        <v/>
      </c>
    </row>
    <row r="1035" spans="12:12" x14ac:dyDescent="0.3">
      <c r="L1035" s="7" t="str">
        <f t="shared" ca="1" si="33"/>
        <v/>
      </c>
    </row>
    <row r="1036" spans="12:12" x14ac:dyDescent="0.3">
      <c r="L1036" s="7" t="str">
        <f t="shared" ca="1" si="33"/>
        <v/>
      </c>
    </row>
    <row r="1037" spans="12:12" x14ac:dyDescent="0.3">
      <c r="L1037" s="7" t="str">
        <f t="shared" ca="1" si="33"/>
        <v/>
      </c>
    </row>
    <row r="1038" spans="12:12" x14ac:dyDescent="0.3">
      <c r="L1038" s="7" t="str">
        <f t="shared" ca="1" si="33"/>
        <v/>
      </c>
    </row>
    <row r="1039" spans="12:12" x14ac:dyDescent="0.3">
      <c r="L1039" s="7" t="str">
        <f t="shared" ca="1" si="33"/>
        <v/>
      </c>
    </row>
    <row r="1040" spans="12:12" x14ac:dyDescent="0.3">
      <c r="L1040" s="7" t="str">
        <f t="shared" ca="1" si="33"/>
        <v/>
      </c>
    </row>
    <row r="1041" spans="12:12" x14ac:dyDescent="0.3">
      <c r="L1041" s="7" t="str">
        <f t="shared" ca="1" si="33"/>
        <v/>
      </c>
    </row>
    <row r="1042" spans="12:12" x14ac:dyDescent="0.3">
      <c r="L1042" s="7" t="str">
        <f t="shared" ca="1" si="33"/>
        <v/>
      </c>
    </row>
    <row r="1043" spans="12:12" x14ac:dyDescent="0.3">
      <c r="L1043" s="7" t="str">
        <f t="shared" ca="1" si="33"/>
        <v/>
      </c>
    </row>
    <row r="1044" spans="12:12" x14ac:dyDescent="0.3">
      <c r="L1044" s="7" t="str">
        <f t="shared" ca="1" si="33"/>
        <v/>
      </c>
    </row>
    <row r="1045" spans="12:12" x14ac:dyDescent="0.3">
      <c r="L1045" s="7" t="str">
        <f t="shared" ca="1" si="33"/>
        <v/>
      </c>
    </row>
    <row r="1046" spans="12:12" x14ac:dyDescent="0.3">
      <c r="L1046" s="7" t="str">
        <f t="shared" ca="1" si="33"/>
        <v/>
      </c>
    </row>
    <row r="1047" spans="12:12" x14ac:dyDescent="0.3">
      <c r="L1047" s="7" t="str">
        <f t="shared" ca="1" si="33"/>
        <v/>
      </c>
    </row>
    <row r="1048" spans="12:12" x14ac:dyDescent="0.3">
      <c r="L1048" s="7" t="str">
        <f t="shared" ca="1" si="33"/>
        <v/>
      </c>
    </row>
    <row r="1049" spans="12:12" x14ac:dyDescent="0.3">
      <c r="L1049" s="7" t="str">
        <f t="shared" ca="1" si="33"/>
        <v/>
      </c>
    </row>
    <row r="1050" spans="12:12" x14ac:dyDescent="0.3">
      <c r="L1050" s="7" t="str">
        <f t="shared" ca="1" si="33"/>
        <v/>
      </c>
    </row>
    <row r="1051" spans="12:12" x14ac:dyDescent="0.3">
      <c r="L1051" s="7" t="str">
        <f t="shared" ca="1" si="33"/>
        <v/>
      </c>
    </row>
    <row r="1052" spans="12:12" x14ac:dyDescent="0.3">
      <c r="L1052" s="7" t="str">
        <f t="shared" ca="1" si="33"/>
        <v/>
      </c>
    </row>
    <row r="1053" spans="12:12" x14ac:dyDescent="0.3">
      <c r="L1053" s="7" t="str">
        <f t="shared" ca="1" si="33"/>
        <v/>
      </c>
    </row>
    <row r="1054" spans="12:12" x14ac:dyDescent="0.3">
      <c r="L1054" s="7" t="str">
        <f t="shared" ca="1" si="33"/>
        <v/>
      </c>
    </row>
    <row r="1055" spans="12:12" x14ac:dyDescent="0.3">
      <c r="L1055" s="7" t="str">
        <f t="shared" ca="1" si="33"/>
        <v/>
      </c>
    </row>
    <row r="1056" spans="12:12" x14ac:dyDescent="0.3">
      <c r="L1056" s="7" t="str">
        <f t="shared" ca="1" si="33"/>
        <v/>
      </c>
    </row>
    <row r="1057" spans="12:12" x14ac:dyDescent="0.3">
      <c r="L1057" s="7" t="str">
        <f t="shared" ca="1" si="33"/>
        <v/>
      </c>
    </row>
    <row r="1058" spans="12:12" x14ac:dyDescent="0.3">
      <c r="L1058" s="7" t="str">
        <f t="shared" ca="1" si="33"/>
        <v/>
      </c>
    </row>
    <row r="1059" spans="12:12" x14ac:dyDescent="0.3">
      <c r="L1059" s="7" t="str">
        <f t="shared" ca="1" si="33"/>
        <v/>
      </c>
    </row>
    <row r="1060" spans="12:12" x14ac:dyDescent="0.3">
      <c r="L1060" s="7" t="str">
        <f t="shared" ca="1" si="33"/>
        <v/>
      </c>
    </row>
    <row r="1061" spans="12:12" x14ac:dyDescent="0.3">
      <c r="L1061" s="7" t="str">
        <f t="shared" ca="1" si="33"/>
        <v/>
      </c>
    </row>
    <row r="1062" spans="12:12" x14ac:dyDescent="0.3">
      <c r="L1062" s="7" t="str">
        <f t="shared" ca="1" si="33"/>
        <v/>
      </c>
    </row>
    <row r="1063" spans="12:12" x14ac:dyDescent="0.3">
      <c r="L1063" s="7" t="str">
        <f t="shared" ca="1" si="33"/>
        <v/>
      </c>
    </row>
    <row r="1064" spans="12:12" x14ac:dyDescent="0.3">
      <c r="L1064" s="7" t="str">
        <f t="shared" ca="1" si="33"/>
        <v/>
      </c>
    </row>
    <row r="1065" spans="12:12" x14ac:dyDescent="0.3">
      <c r="L1065" s="7" t="str">
        <f t="shared" ca="1" si="33"/>
        <v/>
      </c>
    </row>
    <row r="1066" spans="12:12" x14ac:dyDescent="0.3">
      <c r="L1066" s="7" t="str">
        <f t="shared" ca="1" si="33"/>
        <v/>
      </c>
    </row>
    <row r="1067" spans="12:12" x14ac:dyDescent="0.3">
      <c r="L1067" s="7" t="str">
        <f t="shared" ca="1" si="33"/>
        <v/>
      </c>
    </row>
    <row r="1068" spans="12:12" x14ac:dyDescent="0.3">
      <c r="L1068" s="7" t="str">
        <f t="shared" ca="1" si="33"/>
        <v/>
      </c>
    </row>
    <row r="1069" spans="12:12" x14ac:dyDescent="0.3">
      <c r="L1069" s="7" t="str">
        <f t="shared" ca="1" si="33"/>
        <v/>
      </c>
    </row>
    <row r="1070" spans="12:12" x14ac:dyDescent="0.3">
      <c r="L1070" s="7" t="str">
        <f t="shared" ca="1" si="33"/>
        <v/>
      </c>
    </row>
    <row r="1071" spans="12:12" x14ac:dyDescent="0.3">
      <c r="L1071" s="7" t="str">
        <f t="shared" ca="1" si="33"/>
        <v/>
      </c>
    </row>
    <row r="1072" spans="12:12" x14ac:dyDescent="0.3">
      <c r="L1072" s="7" t="str">
        <f t="shared" ca="1" si="33"/>
        <v/>
      </c>
    </row>
    <row r="1073" spans="12:12" x14ac:dyDescent="0.3">
      <c r="L1073" s="7" t="str">
        <f t="shared" ca="1" si="33"/>
        <v/>
      </c>
    </row>
    <row r="1074" spans="12:12" x14ac:dyDescent="0.3">
      <c r="L1074" s="7" t="str">
        <f t="shared" ca="1" si="33"/>
        <v/>
      </c>
    </row>
    <row r="1075" spans="12:12" x14ac:dyDescent="0.3">
      <c r="L1075" s="7" t="str">
        <f t="shared" ca="1" si="33"/>
        <v/>
      </c>
    </row>
    <row r="1076" spans="12:12" x14ac:dyDescent="0.3">
      <c r="L1076" s="7" t="str">
        <f t="shared" ca="1" si="33"/>
        <v/>
      </c>
    </row>
    <row r="1077" spans="12:12" x14ac:dyDescent="0.3">
      <c r="L1077" s="7" t="str">
        <f t="shared" ca="1" si="33"/>
        <v/>
      </c>
    </row>
    <row r="1078" spans="12:12" x14ac:dyDescent="0.3">
      <c r="L1078" s="7" t="str">
        <f t="shared" ca="1" si="33"/>
        <v/>
      </c>
    </row>
    <row r="1079" spans="12:12" x14ac:dyDescent="0.3">
      <c r="L1079" s="7" t="str">
        <f t="shared" ca="1" si="33"/>
        <v/>
      </c>
    </row>
    <row r="1080" spans="12:12" x14ac:dyDescent="0.3">
      <c r="L1080" s="7" t="str">
        <f t="shared" ca="1" si="33"/>
        <v/>
      </c>
    </row>
    <row r="1081" spans="12:12" x14ac:dyDescent="0.3">
      <c r="L1081" s="7" t="str">
        <f t="shared" ca="1" si="33"/>
        <v/>
      </c>
    </row>
    <row r="1082" spans="12:12" x14ac:dyDescent="0.3">
      <c r="L1082" s="7" t="str">
        <f t="shared" ca="1" si="33"/>
        <v/>
      </c>
    </row>
    <row r="1083" spans="12:12" x14ac:dyDescent="0.3">
      <c r="L1083" s="7" t="str">
        <f t="shared" ca="1" si="33"/>
        <v/>
      </c>
    </row>
    <row r="1084" spans="12:12" x14ac:dyDescent="0.3">
      <c r="L1084" s="7" t="str">
        <f t="shared" ca="1" si="33"/>
        <v/>
      </c>
    </row>
    <row r="1085" spans="12:12" x14ac:dyDescent="0.3">
      <c r="L1085" s="7" t="str">
        <f t="shared" ca="1" si="33"/>
        <v/>
      </c>
    </row>
    <row r="1086" spans="12:12" x14ac:dyDescent="0.3">
      <c r="L1086" s="7" t="str">
        <f t="shared" ca="1" si="33"/>
        <v/>
      </c>
    </row>
    <row r="1087" spans="12:12" x14ac:dyDescent="0.3">
      <c r="L1087" s="7" t="str">
        <f t="shared" ca="1" si="33"/>
        <v/>
      </c>
    </row>
    <row r="1088" spans="12:12" x14ac:dyDescent="0.3">
      <c r="L1088" s="7" t="str">
        <f t="shared" ca="1" si="33"/>
        <v/>
      </c>
    </row>
    <row r="1089" spans="12:12" x14ac:dyDescent="0.3">
      <c r="L1089" s="7" t="str">
        <f t="shared" ca="1" si="33"/>
        <v/>
      </c>
    </row>
    <row r="1090" spans="12:12" x14ac:dyDescent="0.3">
      <c r="L1090" s="7" t="str">
        <f t="shared" ca="1" si="33"/>
        <v/>
      </c>
    </row>
    <row r="1091" spans="12:12" x14ac:dyDescent="0.3">
      <c r="L1091" s="7" t="str">
        <f t="shared" ca="1" si="33"/>
        <v/>
      </c>
    </row>
    <row r="1092" spans="12:12" x14ac:dyDescent="0.3">
      <c r="L1092" s="7" t="str">
        <f t="shared" ca="1" si="33"/>
        <v/>
      </c>
    </row>
    <row r="1093" spans="12:12" x14ac:dyDescent="0.3">
      <c r="L1093" s="7" t="str">
        <f t="shared" ref="L1093:L1109" ca="1" si="34">IF(I1093="Completed",0,IF(H1093="","",H1093-TODAY()))</f>
        <v/>
      </c>
    </row>
    <row r="1094" spans="12:12" x14ac:dyDescent="0.3">
      <c r="L1094" s="7" t="str">
        <f t="shared" ca="1" si="34"/>
        <v/>
      </c>
    </row>
    <row r="1095" spans="12:12" x14ac:dyDescent="0.3">
      <c r="L1095" s="7" t="str">
        <f t="shared" ca="1" si="34"/>
        <v/>
      </c>
    </row>
    <row r="1096" spans="12:12" x14ac:dyDescent="0.3">
      <c r="L1096" s="7" t="str">
        <f t="shared" ca="1" si="34"/>
        <v/>
      </c>
    </row>
    <row r="1097" spans="12:12" x14ac:dyDescent="0.3">
      <c r="L1097" s="7" t="str">
        <f t="shared" ca="1" si="34"/>
        <v/>
      </c>
    </row>
    <row r="1098" spans="12:12" x14ac:dyDescent="0.3">
      <c r="L1098" s="7" t="str">
        <f t="shared" ca="1" si="34"/>
        <v/>
      </c>
    </row>
    <row r="1099" spans="12:12" x14ac:dyDescent="0.3">
      <c r="L1099" s="7" t="str">
        <f t="shared" ca="1" si="34"/>
        <v/>
      </c>
    </row>
    <row r="1100" spans="12:12" x14ac:dyDescent="0.3">
      <c r="L1100" s="7" t="str">
        <f t="shared" ca="1" si="34"/>
        <v/>
      </c>
    </row>
    <row r="1101" spans="12:12" x14ac:dyDescent="0.3">
      <c r="L1101" s="7" t="str">
        <f t="shared" ca="1" si="34"/>
        <v/>
      </c>
    </row>
    <row r="1102" spans="12:12" x14ac:dyDescent="0.3">
      <c r="L1102" s="7" t="str">
        <f t="shared" ca="1" si="34"/>
        <v/>
      </c>
    </row>
    <row r="1103" spans="12:12" x14ac:dyDescent="0.3">
      <c r="L1103" s="7" t="str">
        <f t="shared" ca="1" si="34"/>
        <v/>
      </c>
    </row>
    <row r="1104" spans="12:12" x14ac:dyDescent="0.3">
      <c r="L1104" s="7" t="str">
        <f t="shared" ca="1" si="34"/>
        <v/>
      </c>
    </row>
    <row r="1105" spans="12:12" x14ac:dyDescent="0.3">
      <c r="L1105" s="7" t="str">
        <f t="shared" ca="1" si="34"/>
        <v/>
      </c>
    </row>
    <row r="1106" spans="12:12" x14ac:dyDescent="0.3">
      <c r="L1106" s="7" t="str">
        <f t="shared" ca="1" si="34"/>
        <v/>
      </c>
    </row>
    <row r="1107" spans="12:12" x14ac:dyDescent="0.3">
      <c r="L1107" s="7" t="str">
        <f t="shared" ca="1" si="34"/>
        <v/>
      </c>
    </row>
    <row r="1108" spans="12:12" x14ac:dyDescent="0.3">
      <c r="L1108" s="7" t="str">
        <f t="shared" ca="1" si="34"/>
        <v/>
      </c>
    </row>
    <row r="1109" spans="12:12" x14ac:dyDescent="0.3">
      <c r="L1109" s="7" t="str">
        <f t="shared" ca="1" si="34"/>
        <v/>
      </c>
    </row>
    <row r="1110" spans="12:12" x14ac:dyDescent="0.3">
      <c r="L1110" s="7" t="str">
        <f t="shared" ref="L1110:L1155" ca="1" si="35">IF(I1110="Completed",0,IF(H1110="","",H1110-TODAY()))</f>
        <v/>
      </c>
    </row>
    <row r="1111" spans="12:12" x14ac:dyDescent="0.3">
      <c r="L1111" s="7" t="str">
        <f t="shared" ca="1" si="35"/>
        <v/>
      </c>
    </row>
    <row r="1112" spans="12:12" x14ac:dyDescent="0.3">
      <c r="L1112" s="7" t="str">
        <f t="shared" ca="1" si="35"/>
        <v/>
      </c>
    </row>
    <row r="1113" spans="12:12" x14ac:dyDescent="0.3">
      <c r="L1113" s="7" t="str">
        <f t="shared" ca="1" si="35"/>
        <v/>
      </c>
    </row>
    <row r="1114" spans="12:12" x14ac:dyDescent="0.3">
      <c r="L1114" s="7" t="str">
        <f t="shared" ca="1" si="35"/>
        <v/>
      </c>
    </row>
    <row r="1115" spans="12:12" x14ac:dyDescent="0.3">
      <c r="L1115" s="7" t="str">
        <f t="shared" ca="1" si="35"/>
        <v/>
      </c>
    </row>
    <row r="1116" spans="12:12" x14ac:dyDescent="0.3">
      <c r="L1116" s="7" t="str">
        <f t="shared" ca="1" si="35"/>
        <v/>
      </c>
    </row>
    <row r="1117" spans="12:12" x14ac:dyDescent="0.3">
      <c r="L1117" s="7" t="str">
        <f t="shared" ca="1" si="35"/>
        <v/>
      </c>
    </row>
    <row r="1118" spans="12:12" x14ac:dyDescent="0.3">
      <c r="L1118" s="7" t="str">
        <f t="shared" ca="1" si="35"/>
        <v/>
      </c>
    </row>
    <row r="1119" spans="12:12" x14ac:dyDescent="0.3">
      <c r="L1119" s="7" t="str">
        <f t="shared" ca="1" si="35"/>
        <v/>
      </c>
    </row>
    <row r="1120" spans="12:12" x14ac:dyDescent="0.3">
      <c r="L1120" s="7" t="str">
        <f t="shared" ca="1" si="35"/>
        <v/>
      </c>
    </row>
    <row r="1121" spans="12:12" x14ac:dyDescent="0.3">
      <c r="L1121" s="7" t="str">
        <f t="shared" ca="1" si="35"/>
        <v/>
      </c>
    </row>
    <row r="1122" spans="12:12" x14ac:dyDescent="0.3">
      <c r="L1122" s="7" t="str">
        <f t="shared" ca="1" si="35"/>
        <v/>
      </c>
    </row>
    <row r="1123" spans="12:12" x14ac:dyDescent="0.3">
      <c r="L1123" s="7" t="str">
        <f t="shared" ca="1" si="35"/>
        <v/>
      </c>
    </row>
    <row r="1124" spans="12:12" x14ac:dyDescent="0.3">
      <c r="L1124" s="7" t="str">
        <f t="shared" ca="1" si="35"/>
        <v/>
      </c>
    </row>
    <row r="1125" spans="12:12" x14ac:dyDescent="0.3">
      <c r="L1125" s="7" t="str">
        <f t="shared" ca="1" si="35"/>
        <v/>
      </c>
    </row>
    <row r="1126" spans="12:12" x14ac:dyDescent="0.3">
      <c r="L1126" s="7" t="str">
        <f t="shared" ca="1" si="35"/>
        <v/>
      </c>
    </row>
    <row r="1127" spans="12:12" x14ac:dyDescent="0.3">
      <c r="L1127" s="7" t="str">
        <f t="shared" ca="1" si="35"/>
        <v/>
      </c>
    </row>
    <row r="1128" spans="12:12" x14ac:dyDescent="0.3">
      <c r="L1128" s="7" t="str">
        <f t="shared" ca="1" si="35"/>
        <v/>
      </c>
    </row>
    <row r="1129" spans="12:12" x14ac:dyDescent="0.3">
      <c r="L1129" s="7" t="str">
        <f t="shared" ca="1" si="35"/>
        <v/>
      </c>
    </row>
    <row r="1130" spans="12:12" x14ac:dyDescent="0.3">
      <c r="L1130" s="7" t="str">
        <f t="shared" ca="1" si="35"/>
        <v/>
      </c>
    </row>
    <row r="1131" spans="12:12" x14ac:dyDescent="0.3">
      <c r="L1131" s="7" t="str">
        <f t="shared" ca="1" si="35"/>
        <v/>
      </c>
    </row>
    <row r="1132" spans="12:12" x14ac:dyDescent="0.3">
      <c r="L1132" s="7" t="str">
        <f t="shared" ca="1" si="35"/>
        <v/>
      </c>
    </row>
    <row r="1133" spans="12:12" x14ac:dyDescent="0.3">
      <c r="L1133" s="7" t="str">
        <f t="shared" ca="1" si="35"/>
        <v/>
      </c>
    </row>
    <row r="1134" spans="12:12" x14ac:dyDescent="0.3">
      <c r="L1134" s="7" t="str">
        <f t="shared" ca="1" si="35"/>
        <v/>
      </c>
    </row>
    <row r="1135" spans="12:12" x14ac:dyDescent="0.3">
      <c r="L1135" s="7" t="str">
        <f t="shared" ca="1" si="35"/>
        <v/>
      </c>
    </row>
    <row r="1136" spans="12:12" x14ac:dyDescent="0.3">
      <c r="L1136" s="7" t="str">
        <f t="shared" ca="1" si="35"/>
        <v/>
      </c>
    </row>
    <row r="1137" spans="12:12" x14ac:dyDescent="0.3">
      <c r="L1137" s="7" t="str">
        <f t="shared" ca="1" si="35"/>
        <v/>
      </c>
    </row>
    <row r="1138" spans="12:12" x14ac:dyDescent="0.3">
      <c r="L1138" s="7" t="str">
        <f t="shared" ca="1" si="35"/>
        <v/>
      </c>
    </row>
    <row r="1139" spans="12:12" x14ac:dyDescent="0.3">
      <c r="L1139" s="7" t="str">
        <f t="shared" ca="1" si="35"/>
        <v/>
      </c>
    </row>
    <row r="1140" spans="12:12" x14ac:dyDescent="0.3">
      <c r="L1140" s="7" t="str">
        <f t="shared" ca="1" si="35"/>
        <v/>
      </c>
    </row>
    <row r="1141" spans="12:12" x14ac:dyDescent="0.3">
      <c r="L1141" s="7" t="str">
        <f t="shared" ca="1" si="35"/>
        <v/>
      </c>
    </row>
    <row r="1142" spans="12:12" x14ac:dyDescent="0.3">
      <c r="L1142" s="7" t="str">
        <f t="shared" ca="1" si="35"/>
        <v/>
      </c>
    </row>
    <row r="1143" spans="12:12" x14ac:dyDescent="0.3">
      <c r="L1143" s="7" t="str">
        <f t="shared" ca="1" si="35"/>
        <v/>
      </c>
    </row>
    <row r="1144" spans="12:12" x14ac:dyDescent="0.3">
      <c r="L1144" s="7" t="str">
        <f t="shared" ca="1" si="35"/>
        <v/>
      </c>
    </row>
    <row r="1145" spans="12:12" x14ac:dyDescent="0.3">
      <c r="L1145" s="7" t="str">
        <f t="shared" ca="1" si="35"/>
        <v/>
      </c>
    </row>
    <row r="1146" spans="12:12" x14ac:dyDescent="0.3">
      <c r="L1146" s="7" t="str">
        <f t="shared" ca="1" si="35"/>
        <v/>
      </c>
    </row>
    <row r="1147" spans="12:12" x14ac:dyDescent="0.3">
      <c r="L1147" s="7" t="str">
        <f t="shared" ca="1" si="35"/>
        <v/>
      </c>
    </row>
    <row r="1148" spans="12:12" x14ac:dyDescent="0.3">
      <c r="L1148" s="7" t="str">
        <f t="shared" ca="1" si="35"/>
        <v/>
      </c>
    </row>
    <row r="1149" spans="12:12" x14ac:dyDescent="0.3">
      <c r="L1149" s="7" t="str">
        <f t="shared" ca="1" si="35"/>
        <v/>
      </c>
    </row>
    <row r="1150" spans="12:12" x14ac:dyDescent="0.3">
      <c r="L1150" s="7" t="str">
        <f t="shared" ca="1" si="35"/>
        <v/>
      </c>
    </row>
    <row r="1151" spans="12:12" x14ac:dyDescent="0.3">
      <c r="L1151" s="7" t="str">
        <f t="shared" ca="1" si="35"/>
        <v/>
      </c>
    </row>
    <row r="1152" spans="12:12" x14ac:dyDescent="0.3">
      <c r="L1152" s="7" t="str">
        <f t="shared" ca="1" si="35"/>
        <v/>
      </c>
    </row>
    <row r="1153" spans="12:12" x14ac:dyDescent="0.3">
      <c r="L1153" s="7" t="str">
        <f t="shared" ca="1" si="35"/>
        <v/>
      </c>
    </row>
    <row r="1154" spans="12:12" x14ac:dyDescent="0.3">
      <c r="L1154" s="7" t="str">
        <f t="shared" ca="1" si="35"/>
        <v/>
      </c>
    </row>
    <row r="1155" spans="12:12" x14ac:dyDescent="0.3">
      <c r="L1155" s="7" t="str">
        <f t="shared" ca="1" si="35"/>
        <v/>
      </c>
    </row>
    <row r="1156" spans="12:12" x14ac:dyDescent="0.3">
      <c r="L1156" s="7" t="str">
        <f t="shared" ref="L1156:L1219" ca="1" si="36">IF(I1156="Completed",0,IF(H1156="","",H1156-TODAY()))</f>
        <v/>
      </c>
    </row>
    <row r="1157" spans="12:12" x14ac:dyDescent="0.3">
      <c r="L1157" s="7" t="str">
        <f t="shared" ca="1" si="36"/>
        <v/>
      </c>
    </row>
    <row r="1158" spans="12:12" x14ac:dyDescent="0.3">
      <c r="L1158" s="7" t="str">
        <f t="shared" ca="1" si="36"/>
        <v/>
      </c>
    </row>
    <row r="1159" spans="12:12" x14ac:dyDescent="0.3">
      <c r="L1159" s="7" t="str">
        <f t="shared" ca="1" si="36"/>
        <v/>
      </c>
    </row>
    <row r="1160" spans="12:12" x14ac:dyDescent="0.3">
      <c r="L1160" s="7" t="str">
        <f t="shared" ca="1" si="36"/>
        <v/>
      </c>
    </row>
    <row r="1161" spans="12:12" x14ac:dyDescent="0.3">
      <c r="L1161" s="7" t="str">
        <f t="shared" ca="1" si="36"/>
        <v/>
      </c>
    </row>
    <row r="1162" spans="12:12" x14ac:dyDescent="0.3">
      <c r="L1162" s="7" t="str">
        <f t="shared" ca="1" si="36"/>
        <v/>
      </c>
    </row>
    <row r="1163" spans="12:12" x14ac:dyDescent="0.3">
      <c r="L1163" s="7" t="str">
        <f t="shared" ca="1" si="36"/>
        <v/>
      </c>
    </row>
    <row r="1164" spans="12:12" x14ac:dyDescent="0.3">
      <c r="L1164" s="7" t="str">
        <f t="shared" ca="1" si="36"/>
        <v/>
      </c>
    </row>
    <row r="1165" spans="12:12" x14ac:dyDescent="0.3">
      <c r="L1165" s="7" t="str">
        <f t="shared" ca="1" si="36"/>
        <v/>
      </c>
    </row>
    <row r="1166" spans="12:12" x14ac:dyDescent="0.3">
      <c r="L1166" s="7" t="str">
        <f t="shared" ca="1" si="36"/>
        <v/>
      </c>
    </row>
    <row r="1167" spans="12:12" x14ac:dyDescent="0.3">
      <c r="L1167" s="7" t="str">
        <f t="shared" ca="1" si="36"/>
        <v/>
      </c>
    </row>
    <row r="1168" spans="12:12" x14ac:dyDescent="0.3">
      <c r="L1168" s="7" t="str">
        <f t="shared" ca="1" si="36"/>
        <v/>
      </c>
    </row>
    <row r="1169" spans="12:12" x14ac:dyDescent="0.3">
      <c r="L1169" s="7" t="str">
        <f t="shared" ca="1" si="36"/>
        <v/>
      </c>
    </row>
    <row r="1170" spans="12:12" x14ac:dyDescent="0.3">
      <c r="L1170" s="7" t="str">
        <f t="shared" ca="1" si="36"/>
        <v/>
      </c>
    </row>
    <row r="1171" spans="12:12" x14ac:dyDescent="0.3">
      <c r="L1171" s="7" t="str">
        <f t="shared" ca="1" si="36"/>
        <v/>
      </c>
    </row>
    <row r="1172" spans="12:12" x14ac:dyDescent="0.3">
      <c r="L1172" s="7" t="str">
        <f t="shared" ca="1" si="36"/>
        <v/>
      </c>
    </row>
    <row r="1173" spans="12:12" x14ac:dyDescent="0.3">
      <c r="L1173" s="7" t="str">
        <f t="shared" ca="1" si="36"/>
        <v/>
      </c>
    </row>
    <row r="1174" spans="12:12" x14ac:dyDescent="0.3">
      <c r="L1174" s="7" t="str">
        <f t="shared" ca="1" si="36"/>
        <v/>
      </c>
    </row>
    <row r="1175" spans="12:12" x14ac:dyDescent="0.3">
      <c r="L1175" s="7" t="str">
        <f t="shared" ca="1" si="36"/>
        <v/>
      </c>
    </row>
    <row r="1176" spans="12:12" x14ac:dyDescent="0.3">
      <c r="L1176" s="7" t="str">
        <f t="shared" ca="1" si="36"/>
        <v/>
      </c>
    </row>
    <row r="1177" spans="12:12" x14ac:dyDescent="0.3">
      <c r="L1177" s="7" t="str">
        <f t="shared" ca="1" si="36"/>
        <v/>
      </c>
    </row>
    <row r="1178" spans="12:12" x14ac:dyDescent="0.3">
      <c r="L1178" s="7" t="str">
        <f t="shared" ca="1" si="36"/>
        <v/>
      </c>
    </row>
    <row r="1179" spans="12:12" x14ac:dyDescent="0.3">
      <c r="L1179" s="7" t="str">
        <f t="shared" ca="1" si="36"/>
        <v/>
      </c>
    </row>
    <row r="1180" spans="12:12" x14ac:dyDescent="0.3">
      <c r="L1180" s="7" t="str">
        <f t="shared" ca="1" si="36"/>
        <v/>
      </c>
    </row>
    <row r="1181" spans="12:12" x14ac:dyDescent="0.3">
      <c r="L1181" s="7" t="str">
        <f t="shared" ca="1" si="36"/>
        <v/>
      </c>
    </row>
    <row r="1182" spans="12:12" x14ac:dyDescent="0.3">
      <c r="L1182" s="7" t="str">
        <f t="shared" ca="1" si="36"/>
        <v/>
      </c>
    </row>
    <row r="1183" spans="12:12" x14ac:dyDescent="0.3">
      <c r="L1183" s="7" t="str">
        <f t="shared" ca="1" si="36"/>
        <v/>
      </c>
    </row>
    <row r="1184" spans="12:12" x14ac:dyDescent="0.3">
      <c r="L1184" s="7" t="str">
        <f t="shared" ca="1" si="36"/>
        <v/>
      </c>
    </row>
    <row r="1185" spans="12:12" x14ac:dyDescent="0.3">
      <c r="L1185" s="7" t="str">
        <f t="shared" ca="1" si="36"/>
        <v/>
      </c>
    </row>
    <row r="1186" spans="12:12" x14ac:dyDescent="0.3">
      <c r="L1186" s="7" t="str">
        <f t="shared" ca="1" si="36"/>
        <v/>
      </c>
    </row>
    <row r="1187" spans="12:12" x14ac:dyDescent="0.3">
      <c r="L1187" s="7" t="str">
        <f t="shared" ca="1" si="36"/>
        <v/>
      </c>
    </row>
    <row r="1188" spans="12:12" x14ac:dyDescent="0.3">
      <c r="L1188" s="7" t="str">
        <f t="shared" ca="1" si="36"/>
        <v/>
      </c>
    </row>
    <row r="1189" spans="12:12" x14ac:dyDescent="0.3">
      <c r="L1189" s="7" t="str">
        <f t="shared" ca="1" si="36"/>
        <v/>
      </c>
    </row>
    <row r="1190" spans="12:12" x14ac:dyDescent="0.3">
      <c r="L1190" s="7" t="str">
        <f t="shared" ca="1" si="36"/>
        <v/>
      </c>
    </row>
    <row r="1191" spans="12:12" x14ac:dyDescent="0.3">
      <c r="L1191" s="7" t="str">
        <f t="shared" ca="1" si="36"/>
        <v/>
      </c>
    </row>
    <row r="1192" spans="12:12" x14ac:dyDescent="0.3">
      <c r="L1192" s="7" t="str">
        <f t="shared" ca="1" si="36"/>
        <v/>
      </c>
    </row>
    <row r="1193" spans="12:12" x14ac:dyDescent="0.3">
      <c r="L1193" s="7" t="str">
        <f t="shared" ca="1" si="36"/>
        <v/>
      </c>
    </row>
    <row r="1194" spans="12:12" x14ac:dyDescent="0.3">
      <c r="L1194" s="7" t="str">
        <f t="shared" ca="1" si="36"/>
        <v/>
      </c>
    </row>
    <row r="1195" spans="12:12" x14ac:dyDescent="0.3">
      <c r="L1195" s="7" t="str">
        <f t="shared" ca="1" si="36"/>
        <v/>
      </c>
    </row>
    <row r="1196" spans="12:12" x14ac:dyDescent="0.3">
      <c r="L1196" s="7" t="str">
        <f t="shared" ca="1" si="36"/>
        <v/>
      </c>
    </row>
    <row r="1197" spans="12:12" x14ac:dyDescent="0.3">
      <c r="L1197" s="7" t="str">
        <f t="shared" ca="1" si="36"/>
        <v/>
      </c>
    </row>
    <row r="1198" spans="12:12" x14ac:dyDescent="0.3">
      <c r="L1198" s="7" t="str">
        <f t="shared" ca="1" si="36"/>
        <v/>
      </c>
    </row>
    <row r="1199" spans="12:12" x14ac:dyDescent="0.3">
      <c r="L1199" s="7" t="str">
        <f t="shared" ca="1" si="36"/>
        <v/>
      </c>
    </row>
    <row r="1200" spans="12:12" x14ac:dyDescent="0.3">
      <c r="L1200" s="7" t="str">
        <f t="shared" ca="1" si="36"/>
        <v/>
      </c>
    </row>
    <row r="1201" spans="12:12" x14ac:dyDescent="0.3">
      <c r="L1201" s="7" t="str">
        <f t="shared" ca="1" si="36"/>
        <v/>
      </c>
    </row>
    <row r="1202" spans="12:12" x14ac:dyDescent="0.3">
      <c r="L1202" s="7" t="str">
        <f t="shared" ca="1" si="36"/>
        <v/>
      </c>
    </row>
    <row r="1203" spans="12:12" x14ac:dyDescent="0.3">
      <c r="L1203" s="7" t="str">
        <f t="shared" ca="1" si="36"/>
        <v/>
      </c>
    </row>
    <row r="1204" spans="12:12" x14ac:dyDescent="0.3">
      <c r="L1204" s="7" t="str">
        <f t="shared" ca="1" si="36"/>
        <v/>
      </c>
    </row>
    <row r="1205" spans="12:12" x14ac:dyDescent="0.3">
      <c r="L1205" s="7" t="str">
        <f t="shared" ca="1" si="36"/>
        <v/>
      </c>
    </row>
    <row r="1206" spans="12:12" x14ac:dyDescent="0.3">
      <c r="L1206" s="7" t="str">
        <f t="shared" ca="1" si="36"/>
        <v/>
      </c>
    </row>
    <row r="1207" spans="12:12" x14ac:dyDescent="0.3">
      <c r="L1207" s="7" t="str">
        <f t="shared" ca="1" si="36"/>
        <v/>
      </c>
    </row>
    <row r="1208" spans="12:12" x14ac:dyDescent="0.3">
      <c r="L1208" s="7" t="str">
        <f t="shared" ca="1" si="36"/>
        <v/>
      </c>
    </row>
    <row r="1209" spans="12:12" x14ac:dyDescent="0.3">
      <c r="L1209" s="7" t="str">
        <f t="shared" ca="1" si="36"/>
        <v/>
      </c>
    </row>
    <row r="1210" spans="12:12" x14ac:dyDescent="0.3">
      <c r="L1210" s="7" t="str">
        <f t="shared" ca="1" si="36"/>
        <v/>
      </c>
    </row>
    <row r="1211" spans="12:12" x14ac:dyDescent="0.3">
      <c r="L1211" s="7" t="str">
        <f t="shared" ca="1" si="36"/>
        <v/>
      </c>
    </row>
    <row r="1212" spans="12:12" x14ac:dyDescent="0.3">
      <c r="L1212" s="7" t="str">
        <f t="shared" ca="1" si="36"/>
        <v/>
      </c>
    </row>
    <row r="1213" spans="12:12" x14ac:dyDescent="0.3">
      <c r="L1213" s="7" t="str">
        <f t="shared" ca="1" si="36"/>
        <v/>
      </c>
    </row>
    <row r="1214" spans="12:12" x14ac:dyDescent="0.3">
      <c r="L1214" s="7" t="str">
        <f t="shared" ca="1" si="36"/>
        <v/>
      </c>
    </row>
    <row r="1215" spans="12:12" x14ac:dyDescent="0.3">
      <c r="L1215" s="7" t="str">
        <f t="shared" ca="1" si="36"/>
        <v/>
      </c>
    </row>
    <row r="1216" spans="12:12" x14ac:dyDescent="0.3">
      <c r="L1216" s="7" t="str">
        <f t="shared" ca="1" si="36"/>
        <v/>
      </c>
    </row>
    <row r="1217" spans="12:12" x14ac:dyDescent="0.3">
      <c r="L1217" s="7" t="str">
        <f t="shared" ca="1" si="36"/>
        <v/>
      </c>
    </row>
    <row r="1218" spans="12:12" x14ac:dyDescent="0.3">
      <c r="L1218" s="7" t="str">
        <f t="shared" ca="1" si="36"/>
        <v/>
      </c>
    </row>
    <row r="1219" spans="12:12" x14ac:dyDescent="0.3">
      <c r="L1219" s="7" t="str">
        <f t="shared" ca="1" si="36"/>
        <v/>
      </c>
    </row>
    <row r="1220" spans="12:12" x14ac:dyDescent="0.3">
      <c r="L1220" s="7" t="str">
        <f t="shared" ref="L1220:L1283" ca="1" si="37">IF(I1220="Completed",0,IF(H1220="","",H1220-TODAY()))</f>
        <v/>
      </c>
    </row>
    <row r="1221" spans="12:12" x14ac:dyDescent="0.3">
      <c r="L1221" s="7" t="str">
        <f t="shared" ca="1" si="37"/>
        <v/>
      </c>
    </row>
    <row r="1222" spans="12:12" x14ac:dyDescent="0.3">
      <c r="L1222" s="7" t="str">
        <f t="shared" ca="1" si="37"/>
        <v/>
      </c>
    </row>
    <row r="1223" spans="12:12" x14ac:dyDescent="0.3">
      <c r="L1223" s="7" t="str">
        <f t="shared" ca="1" si="37"/>
        <v/>
      </c>
    </row>
    <row r="1224" spans="12:12" x14ac:dyDescent="0.3">
      <c r="L1224" s="7" t="str">
        <f t="shared" ca="1" si="37"/>
        <v/>
      </c>
    </row>
    <row r="1225" spans="12:12" x14ac:dyDescent="0.3">
      <c r="L1225" s="7" t="str">
        <f t="shared" ca="1" si="37"/>
        <v/>
      </c>
    </row>
    <row r="1226" spans="12:12" x14ac:dyDescent="0.3">
      <c r="L1226" s="7" t="str">
        <f t="shared" ca="1" si="37"/>
        <v/>
      </c>
    </row>
    <row r="1227" spans="12:12" x14ac:dyDescent="0.3">
      <c r="L1227" s="7" t="str">
        <f t="shared" ca="1" si="37"/>
        <v/>
      </c>
    </row>
    <row r="1228" spans="12:12" x14ac:dyDescent="0.3">
      <c r="L1228" s="7" t="str">
        <f t="shared" ca="1" si="37"/>
        <v/>
      </c>
    </row>
    <row r="1229" spans="12:12" x14ac:dyDescent="0.3">
      <c r="L1229" s="7" t="str">
        <f t="shared" ca="1" si="37"/>
        <v/>
      </c>
    </row>
    <row r="1230" spans="12:12" x14ac:dyDescent="0.3">
      <c r="L1230" s="7" t="str">
        <f t="shared" ca="1" si="37"/>
        <v/>
      </c>
    </row>
    <row r="1231" spans="12:12" x14ac:dyDescent="0.3">
      <c r="L1231" s="7" t="str">
        <f t="shared" ca="1" si="37"/>
        <v/>
      </c>
    </row>
    <row r="1232" spans="12:12" x14ac:dyDescent="0.3">
      <c r="L1232" s="7" t="str">
        <f t="shared" ca="1" si="37"/>
        <v/>
      </c>
    </row>
    <row r="1233" spans="12:12" x14ac:dyDescent="0.3">
      <c r="L1233" s="7" t="str">
        <f t="shared" ca="1" si="37"/>
        <v/>
      </c>
    </row>
    <row r="1234" spans="12:12" x14ac:dyDescent="0.3">
      <c r="L1234" s="7" t="str">
        <f t="shared" ca="1" si="37"/>
        <v/>
      </c>
    </row>
    <row r="1235" spans="12:12" x14ac:dyDescent="0.3">
      <c r="L1235" s="7" t="str">
        <f t="shared" ca="1" si="37"/>
        <v/>
      </c>
    </row>
    <row r="1236" spans="12:12" x14ac:dyDescent="0.3">
      <c r="L1236" s="7" t="str">
        <f t="shared" ca="1" si="37"/>
        <v/>
      </c>
    </row>
    <row r="1237" spans="12:12" x14ac:dyDescent="0.3">
      <c r="L1237" s="7" t="str">
        <f t="shared" ca="1" si="37"/>
        <v/>
      </c>
    </row>
    <row r="1238" spans="12:12" x14ac:dyDescent="0.3">
      <c r="L1238" s="7" t="str">
        <f t="shared" ca="1" si="37"/>
        <v/>
      </c>
    </row>
    <row r="1239" spans="12:12" x14ac:dyDescent="0.3">
      <c r="L1239" s="7" t="str">
        <f t="shared" ca="1" si="37"/>
        <v/>
      </c>
    </row>
    <row r="1240" spans="12:12" x14ac:dyDescent="0.3">
      <c r="L1240" s="7" t="str">
        <f t="shared" ca="1" si="37"/>
        <v/>
      </c>
    </row>
    <row r="1241" spans="12:12" x14ac:dyDescent="0.3">
      <c r="L1241" s="7" t="str">
        <f t="shared" ca="1" si="37"/>
        <v/>
      </c>
    </row>
    <row r="1242" spans="12:12" x14ac:dyDescent="0.3">
      <c r="L1242" s="7" t="str">
        <f t="shared" ca="1" si="37"/>
        <v/>
      </c>
    </row>
    <row r="1243" spans="12:12" x14ac:dyDescent="0.3">
      <c r="L1243" s="7" t="str">
        <f t="shared" ca="1" si="37"/>
        <v/>
      </c>
    </row>
    <row r="1244" spans="12:12" x14ac:dyDescent="0.3">
      <c r="L1244" s="7" t="str">
        <f t="shared" ca="1" si="37"/>
        <v/>
      </c>
    </row>
    <row r="1245" spans="12:12" x14ac:dyDescent="0.3">
      <c r="L1245" s="7" t="str">
        <f t="shared" ca="1" si="37"/>
        <v/>
      </c>
    </row>
    <row r="1246" spans="12:12" x14ac:dyDescent="0.3">
      <c r="L1246" s="7" t="str">
        <f t="shared" ca="1" si="37"/>
        <v/>
      </c>
    </row>
    <row r="1247" spans="12:12" x14ac:dyDescent="0.3">
      <c r="L1247" s="7" t="str">
        <f t="shared" ca="1" si="37"/>
        <v/>
      </c>
    </row>
    <row r="1248" spans="12:12" x14ac:dyDescent="0.3">
      <c r="L1248" s="7" t="str">
        <f t="shared" ca="1" si="37"/>
        <v/>
      </c>
    </row>
    <row r="1249" spans="12:12" x14ac:dyDescent="0.3">
      <c r="L1249" s="7" t="str">
        <f t="shared" ca="1" si="37"/>
        <v/>
      </c>
    </row>
    <row r="1250" spans="12:12" x14ac:dyDescent="0.3">
      <c r="L1250" s="7" t="str">
        <f t="shared" ca="1" si="37"/>
        <v/>
      </c>
    </row>
    <row r="1251" spans="12:12" x14ac:dyDescent="0.3">
      <c r="L1251" s="7" t="str">
        <f t="shared" ca="1" si="37"/>
        <v/>
      </c>
    </row>
    <row r="1252" spans="12:12" x14ac:dyDescent="0.3">
      <c r="L1252" s="7" t="str">
        <f t="shared" ca="1" si="37"/>
        <v/>
      </c>
    </row>
    <row r="1253" spans="12:12" x14ac:dyDescent="0.3">
      <c r="L1253" s="7" t="str">
        <f t="shared" ca="1" si="37"/>
        <v/>
      </c>
    </row>
    <row r="1254" spans="12:12" x14ac:dyDescent="0.3">
      <c r="L1254" s="7" t="str">
        <f t="shared" ca="1" si="37"/>
        <v/>
      </c>
    </row>
    <row r="1255" spans="12:12" x14ac:dyDescent="0.3">
      <c r="L1255" s="7" t="str">
        <f t="shared" ca="1" si="37"/>
        <v/>
      </c>
    </row>
    <row r="1256" spans="12:12" x14ac:dyDescent="0.3">
      <c r="L1256" s="7" t="str">
        <f t="shared" ca="1" si="37"/>
        <v/>
      </c>
    </row>
    <row r="1257" spans="12:12" x14ac:dyDescent="0.3">
      <c r="L1257" s="7" t="str">
        <f t="shared" ca="1" si="37"/>
        <v/>
      </c>
    </row>
    <row r="1258" spans="12:12" x14ac:dyDescent="0.3">
      <c r="L1258" s="7" t="str">
        <f t="shared" ca="1" si="37"/>
        <v/>
      </c>
    </row>
    <row r="1259" spans="12:12" x14ac:dyDescent="0.3">
      <c r="L1259" s="7" t="str">
        <f t="shared" ca="1" si="37"/>
        <v/>
      </c>
    </row>
    <row r="1260" spans="12:12" x14ac:dyDescent="0.3">
      <c r="L1260" s="7" t="str">
        <f t="shared" ca="1" si="37"/>
        <v/>
      </c>
    </row>
    <row r="1261" spans="12:12" x14ac:dyDescent="0.3">
      <c r="L1261" s="7" t="str">
        <f t="shared" ca="1" si="37"/>
        <v/>
      </c>
    </row>
    <row r="1262" spans="12:12" x14ac:dyDescent="0.3">
      <c r="L1262" s="7" t="str">
        <f t="shared" ca="1" si="37"/>
        <v/>
      </c>
    </row>
    <row r="1263" spans="12:12" x14ac:dyDescent="0.3">
      <c r="L1263" s="7" t="str">
        <f t="shared" ca="1" si="37"/>
        <v/>
      </c>
    </row>
    <row r="1264" spans="12:12" x14ac:dyDescent="0.3">
      <c r="L1264" s="7" t="str">
        <f t="shared" ca="1" si="37"/>
        <v/>
      </c>
    </row>
    <row r="1265" spans="12:12" x14ac:dyDescent="0.3">
      <c r="L1265" s="7" t="str">
        <f t="shared" ca="1" si="37"/>
        <v/>
      </c>
    </row>
    <row r="1266" spans="12:12" x14ac:dyDescent="0.3">
      <c r="L1266" s="7" t="str">
        <f t="shared" ca="1" si="37"/>
        <v/>
      </c>
    </row>
    <row r="1267" spans="12:12" x14ac:dyDescent="0.3">
      <c r="L1267" s="7" t="str">
        <f t="shared" ca="1" si="37"/>
        <v/>
      </c>
    </row>
    <row r="1268" spans="12:12" x14ac:dyDescent="0.3">
      <c r="L1268" s="7" t="str">
        <f t="shared" ca="1" si="37"/>
        <v/>
      </c>
    </row>
    <row r="1269" spans="12:12" x14ac:dyDescent="0.3">
      <c r="L1269" s="7" t="str">
        <f t="shared" ca="1" si="37"/>
        <v/>
      </c>
    </row>
    <row r="1270" spans="12:12" x14ac:dyDescent="0.3">
      <c r="L1270" s="7" t="str">
        <f t="shared" ca="1" si="37"/>
        <v/>
      </c>
    </row>
    <row r="1271" spans="12:12" x14ac:dyDescent="0.3">
      <c r="L1271" s="7" t="str">
        <f t="shared" ca="1" si="37"/>
        <v/>
      </c>
    </row>
    <row r="1272" spans="12:12" x14ac:dyDescent="0.3">
      <c r="L1272" s="7" t="str">
        <f t="shared" ca="1" si="37"/>
        <v/>
      </c>
    </row>
    <row r="1273" spans="12:12" x14ac:dyDescent="0.3">
      <c r="L1273" s="7" t="str">
        <f t="shared" ca="1" si="37"/>
        <v/>
      </c>
    </row>
    <row r="1274" spans="12:12" x14ac:dyDescent="0.3">
      <c r="L1274" s="7" t="str">
        <f t="shared" ca="1" si="37"/>
        <v/>
      </c>
    </row>
    <row r="1275" spans="12:12" x14ac:dyDescent="0.3">
      <c r="L1275" s="7" t="str">
        <f t="shared" ca="1" si="37"/>
        <v/>
      </c>
    </row>
    <row r="1276" spans="12:12" x14ac:dyDescent="0.3">
      <c r="L1276" s="7" t="str">
        <f t="shared" ca="1" si="37"/>
        <v/>
      </c>
    </row>
    <row r="1277" spans="12:12" x14ac:dyDescent="0.3">
      <c r="L1277" s="7" t="str">
        <f t="shared" ca="1" si="37"/>
        <v/>
      </c>
    </row>
    <row r="1278" spans="12:12" x14ac:dyDescent="0.3">
      <c r="L1278" s="7" t="str">
        <f t="shared" ca="1" si="37"/>
        <v/>
      </c>
    </row>
    <row r="1279" spans="12:12" x14ac:dyDescent="0.3">
      <c r="L1279" s="7" t="str">
        <f t="shared" ca="1" si="37"/>
        <v/>
      </c>
    </row>
    <row r="1280" spans="12:12" x14ac:dyDescent="0.3">
      <c r="L1280" s="7" t="str">
        <f t="shared" ca="1" si="37"/>
        <v/>
      </c>
    </row>
    <row r="1281" spans="12:12" x14ac:dyDescent="0.3">
      <c r="L1281" s="7" t="str">
        <f t="shared" ca="1" si="37"/>
        <v/>
      </c>
    </row>
    <row r="1282" spans="12:12" x14ac:dyDescent="0.3">
      <c r="L1282" s="7" t="str">
        <f t="shared" ca="1" si="37"/>
        <v/>
      </c>
    </row>
    <row r="1283" spans="12:12" x14ac:dyDescent="0.3">
      <c r="L1283" s="7" t="str">
        <f t="shared" ca="1" si="37"/>
        <v/>
      </c>
    </row>
    <row r="1284" spans="12:12" x14ac:dyDescent="0.3">
      <c r="L1284" s="7" t="str">
        <f t="shared" ref="L1284:L1347" ca="1" si="38">IF(I1284="Completed",0,IF(H1284="","",H1284-TODAY()))</f>
        <v/>
      </c>
    </row>
    <row r="1285" spans="12:12" x14ac:dyDescent="0.3">
      <c r="L1285" s="7" t="str">
        <f t="shared" ca="1" si="38"/>
        <v/>
      </c>
    </row>
    <row r="1286" spans="12:12" x14ac:dyDescent="0.3">
      <c r="L1286" s="7" t="str">
        <f t="shared" ca="1" si="38"/>
        <v/>
      </c>
    </row>
    <row r="1287" spans="12:12" x14ac:dyDescent="0.3">
      <c r="L1287" s="7" t="str">
        <f t="shared" ca="1" si="38"/>
        <v/>
      </c>
    </row>
    <row r="1288" spans="12:12" x14ac:dyDescent="0.3">
      <c r="L1288" s="7" t="str">
        <f t="shared" ca="1" si="38"/>
        <v/>
      </c>
    </row>
    <row r="1289" spans="12:12" x14ac:dyDescent="0.3">
      <c r="L1289" s="7" t="str">
        <f t="shared" ca="1" si="38"/>
        <v/>
      </c>
    </row>
    <row r="1290" spans="12:12" x14ac:dyDescent="0.3">
      <c r="L1290" s="7" t="str">
        <f t="shared" ca="1" si="38"/>
        <v/>
      </c>
    </row>
    <row r="1291" spans="12:12" x14ac:dyDescent="0.3">
      <c r="L1291" s="7" t="str">
        <f t="shared" ca="1" si="38"/>
        <v/>
      </c>
    </row>
    <row r="1292" spans="12:12" x14ac:dyDescent="0.3">
      <c r="L1292" s="7" t="str">
        <f t="shared" ca="1" si="38"/>
        <v/>
      </c>
    </row>
    <row r="1293" spans="12:12" x14ac:dyDescent="0.3">
      <c r="L1293" s="7" t="str">
        <f t="shared" ca="1" si="38"/>
        <v/>
      </c>
    </row>
    <row r="1294" spans="12:12" x14ac:dyDescent="0.3">
      <c r="L1294" s="7" t="str">
        <f t="shared" ca="1" si="38"/>
        <v/>
      </c>
    </row>
    <row r="1295" spans="12:12" x14ac:dyDescent="0.3">
      <c r="L1295" s="7" t="str">
        <f t="shared" ca="1" si="38"/>
        <v/>
      </c>
    </row>
    <row r="1296" spans="12:12" x14ac:dyDescent="0.3">
      <c r="L1296" s="7" t="str">
        <f t="shared" ca="1" si="38"/>
        <v/>
      </c>
    </row>
    <row r="1297" spans="12:12" x14ac:dyDescent="0.3">
      <c r="L1297" s="7" t="str">
        <f t="shared" ca="1" si="38"/>
        <v/>
      </c>
    </row>
    <row r="1298" spans="12:12" x14ac:dyDescent="0.3">
      <c r="L1298" s="7" t="str">
        <f t="shared" ca="1" si="38"/>
        <v/>
      </c>
    </row>
    <row r="1299" spans="12:12" x14ac:dyDescent="0.3">
      <c r="L1299" s="7" t="str">
        <f t="shared" ca="1" si="38"/>
        <v/>
      </c>
    </row>
    <row r="1300" spans="12:12" x14ac:dyDescent="0.3">
      <c r="L1300" s="7" t="str">
        <f t="shared" ca="1" si="38"/>
        <v/>
      </c>
    </row>
    <row r="1301" spans="12:12" x14ac:dyDescent="0.3">
      <c r="L1301" s="7" t="str">
        <f t="shared" ca="1" si="38"/>
        <v/>
      </c>
    </row>
    <row r="1302" spans="12:12" x14ac:dyDescent="0.3">
      <c r="L1302" s="7" t="str">
        <f t="shared" ca="1" si="38"/>
        <v/>
      </c>
    </row>
    <row r="1303" spans="12:12" x14ac:dyDescent="0.3">
      <c r="L1303" s="7" t="str">
        <f t="shared" ca="1" si="38"/>
        <v/>
      </c>
    </row>
    <row r="1304" spans="12:12" x14ac:dyDescent="0.3">
      <c r="L1304" s="7" t="str">
        <f t="shared" ca="1" si="38"/>
        <v/>
      </c>
    </row>
    <row r="1305" spans="12:12" x14ac:dyDescent="0.3">
      <c r="L1305" s="7" t="str">
        <f t="shared" ca="1" si="38"/>
        <v/>
      </c>
    </row>
    <row r="1306" spans="12:12" x14ac:dyDescent="0.3">
      <c r="L1306" s="7" t="str">
        <f t="shared" ca="1" si="38"/>
        <v/>
      </c>
    </row>
    <row r="1307" spans="12:12" x14ac:dyDescent="0.3">
      <c r="L1307" s="7" t="str">
        <f t="shared" ca="1" si="38"/>
        <v/>
      </c>
    </row>
    <row r="1308" spans="12:12" x14ac:dyDescent="0.3">
      <c r="L1308" s="7" t="str">
        <f t="shared" ca="1" si="38"/>
        <v/>
      </c>
    </row>
    <row r="1309" spans="12:12" x14ac:dyDescent="0.3">
      <c r="L1309" s="7" t="str">
        <f t="shared" ca="1" si="38"/>
        <v/>
      </c>
    </row>
    <row r="1310" spans="12:12" x14ac:dyDescent="0.3">
      <c r="L1310" s="7" t="str">
        <f t="shared" ca="1" si="38"/>
        <v/>
      </c>
    </row>
    <row r="1311" spans="12:12" x14ac:dyDescent="0.3">
      <c r="L1311" s="7" t="str">
        <f t="shared" ca="1" si="38"/>
        <v/>
      </c>
    </row>
    <row r="1312" spans="12:12" x14ac:dyDescent="0.3">
      <c r="L1312" s="7" t="str">
        <f t="shared" ca="1" si="38"/>
        <v/>
      </c>
    </row>
    <row r="1313" spans="12:12" x14ac:dyDescent="0.3">
      <c r="L1313" s="7" t="str">
        <f t="shared" ca="1" si="38"/>
        <v/>
      </c>
    </row>
    <row r="1314" spans="12:12" x14ac:dyDescent="0.3">
      <c r="L1314" s="7" t="str">
        <f t="shared" ca="1" si="38"/>
        <v/>
      </c>
    </row>
    <row r="1315" spans="12:12" x14ac:dyDescent="0.3">
      <c r="L1315" s="7" t="str">
        <f t="shared" ca="1" si="38"/>
        <v/>
      </c>
    </row>
    <row r="1316" spans="12:12" x14ac:dyDescent="0.3">
      <c r="L1316" s="7" t="str">
        <f t="shared" ca="1" si="38"/>
        <v/>
      </c>
    </row>
    <row r="1317" spans="12:12" x14ac:dyDescent="0.3">
      <c r="L1317" s="7" t="str">
        <f t="shared" ca="1" si="38"/>
        <v/>
      </c>
    </row>
    <row r="1318" spans="12:12" x14ac:dyDescent="0.3">
      <c r="L1318" s="7" t="str">
        <f t="shared" ca="1" si="38"/>
        <v/>
      </c>
    </row>
    <row r="1319" spans="12:12" x14ac:dyDescent="0.3">
      <c r="L1319" s="7" t="str">
        <f t="shared" ca="1" si="38"/>
        <v/>
      </c>
    </row>
    <row r="1320" spans="12:12" x14ac:dyDescent="0.3">
      <c r="L1320" s="7" t="str">
        <f t="shared" ca="1" si="38"/>
        <v/>
      </c>
    </row>
    <row r="1321" spans="12:12" x14ac:dyDescent="0.3">
      <c r="L1321" s="7" t="str">
        <f t="shared" ca="1" si="38"/>
        <v/>
      </c>
    </row>
    <row r="1322" spans="12:12" x14ac:dyDescent="0.3">
      <c r="L1322" s="7" t="str">
        <f t="shared" ca="1" si="38"/>
        <v/>
      </c>
    </row>
    <row r="1323" spans="12:12" x14ac:dyDescent="0.3">
      <c r="L1323" s="7" t="str">
        <f t="shared" ca="1" si="38"/>
        <v/>
      </c>
    </row>
    <row r="1324" spans="12:12" x14ac:dyDescent="0.3">
      <c r="L1324" s="7" t="str">
        <f t="shared" ca="1" si="38"/>
        <v/>
      </c>
    </row>
    <row r="1325" spans="12:12" x14ac:dyDescent="0.3">
      <c r="L1325" s="7" t="str">
        <f t="shared" ca="1" si="38"/>
        <v/>
      </c>
    </row>
    <row r="1326" spans="12:12" x14ac:dyDescent="0.3">
      <c r="L1326" s="7" t="str">
        <f t="shared" ca="1" si="38"/>
        <v/>
      </c>
    </row>
    <row r="1327" spans="12:12" x14ac:dyDescent="0.3">
      <c r="L1327" s="7" t="str">
        <f t="shared" ca="1" si="38"/>
        <v/>
      </c>
    </row>
    <row r="1328" spans="12:12" x14ac:dyDescent="0.3">
      <c r="L1328" s="7" t="str">
        <f t="shared" ca="1" si="38"/>
        <v/>
      </c>
    </row>
    <row r="1329" spans="12:12" x14ac:dyDescent="0.3">
      <c r="L1329" s="7" t="str">
        <f t="shared" ca="1" si="38"/>
        <v/>
      </c>
    </row>
    <row r="1330" spans="12:12" x14ac:dyDescent="0.3">
      <c r="L1330" s="7" t="str">
        <f t="shared" ca="1" si="38"/>
        <v/>
      </c>
    </row>
    <row r="1331" spans="12:12" x14ac:dyDescent="0.3">
      <c r="L1331" s="7" t="str">
        <f t="shared" ca="1" si="38"/>
        <v/>
      </c>
    </row>
    <row r="1332" spans="12:12" x14ac:dyDescent="0.3">
      <c r="L1332" s="7" t="str">
        <f t="shared" ca="1" si="38"/>
        <v/>
      </c>
    </row>
    <row r="1333" spans="12:12" x14ac:dyDescent="0.3">
      <c r="L1333" s="7" t="str">
        <f t="shared" ca="1" si="38"/>
        <v/>
      </c>
    </row>
    <row r="1334" spans="12:12" x14ac:dyDescent="0.3">
      <c r="L1334" s="7" t="str">
        <f t="shared" ca="1" si="38"/>
        <v/>
      </c>
    </row>
    <row r="1335" spans="12:12" x14ac:dyDescent="0.3">
      <c r="L1335" s="7" t="str">
        <f t="shared" ca="1" si="38"/>
        <v/>
      </c>
    </row>
    <row r="1336" spans="12:12" x14ac:dyDescent="0.3">
      <c r="L1336" s="7" t="str">
        <f t="shared" ca="1" si="38"/>
        <v/>
      </c>
    </row>
    <row r="1337" spans="12:12" x14ac:dyDescent="0.3">
      <c r="L1337" s="7" t="str">
        <f t="shared" ca="1" si="38"/>
        <v/>
      </c>
    </row>
    <row r="1338" spans="12:12" x14ac:dyDescent="0.3">
      <c r="L1338" s="7" t="str">
        <f t="shared" ca="1" si="38"/>
        <v/>
      </c>
    </row>
    <row r="1339" spans="12:12" x14ac:dyDescent="0.3">
      <c r="L1339" s="7" t="str">
        <f t="shared" ca="1" si="38"/>
        <v/>
      </c>
    </row>
    <row r="1340" spans="12:12" x14ac:dyDescent="0.3">
      <c r="L1340" s="7" t="str">
        <f t="shared" ca="1" si="38"/>
        <v/>
      </c>
    </row>
    <row r="1341" spans="12:12" x14ac:dyDescent="0.3">
      <c r="L1341" s="7" t="str">
        <f t="shared" ca="1" si="38"/>
        <v/>
      </c>
    </row>
    <row r="1342" spans="12:12" x14ac:dyDescent="0.3">
      <c r="L1342" s="7" t="str">
        <f t="shared" ca="1" si="38"/>
        <v/>
      </c>
    </row>
    <row r="1343" spans="12:12" x14ac:dyDescent="0.3">
      <c r="L1343" s="7" t="str">
        <f t="shared" ca="1" si="38"/>
        <v/>
      </c>
    </row>
    <row r="1344" spans="12:12" x14ac:dyDescent="0.3">
      <c r="L1344" s="7" t="str">
        <f t="shared" ca="1" si="38"/>
        <v/>
      </c>
    </row>
    <row r="1345" spans="12:12" x14ac:dyDescent="0.3">
      <c r="L1345" s="7" t="str">
        <f t="shared" ca="1" si="38"/>
        <v/>
      </c>
    </row>
    <row r="1346" spans="12:12" x14ac:dyDescent="0.3">
      <c r="L1346" s="7" t="str">
        <f t="shared" ca="1" si="38"/>
        <v/>
      </c>
    </row>
    <row r="1347" spans="12:12" x14ac:dyDescent="0.3">
      <c r="L1347" s="7" t="str">
        <f t="shared" ca="1" si="38"/>
        <v/>
      </c>
    </row>
    <row r="1348" spans="12:12" x14ac:dyDescent="0.3">
      <c r="L1348" s="7" t="str">
        <f t="shared" ref="L1348:L1411" ca="1" si="39">IF(I1348="Completed",0,IF(H1348="","",H1348-TODAY()))</f>
        <v/>
      </c>
    </row>
    <row r="1349" spans="12:12" x14ac:dyDescent="0.3">
      <c r="L1349" s="7" t="str">
        <f t="shared" ca="1" si="39"/>
        <v/>
      </c>
    </row>
    <row r="1350" spans="12:12" x14ac:dyDescent="0.3">
      <c r="L1350" s="7" t="str">
        <f t="shared" ca="1" si="39"/>
        <v/>
      </c>
    </row>
    <row r="1351" spans="12:12" x14ac:dyDescent="0.3">
      <c r="L1351" s="7" t="str">
        <f t="shared" ca="1" si="39"/>
        <v/>
      </c>
    </row>
    <row r="1352" spans="12:12" x14ac:dyDescent="0.3">
      <c r="L1352" s="7" t="str">
        <f t="shared" ca="1" si="39"/>
        <v/>
      </c>
    </row>
    <row r="1353" spans="12:12" x14ac:dyDescent="0.3">
      <c r="L1353" s="7" t="str">
        <f t="shared" ca="1" si="39"/>
        <v/>
      </c>
    </row>
    <row r="1354" spans="12:12" x14ac:dyDescent="0.3">
      <c r="L1354" s="7" t="str">
        <f t="shared" ca="1" si="39"/>
        <v/>
      </c>
    </row>
    <row r="1355" spans="12:12" x14ac:dyDescent="0.3">
      <c r="L1355" s="7" t="str">
        <f t="shared" ca="1" si="39"/>
        <v/>
      </c>
    </row>
    <row r="1356" spans="12:12" x14ac:dyDescent="0.3">
      <c r="L1356" s="7" t="str">
        <f t="shared" ca="1" si="39"/>
        <v/>
      </c>
    </row>
    <row r="1357" spans="12:12" x14ac:dyDescent="0.3">
      <c r="L1357" s="7" t="str">
        <f t="shared" ca="1" si="39"/>
        <v/>
      </c>
    </row>
    <row r="1358" spans="12:12" x14ac:dyDescent="0.3">
      <c r="L1358" s="7" t="str">
        <f t="shared" ca="1" si="39"/>
        <v/>
      </c>
    </row>
    <row r="1359" spans="12:12" x14ac:dyDescent="0.3">
      <c r="L1359" s="7" t="str">
        <f t="shared" ca="1" si="39"/>
        <v/>
      </c>
    </row>
    <row r="1360" spans="12:12" x14ac:dyDescent="0.3">
      <c r="L1360" s="7" t="str">
        <f t="shared" ca="1" si="39"/>
        <v/>
      </c>
    </row>
    <row r="1361" spans="12:12" x14ac:dyDescent="0.3">
      <c r="L1361" s="7" t="str">
        <f t="shared" ca="1" si="39"/>
        <v/>
      </c>
    </row>
    <row r="1362" spans="12:12" x14ac:dyDescent="0.3">
      <c r="L1362" s="7" t="str">
        <f t="shared" ca="1" si="39"/>
        <v/>
      </c>
    </row>
    <row r="1363" spans="12:12" x14ac:dyDescent="0.3">
      <c r="L1363" s="7" t="str">
        <f t="shared" ca="1" si="39"/>
        <v/>
      </c>
    </row>
    <row r="1364" spans="12:12" x14ac:dyDescent="0.3">
      <c r="L1364" s="7" t="str">
        <f t="shared" ca="1" si="39"/>
        <v/>
      </c>
    </row>
    <row r="1365" spans="12:12" x14ac:dyDescent="0.3">
      <c r="L1365" s="7" t="str">
        <f t="shared" ca="1" si="39"/>
        <v/>
      </c>
    </row>
    <row r="1366" spans="12:12" x14ac:dyDescent="0.3">
      <c r="L1366" s="7" t="str">
        <f t="shared" ca="1" si="39"/>
        <v/>
      </c>
    </row>
    <row r="1367" spans="12:12" x14ac:dyDescent="0.3">
      <c r="L1367" s="7" t="str">
        <f t="shared" ca="1" si="39"/>
        <v/>
      </c>
    </row>
    <row r="1368" spans="12:12" x14ac:dyDescent="0.3">
      <c r="L1368" s="7" t="str">
        <f t="shared" ca="1" si="39"/>
        <v/>
      </c>
    </row>
    <row r="1369" spans="12:12" x14ac:dyDescent="0.3">
      <c r="L1369" s="7" t="str">
        <f t="shared" ca="1" si="39"/>
        <v/>
      </c>
    </row>
    <row r="1370" spans="12:12" x14ac:dyDescent="0.3">
      <c r="L1370" s="7" t="str">
        <f t="shared" ca="1" si="39"/>
        <v/>
      </c>
    </row>
    <row r="1371" spans="12:12" x14ac:dyDescent="0.3">
      <c r="L1371" s="7" t="str">
        <f t="shared" ca="1" si="39"/>
        <v/>
      </c>
    </row>
    <row r="1372" spans="12:12" x14ac:dyDescent="0.3">
      <c r="L1372" s="7" t="str">
        <f t="shared" ca="1" si="39"/>
        <v/>
      </c>
    </row>
    <row r="1373" spans="12:12" x14ac:dyDescent="0.3">
      <c r="L1373" s="7" t="str">
        <f t="shared" ca="1" si="39"/>
        <v/>
      </c>
    </row>
    <row r="1374" spans="12:12" x14ac:dyDescent="0.3">
      <c r="L1374" s="7" t="str">
        <f t="shared" ca="1" si="39"/>
        <v/>
      </c>
    </row>
    <row r="1375" spans="12:12" x14ac:dyDescent="0.3">
      <c r="L1375" s="7" t="str">
        <f t="shared" ca="1" si="39"/>
        <v/>
      </c>
    </row>
    <row r="1376" spans="12:12" x14ac:dyDescent="0.3">
      <c r="L1376" s="7" t="str">
        <f t="shared" ca="1" si="39"/>
        <v/>
      </c>
    </row>
    <row r="1377" spans="12:12" x14ac:dyDescent="0.3">
      <c r="L1377" s="7" t="str">
        <f t="shared" ca="1" si="39"/>
        <v/>
      </c>
    </row>
    <row r="1378" spans="12:12" x14ac:dyDescent="0.3">
      <c r="L1378" s="7" t="str">
        <f t="shared" ca="1" si="39"/>
        <v/>
      </c>
    </row>
    <row r="1379" spans="12:12" x14ac:dyDescent="0.3">
      <c r="L1379" s="7" t="str">
        <f t="shared" ca="1" si="39"/>
        <v/>
      </c>
    </row>
    <row r="1380" spans="12:12" x14ac:dyDescent="0.3">
      <c r="L1380" s="7" t="str">
        <f t="shared" ca="1" si="39"/>
        <v/>
      </c>
    </row>
    <row r="1381" spans="12:12" x14ac:dyDescent="0.3">
      <c r="L1381" s="7" t="str">
        <f t="shared" ca="1" si="39"/>
        <v/>
      </c>
    </row>
    <row r="1382" spans="12:12" x14ac:dyDescent="0.3">
      <c r="L1382" s="7" t="str">
        <f t="shared" ca="1" si="39"/>
        <v/>
      </c>
    </row>
    <row r="1383" spans="12:12" x14ac:dyDescent="0.3">
      <c r="L1383" s="7" t="str">
        <f t="shared" ca="1" si="39"/>
        <v/>
      </c>
    </row>
    <row r="1384" spans="12:12" x14ac:dyDescent="0.3">
      <c r="L1384" s="7" t="str">
        <f t="shared" ca="1" si="39"/>
        <v/>
      </c>
    </row>
    <row r="1385" spans="12:12" x14ac:dyDescent="0.3">
      <c r="L1385" s="7" t="str">
        <f t="shared" ca="1" si="39"/>
        <v/>
      </c>
    </row>
    <row r="1386" spans="12:12" x14ac:dyDescent="0.3">
      <c r="L1386" s="7" t="str">
        <f t="shared" ca="1" si="39"/>
        <v/>
      </c>
    </row>
    <row r="1387" spans="12:12" x14ac:dyDescent="0.3">
      <c r="L1387" s="7" t="str">
        <f t="shared" ca="1" si="39"/>
        <v/>
      </c>
    </row>
    <row r="1388" spans="12:12" x14ac:dyDescent="0.3">
      <c r="L1388" s="7" t="str">
        <f t="shared" ca="1" si="39"/>
        <v/>
      </c>
    </row>
    <row r="1389" spans="12:12" x14ac:dyDescent="0.3">
      <c r="L1389" s="7" t="str">
        <f t="shared" ca="1" si="39"/>
        <v/>
      </c>
    </row>
    <row r="1390" spans="12:12" x14ac:dyDescent="0.3">
      <c r="L1390" s="7" t="str">
        <f t="shared" ca="1" si="39"/>
        <v/>
      </c>
    </row>
    <row r="1391" spans="12:12" x14ac:dyDescent="0.3">
      <c r="L1391" s="7" t="str">
        <f t="shared" ca="1" si="39"/>
        <v/>
      </c>
    </row>
    <row r="1392" spans="12:12" x14ac:dyDescent="0.3">
      <c r="L1392" s="7" t="str">
        <f t="shared" ca="1" si="39"/>
        <v/>
      </c>
    </row>
    <row r="1393" spans="12:12" x14ac:dyDescent="0.3">
      <c r="L1393" s="7" t="str">
        <f t="shared" ca="1" si="39"/>
        <v/>
      </c>
    </row>
    <row r="1394" spans="12:12" x14ac:dyDescent="0.3">
      <c r="L1394" s="7" t="str">
        <f t="shared" ca="1" si="39"/>
        <v/>
      </c>
    </row>
    <row r="1395" spans="12:12" x14ac:dyDescent="0.3">
      <c r="L1395" s="7" t="str">
        <f t="shared" ca="1" si="39"/>
        <v/>
      </c>
    </row>
    <row r="1396" spans="12:12" x14ac:dyDescent="0.3">
      <c r="L1396" s="7" t="str">
        <f t="shared" ca="1" si="39"/>
        <v/>
      </c>
    </row>
    <row r="1397" spans="12:12" x14ac:dyDescent="0.3">
      <c r="L1397" s="7" t="str">
        <f t="shared" ca="1" si="39"/>
        <v/>
      </c>
    </row>
    <row r="1398" spans="12:12" x14ac:dyDescent="0.3">
      <c r="L1398" s="7" t="str">
        <f t="shared" ca="1" si="39"/>
        <v/>
      </c>
    </row>
    <row r="1399" spans="12:12" x14ac:dyDescent="0.3">
      <c r="L1399" s="7" t="str">
        <f t="shared" ca="1" si="39"/>
        <v/>
      </c>
    </row>
    <row r="1400" spans="12:12" x14ac:dyDescent="0.3">
      <c r="L1400" s="7" t="str">
        <f t="shared" ca="1" si="39"/>
        <v/>
      </c>
    </row>
    <row r="1401" spans="12:12" x14ac:dyDescent="0.3">
      <c r="L1401" s="7" t="str">
        <f t="shared" ca="1" si="39"/>
        <v/>
      </c>
    </row>
    <row r="1402" spans="12:12" x14ac:dyDescent="0.3">
      <c r="L1402" s="7" t="str">
        <f t="shared" ca="1" si="39"/>
        <v/>
      </c>
    </row>
    <row r="1403" spans="12:12" x14ac:dyDescent="0.3">
      <c r="L1403" s="7" t="str">
        <f t="shared" ca="1" si="39"/>
        <v/>
      </c>
    </row>
    <row r="1404" spans="12:12" x14ac:dyDescent="0.3">
      <c r="L1404" s="7" t="str">
        <f t="shared" ca="1" si="39"/>
        <v/>
      </c>
    </row>
    <row r="1405" spans="12:12" x14ac:dyDescent="0.3">
      <c r="L1405" s="7" t="str">
        <f t="shared" ca="1" si="39"/>
        <v/>
      </c>
    </row>
    <row r="1406" spans="12:12" x14ac:dyDescent="0.3">
      <c r="L1406" s="7" t="str">
        <f t="shared" ca="1" si="39"/>
        <v/>
      </c>
    </row>
    <row r="1407" spans="12:12" x14ac:dyDescent="0.3">
      <c r="L1407" s="7" t="str">
        <f t="shared" ca="1" si="39"/>
        <v/>
      </c>
    </row>
    <row r="1408" spans="12:12" x14ac:dyDescent="0.3">
      <c r="L1408" s="7" t="str">
        <f t="shared" ca="1" si="39"/>
        <v/>
      </c>
    </row>
    <row r="1409" spans="12:12" x14ac:dyDescent="0.3">
      <c r="L1409" s="7" t="str">
        <f t="shared" ca="1" si="39"/>
        <v/>
      </c>
    </row>
    <row r="1410" spans="12:12" x14ac:dyDescent="0.3">
      <c r="L1410" s="7" t="str">
        <f t="shared" ca="1" si="39"/>
        <v/>
      </c>
    </row>
    <row r="1411" spans="12:12" x14ac:dyDescent="0.3">
      <c r="L1411" s="7" t="str">
        <f t="shared" ca="1" si="39"/>
        <v/>
      </c>
    </row>
    <row r="1412" spans="12:12" x14ac:dyDescent="0.3">
      <c r="L1412" s="7" t="str">
        <f t="shared" ref="L1412:L1475" ca="1" si="40">IF(I1412="Completed",0,IF(H1412="","",H1412-TODAY()))</f>
        <v/>
      </c>
    </row>
    <row r="1413" spans="12:12" x14ac:dyDescent="0.3">
      <c r="L1413" s="7" t="str">
        <f t="shared" ca="1" si="40"/>
        <v/>
      </c>
    </row>
    <row r="1414" spans="12:12" x14ac:dyDescent="0.3">
      <c r="L1414" s="7" t="str">
        <f t="shared" ca="1" si="40"/>
        <v/>
      </c>
    </row>
    <row r="1415" spans="12:12" x14ac:dyDescent="0.3">
      <c r="L1415" s="7" t="str">
        <f t="shared" ca="1" si="40"/>
        <v/>
      </c>
    </row>
    <row r="1416" spans="12:12" x14ac:dyDescent="0.3">
      <c r="L1416" s="7" t="str">
        <f t="shared" ca="1" si="40"/>
        <v/>
      </c>
    </row>
    <row r="1417" spans="12:12" x14ac:dyDescent="0.3">
      <c r="L1417" s="7" t="str">
        <f t="shared" ca="1" si="40"/>
        <v/>
      </c>
    </row>
    <row r="1418" spans="12:12" x14ac:dyDescent="0.3">
      <c r="L1418" s="7" t="str">
        <f t="shared" ca="1" si="40"/>
        <v/>
      </c>
    </row>
    <row r="1419" spans="12:12" x14ac:dyDescent="0.3">
      <c r="L1419" s="7" t="str">
        <f t="shared" ca="1" si="40"/>
        <v/>
      </c>
    </row>
    <row r="1420" spans="12:12" x14ac:dyDescent="0.3">
      <c r="L1420" s="7" t="str">
        <f t="shared" ca="1" si="40"/>
        <v/>
      </c>
    </row>
    <row r="1421" spans="12:12" x14ac:dyDescent="0.3">
      <c r="L1421" s="7" t="str">
        <f t="shared" ca="1" si="40"/>
        <v/>
      </c>
    </row>
    <row r="1422" spans="12:12" x14ac:dyDescent="0.3">
      <c r="L1422" s="7" t="str">
        <f t="shared" ca="1" si="40"/>
        <v/>
      </c>
    </row>
    <row r="1423" spans="12:12" x14ac:dyDescent="0.3">
      <c r="L1423" s="7" t="str">
        <f t="shared" ca="1" si="40"/>
        <v/>
      </c>
    </row>
    <row r="1424" spans="12:12" x14ac:dyDescent="0.3">
      <c r="L1424" s="7" t="str">
        <f t="shared" ca="1" si="40"/>
        <v/>
      </c>
    </row>
    <row r="1425" spans="12:12" x14ac:dyDescent="0.3">
      <c r="L1425" s="7" t="str">
        <f t="shared" ca="1" si="40"/>
        <v/>
      </c>
    </row>
    <row r="1426" spans="12:12" x14ac:dyDescent="0.3">
      <c r="L1426" s="7" t="str">
        <f t="shared" ca="1" si="40"/>
        <v/>
      </c>
    </row>
    <row r="1427" spans="12:12" x14ac:dyDescent="0.3">
      <c r="L1427" s="7" t="str">
        <f t="shared" ca="1" si="40"/>
        <v/>
      </c>
    </row>
    <row r="1428" spans="12:12" x14ac:dyDescent="0.3">
      <c r="L1428" s="7" t="str">
        <f t="shared" ca="1" si="40"/>
        <v/>
      </c>
    </row>
    <row r="1429" spans="12:12" x14ac:dyDescent="0.3">
      <c r="L1429" s="7" t="str">
        <f t="shared" ca="1" si="40"/>
        <v/>
      </c>
    </row>
    <row r="1430" spans="12:12" x14ac:dyDescent="0.3">
      <c r="L1430" s="7" t="str">
        <f t="shared" ca="1" si="40"/>
        <v/>
      </c>
    </row>
    <row r="1431" spans="12:12" x14ac:dyDescent="0.3">
      <c r="L1431" s="7" t="str">
        <f t="shared" ca="1" si="40"/>
        <v/>
      </c>
    </row>
    <row r="1432" spans="12:12" x14ac:dyDescent="0.3">
      <c r="L1432" s="7" t="str">
        <f t="shared" ca="1" si="40"/>
        <v/>
      </c>
    </row>
    <row r="1433" spans="12:12" x14ac:dyDescent="0.3">
      <c r="L1433" s="7" t="str">
        <f t="shared" ca="1" si="40"/>
        <v/>
      </c>
    </row>
    <row r="1434" spans="12:12" x14ac:dyDescent="0.3">
      <c r="L1434" s="7" t="str">
        <f t="shared" ca="1" si="40"/>
        <v/>
      </c>
    </row>
    <row r="1435" spans="12:12" x14ac:dyDescent="0.3">
      <c r="L1435" s="7" t="str">
        <f t="shared" ca="1" si="40"/>
        <v/>
      </c>
    </row>
    <row r="1436" spans="12:12" x14ac:dyDescent="0.3">
      <c r="L1436" s="7" t="str">
        <f t="shared" ca="1" si="40"/>
        <v/>
      </c>
    </row>
    <row r="1437" spans="12:12" x14ac:dyDescent="0.3">
      <c r="L1437" s="7" t="str">
        <f t="shared" ca="1" si="40"/>
        <v/>
      </c>
    </row>
    <row r="1438" spans="12:12" x14ac:dyDescent="0.3">
      <c r="L1438" s="7" t="str">
        <f t="shared" ca="1" si="40"/>
        <v/>
      </c>
    </row>
    <row r="1439" spans="12:12" x14ac:dyDescent="0.3">
      <c r="L1439" s="7" t="str">
        <f t="shared" ca="1" si="40"/>
        <v/>
      </c>
    </row>
    <row r="1440" spans="12:12" x14ac:dyDescent="0.3">
      <c r="L1440" s="7" t="str">
        <f t="shared" ca="1" si="40"/>
        <v/>
      </c>
    </row>
    <row r="1441" spans="12:12" x14ac:dyDescent="0.3">
      <c r="L1441" s="7" t="str">
        <f t="shared" ca="1" si="40"/>
        <v/>
      </c>
    </row>
    <row r="1442" spans="12:12" x14ac:dyDescent="0.3">
      <c r="L1442" s="7" t="str">
        <f t="shared" ca="1" si="40"/>
        <v/>
      </c>
    </row>
    <row r="1443" spans="12:12" x14ac:dyDescent="0.3">
      <c r="L1443" s="7" t="str">
        <f t="shared" ca="1" si="40"/>
        <v/>
      </c>
    </row>
    <row r="1444" spans="12:12" x14ac:dyDescent="0.3">
      <c r="L1444" s="7" t="str">
        <f t="shared" ca="1" si="40"/>
        <v/>
      </c>
    </row>
    <row r="1445" spans="12:12" x14ac:dyDescent="0.3">
      <c r="L1445" s="7" t="str">
        <f t="shared" ca="1" si="40"/>
        <v/>
      </c>
    </row>
    <row r="1446" spans="12:12" x14ac:dyDescent="0.3">
      <c r="L1446" s="7" t="str">
        <f t="shared" ca="1" si="40"/>
        <v/>
      </c>
    </row>
    <row r="1447" spans="12:12" x14ac:dyDescent="0.3">
      <c r="L1447" s="7" t="str">
        <f t="shared" ca="1" si="40"/>
        <v/>
      </c>
    </row>
    <row r="1448" spans="12:12" x14ac:dyDescent="0.3">
      <c r="L1448" s="7" t="str">
        <f t="shared" ca="1" si="40"/>
        <v/>
      </c>
    </row>
    <row r="1449" spans="12:12" x14ac:dyDescent="0.3">
      <c r="L1449" s="7" t="str">
        <f t="shared" ca="1" si="40"/>
        <v/>
      </c>
    </row>
    <row r="1450" spans="12:12" x14ac:dyDescent="0.3">
      <c r="L1450" s="7" t="str">
        <f t="shared" ca="1" si="40"/>
        <v/>
      </c>
    </row>
    <row r="1451" spans="12:12" x14ac:dyDescent="0.3">
      <c r="L1451" s="7" t="str">
        <f t="shared" ca="1" si="40"/>
        <v/>
      </c>
    </row>
    <row r="1452" spans="12:12" x14ac:dyDescent="0.3">
      <c r="L1452" s="7" t="str">
        <f t="shared" ca="1" si="40"/>
        <v/>
      </c>
    </row>
    <row r="1453" spans="12:12" x14ac:dyDescent="0.3">
      <c r="L1453" s="7" t="str">
        <f t="shared" ca="1" si="40"/>
        <v/>
      </c>
    </row>
    <row r="1454" spans="12:12" x14ac:dyDescent="0.3">
      <c r="L1454" s="7" t="str">
        <f t="shared" ca="1" si="40"/>
        <v/>
      </c>
    </row>
    <row r="1455" spans="12:12" x14ac:dyDescent="0.3">
      <c r="L1455" s="7" t="str">
        <f t="shared" ca="1" si="40"/>
        <v/>
      </c>
    </row>
    <row r="1456" spans="12:12" x14ac:dyDescent="0.3">
      <c r="L1456" s="7" t="str">
        <f t="shared" ca="1" si="40"/>
        <v/>
      </c>
    </row>
    <row r="1457" spans="12:12" x14ac:dyDescent="0.3">
      <c r="L1457" s="7" t="str">
        <f t="shared" ca="1" si="40"/>
        <v/>
      </c>
    </row>
    <row r="1458" spans="12:12" x14ac:dyDescent="0.3">
      <c r="L1458" s="7" t="str">
        <f t="shared" ca="1" si="40"/>
        <v/>
      </c>
    </row>
    <row r="1459" spans="12:12" x14ac:dyDescent="0.3">
      <c r="L1459" s="7" t="str">
        <f t="shared" ca="1" si="40"/>
        <v/>
      </c>
    </row>
    <row r="1460" spans="12:12" x14ac:dyDescent="0.3">
      <c r="L1460" s="7" t="str">
        <f t="shared" ca="1" si="40"/>
        <v/>
      </c>
    </row>
    <row r="1461" spans="12:12" x14ac:dyDescent="0.3">
      <c r="L1461" s="7" t="str">
        <f t="shared" ca="1" si="40"/>
        <v/>
      </c>
    </row>
    <row r="1462" spans="12:12" x14ac:dyDescent="0.3">
      <c r="L1462" s="7" t="str">
        <f t="shared" ca="1" si="40"/>
        <v/>
      </c>
    </row>
    <row r="1463" spans="12:12" x14ac:dyDescent="0.3">
      <c r="L1463" s="7" t="str">
        <f t="shared" ca="1" si="40"/>
        <v/>
      </c>
    </row>
    <row r="1464" spans="12:12" x14ac:dyDescent="0.3">
      <c r="L1464" s="7" t="str">
        <f t="shared" ca="1" si="40"/>
        <v/>
      </c>
    </row>
    <row r="1465" spans="12:12" x14ac:dyDescent="0.3">
      <c r="L1465" s="7" t="str">
        <f t="shared" ca="1" si="40"/>
        <v/>
      </c>
    </row>
    <row r="1466" spans="12:12" x14ac:dyDescent="0.3">
      <c r="L1466" s="7" t="str">
        <f t="shared" ca="1" si="40"/>
        <v/>
      </c>
    </row>
    <row r="1467" spans="12:12" x14ac:dyDescent="0.3">
      <c r="L1467" s="7" t="str">
        <f t="shared" ca="1" si="40"/>
        <v/>
      </c>
    </row>
    <row r="1468" spans="12:12" x14ac:dyDescent="0.3">
      <c r="L1468" s="7" t="str">
        <f t="shared" ca="1" si="40"/>
        <v/>
      </c>
    </row>
    <row r="1469" spans="12:12" x14ac:dyDescent="0.3">
      <c r="L1469" s="7" t="str">
        <f t="shared" ca="1" si="40"/>
        <v/>
      </c>
    </row>
    <row r="1470" spans="12:12" x14ac:dyDescent="0.3">
      <c r="L1470" s="7" t="str">
        <f t="shared" ca="1" si="40"/>
        <v/>
      </c>
    </row>
    <row r="1471" spans="12:12" x14ac:dyDescent="0.3">
      <c r="L1471" s="7" t="str">
        <f t="shared" ca="1" si="40"/>
        <v/>
      </c>
    </row>
    <row r="1472" spans="12:12" x14ac:dyDescent="0.3">
      <c r="L1472" s="7" t="str">
        <f t="shared" ca="1" si="40"/>
        <v/>
      </c>
    </row>
    <row r="1473" spans="12:12" x14ac:dyDescent="0.3">
      <c r="L1473" s="7" t="str">
        <f t="shared" ca="1" si="40"/>
        <v/>
      </c>
    </row>
    <row r="1474" spans="12:12" x14ac:dyDescent="0.3">
      <c r="L1474" s="7" t="str">
        <f t="shared" ca="1" si="40"/>
        <v/>
      </c>
    </row>
    <row r="1475" spans="12:12" x14ac:dyDescent="0.3">
      <c r="L1475" s="7" t="str">
        <f t="shared" ca="1" si="40"/>
        <v/>
      </c>
    </row>
    <row r="1476" spans="12:12" x14ac:dyDescent="0.3">
      <c r="L1476" s="7" t="str">
        <f t="shared" ref="L1476:L1539" ca="1" si="41">IF(I1476="Completed",0,IF(H1476="","",H1476-TODAY()))</f>
        <v/>
      </c>
    </row>
    <row r="1477" spans="12:12" x14ac:dyDescent="0.3">
      <c r="L1477" s="7" t="str">
        <f t="shared" ca="1" si="41"/>
        <v/>
      </c>
    </row>
    <row r="1478" spans="12:12" x14ac:dyDescent="0.3">
      <c r="L1478" s="7" t="str">
        <f t="shared" ca="1" si="41"/>
        <v/>
      </c>
    </row>
    <row r="1479" spans="12:12" x14ac:dyDescent="0.3">
      <c r="L1479" s="7" t="str">
        <f t="shared" ca="1" si="41"/>
        <v/>
      </c>
    </row>
    <row r="1480" spans="12:12" x14ac:dyDescent="0.3">
      <c r="L1480" s="7" t="str">
        <f t="shared" ca="1" si="41"/>
        <v/>
      </c>
    </row>
    <row r="1481" spans="12:12" x14ac:dyDescent="0.3">
      <c r="L1481" s="7" t="str">
        <f t="shared" ca="1" si="41"/>
        <v/>
      </c>
    </row>
    <row r="1482" spans="12:12" x14ac:dyDescent="0.3">
      <c r="L1482" s="7" t="str">
        <f t="shared" ca="1" si="41"/>
        <v/>
      </c>
    </row>
    <row r="1483" spans="12:12" x14ac:dyDescent="0.3">
      <c r="L1483" s="7" t="str">
        <f t="shared" ca="1" si="41"/>
        <v/>
      </c>
    </row>
    <row r="1484" spans="12:12" x14ac:dyDescent="0.3">
      <c r="L1484" s="7" t="str">
        <f t="shared" ca="1" si="41"/>
        <v/>
      </c>
    </row>
    <row r="1485" spans="12:12" x14ac:dyDescent="0.3">
      <c r="L1485" s="7" t="str">
        <f t="shared" ca="1" si="41"/>
        <v/>
      </c>
    </row>
    <row r="1486" spans="12:12" x14ac:dyDescent="0.3">
      <c r="L1486" s="7" t="str">
        <f t="shared" ca="1" si="41"/>
        <v/>
      </c>
    </row>
    <row r="1487" spans="12:12" x14ac:dyDescent="0.3">
      <c r="L1487" s="7" t="str">
        <f t="shared" ca="1" si="41"/>
        <v/>
      </c>
    </row>
    <row r="1488" spans="12:12" x14ac:dyDescent="0.3">
      <c r="L1488" s="7" t="str">
        <f t="shared" ca="1" si="41"/>
        <v/>
      </c>
    </row>
    <row r="1489" spans="12:12" x14ac:dyDescent="0.3">
      <c r="L1489" s="7" t="str">
        <f t="shared" ca="1" si="41"/>
        <v/>
      </c>
    </row>
    <row r="1490" spans="12:12" x14ac:dyDescent="0.3">
      <c r="L1490" s="7" t="str">
        <f t="shared" ca="1" si="41"/>
        <v/>
      </c>
    </row>
    <row r="1491" spans="12:12" x14ac:dyDescent="0.3">
      <c r="L1491" s="7" t="str">
        <f t="shared" ca="1" si="41"/>
        <v/>
      </c>
    </row>
    <row r="1492" spans="12:12" x14ac:dyDescent="0.3">
      <c r="L1492" s="7" t="str">
        <f t="shared" ca="1" si="41"/>
        <v/>
      </c>
    </row>
    <row r="1493" spans="12:12" x14ac:dyDescent="0.3">
      <c r="L1493" s="7" t="str">
        <f t="shared" ca="1" si="41"/>
        <v/>
      </c>
    </row>
    <row r="1494" spans="12:12" x14ac:dyDescent="0.3">
      <c r="L1494" s="7" t="str">
        <f t="shared" ca="1" si="41"/>
        <v/>
      </c>
    </row>
    <row r="1495" spans="12:12" x14ac:dyDescent="0.3">
      <c r="L1495" s="7" t="str">
        <f t="shared" ca="1" si="41"/>
        <v/>
      </c>
    </row>
    <row r="1496" spans="12:12" x14ac:dyDescent="0.3">
      <c r="L1496" s="7" t="str">
        <f t="shared" ca="1" si="41"/>
        <v/>
      </c>
    </row>
    <row r="1497" spans="12:12" x14ac:dyDescent="0.3">
      <c r="L1497" s="7" t="str">
        <f t="shared" ca="1" si="41"/>
        <v/>
      </c>
    </row>
    <row r="1498" spans="12:12" x14ac:dyDescent="0.3">
      <c r="L1498" s="7" t="str">
        <f t="shared" ca="1" si="41"/>
        <v/>
      </c>
    </row>
    <row r="1499" spans="12:12" x14ac:dyDescent="0.3">
      <c r="L1499" s="7" t="str">
        <f t="shared" ca="1" si="41"/>
        <v/>
      </c>
    </row>
    <row r="1500" spans="12:12" x14ac:dyDescent="0.3">
      <c r="L1500" s="7" t="str">
        <f t="shared" ca="1" si="41"/>
        <v/>
      </c>
    </row>
    <row r="1501" spans="12:12" x14ac:dyDescent="0.3">
      <c r="L1501" s="7" t="str">
        <f t="shared" ca="1" si="41"/>
        <v/>
      </c>
    </row>
    <row r="1502" spans="12:12" x14ac:dyDescent="0.3">
      <c r="L1502" s="7" t="str">
        <f t="shared" ca="1" si="41"/>
        <v/>
      </c>
    </row>
    <row r="1503" spans="12:12" x14ac:dyDescent="0.3">
      <c r="L1503" s="7" t="str">
        <f t="shared" ca="1" si="41"/>
        <v/>
      </c>
    </row>
    <row r="1504" spans="12:12" x14ac:dyDescent="0.3">
      <c r="L1504" s="7" t="str">
        <f t="shared" ca="1" si="41"/>
        <v/>
      </c>
    </row>
    <row r="1505" spans="12:12" x14ac:dyDescent="0.3">
      <c r="L1505" s="7" t="str">
        <f t="shared" ca="1" si="41"/>
        <v/>
      </c>
    </row>
    <row r="1506" spans="12:12" x14ac:dyDescent="0.3">
      <c r="L1506" s="7" t="str">
        <f t="shared" ca="1" si="41"/>
        <v/>
      </c>
    </row>
    <row r="1507" spans="12:12" x14ac:dyDescent="0.3">
      <c r="L1507" s="7" t="str">
        <f t="shared" ca="1" si="41"/>
        <v/>
      </c>
    </row>
    <row r="1508" spans="12:12" x14ac:dyDescent="0.3">
      <c r="L1508" s="7" t="str">
        <f t="shared" ca="1" si="41"/>
        <v/>
      </c>
    </row>
    <row r="1509" spans="12:12" x14ac:dyDescent="0.3">
      <c r="L1509" s="7" t="str">
        <f t="shared" ca="1" si="41"/>
        <v/>
      </c>
    </row>
    <row r="1510" spans="12:12" x14ac:dyDescent="0.3">
      <c r="L1510" s="7" t="str">
        <f t="shared" ca="1" si="41"/>
        <v/>
      </c>
    </row>
    <row r="1511" spans="12:12" x14ac:dyDescent="0.3">
      <c r="L1511" s="7" t="str">
        <f t="shared" ca="1" si="41"/>
        <v/>
      </c>
    </row>
    <row r="1512" spans="12:12" x14ac:dyDescent="0.3">
      <c r="L1512" s="7" t="str">
        <f t="shared" ca="1" si="41"/>
        <v/>
      </c>
    </row>
    <row r="1513" spans="12:12" x14ac:dyDescent="0.3">
      <c r="L1513" s="7" t="str">
        <f t="shared" ca="1" si="41"/>
        <v/>
      </c>
    </row>
    <row r="1514" spans="12:12" x14ac:dyDescent="0.3">
      <c r="L1514" s="7" t="str">
        <f t="shared" ca="1" si="41"/>
        <v/>
      </c>
    </row>
    <row r="1515" spans="12:12" x14ac:dyDescent="0.3">
      <c r="L1515" s="7" t="str">
        <f t="shared" ca="1" si="41"/>
        <v/>
      </c>
    </row>
    <row r="1516" spans="12:12" x14ac:dyDescent="0.3">
      <c r="L1516" s="7" t="str">
        <f t="shared" ca="1" si="41"/>
        <v/>
      </c>
    </row>
    <row r="1517" spans="12:12" x14ac:dyDescent="0.3">
      <c r="L1517" s="7" t="str">
        <f t="shared" ca="1" si="41"/>
        <v/>
      </c>
    </row>
    <row r="1518" spans="12:12" x14ac:dyDescent="0.3">
      <c r="L1518" s="7" t="str">
        <f t="shared" ca="1" si="41"/>
        <v/>
      </c>
    </row>
    <row r="1519" spans="12:12" x14ac:dyDescent="0.3">
      <c r="L1519" s="7" t="str">
        <f t="shared" ca="1" si="41"/>
        <v/>
      </c>
    </row>
    <row r="1520" spans="12:12" x14ac:dyDescent="0.3">
      <c r="L1520" s="7" t="str">
        <f t="shared" ca="1" si="41"/>
        <v/>
      </c>
    </row>
    <row r="1521" spans="12:12" x14ac:dyDescent="0.3">
      <c r="L1521" s="7" t="str">
        <f t="shared" ca="1" si="41"/>
        <v/>
      </c>
    </row>
    <row r="1522" spans="12:12" x14ac:dyDescent="0.3">
      <c r="L1522" s="7" t="str">
        <f t="shared" ca="1" si="41"/>
        <v/>
      </c>
    </row>
    <row r="1523" spans="12:12" x14ac:dyDescent="0.3">
      <c r="L1523" s="7" t="str">
        <f t="shared" ca="1" si="41"/>
        <v/>
      </c>
    </row>
    <row r="1524" spans="12:12" x14ac:dyDescent="0.3">
      <c r="L1524" s="7" t="str">
        <f t="shared" ca="1" si="41"/>
        <v/>
      </c>
    </row>
    <row r="1525" spans="12:12" x14ac:dyDescent="0.3">
      <c r="L1525" s="7" t="str">
        <f t="shared" ca="1" si="41"/>
        <v/>
      </c>
    </row>
    <row r="1526" spans="12:12" x14ac:dyDescent="0.3">
      <c r="L1526" s="7" t="str">
        <f t="shared" ca="1" si="41"/>
        <v/>
      </c>
    </row>
    <row r="1527" spans="12:12" x14ac:dyDescent="0.3">
      <c r="L1527" s="7" t="str">
        <f t="shared" ca="1" si="41"/>
        <v/>
      </c>
    </row>
    <row r="1528" spans="12:12" x14ac:dyDescent="0.3">
      <c r="L1528" s="7" t="str">
        <f t="shared" ca="1" si="41"/>
        <v/>
      </c>
    </row>
    <row r="1529" spans="12:12" x14ac:dyDescent="0.3">
      <c r="L1529" s="7" t="str">
        <f t="shared" ca="1" si="41"/>
        <v/>
      </c>
    </row>
    <row r="1530" spans="12:12" x14ac:dyDescent="0.3">
      <c r="L1530" s="7" t="str">
        <f t="shared" ca="1" si="41"/>
        <v/>
      </c>
    </row>
    <row r="1531" spans="12:12" x14ac:dyDescent="0.3">
      <c r="L1531" s="7" t="str">
        <f t="shared" ca="1" si="41"/>
        <v/>
      </c>
    </row>
    <row r="1532" spans="12:12" x14ac:dyDescent="0.3">
      <c r="L1532" s="7" t="str">
        <f t="shared" ca="1" si="41"/>
        <v/>
      </c>
    </row>
    <row r="1533" spans="12:12" x14ac:dyDescent="0.3">
      <c r="L1533" s="7" t="str">
        <f t="shared" ca="1" si="41"/>
        <v/>
      </c>
    </row>
    <row r="1534" spans="12:12" x14ac:dyDescent="0.3">
      <c r="L1534" s="7" t="str">
        <f t="shared" ca="1" si="41"/>
        <v/>
      </c>
    </row>
    <row r="1535" spans="12:12" x14ac:dyDescent="0.3">
      <c r="L1535" s="7" t="str">
        <f t="shared" ca="1" si="41"/>
        <v/>
      </c>
    </row>
    <row r="1536" spans="12:12" x14ac:dyDescent="0.3">
      <c r="L1536" s="7" t="str">
        <f t="shared" ca="1" si="41"/>
        <v/>
      </c>
    </row>
    <row r="1537" spans="12:12" x14ac:dyDescent="0.3">
      <c r="L1537" s="7" t="str">
        <f t="shared" ca="1" si="41"/>
        <v/>
      </c>
    </row>
    <row r="1538" spans="12:12" x14ac:dyDescent="0.3">
      <c r="L1538" s="7" t="str">
        <f t="shared" ca="1" si="41"/>
        <v/>
      </c>
    </row>
    <row r="1539" spans="12:12" x14ac:dyDescent="0.3">
      <c r="L1539" s="7" t="str">
        <f t="shared" ca="1" si="41"/>
        <v/>
      </c>
    </row>
    <row r="1540" spans="12:12" x14ac:dyDescent="0.3">
      <c r="L1540" s="7" t="str">
        <f t="shared" ref="L1540:L1603" ca="1" si="42">IF(I1540="Completed",0,IF(H1540="","",H1540-TODAY()))</f>
        <v/>
      </c>
    </row>
    <row r="1541" spans="12:12" x14ac:dyDescent="0.3">
      <c r="L1541" s="7" t="str">
        <f t="shared" ca="1" si="42"/>
        <v/>
      </c>
    </row>
    <row r="1542" spans="12:12" x14ac:dyDescent="0.3">
      <c r="L1542" s="7" t="str">
        <f t="shared" ca="1" si="42"/>
        <v/>
      </c>
    </row>
    <row r="1543" spans="12:12" x14ac:dyDescent="0.3">
      <c r="L1543" s="7" t="str">
        <f t="shared" ca="1" si="42"/>
        <v/>
      </c>
    </row>
    <row r="1544" spans="12:12" x14ac:dyDescent="0.3">
      <c r="L1544" s="7" t="str">
        <f t="shared" ca="1" si="42"/>
        <v/>
      </c>
    </row>
    <row r="1545" spans="12:12" x14ac:dyDescent="0.3">
      <c r="L1545" s="7" t="str">
        <f t="shared" ca="1" si="42"/>
        <v/>
      </c>
    </row>
    <row r="1546" spans="12:12" x14ac:dyDescent="0.3">
      <c r="L1546" s="7" t="str">
        <f t="shared" ca="1" si="42"/>
        <v/>
      </c>
    </row>
    <row r="1547" spans="12:12" x14ac:dyDescent="0.3">
      <c r="L1547" s="7" t="str">
        <f t="shared" ca="1" si="42"/>
        <v/>
      </c>
    </row>
    <row r="1548" spans="12:12" x14ac:dyDescent="0.3">
      <c r="L1548" s="7" t="str">
        <f t="shared" ca="1" si="42"/>
        <v/>
      </c>
    </row>
    <row r="1549" spans="12:12" x14ac:dyDescent="0.3">
      <c r="L1549" s="7" t="str">
        <f t="shared" ca="1" si="42"/>
        <v/>
      </c>
    </row>
    <row r="1550" spans="12:12" x14ac:dyDescent="0.3">
      <c r="L1550" s="7" t="str">
        <f t="shared" ca="1" si="42"/>
        <v/>
      </c>
    </row>
    <row r="1551" spans="12:12" x14ac:dyDescent="0.3">
      <c r="L1551" s="7" t="str">
        <f t="shared" ca="1" si="42"/>
        <v/>
      </c>
    </row>
    <row r="1552" spans="12:12" x14ac:dyDescent="0.3">
      <c r="L1552" s="7" t="str">
        <f t="shared" ca="1" si="42"/>
        <v/>
      </c>
    </row>
    <row r="1553" spans="12:12" x14ac:dyDescent="0.3">
      <c r="L1553" s="7" t="str">
        <f t="shared" ca="1" si="42"/>
        <v/>
      </c>
    </row>
    <row r="1554" spans="12:12" x14ac:dyDescent="0.3">
      <c r="L1554" s="7" t="str">
        <f t="shared" ca="1" si="42"/>
        <v/>
      </c>
    </row>
    <row r="1555" spans="12:12" x14ac:dyDescent="0.3">
      <c r="L1555" s="7" t="str">
        <f t="shared" ca="1" si="42"/>
        <v/>
      </c>
    </row>
    <row r="1556" spans="12:12" x14ac:dyDescent="0.3">
      <c r="L1556" s="7" t="str">
        <f t="shared" ca="1" si="42"/>
        <v/>
      </c>
    </row>
    <row r="1557" spans="12:12" x14ac:dyDescent="0.3">
      <c r="L1557" s="7" t="str">
        <f t="shared" ca="1" si="42"/>
        <v/>
      </c>
    </row>
    <row r="1558" spans="12:12" x14ac:dyDescent="0.3">
      <c r="L1558" s="7" t="str">
        <f t="shared" ca="1" si="42"/>
        <v/>
      </c>
    </row>
    <row r="1559" spans="12:12" x14ac:dyDescent="0.3">
      <c r="L1559" s="7" t="str">
        <f t="shared" ca="1" si="42"/>
        <v/>
      </c>
    </row>
    <row r="1560" spans="12:12" x14ac:dyDescent="0.3">
      <c r="L1560" s="7" t="str">
        <f t="shared" ca="1" si="42"/>
        <v/>
      </c>
    </row>
    <row r="1561" spans="12:12" x14ac:dyDescent="0.3">
      <c r="L1561" s="7" t="str">
        <f t="shared" ca="1" si="42"/>
        <v/>
      </c>
    </row>
    <row r="1562" spans="12:12" x14ac:dyDescent="0.3">
      <c r="L1562" s="7" t="str">
        <f t="shared" ca="1" si="42"/>
        <v/>
      </c>
    </row>
    <row r="1563" spans="12:12" x14ac:dyDescent="0.3">
      <c r="L1563" s="7" t="str">
        <f t="shared" ca="1" si="42"/>
        <v/>
      </c>
    </row>
    <row r="1564" spans="12:12" x14ac:dyDescent="0.3">
      <c r="L1564" s="7" t="str">
        <f t="shared" ca="1" si="42"/>
        <v/>
      </c>
    </row>
    <row r="1565" spans="12:12" x14ac:dyDescent="0.3">
      <c r="L1565" s="7" t="str">
        <f t="shared" ca="1" si="42"/>
        <v/>
      </c>
    </row>
    <row r="1566" spans="12:12" x14ac:dyDescent="0.3">
      <c r="L1566" s="7" t="str">
        <f t="shared" ca="1" si="42"/>
        <v/>
      </c>
    </row>
    <row r="1567" spans="12:12" x14ac:dyDescent="0.3">
      <c r="L1567" s="7" t="str">
        <f t="shared" ca="1" si="42"/>
        <v/>
      </c>
    </row>
    <row r="1568" spans="12:12" x14ac:dyDescent="0.3">
      <c r="L1568" s="7" t="str">
        <f t="shared" ca="1" si="42"/>
        <v/>
      </c>
    </row>
    <row r="1569" spans="12:12" x14ac:dyDescent="0.3">
      <c r="L1569" s="7" t="str">
        <f t="shared" ca="1" si="42"/>
        <v/>
      </c>
    </row>
    <row r="1570" spans="12:12" x14ac:dyDescent="0.3">
      <c r="L1570" s="7" t="str">
        <f t="shared" ca="1" si="42"/>
        <v/>
      </c>
    </row>
    <row r="1571" spans="12:12" x14ac:dyDescent="0.3">
      <c r="L1571" s="7" t="str">
        <f t="shared" ca="1" si="42"/>
        <v/>
      </c>
    </row>
    <row r="1572" spans="12:12" x14ac:dyDescent="0.3">
      <c r="L1572" s="7" t="str">
        <f t="shared" ca="1" si="42"/>
        <v/>
      </c>
    </row>
    <row r="1573" spans="12:12" x14ac:dyDescent="0.3">
      <c r="L1573" s="7" t="str">
        <f t="shared" ca="1" si="42"/>
        <v/>
      </c>
    </row>
    <row r="1574" spans="12:12" x14ac:dyDescent="0.3">
      <c r="L1574" s="7" t="str">
        <f t="shared" ca="1" si="42"/>
        <v/>
      </c>
    </row>
    <row r="1575" spans="12:12" x14ac:dyDescent="0.3">
      <c r="L1575" s="7" t="str">
        <f t="shared" ca="1" si="42"/>
        <v/>
      </c>
    </row>
    <row r="1576" spans="12:12" x14ac:dyDescent="0.3">
      <c r="L1576" s="7" t="str">
        <f t="shared" ca="1" si="42"/>
        <v/>
      </c>
    </row>
    <row r="1577" spans="12:12" x14ac:dyDescent="0.3">
      <c r="L1577" s="7" t="str">
        <f t="shared" ca="1" si="42"/>
        <v/>
      </c>
    </row>
    <row r="1578" spans="12:12" x14ac:dyDescent="0.3">
      <c r="L1578" s="7" t="str">
        <f t="shared" ca="1" si="42"/>
        <v/>
      </c>
    </row>
    <row r="1579" spans="12:12" x14ac:dyDescent="0.3">
      <c r="L1579" s="7" t="str">
        <f t="shared" ca="1" si="42"/>
        <v/>
      </c>
    </row>
    <row r="1580" spans="12:12" x14ac:dyDescent="0.3">
      <c r="L1580" s="7" t="str">
        <f t="shared" ca="1" si="42"/>
        <v/>
      </c>
    </row>
    <row r="1581" spans="12:12" x14ac:dyDescent="0.3">
      <c r="L1581" s="7" t="str">
        <f t="shared" ca="1" si="42"/>
        <v/>
      </c>
    </row>
    <row r="1582" spans="12:12" x14ac:dyDescent="0.3">
      <c r="L1582" s="7" t="str">
        <f t="shared" ca="1" si="42"/>
        <v/>
      </c>
    </row>
    <row r="1583" spans="12:12" x14ac:dyDescent="0.3">
      <c r="L1583" s="7" t="str">
        <f t="shared" ca="1" si="42"/>
        <v/>
      </c>
    </row>
    <row r="1584" spans="12:12" x14ac:dyDescent="0.3">
      <c r="L1584" s="7" t="str">
        <f t="shared" ca="1" si="42"/>
        <v/>
      </c>
    </row>
    <row r="1585" spans="12:12" x14ac:dyDescent="0.3">
      <c r="L1585" s="7" t="str">
        <f t="shared" ca="1" si="42"/>
        <v/>
      </c>
    </row>
    <row r="1586" spans="12:12" x14ac:dyDescent="0.3">
      <c r="L1586" s="7" t="str">
        <f t="shared" ca="1" si="42"/>
        <v/>
      </c>
    </row>
    <row r="1587" spans="12:12" x14ac:dyDescent="0.3">
      <c r="L1587" s="7" t="str">
        <f t="shared" ca="1" si="42"/>
        <v/>
      </c>
    </row>
    <row r="1588" spans="12:12" x14ac:dyDescent="0.3">
      <c r="L1588" s="7" t="str">
        <f t="shared" ca="1" si="42"/>
        <v/>
      </c>
    </row>
    <row r="1589" spans="12:12" x14ac:dyDescent="0.3">
      <c r="L1589" s="7" t="str">
        <f t="shared" ca="1" si="42"/>
        <v/>
      </c>
    </row>
    <row r="1590" spans="12:12" x14ac:dyDescent="0.3">
      <c r="L1590" s="7" t="str">
        <f t="shared" ca="1" si="42"/>
        <v/>
      </c>
    </row>
    <row r="1591" spans="12:12" x14ac:dyDescent="0.3">
      <c r="L1591" s="7" t="str">
        <f t="shared" ca="1" si="42"/>
        <v/>
      </c>
    </row>
    <row r="1592" spans="12:12" x14ac:dyDescent="0.3">
      <c r="L1592" s="7" t="str">
        <f t="shared" ca="1" si="42"/>
        <v/>
      </c>
    </row>
    <row r="1593" spans="12:12" x14ac:dyDescent="0.3">
      <c r="L1593" s="7" t="str">
        <f t="shared" ca="1" si="42"/>
        <v/>
      </c>
    </row>
    <row r="1594" spans="12:12" x14ac:dyDescent="0.3">
      <c r="L1594" s="7" t="str">
        <f t="shared" ca="1" si="42"/>
        <v/>
      </c>
    </row>
    <row r="1595" spans="12:12" x14ac:dyDescent="0.3">
      <c r="L1595" s="7" t="str">
        <f t="shared" ca="1" si="42"/>
        <v/>
      </c>
    </row>
    <row r="1596" spans="12:12" x14ac:dyDescent="0.3">
      <c r="L1596" s="7" t="str">
        <f t="shared" ca="1" si="42"/>
        <v/>
      </c>
    </row>
    <row r="1597" spans="12:12" x14ac:dyDescent="0.3">
      <c r="L1597" s="7" t="str">
        <f t="shared" ca="1" si="42"/>
        <v/>
      </c>
    </row>
    <row r="1598" spans="12:12" x14ac:dyDescent="0.3">
      <c r="L1598" s="7" t="str">
        <f t="shared" ca="1" si="42"/>
        <v/>
      </c>
    </row>
    <row r="1599" spans="12:12" x14ac:dyDescent="0.3">
      <c r="L1599" s="7" t="str">
        <f t="shared" ca="1" si="42"/>
        <v/>
      </c>
    </row>
    <row r="1600" spans="12:12" x14ac:dyDescent="0.3">
      <c r="L1600" s="7" t="str">
        <f t="shared" ca="1" si="42"/>
        <v/>
      </c>
    </row>
    <row r="1601" spans="12:12" x14ac:dyDescent="0.3">
      <c r="L1601" s="7" t="str">
        <f t="shared" ca="1" si="42"/>
        <v/>
      </c>
    </row>
    <row r="1602" spans="12:12" x14ac:dyDescent="0.3">
      <c r="L1602" s="7" t="str">
        <f t="shared" ca="1" si="42"/>
        <v/>
      </c>
    </row>
    <row r="1603" spans="12:12" x14ac:dyDescent="0.3">
      <c r="L1603" s="7" t="str">
        <f t="shared" ca="1" si="42"/>
        <v/>
      </c>
    </row>
    <row r="1604" spans="12:12" x14ac:dyDescent="0.3">
      <c r="L1604" s="7" t="str">
        <f t="shared" ref="L1604:L1606" ca="1" si="43">IF(I1604="Completed",0,IF(H1604="","",H1604-TODAY()))</f>
        <v/>
      </c>
    </row>
    <row r="1605" spans="12:12" x14ac:dyDescent="0.3">
      <c r="L1605" s="7" t="str">
        <f t="shared" ca="1" si="43"/>
        <v/>
      </c>
    </row>
    <row r="1606" spans="12:12" x14ac:dyDescent="0.3">
      <c r="L1606" s="7" t="str">
        <f t="shared" ca="1" si="43"/>
        <v/>
      </c>
    </row>
  </sheetData>
  <autoFilter ref="A3:N312" xr:uid="{00000000-0001-0000-0700-000000000000}">
    <filterColumn colId="0">
      <filters>
        <filter val="Valleys"/>
      </filters>
    </filterColumn>
  </autoFilter>
  <mergeCells count="1">
    <mergeCell ref="A2:N2"/>
  </mergeCells>
  <conditionalFormatting sqref="M4:M312">
    <cfRule type="cellIs" dxfId="225" priority="29" operator="equal">
      <formula>"Green"</formula>
    </cfRule>
    <cfRule type="cellIs" dxfId="224" priority="30" operator="equal">
      <formula>"Amber"</formula>
    </cfRule>
    <cfRule type="cellIs" dxfId="223" priority="31" operator="equal">
      <formula>"Red"</formula>
    </cfRule>
  </conditionalFormatting>
  <conditionalFormatting sqref="I4:I142">
    <cfRule type="expression" dxfId="222" priority="11">
      <formula>EXACT($I4,"Completed")</formula>
    </cfRule>
  </conditionalFormatting>
  <conditionalFormatting sqref="I4:I142">
    <cfRule type="expression" dxfId="221" priority="12">
      <formula>EXACT($I4,"Inprogress")</formula>
    </cfRule>
  </conditionalFormatting>
  <conditionalFormatting sqref="I4:I142">
    <cfRule type="expression" dxfId="220" priority="32">
      <formula>EXACT($I4,"Not Started")</formula>
    </cfRule>
  </conditionalFormatting>
  <conditionalFormatting sqref="I4:I142">
    <cfRule type="expression" dxfId="219" priority="33">
      <formula>EXACT($I4,"Overdue")</formula>
    </cfRule>
  </conditionalFormatting>
  <conditionalFormatting sqref="K4:K243">
    <cfRule type="expression" dxfId="218" priority="7">
      <formula>EXACT($K4,"No")</formula>
    </cfRule>
  </conditionalFormatting>
  <conditionalFormatting sqref="K4:K243">
    <cfRule type="expression" dxfId="217" priority="8">
      <formula>EXACT($K4,"Yes")</formula>
    </cfRule>
  </conditionalFormatting>
  <conditionalFormatting sqref="K4:K243">
    <cfRule type="expression" dxfId="216" priority="36">
      <formula>EXACT($K4,"-")</formula>
    </cfRule>
  </conditionalFormatting>
  <conditionalFormatting sqref="A4:A2000">
    <cfRule type="expression" dxfId="215" priority="26" stopIfTrue="1">
      <formula>A4=""</formula>
    </cfRule>
    <cfRule type="expression" dxfId="214" priority="28">
      <formula>C4=""</formula>
    </cfRule>
  </conditionalFormatting>
  <conditionalFormatting sqref="B4:B2000">
    <cfRule type="expression" dxfId="213" priority="23" stopIfTrue="1">
      <formula>$A4=""</formula>
    </cfRule>
    <cfRule type="expression" dxfId="212" priority="24">
      <formula>$C4=""</formula>
    </cfRule>
  </conditionalFormatting>
  <conditionalFormatting sqref="C4:C2000">
    <cfRule type="expression" dxfId="211" priority="25" stopIfTrue="1">
      <formula>$A4=""</formula>
    </cfRule>
    <cfRule type="expression" dxfId="210" priority="27">
      <formula>$C4=""</formula>
    </cfRule>
  </conditionalFormatting>
  <conditionalFormatting sqref="D4:D2000">
    <cfRule type="expression" dxfId="209" priority="21" stopIfTrue="1">
      <formula>$A4=""</formula>
    </cfRule>
    <cfRule type="expression" dxfId="208" priority="22">
      <formula>$C4=""</formula>
    </cfRule>
  </conditionalFormatting>
  <conditionalFormatting sqref="E4:E2000">
    <cfRule type="expression" dxfId="207" priority="19" stopIfTrue="1">
      <formula>$A4=""</formula>
    </cfRule>
    <cfRule type="expression" dxfId="206" priority="20">
      <formula>$C4=""</formula>
    </cfRule>
  </conditionalFormatting>
  <conditionalFormatting sqref="F4:F2000">
    <cfRule type="expression" dxfId="205" priority="17" stopIfTrue="1">
      <formula>$A4=""</formula>
    </cfRule>
    <cfRule type="expression" dxfId="204" priority="18">
      <formula>$C4=""</formula>
    </cfRule>
  </conditionalFormatting>
  <conditionalFormatting sqref="G4:G2000">
    <cfRule type="expression" dxfId="203" priority="15" stopIfTrue="1">
      <formula>$A4=""</formula>
    </cfRule>
    <cfRule type="expression" dxfId="202" priority="16">
      <formula>$C4=""</formula>
    </cfRule>
  </conditionalFormatting>
  <conditionalFormatting sqref="H4:H2000">
    <cfRule type="expression" dxfId="201" priority="13" stopIfTrue="1">
      <formula>$A4=""</formula>
    </cfRule>
    <cfRule type="expression" dxfId="200" priority="14">
      <formula>$C4=""</formula>
    </cfRule>
  </conditionalFormatting>
  <conditionalFormatting sqref="I4:I2000">
    <cfRule type="expression" dxfId="199" priority="34" stopIfTrue="1">
      <formula>$A4=""</formula>
    </cfRule>
    <cfRule type="expression" dxfId="198" priority="35">
      <formula>$C4=""</formula>
    </cfRule>
  </conditionalFormatting>
  <conditionalFormatting sqref="J4:J2000">
    <cfRule type="expression" dxfId="197" priority="9" stopIfTrue="1">
      <formula>$A4=""</formula>
    </cfRule>
    <cfRule type="expression" dxfId="196" priority="10">
      <formula>$C4=""</formula>
    </cfRule>
  </conditionalFormatting>
  <conditionalFormatting sqref="K4:K2000">
    <cfRule type="expression" dxfId="195" priority="37" stopIfTrue="1">
      <formula>$A4=""</formula>
    </cfRule>
    <cfRule type="expression" dxfId="194" priority="38">
      <formula>$C4=""</formula>
    </cfRule>
  </conditionalFormatting>
  <conditionalFormatting sqref="L1607:L2000">
    <cfRule type="expression" dxfId="193" priority="5" stopIfTrue="1">
      <formula>$A1607=""</formula>
    </cfRule>
    <cfRule type="expression" dxfId="192" priority="6">
      <formula>$C1607=""</formula>
    </cfRule>
  </conditionalFormatting>
  <conditionalFormatting sqref="L1110:L1606">
    <cfRule type="expression" dxfId="191" priority="3" stopIfTrue="1">
      <formula>$A1110=""</formula>
    </cfRule>
    <cfRule type="expression" dxfId="190" priority="4">
      <formula>$C1110=""</formula>
    </cfRule>
  </conditionalFormatting>
  <conditionalFormatting sqref="L4:L1109">
    <cfRule type="expression" dxfId="189" priority="1" stopIfTrue="1">
      <formula>$A4=""</formula>
    </cfRule>
    <cfRule type="expression" dxfId="188" priority="2">
      <formula>$C4=""</formula>
    </cfRule>
  </conditionalFormatting>
  <dataValidations count="1">
    <dataValidation type="list" allowBlank="1" sqref="I4:I312" xr:uid="{98E96100-835F-4F79-8BEA-BBE2321CE3FD}">
      <formula1>"Not Started,In Progress,Complete"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6808E-BD35-4499-A49A-B814C0B92E77}">
  <sheetPr codeName="Sheet5">
    <tabColor rgb="FF777777"/>
  </sheetPr>
  <dimension ref="A1:R1606"/>
  <sheetViews>
    <sheetView showGridLines="0" zoomScaleNormal="10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L4" sqref="L4:L1109"/>
    </sheetView>
  </sheetViews>
  <sheetFormatPr defaultColWidth="8.6640625" defaultRowHeight="14.4" x14ac:dyDescent="0.3"/>
  <cols>
    <col min="1" max="1" width="20" customWidth="1"/>
    <col min="2" max="2" width="17" customWidth="1"/>
    <col min="3" max="3" width="34" customWidth="1"/>
    <col min="4" max="4" width="30" customWidth="1"/>
    <col min="5" max="5" width="12" customWidth="1"/>
    <col min="6" max="6" width="11" customWidth="1"/>
    <col min="7" max="7" width="14" bestFit="1" customWidth="1"/>
    <col min="8" max="8" width="16.77734375" customWidth="1"/>
    <col min="9" max="9" width="12" customWidth="1"/>
    <col min="10" max="11" width="8" customWidth="1"/>
    <col min="12" max="13" width="7" customWidth="1"/>
    <col min="14" max="14" width="26" customWidth="1"/>
    <col min="15" max="18" width="3" hidden="1" customWidth="1"/>
  </cols>
  <sheetData>
    <row r="1" spans="1:18" ht="24" customHeight="1" x14ac:dyDescent="0.3">
      <c r="A1" s="10" t="s">
        <v>162</v>
      </c>
      <c r="B1" s="10"/>
      <c r="C1" s="10"/>
      <c r="D1" s="10"/>
      <c r="E1" s="10"/>
      <c r="F1" s="10"/>
      <c r="G1" s="11">
        <f>+MAX(G4:G2000)</f>
        <v>47673</v>
      </c>
      <c r="H1" s="11">
        <f>+MAX(H4:H2000)</f>
        <v>47723</v>
      </c>
      <c r="I1" s="12">
        <f t="shared" ref="I1" si="0">IF(OR($G1="",$H1=""),"",$H1-$G1)</f>
        <v>50</v>
      </c>
      <c r="J1" s="10"/>
      <c r="K1" s="10"/>
      <c r="L1" s="10"/>
      <c r="M1" s="10"/>
      <c r="N1" s="10"/>
    </row>
    <row r="2" spans="1:18" ht="14.25" customHeight="1" x14ac:dyDescent="0.3">
      <c r="A2" s="17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8" ht="30" customHeight="1" x14ac:dyDescent="0.3">
      <c r="A3" s="1" t="s">
        <v>0</v>
      </c>
      <c r="B3" s="1" t="s">
        <v>24</v>
      </c>
      <c r="C3" s="1" t="s">
        <v>25</v>
      </c>
      <c r="D3" s="1" t="s">
        <v>26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59</v>
      </c>
      <c r="M3" s="1" t="s">
        <v>8</v>
      </c>
      <c r="N3" s="1" t="s">
        <v>9</v>
      </c>
      <c r="O3" s="1" t="s">
        <v>10</v>
      </c>
      <c r="P3" s="1" t="s">
        <v>11</v>
      </c>
      <c r="Q3" s="1" t="s">
        <v>12</v>
      </c>
      <c r="R3" s="1" t="s">
        <v>13</v>
      </c>
    </row>
    <row r="4" spans="1:18" ht="33.75" customHeight="1" x14ac:dyDescent="0.3">
      <c r="A4" s="2" t="s">
        <v>163</v>
      </c>
      <c r="B4" s="2" t="s">
        <v>62</v>
      </c>
      <c r="C4" s="3" t="s">
        <v>164</v>
      </c>
      <c r="D4" s="3" t="s">
        <v>16</v>
      </c>
      <c r="E4" s="2" t="s">
        <v>165</v>
      </c>
      <c r="F4" s="2" t="s">
        <v>166</v>
      </c>
      <c r="G4" s="5">
        <v>45624</v>
      </c>
      <c r="H4" s="5">
        <v>45624</v>
      </c>
      <c r="I4" s="2" t="s">
        <v>31</v>
      </c>
      <c r="J4" s="6">
        <f t="shared" ref="J4:J67" si="1">IF(OR($G4="",$H4=""),"",$H4-$G4)</f>
        <v>0</v>
      </c>
      <c r="K4" s="4" t="str">
        <f t="shared" ref="K4:K67" ca="1" si="2">IF(C4="","",IF(H4="","",IF($I4="completed","-",IF($H4&gt;TODAY(),"No","Yes"))))</f>
        <v>-</v>
      </c>
      <c r="L4" s="7">
        <f ca="1">IF(I4="Completed",0,IF(H4="","",H4-TODAY()))</f>
        <v>0</v>
      </c>
      <c r="M4" s="4" t="str">
        <f>IF($I4="Complete","Green",IF($H4="","Amber",IF($H4&lt;'[2]Read Me'!$B$4,"Red",IF($H4-'[2]Read Me'!$B$4&lt;=21,"Amber","Green"))))</f>
        <v>Red</v>
      </c>
      <c r="N4" s="3"/>
      <c r="O4" t="e">
        <f>IF($I4&lt;&gt;"Complete",IF(COUNTIFS(#REF!,$A4,#REF!,$B4,#REF!,"&lt;&gt;Complete")=0,$A4&amp;"|"&amp;$B4,""),"")</f>
        <v>#REF!</v>
      </c>
      <c r="P4" t="str">
        <f ca="1">IF($K4="Yes",COUNTIFS($K$4:$K4,"Yes"),"")</f>
        <v/>
      </c>
      <c r="Q4">
        <f t="shared" ref="Q4:Q67" ca="1" si="3">IF(OR($I4="In Progress",$K4="Yes"),1,0)</f>
        <v>0</v>
      </c>
      <c r="R4" t="str">
        <f ca="1">IF($Q4=1,SUM($Q$4:$Q4),"")</f>
        <v/>
      </c>
    </row>
    <row r="5" spans="1:18" ht="33.75" customHeight="1" x14ac:dyDescent="0.3">
      <c r="A5" s="2" t="s">
        <v>163</v>
      </c>
      <c r="B5" s="2" t="s">
        <v>62</v>
      </c>
      <c r="C5" s="3" t="s">
        <v>164</v>
      </c>
      <c r="D5" s="3" t="s">
        <v>167</v>
      </c>
      <c r="E5" s="2" t="s">
        <v>165</v>
      </c>
      <c r="F5" s="2"/>
      <c r="G5" s="5">
        <v>45685</v>
      </c>
      <c r="H5" s="5">
        <v>45685</v>
      </c>
      <c r="I5" s="2" t="s">
        <v>31</v>
      </c>
      <c r="J5" s="6">
        <f t="shared" si="1"/>
        <v>0</v>
      </c>
      <c r="K5" s="4" t="str">
        <f t="shared" ca="1" si="2"/>
        <v>-</v>
      </c>
      <c r="L5" s="7">
        <f t="shared" ref="L5:L68" ca="1" si="4">IF(I5="Completed",0,IF(H5="","",H5-TODAY()))</f>
        <v>0</v>
      </c>
      <c r="M5" s="4" t="str">
        <f>IF($I5="Complete","Green",IF($H5="","Amber",IF($H5&lt;'[2]Read Me'!$B$4,"Red",IF($H5-'[2]Read Me'!$B$4&lt;=21,"Amber","Green"))))</f>
        <v>Red</v>
      </c>
      <c r="N5" s="3"/>
      <c r="O5" t="str">
        <f>IF($I5&lt;&gt;"Complete",IF(COUNTIFS($A$4:$A4,$A5,$B$4:$B4,$B5,$I$4:$I4,"&lt;&gt;Complete")=0,$A5&amp;"|"&amp;$B5,""),"")</f>
        <v/>
      </c>
      <c r="P5" t="str">
        <f ca="1">IF($K5="Yes",COUNTIFS($K$4:$K5,"Yes"),"")</f>
        <v/>
      </c>
      <c r="Q5">
        <f t="shared" ca="1" si="3"/>
        <v>0</v>
      </c>
      <c r="R5" t="str">
        <f ca="1">IF($Q5=1,SUM($Q$4:$Q5),"")</f>
        <v/>
      </c>
    </row>
    <row r="6" spans="1:18" ht="33.75" customHeight="1" x14ac:dyDescent="0.3">
      <c r="A6" s="2" t="s">
        <v>163</v>
      </c>
      <c r="B6" s="2" t="s">
        <v>62</v>
      </c>
      <c r="C6" s="3" t="s">
        <v>164</v>
      </c>
      <c r="D6" s="3" t="s">
        <v>58</v>
      </c>
      <c r="E6" s="2" t="s">
        <v>165</v>
      </c>
      <c r="F6" s="2"/>
      <c r="G6" s="5">
        <v>45773</v>
      </c>
      <c r="H6" s="5">
        <v>45773</v>
      </c>
      <c r="I6" s="2" t="s">
        <v>31</v>
      </c>
      <c r="J6" s="6">
        <f t="shared" si="1"/>
        <v>0</v>
      </c>
      <c r="K6" s="4" t="str">
        <f t="shared" ca="1" si="2"/>
        <v>-</v>
      </c>
      <c r="L6" s="7">
        <f t="shared" ca="1" si="4"/>
        <v>0</v>
      </c>
      <c r="M6" s="4" t="str">
        <f>IF($I6="Complete","Green",IF($H6="","Amber",IF($H6&lt;'[2]Read Me'!$B$4,"Red",IF($H6-'[2]Read Me'!$B$4&lt;=21,"Amber","Green"))))</f>
        <v>Red</v>
      </c>
      <c r="N6" s="3"/>
      <c r="O6" t="str">
        <f>IF($I6&lt;&gt;"Complete",IF(COUNTIFS($A$4:$A5,$A6,$B$4:$B5,$B6,$I$4:$I5,"&lt;&gt;Complete")=0,$A6&amp;"|"&amp;$B6,""),"")</f>
        <v/>
      </c>
      <c r="P6" t="str">
        <f ca="1">IF($K6="Yes",COUNTIFS($K$4:$K6,"Yes"),"")</f>
        <v/>
      </c>
      <c r="Q6">
        <f t="shared" ca="1" si="3"/>
        <v>0</v>
      </c>
      <c r="R6" t="str">
        <f ca="1">IF($Q6=1,SUM($Q$4:$Q6),"")</f>
        <v/>
      </c>
    </row>
    <row r="7" spans="1:18" ht="33.75" customHeight="1" x14ac:dyDescent="0.3">
      <c r="A7" s="2" t="s">
        <v>163</v>
      </c>
      <c r="B7" s="2" t="s">
        <v>62</v>
      </c>
      <c r="C7" s="3" t="s">
        <v>164</v>
      </c>
      <c r="D7" s="3" t="s">
        <v>168</v>
      </c>
      <c r="E7" s="2" t="s">
        <v>165</v>
      </c>
      <c r="F7" s="2"/>
      <c r="G7" s="5">
        <v>45773</v>
      </c>
      <c r="H7" s="5">
        <v>45773</v>
      </c>
      <c r="I7" s="2" t="s">
        <v>31</v>
      </c>
      <c r="J7" s="6">
        <f t="shared" si="1"/>
        <v>0</v>
      </c>
      <c r="K7" s="4" t="str">
        <f t="shared" ca="1" si="2"/>
        <v>-</v>
      </c>
      <c r="L7" s="7">
        <f t="shared" ca="1" si="4"/>
        <v>0</v>
      </c>
      <c r="M7" s="4" t="str">
        <f>IF($I7="Complete","Green",IF($H7="","Amber",IF($H7&lt;'[2]Read Me'!$B$4,"Red",IF($H7-'[2]Read Me'!$B$4&lt;=21,"Amber","Green"))))</f>
        <v>Red</v>
      </c>
      <c r="N7" s="3"/>
      <c r="O7" t="str">
        <f>IF($I7&lt;&gt;"Complete",IF(COUNTIFS($A$4:$A6,$A7,$B$4:$B6,$B7,$I$4:$I6,"&lt;&gt;Complete")=0,$A7&amp;"|"&amp;$B7,""),"")</f>
        <v/>
      </c>
      <c r="P7" t="str">
        <f ca="1">IF($K7="Yes",COUNTIFS($K$4:$K7,"Yes"),"")</f>
        <v/>
      </c>
      <c r="Q7">
        <f t="shared" ca="1" si="3"/>
        <v>0</v>
      </c>
      <c r="R7" t="str">
        <f ca="1">IF($Q7=1,SUM($Q$4:$Q7),"")</f>
        <v/>
      </c>
    </row>
    <row r="8" spans="1:18" ht="33.75" customHeight="1" x14ac:dyDescent="0.3">
      <c r="A8" s="2" t="s">
        <v>163</v>
      </c>
      <c r="B8" s="2" t="s">
        <v>62</v>
      </c>
      <c r="C8" s="3" t="s">
        <v>164</v>
      </c>
      <c r="D8" s="3" t="s">
        <v>169</v>
      </c>
      <c r="E8" s="2" t="s">
        <v>165</v>
      </c>
      <c r="F8" s="2" t="s">
        <v>166</v>
      </c>
      <c r="G8" s="5">
        <v>45831</v>
      </c>
      <c r="H8" s="5">
        <v>45831</v>
      </c>
      <c r="I8" s="2" t="s">
        <v>31</v>
      </c>
      <c r="J8" s="6">
        <f t="shared" si="1"/>
        <v>0</v>
      </c>
      <c r="K8" s="4" t="str">
        <f t="shared" ca="1" si="2"/>
        <v>-</v>
      </c>
      <c r="L8" s="7">
        <f t="shared" ca="1" si="4"/>
        <v>0</v>
      </c>
      <c r="M8" s="4" t="str">
        <f>IF($I8="Complete","Green",IF($H8="","Amber",IF($H8&lt;'[2]Read Me'!$B$4,"Red",IF($H8-'[2]Read Me'!$B$4&lt;=21,"Amber","Green"))))</f>
        <v>Red</v>
      </c>
      <c r="N8" s="3"/>
      <c r="O8" t="str">
        <f>IF($I8&lt;&gt;"Complete",IF(COUNTIFS($A$4:$A7,$A8,$B$4:$B7,$B8,$I$4:$I7,"&lt;&gt;Complete")=0,$A8&amp;"|"&amp;$B8,""),"")</f>
        <v/>
      </c>
      <c r="P8" t="str">
        <f ca="1">IF($K8="Yes",COUNTIFS($K$4:$K8,"Yes"),"")</f>
        <v/>
      </c>
      <c r="Q8">
        <f t="shared" ca="1" si="3"/>
        <v>0</v>
      </c>
      <c r="R8" t="str">
        <f ca="1">IF($Q8=1,SUM($Q$4:$Q8),"")</f>
        <v/>
      </c>
    </row>
    <row r="9" spans="1:18" ht="33.75" customHeight="1" x14ac:dyDescent="0.3">
      <c r="A9" s="2" t="s">
        <v>163</v>
      </c>
      <c r="B9" s="2" t="s">
        <v>62</v>
      </c>
      <c r="C9" s="3" t="s">
        <v>164</v>
      </c>
      <c r="D9" s="3" t="s">
        <v>58</v>
      </c>
      <c r="E9" s="2" t="s">
        <v>165</v>
      </c>
      <c r="F9" s="2"/>
      <c r="G9" s="5">
        <v>45832</v>
      </c>
      <c r="H9" s="5">
        <v>45832</v>
      </c>
      <c r="I9" s="2" t="s">
        <v>31</v>
      </c>
      <c r="J9" s="6">
        <f t="shared" si="1"/>
        <v>0</v>
      </c>
      <c r="K9" s="4" t="str">
        <f t="shared" ca="1" si="2"/>
        <v>-</v>
      </c>
      <c r="L9" s="7">
        <f t="shared" ca="1" si="4"/>
        <v>0</v>
      </c>
      <c r="M9" s="4" t="str">
        <f>IF($I9="Complete","Green",IF($H9="","Amber",IF($H9&lt;'[2]Read Me'!$B$4,"Red",IF($H9-'[2]Read Me'!$B$4&lt;=21,"Amber","Green"))))</f>
        <v>Red</v>
      </c>
      <c r="N9" s="3"/>
      <c r="O9" t="str">
        <f>IF($I9&lt;&gt;"Complete",IF(COUNTIFS($A$4:$A8,$A9,$B$4:$B8,$B9,$I$4:$I8,"&lt;&gt;Complete")=0,$A9&amp;"|"&amp;$B9,""),"")</f>
        <v/>
      </c>
      <c r="P9" t="str">
        <f ca="1">IF($K9="Yes",COUNTIFS($K$4:$K9,"Yes"),"")</f>
        <v/>
      </c>
      <c r="Q9">
        <f t="shared" ca="1" si="3"/>
        <v>0</v>
      </c>
      <c r="R9" t="str">
        <f ca="1">IF($Q9=1,SUM($Q$4:$Q9),"")</f>
        <v/>
      </c>
    </row>
    <row r="10" spans="1:18" ht="33.75" customHeight="1" x14ac:dyDescent="0.3">
      <c r="A10" s="2" t="s">
        <v>163</v>
      </c>
      <c r="B10" s="2" t="s">
        <v>62</v>
      </c>
      <c r="C10" s="3" t="s">
        <v>164</v>
      </c>
      <c r="D10" s="3" t="s">
        <v>170</v>
      </c>
      <c r="E10" s="2" t="s">
        <v>165</v>
      </c>
      <c r="F10" s="2" t="s">
        <v>166</v>
      </c>
      <c r="G10" s="5">
        <v>45847</v>
      </c>
      <c r="H10" s="5">
        <v>45847</v>
      </c>
      <c r="I10" s="2" t="s">
        <v>31</v>
      </c>
      <c r="J10" s="6">
        <f t="shared" si="1"/>
        <v>0</v>
      </c>
      <c r="K10" s="4" t="str">
        <f t="shared" ca="1" si="2"/>
        <v>-</v>
      </c>
      <c r="L10" s="7">
        <f t="shared" ca="1" si="4"/>
        <v>0</v>
      </c>
      <c r="M10" s="4" t="str">
        <f>IF($I10="Complete","Green",IF($H10="","Amber",IF($H10&lt;'[2]Read Me'!$B$4,"Red",IF($H10-'[2]Read Me'!$B$4&lt;=21,"Amber","Green"))))</f>
        <v>Red</v>
      </c>
      <c r="N10" s="3"/>
      <c r="O10" t="str">
        <f>IF($I10&lt;&gt;"Complete",IF(COUNTIFS($A$4:$A9,$A10,$B$4:$B9,$B10,$I$4:$I9,"&lt;&gt;Complete")=0,$A10&amp;"|"&amp;$B10,""),"")</f>
        <v/>
      </c>
      <c r="P10" t="str">
        <f ca="1">IF($K10="Yes",COUNTIFS($K$4:$K10,"Yes"),"")</f>
        <v/>
      </c>
      <c r="Q10">
        <f t="shared" ca="1" si="3"/>
        <v>0</v>
      </c>
      <c r="R10" t="str">
        <f ca="1">IF($Q10=1,SUM($Q$4:$Q10),"")</f>
        <v/>
      </c>
    </row>
    <row r="11" spans="1:18" ht="33.75" customHeight="1" x14ac:dyDescent="0.3">
      <c r="A11" s="2" t="s">
        <v>163</v>
      </c>
      <c r="B11" s="2" t="s">
        <v>62</v>
      </c>
      <c r="C11" s="3" t="s">
        <v>164</v>
      </c>
      <c r="D11" s="3" t="s">
        <v>58</v>
      </c>
      <c r="E11" s="2" t="s">
        <v>165</v>
      </c>
      <c r="F11" s="2"/>
      <c r="G11" s="5">
        <v>45851</v>
      </c>
      <c r="H11" s="5">
        <v>45851</v>
      </c>
      <c r="I11" s="2" t="s">
        <v>31</v>
      </c>
      <c r="J11" s="6">
        <f t="shared" si="1"/>
        <v>0</v>
      </c>
      <c r="K11" s="4" t="str">
        <f t="shared" ca="1" si="2"/>
        <v>-</v>
      </c>
      <c r="L11" s="7">
        <f t="shared" ca="1" si="4"/>
        <v>0</v>
      </c>
      <c r="M11" s="4" t="str">
        <f>IF($I11="Complete","Green",IF($H11="","Amber",IF($H11&lt;'[2]Read Me'!$B$4,"Red",IF($H11-'[2]Read Me'!$B$4&lt;=21,"Amber","Green"))))</f>
        <v>Red</v>
      </c>
      <c r="N11" s="3"/>
      <c r="O11" t="str">
        <f>IF($I11&lt;&gt;"Complete",IF(COUNTIFS($A$4:$A10,$A11,$B$4:$B10,$B11,$I$4:$I10,"&lt;&gt;Complete")=0,$A11&amp;"|"&amp;$B11,""),"")</f>
        <v/>
      </c>
      <c r="P11" t="str">
        <f ca="1">IF($K11="Yes",COUNTIFS($K$4:$K11,"Yes"),"")</f>
        <v/>
      </c>
      <c r="Q11">
        <f t="shared" ca="1" si="3"/>
        <v>0</v>
      </c>
      <c r="R11" t="str">
        <f ca="1">IF($Q11=1,SUM($Q$4:$Q11),"")</f>
        <v/>
      </c>
    </row>
    <row r="12" spans="1:18" ht="33.75" customHeight="1" x14ac:dyDescent="0.3">
      <c r="A12" s="2" t="s">
        <v>163</v>
      </c>
      <c r="B12" s="2" t="s">
        <v>171</v>
      </c>
      <c r="C12" s="3"/>
      <c r="D12" s="3"/>
      <c r="E12" s="2"/>
      <c r="F12" s="2"/>
      <c r="G12" s="5">
        <v>45908</v>
      </c>
      <c r="H12" s="5">
        <v>45908</v>
      </c>
      <c r="I12" s="2"/>
      <c r="J12" s="6">
        <f t="shared" si="1"/>
        <v>0</v>
      </c>
      <c r="K12" s="4" t="str">
        <f t="shared" ca="1" si="2"/>
        <v/>
      </c>
      <c r="L12" s="7">
        <f t="shared" ca="1" si="4"/>
        <v>-300</v>
      </c>
      <c r="M12" s="4" t="str">
        <f>IF($I12="Complete","Green",IF($H12="","Amber",IF($H12&lt;'[2]Read Me'!$B$4,"Red",IF($H12-'[2]Read Me'!$B$4&lt;=21,"Amber","Green"))))</f>
        <v>Red</v>
      </c>
      <c r="N12" s="3"/>
      <c r="O12" t="str">
        <f>IF($I12&lt;&gt;"Complete",IF(COUNTIFS($A$4:$A11,$A12,$B$4:$B11,$B12,$I$4:$I11,"&lt;&gt;Complete")=0,$A12&amp;"|"&amp;$B12,""),"")</f>
        <v>Selina|Infrastructure</v>
      </c>
      <c r="P12" t="str">
        <f ca="1">IF($K12="Yes",COUNTIFS($K$4:$K12,"Yes"),"")</f>
        <v/>
      </c>
      <c r="Q12">
        <f t="shared" ca="1" si="3"/>
        <v>0</v>
      </c>
      <c r="R12" t="str">
        <f ca="1">IF($Q12=1,SUM($Q$4:$Q12),"")</f>
        <v/>
      </c>
    </row>
    <row r="13" spans="1:18" ht="33.75" customHeight="1" x14ac:dyDescent="0.3">
      <c r="A13" s="2" t="s">
        <v>163</v>
      </c>
      <c r="B13" s="2" t="s">
        <v>171</v>
      </c>
      <c r="C13" s="3" t="s">
        <v>172</v>
      </c>
      <c r="D13" s="3" t="s">
        <v>173</v>
      </c>
      <c r="E13" s="2" t="s">
        <v>174</v>
      </c>
      <c r="F13" s="2"/>
      <c r="G13" s="5">
        <v>45628</v>
      </c>
      <c r="H13" s="5">
        <v>45628</v>
      </c>
      <c r="I13" s="2" t="s">
        <v>17</v>
      </c>
      <c r="J13" s="6">
        <f t="shared" si="1"/>
        <v>0</v>
      </c>
      <c r="K13" s="4" t="str">
        <f t="shared" ca="1" si="2"/>
        <v>Yes</v>
      </c>
      <c r="L13" s="7">
        <f t="shared" ca="1" si="4"/>
        <v>-580</v>
      </c>
      <c r="M13" s="4" t="str">
        <f>IF($I13="Complete","Green",IF($H13="","Amber",IF($H13&lt;'[2]Read Me'!$B$4,"Red",IF($H13-'[2]Read Me'!$B$4&lt;=21,"Amber","Green"))))</f>
        <v>Red</v>
      </c>
      <c r="N13" s="3"/>
      <c r="O13" t="str">
        <f>IF($I13&lt;&gt;"Complete",IF(COUNTIFS($A$4:$A12,$A13,$B$4:$B12,$B13,$I$4:$I12,"&lt;&gt;Complete")=0,$A13&amp;"|"&amp;$B13,""),"")</f>
        <v/>
      </c>
      <c r="P13">
        <f ca="1">IF($K13="Yes",COUNTIFS($K$4:$K13,"Yes"),"")</f>
        <v>1</v>
      </c>
      <c r="Q13">
        <f t="shared" ca="1" si="3"/>
        <v>1</v>
      </c>
      <c r="R13">
        <f ca="1">IF($Q13=1,SUM($Q$4:$Q13),"")</f>
        <v>1</v>
      </c>
    </row>
    <row r="14" spans="1:18" ht="33.75" customHeight="1" x14ac:dyDescent="0.3">
      <c r="A14" s="2" t="s">
        <v>163</v>
      </c>
      <c r="B14" s="2" t="s">
        <v>171</v>
      </c>
      <c r="C14" s="3" t="s">
        <v>172</v>
      </c>
      <c r="D14" s="3" t="s">
        <v>175</v>
      </c>
      <c r="E14" s="2" t="s">
        <v>174</v>
      </c>
      <c r="F14" s="2" t="s">
        <v>176</v>
      </c>
      <c r="G14" s="5">
        <v>45690</v>
      </c>
      <c r="H14" s="5">
        <v>45690</v>
      </c>
      <c r="I14" s="2" t="s">
        <v>31</v>
      </c>
      <c r="J14" s="6">
        <f t="shared" si="1"/>
        <v>0</v>
      </c>
      <c r="K14" s="4" t="str">
        <f t="shared" ca="1" si="2"/>
        <v>-</v>
      </c>
      <c r="L14" s="7">
        <f t="shared" ca="1" si="4"/>
        <v>0</v>
      </c>
      <c r="M14" s="4" t="str">
        <f>IF($I14="Complete","Green",IF($H14="","Amber",IF($H14&lt;'[2]Read Me'!$B$4,"Red",IF($H14-'[2]Read Me'!$B$4&lt;=21,"Amber","Green"))))</f>
        <v>Red</v>
      </c>
      <c r="N14" s="3"/>
      <c r="O14" t="str">
        <f>IF($I14&lt;&gt;"Complete",IF(COUNTIFS($A$4:$A13,$A14,$B$4:$B13,$B14,$I$4:$I13,"&lt;&gt;Complete")=0,$A14&amp;"|"&amp;$B14,""),"")</f>
        <v/>
      </c>
      <c r="P14" t="str">
        <f ca="1">IF($K14="Yes",COUNTIFS($K$4:$K14,"Yes"),"")</f>
        <v/>
      </c>
      <c r="Q14">
        <f t="shared" ca="1" si="3"/>
        <v>0</v>
      </c>
      <c r="R14" t="str">
        <f ca="1">IF($Q14=1,SUM($Q$4:$Q14),"")</f>
        <v/>
      </c>
    </row>
    <row r="15" spans="1:18" ht="33.75" customHeight="1" x14ac:dyDescent="0.3">
      <c r="A15" s="2" t="s">
        <v>163</v>
      </c>
      <c r="B15" s="2" t="s">
        <v>171</v>
      </c>
      <c r="C15" s="3" t="s">
        <v>172</v>
      </c>
      <c r="D15" s="3" t="s">
        <v>58</v>
      </c>
      <c r="E15" s="2" t="s">
        <v>174</v>
      </c>
      <c r="F15" s="2"/>
      <c r="G15" s="5">
        <v>45698</v>
      </c>
      <c r="H15" s="5">
        <v>45698</v>
      </c>
      <c r="I15" s="2" t="s">
        <v>31</v>
      </c>
      <c r="J15" s="6">
        <f t="shared" si="1"/>
        <v>0</v>
      </c>
      <c r="K15" s="4" t="str">
        <f t="shared" ca="1" si="2"/>
        <v>-</v>
      </c>
      <c r="L15" s="7">
        <f t="shared" ca="1" si="4"/>
        <v>0</v>
      </c>
      <c r="M15" s="4" t="str">
        <f>IF($I15="Complete","Green",IF($H15="","Amber",IF($H15&lt;'[2]Read Me'!$B$4,"Red",IF($H15-'[2]Read Me'!$B$4&lt;=21,"Amber","Green"))))</f>
        <v>Red</v>
      </c>
      <c r="N15" s="3"/>
      <c r="O15" t="str">
        <f>IF($I15&lt;&gt;"Complete",IF(COUNTIFS($A$4:$A14,$A15,$B$4:$B14,$B15,$I$4:$I14,"&lt;&gt;Complete")=0,$A15&amp;"|"&amp;$B15,""),"")</f>
        <v/>
      </c>
      <c r="P15" t="str">
        <f ca="1">IF($K15="Yes",COUNTIFS($K$4:$K15,"Yes"),"")</f>
        <v/>
      </c>
      <c r="Q15">
        <f t="shared" ca="1" si="3"/>
        <v>0</v>
      </c>
      <c r="R15" t="str">
        <f ca="1">IF($Q15=1,SUM($Q$4:$Q15),"")</f>
        <v/>
      </c>
    </row>
    <row r="16" spans="1:18" ht="33.75" customHeight="1" x14ac:dyDescent="0.3">
      <c r="A16" s="2" t="s">
        <v>163</v>
      </c>
      <c r="B16" s="2" t="s">
        <v>171</v>
      </c>
      <c r="C16" s="3" t="s">
        <v>172</v>
      </c>
      <c r="D16" s="3" t="s">
        <v>177</v>
      </c>
      <c r="E16" s="2" t="s">
        <v>174</v>
      </c>
      <c r="F16" s="2" t="s">
        <v>176</v>
      </c>
      <c r="G16" s="5">
        <v>45713</v>
      </c>
      <c r="H16" s="5">
        <v>45713</v>
      </c>
      <c r="I16" s="2" t="s">
        <v>31</v>
      </c>
      <c r="J16" s="6">
        <f t="shared" si="1"/>
        <v>0</v>
      </c>
      <c r="K16" s="4" t="str">
        <f t="shared" ca="1" si="2"/>
        <v>-</v>
      </c>
      <c r="L16" s="7">
        <f t="shared" ca="1" si="4"/>
        <v>0</v>
      </c>
      <c r="M16" s="4" t="str">
        <f>IF($I16="Complete","Green",IF($H16="","Amber",IF($H16&lt;'[2]Read Me'!$B$4,"Red",IF($H16-'[2]Read Me'!$B$4&lt;=21,"Amber","Green"))))</f>
        <v>Red</v>
      </c>
      <c r="N16" s="3"/>
      <c r="O16" t="str">
        <f>IF($I16&lt;&gt;"Complete",IF(COUNTIFS($A$4:$A15,$A16,$B$4:$B15,$B16,$I$4:$I15,"&lt;&gt;Complete")=0,$A16&amp;"|"&amp;$B16,""),"")</f>
        <v/>
      </c>
      <c r="P16" t="str">
        <f ca="1">IF($K16="Yes",COUNTIFS($K$4:$K16,"Yes"),"")</f>
        <v/>
      </c>
      <c r="Q16">
        <f t="shared" ca="1" si="3"/>
        <v>0</v>
      </c>
      <c r="R16" t="str">
        <f ca="1">IF($Q16=1,SUM($Q$4:$Q16),"")</f>
        <v/>
      </c>
    </row>
    <row r="17" spans="1:18" ht="33.75" customHeight="1" x14ac:dyDescent="0.3">
      <c r="A17" s="2" t="s">
        <v>163</v>
      </c>
      <c r="B17" s="2" t="s">
        <v>171</v>
      </c>
      <c r="C17" s="3" t="s">
        <v>172</v>
      </c>
      <c r="D17" s="3" t="s">
        <v>178</v>
      </c>
      <c r="E17" s="2" t="s">
        <v>174</v>
      </c>
      <c r="F17" s="2"/>
      <c r="G17" s="5">
        <v>45908</v>
      </c>
      <c r="H17" s="5">
        <v>45908</v>
      </c>
      <c r="I17" s="2" t="s">
        <v>31</v>
      </c>
      <c r="J17" s="6">
        <f t="shared" si="1"/>
        <v>0</v>
      </c>
      <c r="K17" s="4" t="str">
        <f t="shared" ca="1" si="2"/>
        <v>-</v>
      </c>
      <c r="L17" s="7">
        <f t="shared" ca="1" si="4"/>
        <v>0</v>
      </c>
      <c r="M17" s="4" t="str">
        <f>IF($I17="Complete","Green",IF($H17="","Amber",IF($H17&lt;'[2]Read Me'!$B$4,"Red",IF($H17-'[2]Read Me'!$B$4&lt;=21,"Amber","Green"))))</f>
        <v>Red</v>
      </c>
      <c r="N17" s="3"/>
      <c r="O17" t="str">
        <f>IF($I17&lt;&gt;"Complete",IF(COUNTIFS($A$4:$A16,$A17,$B$4:$B16,$B17,$I$4:$I16,"&lt;&gt;Complete")=0,$A17&amp;"|"&amp;$B17,""),"")</f>
        <v/>
      </c>
      <c r="P17" t="str">
        <f ca="1">IF($K17="Yes",COUNTIFS($K$4:$K17,"Yes"),"")</f>
        <v/>
      </c>
      <c r="Q17">
        <f t="shared" ca="1" si="3"/>
        <v>0</v>
      </c>
      <c r="R17" t="str">
        <f ca="1">IF($Q17=1,SUM($Q$4:$Q17),"")</f>
        <v/>
      </c>
    </row>
    <row r="18" spans="1:18" ht="33.75" customHeight="1" x14ac:dyDescent="0.3">
      <c r="A18" s="2" t="s">
        <v>163</v>
      </c>
      <c r="B18" s="2" t="s">
        <v>21</v>
      </c>
      <c r="C18" s="3"/>
      <c r="D18" s="3"/>
      <c r="E18" s="2"/>
      <c r="F18" s="2"/>
      <c r="G18" s="5">
        <v>46065</v>
      </c>
      <c r="H18" s="5">
        <v>46267</v>
      </c>
      <c r="I18" s="2"/>
      <c r="J18" s="6">
        <f t="shared" si="1"/>
        <v>202</v>
      </c>
      <c r="K18" s="4" t="str">
        <f t="shared" ca="1" si="2"/>
        <v/>
      </c>
      <c r="L18" s="7">
        <f t="shared" ca="1" si="4"/>
        <v>59</v>
      </c>
      <c r="M18" s="4" t="str">
        <f>IF($I18="Complete","Green",IF($H18="","Amber",IF($H18&lt;'[2]Read Me'!$B$4,"Red",IF($H18-'[2]Read Me'!$B$4&lt;=21,"Amber","Green"))))</f>
        <v>Green</v>
      </c>
      <c r="N18" s="3"/>
      <c r="O18" t="str">
        <f>IF($I18&lt;&gt;"Complete",IF(COUNTIFS($A$4:$A17,$A18,$B$4:$B17,$B18,$I$4:$I17,"&lt;&gt;Complete")=0,$A18&amp;"|"&amp;$B18,""),"")</f>
        <v>Selina|Landscape</v>
      </c>
      <c r="P18" t="str">
        <f ca="1">IF($K18="Yes",COUNTIFS($K$4:$K18,"Yes"),"")</f>
        <v/>
      </c>
      <c r="Q18">
        <f t="shared" ca="1" si="3"/>
        <v>0</v>
      </c>
      <c r="R18" t="str">
        <f ca="1">IF($Q18=1,SUM($Q$4:$Q18),"")</f>
        <v/>
      </c>
    </row>
    <row r="19" spans="1:18" ht="33.75" customHeight="1" x14ac:dyDescent="0.3">
      <c r="A19" s="2" t="s">
        <v>163</v>
      </c>
      <c r="B19" s="2" t="s">
        <v>21</v>
      </c>
      <c r="C19" s="3" t="s">
        <v>179</v>
      </c>
      <c r="D19" s="3" t="s">
        <v>180</v>
      </c>
      <c r="E19" s="2" t="s">
        <v>181</v>
      </c>
      <c r="F19" s="2" t="s">
        <v>182</v>
      </c>
      <c r="G19" s="5">
        <v>45645</v>
      </c>
      <c r="H19" s="5">
        <v>45645</v>
      </c>
      <c r="I19" s="2" t="s">
        <v>17</v>
      </c>
      <c r="J19" s="6">
        <f t="shared" si="1"/>
        <v>0</v>
      </c>
      <c r="K19" s="4" t="str">
        <f t="shared" ca="1" si="2"/>
        <v>Yes</v>
      </c>
      <c r="L19" s="7">
        <f t="shared" ca="1" si="4"/>
        <v>-563</v>
      </c>
      <c r="M19" s="4" t="str">
        <f>IF($I19="Complete","Green",IF($H19="","Amber",IF($H19&lt;'[2]Read Me'!$B$4,"Red",IF($H19-'[2]Read Me'!$B$4&lt;=21,"Amber","Green"))))</f>
        <v>Red</v>
      </c>
      <c r="N19" s="3"/>
      <c r="O19" t="str">
        <f>IF($I19&lt;&gt;"Complete",IF(COUNTIFS($A$4:$A18,$A19,$B$4:$B18,$B19,$I$4:$I18,"&lt;&gt;Complete")=0,$A19&amp;"|"&amp;$B19,""),"")</f>
        <v/>
      </c>
      <c r="P19">
        <f ca="1">IF($K19="Yes",COUNTIFS($K$4:$K19,"Yes"),"")</f>
        <v>2</v>
      </c>
      <c r="Q19">
        <f t="shared" ca="1" si="3"/>
        <v>1</v>
      </c>
      <c r="R19">
        <f ca="1">IF($Q19=1,SUM($Q$4:$Q19),"")</f>
        <v>2</v>
      </c>
    </row>
    <row r="20" spans="1:18" ht="33.75" customHeight="1" x14ac:dyDescent="0.3">
      <c r="A20" s="2" t="s">
        <v>163</v>
      </c>
      <c r="B20" s="2" t="s">
        <v>21</v>
      </c>
      <c r="C20" s="3" t="s">
        <v>179</v>
      </c>
      <c r="D20" s="3" t="s">
        <v>58</v>
      </c>
      <c r="E20" s="2" t="s">
        <v>181</v>
      </c>
      <c r="F20" s="2"/>
      <c r="G20" s="5">
        <v>45678</v>
      </c>
      <c r="H20" s="5">
        <v>45678</v>
      </c>
      <c r="I20" s="2" t="s">
        <v>31</v>
      </c>
      <c r="J20" s="6">
        <f t="shared" si="1"/>
        <v>0</v>
      </c>
      <c r="K20" s="4" t="str">
        <f t="shared" ca="1" si="2"/>
        <v>-</v>
      </c>
      <c r="L20" s="7">
        <f t="shared" ca="1" si="4"/>
        <v>0</v>
      </c>
      <c r="M20" s="4" t="str">
        <f>IF($I20="Complete","Green",IF($H20="","Amber",IF($H20&lt;'[2]Read Me'!$B$4,"Red",IF($H20-'[2]Read Me'!$B$4&lt;=21,"Amber","Green"))))</f>
        <v>Red</v>
      </c>
      <c r="N20" s="3"/>
      <c r="O20" t="str">
        <f>IF($I20&lt;&gt;"Complete",IF(COUNTIFS($A$4:$A19,$A20,$B$4:$B19,$B20,$I$4:$I19,"&lt;&gt;Complete")=0,$A20&amp;"|"&amp;$B20,""),"")</f>
        <v/>
      </c>
      <c r="P20" t="str">
        <f ca="1">IF($K20="Yes",COUNTIFS($K$4:$K20,"Yes"),"")</f>
        <v/>
      </c>
      <c r="Q20">
        <f t="shared" ca="1" si="3"/>
        <v>0</v>
      </c>
      <c r="R20" t="str">
        <f ca="1">IF($Q20=1,SUM($Q$4:$Q20),"")</f>
        <v/>
      </c>
    </row>
    <row r="21" spans="1:18" ht="33.75" customHeight="1" x14ac:dyDescent="0.3">
      <c r="A21" s="2" t="s">
        <v>163</v>
      </c>
      <c r="B21" s="2" t="s">
        <v>21</v>
      </c>
      <c r="C21" s="3" t="s">
        <v>179</v>
      </c>
      <c r="D21" s="3" t="s">
        <v>183</v>
      </c>
      <c r="E21" s="2" t="s">
        <v>184</v>
      </c>
      <c r="F21" s="2"/>
      <c r="G21" s="5">
        <v>45678</v>
      </c>
      <c r="H21" s="5">
        <v>45678</v>
      </c>
      <c r="I21" s="2" t="s">
        <v>31</v>
      </c>
      <c r="J21" s="6">
        <f t="shared" si="1"/>
        <v>0</v>
      </c>
      <c r="K21" s="4" t="str">
        <f t="shared" ca="1" si="2"/>
        <v>-</v>
      </c>
      <c r="L21" s="7">
        <f t="shared" ca="1" si="4"/>
        <v>0</v>
      </c>
      <c r="M21" s="4" t="str">
        <f>IF($I21="Complete","Green",IF($H21="","Amber",IF($H21&lt;'[2]Read Me'!$B$4,"Red",IF($H21-'[2]Read Me'!$B$4&lt;=21,"Amber","Green"))))</f>
        <v>Red</v>
      </c>
      <c r="N21" s="3"/>
      <c r="O21" t="str">
        <f>IF($I21&lt;&gt;"Complete",IF(COUNTIFS($A$4:$A20,$A21,$B$4:$B20,$B21,$I$4:$I20,"&lt;&gt;Complete")=0,$A21&amp;"|"&amp;$B21,""),"")</f>
        <v/>
      </c>
      <c r="P21" t="str">
        <f ca="1">IF($K21="Yes",COUNTIFS($K$4:$K21,"Yes"),"")</f>
        <v/>
      </c>
      <c r="Q21">
        <f t="shared" ca="1" si="3"/>
        <v>0</v>
      </c>
      <c r="R21" t="str">
        <f ca="1">IF($Q21=1,SUM($Q$4:$Q21),"")</f>
        <v/>
      </c>
    </row>
    <row r="22" spans="1:18" ht="33.75" customHeight="1" x14ac:dyDescent="0.3">
      <c r="A22" s="2" t="s">
        <v>163</v>
      </c>
      <c r="B22" s="2" t="s">
        <v>21</v>
      </c>
      <c r="C22" s="3" t="s">
        <v>179</v>
      </c>
      <c r="D22" s="3" t="s">
        <v>185</v>
      </c>
      <c r="E22" s="2" t="s">
        <v>181</v>
      </c>
      <c r="F22" s="2" t="s">
        <v>182</v>
      </c>
      <c r="G22" s="5">
        <v>45967</v>
      </c>
      <c r="H22" s="5">
        <v>46075</v>
      </c>
      <c r="I22" s="2" t="s">
        <v>31</v>
      </c>
      <c r="J22" s="6">
        <f t="shared" si="1"/>
        <v>108</v>
      </c>
      <c r="K22" s="4" t="str">
        <f t="shared" ca="1" si="2"/>
        <v>-</v>
      </c>
      <c r="L22" s="7">
        <f t="shared" ca="1" si="4"/>
        <v>0</v>
      </c>
      <c r="M22" s="4" t="str">
        <f>IF($I22="Complete","Green",IF($H22="","Amber",IF($H22&lt;'[2]Read Me'!$B$4,"Red",IF($H22-'[2]Read Me'!$B$4&lt;=21,"Amber","Green"))))</f>
        <v>Red</v>
      </c>
      <c r="N22" s="3"/>
      <c r="O22" t="str">
        <f>IF($I22&lt;&gt;"Complete",IF(COUNTIFS($A$4:$A21,$A22,$B$4:$B21,$B22,$I$4:$I21,"&lt;&gt;Complete")=0,$A22&amp;"|"&amp;$B22,""),"")</f>
        <v/>
      </c>
      <c r="P22" t="str">
        <f ca="1">IF($K22="Yes",COUNTIFS($K$4:$K22,"Yes"),"")</f>
        <v/>
      </c>
      <c r="Q22">
        <f t="shared" ca="1" si="3"/>
        <v>0</v>
      </c>
      <c r="R22" t="str">
        <f ca="1">IF($Q22=1,SUM($Q$4:$Q22),"")</f>
        <v/>
      </c>
    </row>
    <row r="23" spans="1:18" ht="33.75" customHeight="1" x14ac:dyDescent="0.3">
      <c r="A23" s="2" t="s">
        <v>163</v>
      </c>
      <c r="B23" s="2" t="s">
        <v>21</v>
      </c>
      <c r="C23" s="3" t="s">
        <v>179</v>
      </c>
      <c r="D23" s="3" t="s">
        <v>32</v>
      </c>
      <c r="E23" s="2" t="s">
        <v>181</v>
      </c>
      <c r="F23" s="2"/>
      <c r="G23" s="5">
        <v>45974</v>
      </c>
      <c r="H23" s="5">
        <v>46146</v>
      </c>
      <c r="I23" s="2" t="s">
        <v>31</v>
      </c>
      <c r="J23" s="6">
        <f t="shared" si="1"/>
        <v>172</v>
      </c>
      <c r="K23" s="4" t="str">
        <f t="shared" ca="1" si="2"/>
        <v>-</v>
      </c>
      <c r="L23" s="7">
        <f t="shared" ca="1" si="4"/>
        <v>0</v>
      </c>
      <c r="M23" s="4" t="str">
        <f>IF($I23="Complete","Green",IF($H23="","Amber",IF($H23&lt;'[2]Read Me'!$B$4,"Red",IF($H23-'[2]Read Me'!$B$4&lt;=21,"Amber","Green"))))</f>
        <v>Red</v>
      </c>
      <c r="N23" s="3"/>
      <c r="O23" t="str">
        <f>IF($I23&lt;&gt;"Complete",IF(COUNTIFS($A$4:$A22,$A23,$B$4:$B22,$B23,$I$4:$I22,"&lt;&gt;Complete")=0,$A23&amp;"|"&amp;$B23,""),"")</f>
        <v/>
      </c>
      <c r="P23" t="str">
        <f ca="1">IF($K23="Yes",COUNTIFS($K$4:$K23,"Yes"),"")</f>
        <v/>
      </c>
      <c r="Q23">
        <f t="shared" ca="1" si="3"/>
        <v>0</v>
      </c>
      <c r="R23" t="str">
        <f ca="1">IF($Q23=1,SUM($Q$4:$Q23),"")</f>
        <v/>
      </c>
    </row>
    <row r="24" spans="1:18" ht="33.75" customHeight="1" x14ac:dyDescent="0.3">
      <c r="A24" s="2" t="s">
        <v>163</v>
      </c>
      <c r="B24" s="2" t="s">
        <v>21</v>
      </c>
      <c r="C24" s="3" t="s">
        <v>179</v>
      </c>
      <c r="D24" s="3" t="s">
        <v>14</v>
      </c>
      <c r="E24" s="2" t="s">
        <v>181</v>
      </c>
      <c r="F24" s="2" t="s">
        <v>182</v>
      </c>
      <c r="G24" s="5">
        <v>46002</v>
      </c>
      <c r="H24" s="5">
        <v>46197</v>
      </c>
      <c r="I24" s="2" t="s">
        <v>46</v>
      </c>
      <c r="J24" s="6">
        <f t="shared" si="1"/>
        <v>195</v>
      </c>
      <c r="K24" s="4" t="str">
        <f t="shared" ca="1" si="2"/>
        <v>Yes</v>
      </c>
      <c r="L24" s="7">
        <f t="shared" ca="1" si="4"/>
        <v>-11</v>
      </c>
      <c r="M24" s="4" t="str">
        <f>IF($I24="Complete","Green",IF($H24="","Amber",IF($H24&lt;'[2]Read Me'!$B$4,"Red",IF($H24-'[2]Read Me'!$B$4&lt;=21,"Amber","Green"))))</f>
        <v>Amber</v>
      </c>
      <c r="N24" s="3"/>
      <c r="O24" t="str">
        <f>IF($I24&lt;&gt;"Complete",IF(COUNTIFS($A$4:$A23,$A24,$B$4:$B23,$B24,$I$4:$I23,"&lt;&gt;Complete")=0,$A24&amp;"|"&amp;$B24,""),"")</f>
        <v/>
      </c>
      <c r="P24">
        <f ca="1">IF($K24="Yes",COUNTIFS($K$4:$K24,"Yes"),"")</f>
        <v>3</v>
      </c>
      <c r="Q24">
        <f t="shared" ca="1" si="3"/>
        <v>1</v>
      </c>
      <c r="R24">
        <f ca="1">IF($Q24=1,SUM($Q$4:$Q24),"")</f>
        <v>3</v>
      </c>
    </row>
    <row r="25" spans="1:18" ht="33.75" customHeight="1" x14ac:dyDescent="0.3">
      <c r="A25" s="2" t="s">
        <v>163</v>
      </c>
      <c r="B25" s="2" t="s">
        <v>21</v>
      </c>
      <c r="C25" s="3" t="s">
        <v>179</v>
      </c>
      <c r="D25" s="3" t="s">
        <v>34</v>
      </c>
      <c r="E25" s="2" t="s">
        <v>181</v>
      </c>
      <c r="F25" s="2"/>
      <c r="G25" s="5">
        <v>46009</v>
      </c>
      <c r="H25" s="5">
        <v>46204</v>
      </c>
      <c r="I25" s="2" t="s">
        <v>17</v>
      </c>
      <c r="J25" s="6">
        <f t="shared" si="1"/>
        <v>195</v>
      </c>
      <c r="K25" s="4" t="str">
        <f t="shared" ca="1" si="2"/>
        <v>Yes</v>
      </c>
      <c r="L25" s="7">
        <f t="shared" ca="1" si="4"/>
        <v>-4</v>
      </c>
      <c r="M25" s="4" t="str">
        <f>IF($I25="Complete","Green",IF($H25="","Amber",IF($H25&lt;'[2]Read Me'!$B$4,"Red",IF($H25-'[2]Read Me'!$B$4&lt;=21,"Amber","Green"))))</f>
        <v>Amber</v>
      </c>
      <c r="N25" s="3"/>
      <c r="O25" t="str">
        <f>IF($I25&lt;&gt;"Complete",IF(COUNTIFS($A$4:$A24,$A25,$B$4:$B24,$B25,$I$4:$I24,"&lt;&gt;Complete")=0,$A25&amp;"|"&amp;$B25,""),"")</f>
        <v/>
      </c>
      <c r="P25">
        <f ca="1">IF($K25="Yes",COUNTIFS($K$4:$K25,"Yes"),"")</f>
        <v>4</v>
      </c>
      <c r="Q25">
        <f t="shared" ca="1" si="3"/>
        <v>1</v>
      </c>
      <c r="R25">
        <f ca="1">IF($Q25=1,SUM($Q$4:$Q25),"")</f>
        <v>4</v>
      </c>
    </row>
    <row r="26" spans="1:18" ht="33.75" customHeight="1" x14ac:dyDescent="0.3">
      <c r="A26" s="2" t="s">
        <v>163</v>
      </c>
      <c r="B26" s="2" t="s">
        <v>21</v>
      </c>
      <c r="C26" s="3" t="s">
        <v>179</v>
      </c>
      <c r="D26" s="3" t="s">
        <v>15</v>
      </c>
      <c r="E26" s="2" t="s">
        <v>181</v>
      </c>
      <c r="F26" s="2" t="s">
        <v>182</v>
      </c>
      <c r="G26" s="5">
        <v>46030</v>
      </c>
      <c r="H26" s="5">
        <v>46225</v>
      </c>
      <c r="I26" s="2" t="s">
        <v>17</v>
      </c>
      <c r="J26" s="6">
        <f t="shared" si="1"/>
        <v>195</v>
      </c>
      <c r="K26" s="4" t="str">
        <f t="shared" ca="1" si="2"/>
        <v>No</v>
      </c>
      <c r="L26" s="7">
        <f t="shared" ca="1" si="4"/>
        <v>17</v>
      </c>
      <c r="M26" s="4" t="str">
        <f>IF($I26="Complete","Green",IF($H26="","Amber",IF($H26&lt;'[2]Read Me'!$B$4,"Red",IF($H26-'[2]Read Me'!$B$4&lt;=21,"Amber","Green"))))</f>
        <v>Green</v>
      </c>
      <c r="N26" s="3"/>
      <c r="O26" t="str">
        <f>IF($I26&lt;&gt;"Complete",IF(COUNTIFS($A$4:$A25,$A26,$B$4:$B25,$B26,$I$4:$I25,"&lt;&gt;Complete")=0,$A26&amp;"|"&amp;$B26,""),"")</f>
        <v/>
      </c>
      <c r="P26" t="str">
        <f ca="1">IF($K26="Yes",COUNTIFS($K$4:$K26,"Yes"),"")</f>
        <v/>
      </c>
      <c r="Q26">
        <f t="shared" ca="1" si="3"/>
        <v>0</v>
      </c>
      <c r="R26" t="str">
        <f ca="1">IF($Q26=1,SUM($Q$4:$Q26),"")</f>
        <v/>
      </c>
    </row>
    <row r="27" spans="1:18" ht="33.75" customHeight="1" x14ac:dyDescent="0.3">
      <c r="A27" s="2" t="s">
        <v>163</v>
      </c>
      <c r="B27" s="2" t="s">
        <v>21</v>
      </c>
      <c r="C27" s="3" t="s">
        <v>179</v>
      </c>
      <c r="D27" s="3" t="s">
        <v>35</v>
      </c>
      <c r="E27" s="2" t="s">
        <v>181</v>
      </c>
      <c r="F27" s="2"/>
      <c r="G27" s="5">
        <v>46037</v>
      </c>
      <c r="H27" s="5">
        <v>46232</v>
      </c>
      <c r="I27" s="2" t="s">
        <v>17</v>
      </c>
      <c r="J27" s="6">
        <f t="shared" si="1"/>
        <v>195</v>
      </c>
      <c r="K27" s="4" t="str">
        <f t="shared" ca="1" si="2"/>
        <v>No</v>
      </c>
      <c r="L27" s="7">
        <f t="shared" ca="1" si="4"/>
        <v>24</v>
      </c>
      <c r="M27" s="4" t="str">
        <f>IF($I27="Complete","Green",IF($H27="","Amber",IF($H27&lt;'[2]Read Me'!$B$4,"Red",IF($H27-'[2]Read Me'!$B$4&lt;=21,"Amber","Green"))))</f>
        <v>Green</v>
      </c>
      <c r="N27" s="3"/>
      <c r="O27" t="str">
        <f>IF($I27&lt;&gt;"Complete",IF(COUNTIFS($A$4:$A26,$A27,$B$4:$B26,$B27,$I$4:$I26,"&lt;&gt;Complete")=0,$A27&amp;"|"&amp;$B27,""),"")</f>
        <v/>
      </c>
      <c r="P27" t="str">
        <f ca="1">IF($K27="Yes",COUNTIFS($K$4:$K27,"Yes"),"")</f>
        <v/>
      </c>
      <c r="Q27">
        <f t="shared" ca="1" si="3"/>
        <v>0</v>
      </c>
      <c r="R27" t="str">
        <f ca="1">IF($Q27=1,SUM($Q$4:$Q27),"")</f>
        <v/>
      </c>
    </row>
    <row r="28" spans="1:18" ht="33.75" customHeight="1" x14ac:dyDescent="0.3">
      <c r="A28" s="2" t="s">
        <v>163</v>
      </c>
      <c r="B28" s="2" t="s">
        <v>21</v>
      </c>
      <c r="C28" s="3" t="s">
        <v>179</v>
      </c>
      <c r="D28" s="3" t="s">
        <v>20</v>
      </c>
      <c r="E28" s="2" t="s">
        <v>184</v>
      </c>
      <c r="F28" s="2"/>
      <c r="G28" s="5">
        <v>46044</v>
      </c>
      <c r="H28" s="5">
        <v>46239</v>
      </c>
      <c r="I28" s="2" t="s">
        <v>17</v>
      </c>
      <c r="J28" s="6">
        <f t="shared" si="1"/>
        <v>195</v>
      </c>
      <c r="K28" s="4" t="str">
        <f t="shared" ca="1" si="2"/>
        <v>No</v>
      </c>
      <c r="L28" s="7">
        <f t="shared" ca="1" si="4"/>
        <v>31</v>
      </c>
      <c r="M28" s="4" t="str">
        <f>IF($I28="Complete","Green",IF($H28="","Amber",IF($H28&lt;'[2]Read Me'!$B$4,"Red",IF($H28-'[2]Read Me'!$B$4&lt;=21,"Amber","Green"))))</f>
        <v>Green</v>
      </c>
      <c r="N28" s="3"/>
      <c r="O28" t="str">
        <f>IF($I28&lt;&gt;"Complete",IF(COUNTIFS($A$4:$A27,$A28,$B$4:$B27,$B28,$I$4:$I27,"&lt;&gt;Complete")=0,$A28&amp;"|"&amp;$B28,""),"")</f>
        <v/>
      </c>
      <c r="P28" t="str">
        <f ca="1">IF($K28="Yes",COUNTIFS($K$4:$K28,"Yes"),"")</f>
        <v/>
      </c>
      <c r="Q28">
        <f t="shared" ca="1" si="3"/>
        <v>0</v>
      </c>
      <c r="R28" t="str">
        <f ca="1">IF($Q28=1,SUM($Q$4:$Q28),"")</f>
        <v/>
      </c>
    </row>
    <row r="29" spans="1:18" ht="33.75" customHeight="1" x14ac:dyDescent="0.3">
      <c r="A29" s="2" t="s">
        <v>163</v>
      </c>
      <c r="B29" s="2" t="s">
        <v>21</v>
      </c>
      <c r="C29" s="3" t="s">
        <v>179</v>
      </c>
      <c r="D29" s="3" t="s">
        <v>16</v>
      </c>
      <c r="E29" s="2" t="s">
        <v>181</v>
      </c>
      <c r="F29" s="2" t="s">
        <v>182</v>
      </c>
      <c r="G29" s="5">
        <v>46051</v>
      </c>
      <c r="H29" s="5">
        <v>46253</v>
      </c>
      <c r="I29" s="2" t="s">
        <v>17</v>
      </c>
      <c r="J29" s="6">
        <f t="shared" si="1"/>
        <v>202</v>
      </c>
      <c r="K29" s="4" t="str">
        <f t="shared" ca="1" si="2"/>
        <v>No</v>
      </c>
      <c r="L29" s="7">
        <f t="shared" ca="1" si="4"/>
        <v>45</v>
      </c>
      <c r="M29" s="4" t="str">
        <f>IF($I29="Complete","Green",IF($H29="","Amber",IF($H29&lt;'[2]Read Me'!$B$4,"Red",IF($H29-'[2]Read Me'!$B$4&lt;=21,"Amber","Green"))))</f>
        <v>Green</v>
      </c>
      <c r="N29" s="3"/>
      <c r="O29" t="str">
        <f>IF($I29&lt;&gt;"Complete",IF(COUNTIFS($A$4:$A28,$A29,$B$4:$B28,$B29,$I$4:$I28,"&lt;&gt;Complete")=0,$A29&amp;"|"&amp;$B29,""),"")</f>
        <v/>
      </c>
      <c r="P29" t="str">
        <f ca="1">IF($K29="Yes",COUNTIFS($K$4:$K29,"Yes"),"")</f>
        <v/>
      </c>
      <c r="Q29">
        <f t="shared" ca="1" si="3"/>
        <v>0</v>
      </c>
      <c r="R29" t="str">
        <f ca="1">IF($Q29=1,SUM($Q$4:$Q29),"")</f>
        <v/>
      </c>
    </row>
    <row r="30" spans="1:18" ht="33.75" customHeight="1" x14ac:dyDescent="0.3">
      <c r="A30" s="2" t="s">
        <v>163</v>
      </c>
      <c r="B30" s="2" t="s">
        <v>21</v>
      </c>
      <c r="C30" s="3" t="s">
        <v>179</v>
      </c>
      <c r="D30" s="3" t="s">
        <v>178</v>
      </c>
      <c r="E30" s="2" t="s">
        <v>181</v>
      </c>
      <c r="F30" s="2"/>
      <c r="G30" s="5">
        <v>46065</v>
      </c>
      <c r="H30" s="5">
        <v>46267</v>
      </c>
      <c r="I30" s="2" t="s">
        <v>17</v>
      </c>
      <c r="J30" s="6">
        <f t="shared" si="1"/>
        <v>202</v>
      </c>
      <c r="K30" s="4" t="str">
        <f t="shared" ca="1" si="2"/>
        <v>No</v>
      </c>
      <c r="L30" s="7">
        <f t="shared" ca="1" si="4"/>
        <v>59</v>
      </c>
      <c r="M30" s="4" t="str">
        <f>IF($I30="Complete","Green",IF($H30="","Amber",IF($H30&lt;'[2]Read Me'!$B$4,"Red",IF($H30-'[2]Read Me'!$B$4&lt;=21,"Amber","Green"))))</f>
        <v>Green</v>
      </c>
      <c r="N30" s="3"/>
      <c r="O30" t="str">
        <f>IF($I30&lt;&gt;"Complete",IF(COUNTIFS($A$4:$A29,$A30,$B$4:$B29,$B30,$I$4:$I29,"&lt;&gt;Complete")=0,$A30&amp;"|"&amp;$B30,""),"")</f>
        <v/>
      </c>
      <c r="P30" t="str">
        <f ca="1">IF($K30="Yes",COUNTIFS($K$4:$K30,"Yes"),"")</f>
        <v/>
      </c>
      <c r="Q30">
        <f t="shared" ca="1" si="3"/>
        <v>0</v>
      </c>
      <c r="R30" t="str">
        <f ca="1">IF($Q30=1,SUM($Q$4:$Q30),"")</f>
        <v/>
      </c>
    </row>
    <row r="31" spans="1:18" ht="14.25" customHeight="1" x14ac:dyDescent="0.3">
      <c r="A31" s="2" t="s">
        <v>163</v>
      </c>
      <c r="B31" s="2" t="s">
        <v>186</v>
      </c>
      <c r="C31" s="3"/>
      <c r="D31" s="3"/>
      <c r="E31" s="2"/>
      <c r="F31" s="2"/>
      <c r="G31" s="5"/>
      <c r="H31" s="5">
        <v>46205</v>
      </c>
      <c r="I31" s="2"/>
      <c r="J31" s="6" t="str">
        <f t="shared" si="1"/>
        <v/>
      </c>
      <c r="K31" s="4" t="str">
        <f t="shared" ca="1" si="2"/>
        <v/>
      </c>
      <c r="L31" s="7">
        <f t="shared" ca="1" si="4"/>
        <v>-3</v>
      </c>
      <c r="M31" s="4" t="str">
        <f>IF($I31="Complete","Green",IF($H31="","Amber",IF($H31&lt;'[2]Read Me'!$B$4,"Red",IF($H31-'[2]Read Me'!$B$4&lt;=21,"Amber","Green"))))</f>
        <v>Amber</v>
      </c>
      <c r="N31" s="3"/>
      <c r="O31" t="str">
        <f>IF($I31&lt;&gt;"Complete",IF(COUNTIFS($A$4:$A30,$A31,$B$4:$B30,$B31,$I$4:$I30,"&lt;&gt;Complete")=0,$A31&amp;"|"&amp;$B31,""),"")</f>
        <v>Selina|Plot Fences</v>
      </c>
      <c r="P31" t="str">
        <f ca="1">IF($K31="Yes",COUNTIFS($K$4:$K31,"Yes"),"")</f>
        <v/>
      </c>
      <c r="Q31">
        <f t="shared" ca="1" si="3"/>
        <v>0</v>
      </c>
      <c r="R31" t="str">
        <f ca="1">IF($Q31=1,SUM($Q$4:$Q31),"")</f>
        <v/>
      </c>
    </row>
    <row r="32" spans="1:18" ht="14.25" customHeight="1" x14ac:dyDescent="0.3">
      <c r="A32" s="2" t="s">
        <v>163</v>
      </c>
      <c r="B32" s="2" t="s">
        <v>186</v>
      </c>
      <c r="C32" s="3" t="s">
        <v>187</v>
      </c>
      <c r="D32" s="3" t="s">
        <v>188</v>
      </c>
      <c r="E32" s="2" t="s">
        <v>181</v>
      </c>
      <c r="F32" s="2" t="s">
        <v>189</v>
      </c>
      <c r="G32" s="5"/>
      <c r="H32" s="5">
        <v>45839</v>
      </c>
      <c r="I32" s="2" t="s">
        <v>17</v>
      </c>
      <c r="J32" s="6" t="str">
        <f t="shared" si="1"/>
        <v/>
      </c>
      <c r="K32" s="4" t="str">
        <f t="shared" ca="1" si="2"/>
        <v>Yes</v>
      </c>
      <c r="L32" s="7">
        <f t="shared" ca="1" si="4"/>
        <v>-369</v>
      </c>
      <c r="M32" s="4" t="str">
        <f>IF($I32="Complete","Green",IF($H32="","Amber",IF($H32&lt;'[2]Read Me'!$B$4,"Red",IF($H32-'[2]Read Me'!$B$4&lt;=21,"Amber","Green"))))</f>
        <v>Red</v>
      </c>
      <c r="N32" s="3"/>
      <c r="O32" t="str">
        <f>IF($I32&lt;&gt;"Complete",IF(COUNTIFS($A$4:$A31,$A32,$B$4:$B31,$B32,$I$4:$I31,"&lt;&gt;Complete")=0,$A32&amp;"|"&amp;$B32,""),"")</f>
        <v/>
      </c>
      <c r="P32">
        <f ca="1">IF($K32="Yes",COUNTIFS($K$4:$K32,"Yes"),"")</f>
        <v>5</v>
      </c>
      <c r="Q32">
        <f t="shared" ca="1" si="3"/>
        <v>1</v>
      </c>
      <c r="R32">
        <f ca="1">IF($Q32=1,SUM($Q$4:$Q32),"")</f>
        <v>5</v>
      </c>
    </row>
    <row r="33" spans="1:18" ht="14.25" customHeight="1" x14ac:dyDescent="0.3">
      <c r="A33" s="2" t="s">
        <v>163</v>
      </c>
      <c r="B33" s="2" t="s">
        <v>186</v>
      </c>
      <c r="C33" s="3" t="s">
        <v>187</v>
      </c>
      <c r="D33" s="3" t="s">
        <v>190</v>
      </c>
      <c r="E33" s="2" t="s">
        <v>181</v>
      </c>
      <c r="F33" s="2"/>
      <c r="G33" s="5"/>
      <c r="H33" s="5">
        <v>46131</v>
      </c>
      <c r="I33" s="2" t="s">
        <v>31</v>
      </c>
      <c r="J33" s="6" t="str">
        <f t="shared" si="1"/>
        <v/>
      </c>
      <c r="K33" s="4" t="str">
        <f t="shared" ca="1" si="2"/>
        <v>-</v>
      </c>
      <c r="L33" s="7">
        <f t="shared" ca="1" si="4"/>
        <v>0</v>
      </c>
      <c r="M33" s="4" t="str">
        <f>IF($I33="Complete","Green",IF($H33="","Amber",IF($H33&lt;'[2]Read Me'!$B$4,"Red",IF($H33-'[2]Read Me'!$B$4&lt;=21,"Amber","Green"))))</f>
        <v>Red</v>
      </c>
      <c r="N33" s="3"/>
      <c r="O33" t="str">
        <f>IF($I33&lt;&gt;"Complete",IF(COUNTIFS($A$4:$A32,$A33,$B$4:$B32,$B33,$I$4:$I32,"&lt;&gt;Complete")=0,$A33&amp;"|"&amp;$B33,""),"")</f>
        <v/>
      </c>
      <c r="P33" t="str">
        <f ca="1">IF($K33="Yes",COUNTIFS($K$4:$K33,"Yes"),"")</f>
        <v/>
      </c>
      <c r="Q33">
        <f t="shared" ca="1" si="3"/>
        <v>0</v>
      </c>
      <c r="R33" t="str">
        <f ca="1">IF($Q33=1,SUM($Q$4:$Q33),"")</f>
        <v/>
      </c>
    </row>
    <row r="34" spans="1:18" ht="14.25" customHeight="1" x14ac:dyDescent="0.3">
      <c r="A34" s="2" t="s">
        <v>163</v>
      </c>
      <c r="B34" s="2" t="s">
        <v>186</v>
      </c>
      <c r="C34" s="3" t="s">
        <v>187</v>
      </c>
      <c r="D34" s="3" t="s">
        <v>191</v>
      </c>
      <c r="E34" s="2" t="s">
        <v>181</v>
      </c>
      <c r="F34" s="2" t="s">
        <v>189</v>
      </c>
      <c r="G34" s="5"/>
      <c r="H34" s="5">
        <v>46198</v>
      </c>
      <c r="I34" s="2" t="s">
        <v>46</v>
      </c>
      <c r="J34" s="6" t="str">
        <f t="shared" si="1"/>
        <v/>
      </c>
      <c r="K34" s="4" t="str">
        <f t="shared" ca="1" si="2"/>
        <v>Yes</v>
      </c>
      <c r="L34" s="7">
        <f t="shared" ca="1" si="4"/>
        <v>-10</v>
      </c>
      <c r="M34" s="4" t="str">
        <f>IF($I34="Complete","Green",IF($H34="","Amber",IF($H34&lt;'[2]Read Me'!$B$4,"Red",IF($H34-'[2]Read Me'!$B$4&lt;=21,"Amber","Green"))))</f>
        <v>Amber</v>
      </c>
      <c r="N34" s="3"/>
      <c r="O34" t="str">
        <f>IF($I34&lt;&gt;"Complete",IF(COUNTIFS($A$4:$A33,$A34,$B$4:$B33,$B34,$I$4:$I33,"&lt;&gt;Complete")=0,$A34&amp;"|"&amp;$B34,""),"")</f>
        <v/>
      </c>
      <c r="P34">
        <f ca="1">IF($K34="Yes",COUNTIFS($K$4:$K34,"Yes"),"")</f>
        <v>6</v>
      </c>
      <c r="Q34">
        <f t="shared" ca="1" si="3"/>
        <v>1</v>
      </c>
      <c r="R34">
        <f ca="1">IF($Q34=1,SUM($Q$4:$Q34),"")</f>
        <v>6</v>
      </c>
    </row>
    <row r="35" spans="1:18" ht="14.25" customHeight="1" x14ac:dyDescent="0.3">
      <c r="A35" s="2" t="s">
        <v>163</v>
      </c>
      <c r="B35" s="2" t="s">
        <v>186</v>
      </c>
      <c r="C35" s="3" t="s">
        <v>187</v>
      </c>
      <c r="D35" s="3" t="s">
        <v>178</v>
      </c>
      <c r="E35" s="2" t="s">
        <v>181</v>
      </c>
      <c r="F35" s="2"/>
      <c r="G35" s="5"/>
      <c r="H35" s="5">
        <v>46205</v>
      </c>
      <c r="I35" s="2" t="s">
        <v>17</v>
      </c>
      <c r="J35" s="6" t="str">
        <f t="shared" si="1"/>
        <v/>
      </c>
      <c r="K35" s="4" t="str">
        <f t="shared" ca="1" si="2"/>
        <v>Yes</v>
      </c>
      <c r="L35" s="7">
        <f t="shared" ca="1" si="4"/>
        <v>-3</v>
      </c>
      <c r="M35" s="4" t="str">
        <f>IF($I35="Complete","Green",IF($H35="","Amber",IF($H35&lt;'[2]Read Me'!$B$4,"Red",IF($H35-'[2]Read Me'!$B$4&lt;=21,"Amber","Green"))))</f>
        <v>Amber</v>
      </c>
      <c r="N35" s="3"/>
      <c r="O35" t="str">
        <f>IF($I35&lt;&gt;"Complete",IF(COUNTIFS($A$4:$A34,$A35,$B$4:$B34,$B35,$I$4:$I34,"&lt;&gt;Complete")=0,$A35&amp;"|"&amp;$B35,""),"")</f>
        <v/>
      </c>
      <c r="P35">
        <f ca="1">IF($K35="Yes",COUNTIFS($K$4:$K35,"Yes"),"")</f>
        <v>7</v>
      </c>
      <c r="Q35">
        <f t="shared" ca="1" si="3"/>
        <v>1</v>
      </c>
      <c r="R35">
        <f ca="1">IF($Q35=1,SUM($Q$4:$Q35),"")</f>
        <v>7</v>
      </c>
    </row>
    <row r="36" spans="1:18" ht="14.25" customHeight="1" x14ac:dyDescent="0.3">
      <c r="A36" s="2" t="s">
        <v>163</v>
      </c>
      <c r="B36" s="2" t="s">
        <v>192</v>
      </c>
      <c r="C36" s="3"/>
      <c r="D36" s="3"/>
      <c r="E36" s="2"/>
      <c r="F36" s="2"/>
      <c r="G36" s="5"/>
      <c r="H36" s="5">
        <v>46063</v>
      </c>
      <c r="I36" s="2"/>
      <c r="J36" s="6" t="str">
        <f t="shared" si="1"/>
        <v/>
      </c>
      <c r="K36" s="4" t="str">
        <f t="shared" ca="1" si="2"/>
        <v/>
      </c>
      <c r="L36" s="7">
        <f t="shared" ca="1" si="4"/>
        <v>-145</v>
      </c>
      <c r="M36" s="4" t="str">
        <f>IF($I36="Complete","Green",IF($H36="","Amber",IF($H36&lt;'[2]Read Me'!$B$4,"Red",IF($H36-'[2]Read Me'!$B$4&lt;=21,"Amber","Green"))))</f>
        <v>Red</v>
      </c>
      <c r="N36" s="3"/>
      <c r="O36" t="str">
        <f>IF($I36&lt;&gt;"Complete",IF(COUNTIFS($A$4:$A35,$A36,$B$4:$B35,$B36,$I$4:$I35,"&lt;&gt;Complete")=0,$A36&amp;"|"&amp;$B36,""),"")</f>
        <v>Selina|Parcel Fence</v>
      </c>
      <c r="P36" t="str">
        <f ca="1">IF($K36="Yes",COUNTIFS($K$4:$K36,"Yes"),"")</f>
        <v/>
      </c>
      <c r="Q36">
        <f t="shared" ca="1" si="3"/>
        <v>0</v>
      </c>
      <c r="R36" t="str">
        <f ca="1">IF($Q36=1,SUM($Q$4:$Q36),"")</f>
        <v/>
      </c>
    </row>
    <row r="37" spans="1:18" ht="14.25" customHeight="1" x14ac:dyDescent="0.3">
      <c r="A37" s="2" t="s">
        <v>163</v>
      </c>
      <c r="B37" s="2" t="s">
        <v>192</v>
      </c>
      <c r="C37" s="3" t="s">
        <v>192</v>
      </c>
      <c r="D37" s="3" t="s">
        <v>37</v>
      </c>
      <c r="E37" s="2" t="s">
        <v>181</v>
      </c>
      <c r="F37" s="2"/>
      <c r="G37" s="5"/>
      <c r="H37" s="5">
        <v>46063</v>
      </c>
      <c r="I37" s="2" t="s">
        <v>31</v>
      </c>
      <c r="J37" s="6" t="str">
        <f t="shared" si="1"/>
        <v/>
      </c>
      <c r="K37" s="4" t="str">
        <f t="shared" ca="1" si="2"/>
        <v>-</v>
      </c>
      <c r="L37" s="7">
        <f t="shared" ca="1" si="4"/>
        <v>0</v>
      </c>
      <c r="M37" s="4" t="str">
        <f>IF($I37="Complete","Green",IF($H37="","Amber",IF($H37&lt;'[2]Read Me'!$B$4,"Red",IF($H37-'[2]Read Me'!$B$4&lt;=21,"Amber","Green"))))</f>
        <v>Red</v>
      </c>
      <c r="N37" s="3"/>
      <c r="O37" t="str">
        <f>IF($I37&lt;&gt;"Complete",IF(COUNTIFS($A$4:$A36,$A37,$B$4:$B36,$B37,$I$4:$I36,"&lt;&gt;Complete")=0,$A37&amp;"|"&amp;$B37,""),"")</f>
        <v/>
      </c>
      <c r="P37" t="str">
        <f ca="1">IF($K37="Yes",COUNTIFS($K$4:$K37,"Yes"),"")</f>
        <v/>
      </c>
      <c r="Q37">
        <f t="shared" ca="1" si="3"/>
        <v>0</v>
      </c>
      <c r="R37" t="str">
        <f ca="1">IF($Q37=1,SUM($Q$4:$Q37),"")</f>
        <v/>
      </c>
    </row>
    <row r="38" spans="1:18" ht="14.25" customHeight="1" x14ac:dyDescent="0.3">
      <c r="A38" s="2" t="s">
        <v>193</v>
      </c>
      <c r="B38" s="2" t="s">
        <v>62</v>
      </c>
      <c r="C38" s="3"/>
      <c r="D38" s="3"/>
      <c r="E38" s="2"/>
      <c r="F38" s="2"/>
      <c r="G38" s="5">
        <v>46023</v>
      </c>
      <c r="H38" s="5">
        <v>46135</v>
      </c>
      <c r="I38" s="2"/>
      <c r="J38" s="6">
        <f t="shared" si="1"/>
        <v>112</v>
      </c>
      <c r="K38" s="4" t="str">
        <f t="shared" ca="1" si="2"/>
        <v/>
      </c>
      <c r="L38" s="7">
        <f t="shared" ca="1" si="4"/>
        <v>-73</v>
      </c>
      <c r="M38" s="4" t="str">
        <f>IF($I38="Complete","Green",IF($H38="","Amber",IF($H38&lt;'[2]Read Me'!$B$4,"Red",IF($H38-'[2]Read Me'!$B$4&lt;=21,"Amber","Green"))))</f>
        <v>Red</v>
      </c>
      <c r="N38" s="3"/>
      <c r="O38" t="str">
        <f>IF($I38&lt;&gt;"Complete",IF(COUNTIFS($A$4:$A37,$A38,$B$4:$B37,$B38,$I$4:$I37,"&lt;&gt;Complete")=0,$A38&amp;"|"&amp;$B38,""),"")</f>
        <v>Amaia|Buildings</v>
      </c>
      <c r="P38" t="str">
        <f ca="1">IF($K38="Yes",COUNTIFS($K$4:$K38,"Yes"),"")</f>
        <v/>
      </c>
      <c r="Q38">
        <f t="shared" ca="1" si="3"/>
        <v>0</v>
      </c>
      <c r="R38" t="str">
        <f ca="1">IF($Q38=1,SUM($Q$4:$Q38),"")</f>
        <v/>
      </c>
    </row>
    <row r="39" spans="1:18" ht="14.25" customHeight="1" x14ac:dyDescent="0.3">
      <c r="A39" s="2" t="s">
        <v>193</v>
      </c>
      <c r="B39" s="2" t="s">
        <v>62</v>
      </c>
      <c r="C39" s="3" t="s">
        <v>194</v>
      </c>
      <c r="D39" s="3" t="s">
        <v>16</v>
      </c>
      <c r="E39" s="2"/>
      <c r="F39" s="2"/>
      <c r="G39" s="5"/>
      <c r="H39" s="5">
        <v>45706</v>
      </c>
      <c r="I39" s="2" t="s">
        <v>31</v>
      </c>
      <c r="J39" s="6" t="str">
        <f t="shared" si="1"/>
        <v/>
      </c>
      <c r="K39" s="4" t="str">
        <f t="shared" ca="1" si="2"/>
        <v>-</v>
      </c>
      <c r="L39" s="7">
        <f t="shared" ca="1" si="4"/>
        <v>0</v>
      </c>
      <c r="M39" s="4" t="str">
        <f>IF($I39="Complete","Green",IF($H39="","Amber",IF($H39&lt;'[2]Read Me'!$B$4,"Red",IF($H39-'[2]Read Me'!$B$4&lt;=21,"Amber","Green"))))</f>
        <v>Red</v>
      </c>
      <c r="N39" s="3"/>
      <c r="O39" t="str">
        <f>IF($I39&lt;&gt;"Complete",IF(COUNTIFS($A$4:$A38,$A39,$B$4:$B38,$B39,$I$4:$I38,"&lt;&gt;Complete")=0,$A39&amp;"|"&amp;$B39,""),"")</f>
        <v/>
      </c>
      <c r="P39" t="str">
        <f ca="1">IF($K39="Yes",COUNTIFS($K$4:$K39,"Yes"),"")</f>
        <v/>
      </c>
      <c r="Q39">
        <f t="shared" ca="1" si="3"/>
        <v>0</v>
      </c>
      <c r="R39" t="str">
        <f ca="1">IF($Q39=1,SUM($Q$4:$Q39),"")</f>
        <v/>
      </c>
    </row>
    <row r="40" spans="1:18" ht="14.25" customHeight="1" x14ac:dyDescent="0.3">
      <c r="A40" s="2" t="s">
        <v>193</v>
      </c>
      <c r="B40" s="2" t="s">
        <v>62</v>
      </c>
      <c r="C40" s="3" t="s">
        <v>194</v>
      </c>
      <c r="D40" s="3" t="s">
        <v>37</v>
      </c>
      <c r="E40" s="2"/>
      <c r="F40" s="2"/>
      <c r="G40" s="5"/>
      <c r="H40" s="5">
        <v>45712</v>
      </c>
      <c r="I40" s="2" t="s">
        <v>31</v>
      </c>
      <c r="J40" s="6" t="str">
        <f t="shared" si="1"/>
        <v/>
      </c>
      <c r="K40" s="4" t="str">
        <f t="shared" ca="1" si="2"/>
        <v>-</v>
      </c>
      <c r="L40" s="7">
        <f t="shared" ca="1" si="4"/>
        <v>0</v>
      </c>
      <c r="M40" s="4" t="str">
        <f>IF($I40="Complete","Green",IF($H40="","Amber",IF($H40&lt;'[2]Read Me'!$B$4,"Red",IF($H40-'[2]Read Me'!$B$4&lt;=21,"Amber","Green"))))</f>
        <v>Red</v>
      </c>
      <c r="N40" s="3"/>
      <c r="O40" t="str">
        <f>IF($I40&lt;&gt;"Complete",IF(COUNTIFS($A$4:$A39,$A40,$B$4:$B39,$B40,$I$4:$I39,"&lt;&gt;Complete")=0,$A40&amp;"|"&amp;$B40,""),"")</f>
        <v/>
      </c>
      <c r="P40" t="str">
        <f ca="1">IF($K40="Yes",COUNTIFS($K$4:$K40,"Yes"),"")</f>
        <v/>
      </c>
      <c r="Q40">
        <f t="shared" ca="1" si="3"/>
        <v>0</v>
      </c>
      <c r="R40" t="str">
        <f ca="1">IF($Q40=1,SUM($Q$4:$Q40),"")</f>
        <v/>
      </c>
    </row>
    <row r="41" spans="1:18" ht="14.25" customHeight="1" x14ac:dyDescent="0.3">
      <c r="A41" s="2" t="s">
        <v>193</v>
      </c>
      <c r="B41" s="2" t="s">
        <v>62</v>
      </c>
      <c r="C41" s="3" t="s">
        <v>194</v>
      </c>
      <c r="D41" s="3" t="s">
        <v>195</v>
      </c>
      <c r="E41" s="2"/>
      <c r="F41" s="2"/>
      <c r="G41" s="5">
        <v>45981</v>
      </c>
      <c r="H41" s="5">
        <v>45950</v>
      </c>
      <c r="I41" s="2" t="s">
        <v>31</v>
      </c>
      <c r="J41" s="6">
        <f t="shared" si="1"/>
        <v>-31</v>
      </c>
      <c r="K41" s="4" t="str">
        <f t="shared" ca="1" si="2"/>
        <v>-</v>
      </c>
      <c r="L41" s="7">
        <f t="shared" ca="1" si="4"/>
        <v>0</v>
      </c>
      <c r="M41" s="4" t="str">
        <f>IF($I41="Complete","Green",IF($H41="","Amber",IF($H41&lt;'[2]Read Me'!$B$4,"Red",IF($H41-'[2]Read Me'!$B$4&lt;=21,"Amber","Green"))))</f>
        <v>Red</v>
      </c>
      <c r="N41" s="3"/>
      <c r="O41" t="str">
        <f>IF($I41&lt;&gt;"Complete",IF(COUNTIFS($A$4:$A40,$A41,$B$4:$B40,$B41,$I$4:$I40,"&lt;&gt;Complete")=0,$A41&amp;"|"&amp;$B41,""),"")</f>
        <v/>
      </c>
      <c r="P41" t="str">
        <f ca="1">IF($K41="Yes",COUNTIFS($K$4:$K41,"Yes"),"")</f>
        <v/>
      </c>
      <c r="Q41">
        <f t="shared" ca="1" si="3"/>
        <v>0</v>
      </c>
      <c r="R41" t="str">
        <f ca="1">IF($Q41=1,SUM($Q$4:$Q41),"")</f>
        <v/>
      </c>
    </row>
    <row r="42" spans="1:18" ht="22.5" customHeight="1" x14ac:dyDescent="0.3">
      <c r="A42" s="2" t="s">
        <v>193</v>
      </c>
      <c r="B42" s="2" t="s">
        <v>62</v>
      </c>
      <c r="C42" s="3" t="s">
        <v>194</v>
      </c>
      <c r="D42" s="3" t="s">
        <v>196</v>
      </c>
      <c r="E42" s="2"/>
      <c r="F42" s="2" t="s">
        <v>197</v>
      </c>
      <c r="G42" s="5">
        <v>45970</v>
      </c>
      <c r="H42" s="5">
        <v>46036</v>
      </c>
      <c r="I42" s="2" t="s">
        <v>31</v>
      </c>
      <c r="J42" s="6">
        <f t="shared" si="1"/>
        <v>66</v>
      </c>
      <c r="K42" s="4" t="str">
        <f t="shared" ca="1" si="2"/>
        <v>-</v>
      </c>
      <c r="L42" s="7">
        <f t="shared" ca="1" si="4"/>
        <v>0</v>
      </c>
      <c r="M42" s="4" t="str">
        <f>IF($I42="Complete","Green",IF($H42="","Amber",IF($H42&lt;'[2]Read Me'!$B$4,"Red",IF($H42-'[2]Read Me'!$B$4&lt;=21,"Amber","Green"))))</f>
        <v>Red</v>
      </c>
      <c r="N42" s="3"/>
      <c r="O42" t="str">
        <f>IF($I42&lt;&gt;"Complete",IF(COUNTIFS($A$4:$A41,$A42,$B$4:$B41,$B42,$I$4:$I41,"&lt;&gt;Complete")=0,$A42&amp;"|"&amp;$B42,""),"")</f>
        <v/>
      </c>
      <c r="P42" t="str">
        <f ca="1">IF($K42="Yes",COUNTIFS($K$4:$K42,"Yes"),"")</f>
        <v/>
      </c>
      <c r="Q42">
        <f t="shared" ca="1" si="3"/>
        <v>0</v>
      </c>
      <c r="R42" t="str">
        <f ca="1">IF($Q42=1,SUM($Q$4:$Q42),"")</f>
        <v/>
      </c>
    </row>
    <row r="43" spans="1:18" ht="22.5" customHeight="1" x14ac:dyDescent="0.3">
      <c r="A43" s="2" t="s">
        <v>193</v>
      </c>
      <c r="B43" s="2" t="s">
        <v>62</v>
      </c>
      <c r="C43" s="3" t="s">
        <v>194</v>
      </c>
      <c r="D43" s="3" t="s">
        <v>198</v>
      </c>
      <c r="E43" s="2"/>
      <c r="F43" s="2"/>
      <c r="G43" s="5">
        <v>45981</v>
      </c>
      <c r="H43" s="5">
        <v>46037</v>
      </c>
      <c r="I43" s="2" t="s">
        <v>31</v>
      </c>
      <c r="J43" s="6">
        <f t="shared" si="1"/>
        <v>56</v>
      </c>
      <c r="K43" s="4" t="str">
        <f t="shared" ca="1" si="2"/>
        <v>-</v>
      </c>
      <c r="L43" s="7">
        <f t="shared" ca="1" si="4"/>
        <v>0</v>
      </c>
      <c r="M43" s="4" t="str">
        <f>IF($I43="Complete","Green",IF($H43="","Amber",IF($H43&lt;'[2]Read Me'!$B$4,"Red",IF($H43-'[2]Read Me'!$B$4&lt;=21,"Amber","Green"))))</f>
        <v>Red</v>
      </c>
      <c r="N43" s="3"/>
      <c r="O43" t="str">
        <f>IF($I43&lt;&gt;"Complete",IF(COUNTIFS($A$4:$A42,$A43,$B$4:$B42,$B43,$I$4:$I42,"&lt;&gt;Complete")=0,$A43&amp;"|"&amp;$B43,""),"")</f>
        <v/>
      </c>
      <c r="P43" t="str">
        <f ca="1">IF($K43="Yes",COUNTIFS($K$4:$K43,"Yes"),"")</f>
        <v/>
      </c>
      <c r="Q43">
        <f t="shared" ca="1" si="3"/>
        <v>0</v>
      </c>
      <c r="R43" t="str">
        <f ca="1">IF($Q43=1,SUM($Q$4:$Q43),"")</f>
        <v/>
      </c>
    </row>
    <row r="44" spans="1:18" ht="14.25" customHeight="1" x14ac:dyDescent="0.3">
      <c r="A44" s="2" t="s">
        <v>193</v>
      </c>
      <c r="B44" s="2" t="s">
        <v>62</v>
      </c>
      <c r="C44" s="3" t="s">
        <v>194</v>
      </c>
      <c r="D44" s="3" t="s">
        <v>199</v>
      </c>
      <c r="E44" s="2"/>
      <c r="F44" s="2" t="s">
        <v>197</v>
      </c>
      <c r="G44" s="5">
        <v>46009</v>
      </c>
      <c r="H44" s="5">
        <v>46076</v>
      </c>
      <c r="I44" s="4" t="s">
        <v>31</v>
      </c>
      <c r="J44" s="6">
        <f t="shared" si="1"/>
        <v>67</v>
      </c>
      <c r="K44" s="4" t="str">
        <f t="shared" ca="1" si="2"/>
        <v>-</v>
      </c>
      <c r="L44" s="7">
        <f t="shared" ca="1" si="4"/>
        <v>0</v>
      </c>
      <c r="M44" s="4" t="str">
        <f>IF($I44="Complete","Green",IF($H44="","Amber",IF($H44&lt;'[2]Read Me'!$B$4,"Red",IF($H44-'[2]Read Me'!$B$4&lt;=21,"Amber","Green"))))</f>
        <v>Red</v>
      </c>
      <c r="N44" s="3"/>
      <c r="O44" t="str">
        <f>IF($I44&lt;&gt;"Complete",IF(COUNTIFS($A$4:$A43,$A44,$B$4:$B43,$B44,$I$4:$I43,"&lt;&gt;Complete")=0,$A44&amp;"|"&amp;$B44,""),"")</f>
        <v/>
      </c>
      <c r="P44" t="str">
        <f ca="1">IF($K44="Yes",COUNTIFS($K$4:$K44,"Yes"),"")</f>
        <v/>
      </c>
      <c r="Q44">
        <f t="shared" ca="1" si="3"/>
        <v>0</v>
      </c>
      <c r="R44" t="str">
        <f ca="1">IF($Q44=1,SUM($Q$4:$Q44),"")</f>
        <v/>
      </c>
    </row>
    <row r="45" spans="1:18" ht="14.25" customHeight="1" x14ac:dyDescent="0.3">
      <c r="A45" s="2" t="s">
        <v>193</v>
      </c>
      <c r="B45" s="2" t="s">
        <v>62</v>
      </c>
      <c r="C45" s="3" t="s">
        <v>194</v>
      </c>
      <c r="D45" s="3" t="s">
        <v>200</v>
      </c>
      <c r="E45" s="2"/>
      <c r="F45" s="2"/>
      <c r="G45" s="5">
        <v>46023</v>
      </c>
      <c r="H45" s="5">
        <v>46079</v>
      </c>
      <c r="I45" s="4" t="s">
        <v>31</v>
      </c>
      <c r="J45" s="6">
        <f t="shared" si="1"/>
        <v>56</v>
      </c>
      <c r="K45" s="4" t="str">
        <f t="shared" ca="1" si="2"/>
        <v>-</v>
      </c>
      <c r="L45" s="7">
        <f t="shared" ca="1" si="4"/>
        <v>0</v>
      </c>
      <c r="M45" s="4" t="str">
        <f>IF($I45="Complete","Green",IF($H45="","Amber",IF($H45&lt;'[2]Read Me'!$B$4,"Red",IF($H45-'[2]Read Me'!$B$4&lt;=21,"Amber","Green"))))</f>
        <v>Red</v>
      </c>
      <c r="N45" s="3"/>
      <c r="O45" t="str">
        <f>IF($I45&lt;&gt;"Complete",IF(COUNTIFS($A$4:$A44,$A45,$B$4:$B44,$B45,$I$4:$I44,"&lt;&gt;Complete")=0,$A45&amp;"|"&amp;$B45,""),"")</f>
        <v/>
      </c>
      <c r="P45" t="str">
        <f ca="1">IF($K45="Yes",COUNTIFS($K$4:$K45,"Yes"),"")</f>
        <v/>
      </c>
      <c r="Q45">
        <f t="shared" ca="1" si="3"/>
        <v>0</v>
      </c>
      <c r="R45" t="str">
        <f ca="1">IF($Q45=1,SUM($Q$4:$Q45),"")</f>
        <v/>
      </c>
    </row>
    <row r="46" spans="1:18" ht="22.5" customHeight="1" x14ac:dyDescent="0.3">
      <c r="A46" s="2" t="s">
        <v>193</v>
      </c>
      <c r="B46" s="2" t="s">
        <v>62</v>
      </c>
      <c r="C46" s="3" t="s">
        <v>194</v>
      </c>
      <c r="D46" s="3" t="s">
        <v>201</v>
      </c>
      <c r="E46" s="2"/>
      <c r="F46" s="2" t="s">
        <v>197</v>
      </c>
      <c r="G46" s="5">
        <v>46009</v>
      </c>
      <c r="H46" s="5">
        <v>46131</v>
      </c>
      <c r="I46" s="4" t="s">
        <v>31</v>
      </c>
      <c r="J46" s="6">
        <f t="shared" si="1"/>
        <v>122</v>
      </c>
      <c r="K46" s="4" t="str">
        <f t="shared" ca="1" si="2"/>
        <v>-</v>
      </c>
      <c r="L46" s="7">
        <f t="shared" ca="1" si="4"/>
        <v>0</v>
      </c>
      <c r="M46" s="4" t="str">
        <f>IF($I46="Complete","Green",IF($H46="","Amber",IF($H46&lt;'[2]Read Me'!$B$4,"Red",IF($H46-'[2]Read Me'!$B$4&lt;=21,"Amber","Green"))))</f>
        <v>Red</v>
      </c>
      <c r="N46" s="3"/>
      <c r="O46" t="str">
        <f>IF($I46&lt;&gt;"Complete",IF(COUNTIFS($A$4:$A45,$A46,$B$4:$B45,$B46,$I$4:$I45,"&lt;&gt;Complete")=0,$A46&amp;"|"&amp;$B46,""),"")</f>
        <v/>
      </c>
      <c r="P46" t="str">
        <f ca="1">IF($K46="Yes",COUNTIFS($K$4:$K46,"Yes"),"")</f>
        <v/>
      </c>
      <c r="Q46">
        <f t="shared" ca="1" si="3"/>
        <v>0</v>
      </c>
      <c r="R46" t="str">
        <f ca="1">IF($Q46=1,SUM($Q$4:$Q46),"")</f>
        <v/>
      </c>
    </row>
    <row r="47" spans="1:18" ht="14.25" customHeight="1" x14ac:dyDescent="0.3">
      <c r="A47" s="2" t="s">
        <v>193</v>
      </c>
      <c r="B47" s="2" t="s">
        <v>62</v>
      </c>
      <c r="C47" s="3" t="s">
        <v>194</v>
      </c>
      <c r="D47" s="3" t="s">
        <v>202</v>
      </c>
      <c r="E47" s="2"/>
      <c r="F47" s="2"/>
      <c r="G47" s="5">
        <v>46023</v>
      </c>
      <c r="H47" s="5">
        <v>46135</v>
      </c>
      <c r="I47" s="4" t="s">
        <v>31</v>
      </c>
      <c r="J47" s="6">
        <f t="shared" si="1"/>
        <v>112</v>
      </c>
      <c r="K47" s="4" t="str">
        <f t="shared" ca="1" si="2"/>
        <v>-</v>
      </c>
      <c r="L47" s="7">
        <f t="shared" ca="1" si="4"/>
        <v>0</v>
      </c>
      <c r="M47" s="4" t="str">
        <f>IF($I47="Complete","Green",IF($H47="","Amber",IF($H47&lt;'[2]Read Me'!$B$4,"Red",IF($H47-'[2]Read Me'!$B$4&lt;=21,"Amber","Green"))))</f>
        <v>Red</v>
      </c>
      <c r="N47" s="3"/>
      <c r="O47" t="str">
        <f>IF($I47&lt;&gt;"Complete",IF(COUNTIFS($A$4:$A46,$A47,$B$4:$B46,$B47,$I$4:$I46,"&lt;&gt;Complete")=0,$A47&amp;"|"&amp;$B47,""),"")</f>
        <v/>
      </c>
      <c r="P47" t="str">
        <f ca="1">IF($K47="Yes",COUNTIFS($K$4:$K47,"Yes"),"")</f>
        <v/>
      </c>
      <c r="Q47">
        <f t="shared" ca="1" si="3"/>
        <v>0</v>
      </c>
      <c r="R47" t="str">
        <f ca="1">IF($Q47=1,SUM($Q$4:$Q47),"")</f>
        <v/>
      </c>
    </row>
    <row r="48" spans="1:18" ht="14.25" customHeight="1" x14ac:dyDescent="0.3">
      <c r="A48" s="2" t="s">
        <v>203</v>
      </c>
      <c r="B48" s="2" t="s">
        <v>62</v>
      </c>
      <c r="C48" s="3"/>
      <c r="D48" s="3"/>
      <c r="E48" s="2"/>
      <c r="F48" s="2"/>
      <c r="G48" s="5">
        <v>46076</v>
      </c>
      <c r="H48" s="5">
        <v>46182</v>
      </c>
      <c r="I48" s="4"/>
      <c r="J48" s="6">
        <f t="shared" si="1"/>
        <v>106</v>
      </c>
      <c r="K48" s="4" t="str">
        <f t="shared" ca="1" si="2"/>
        <v/>
      </c>
      <c r="L48" s="7">
        <f t="shared" ca="1" si="4"/>
        <v>-26</v>
      </c>
      <c r="M48" s="4" t="str">
        <f>IF($I48="Complete","Green",IF($H48="","Amber",IF($H48&lt;'[2]Read Me'!$B$4,"Red",IF($H48-'[2]Read Me'!$B$4&lt;=21,"Amber","Green"))))</f>
        <v>Red</v>
      </c>
      <c r="N48" s="3"/>
      <c r="O48" t="str">
        <f>IF($I48&lt;&gt;"Complete",IF(COUNTIFS($A$4:$A47,$A48,$B$4:$B47,$B48,$I$4:$I47,"&lt;&gt;Complete")=0,$A48&amp;"|"&amp;$B48,""),"")</f>
        <v>Villa 103&amp;108|Buildings</v>
      </c>
      <c r="P48" t="str">
        <f ca="1">IF($K48="Yes",COUNTIFS($K$4:$K48,"Yes"),"")</f>
        <v/>
      </c>
      <c r="Q48">
        <f t="shared" ca="1" si="3"/>
        <v>0</v>
      </c>
      <c r="R48" t="str">
        <f ca="1">IF($Q48=1,SUM($Q$4:$Q48),"")</f>
        <v/>
      </c>
    </row>
    <row r="49" spans="1:18" ht="14.25" customHeight="1" x14ac:dyDescent="0.3">
      <c r="A49" s="2" t="s">
        <v>203</v>
      </c>
      <c r="B49" s="2" t="s">
        <v>62</v>
      </c>
      <c r="C49" s="3" t="s">
        <v>203</v>
      </c>
      <c r="D49" s="3" t="s">
        <v>18</v>
      </c>
      <c r="E49" s="2"/>
      <c r="F49" s="2"/>
      <c r="G49" s="5">
        <v>46013</v>
      </c>
      <c r="H49" s="5">
        <v>46020</v>
      </c>
      <c r="I49" s="4" t="s">
        <v>31</v>
      </c>
      <c r="J49" s="6">
        <f t="shared" si="1"/>
        <v>7</v>
      </c>
      <c r="K49" s="4" t="str">
        <f t="shared" ca="1" si="2"/>
        <v>-</v>
      </c>
      <c r="L49" s="7">
        <f t="shared" ca="1" si="4"/>
        <v>0</v>
      </c>
      <c r="M49" s="4" t="str">
        <f>IF($I49="Complete","Green",IF($H49="","Amber",IF($H49&lt;'[2]Read Me'!$B$4,"Red",IF($H49-'[2]Read Me'!$B$4&lt;=21,"Amber","Green"))))</f>
        <v>Red</v>
      </c>
      <c r="N49" s="3"/>
      <c r="O49" t="str">
        <f>IF($I49&lt;&gt;"Complete",IF(COUNTIFS($A$4:$A48,$A49,$B$4:$B48,$B49,$I$4:$I48,"&lt;&gt;Complete")=0,$A49&amp;"|"&amp;$B49,""),"")</f>
        <v/>
      </c>
      <c r="P49" t="str">
        <f ca="1">IF($K49="Yes",COUNTIFS($K$4:$K49,"Yes"),"")</f>
        <v/>
      </c>
      <c r="Q49">
        <f t="shared" ca="1" si="3"/>
        <v>0</v>
      </c>
      <c r="R49" t="str">
        <f ca="1">IF($Q49=1,SUM($Q$4:$Q49),"")</f>
        <v/>
      </c>
    </row>
    <row r="50" spans="1:18" ht="14.25" customHeight="1" x14ac:dyDescent="0.3">
      <c r="A50" s="2" t="s">
        <v>203</v>
      </c>
      <c r="B50" s="2" t="s">
        <v>62</v>
      </c>
      <c r="C50" s="3" t="s">
        <v>203</v>
      </c>
      <c r="D50" s="3" t="s">
        <v>32</v>
      </c>
      <c r="E50" s="2"/>
      <c r="F50" s="2"/>
      <c r="G50" s="5">
        <v>46020</v>
      </c>
      <c r="H50" s="5">
        <v>46064</v>
      </c>
      <c r="I50" s="4" t="s">
        <v>31</v>
      </c>
      <c r="J50" s="6">
        <f t="shared" si="1"/>
        <v>44</v>
      </c>
      <c r="K50" s="4" t="str">
        <f t="shared" ca="1" si="2"/>
        <v>-</v>
      </c>
      <c r="L50" s="7">
        <f t="shared" ca="1" si="4"/>
        <v>0</v>
      </c>
      <c r="M50" s="4" t="str">
        <f>IF($I50="Complete","Green",IF($H50="","Amber",IF($H50&lt;'[2]Read Me'!$B$4,"Red",IF($H50-'[2]Read Me'!$B$4&lt;=21,"Amber","Green"))))</f>
        <v>Red</v>
      </c>
      <c r="N50" s="3"/>
      <c r="O50" t="str">
        <f>IF($I50&lt;&gt;"Complete",IF(COUNTIFS($A$4:$A49,$A50,$B$4:$B49,$B50,$I$4:$I49,"&lt;&gt;Complete")=0,$A50&amp;"|"&amp;$B50,""),"")</f>
        <v/>
      </c>
      <c r="P50" t="str">
        <f ca="1">IF($K50="Yes",COUNTIFS($K$4:$K50,"Yes"),"")</f>
        <v/>
      </c>
      <c r="Q50">
        <f t="shared" ca="1" si="3"/>
        <v>0</v>
      </c>
      <c r="R50" t="str">
        <f ca="1">IF($Q50=1,SUM($Q$4:$Q50),"")</f>
        <v/>
      </c>
    </row>
    <row r="51" spans="1:18" ht="22.5" customHeight="1" x14ac:dyDescent="0.3">
      <c r="A51" s="2" t="s">
        <v>203</v>
      </c>
      <c r="B51" s="2" t="s">
        <v>62</v>
      </c>
      <c r="C51" s="3" t="s">
        <v>203</v>
      </c>
      <c r="D51" s="3" t="s">
        <v>15</v>
      </c>
      <c r="E51" s="2"/>
      <c r="F51" s="2"/>
      <c r="G51" s="5">
        <v>46034</v>
      </c>
      <c r="H51" s="5"/>
      <c r="I51" s="4" t="s">
        <v>17</v>
      </c>
      <c r="J51" s="6" t="str">
        <f t="shared" si="1"/>
        <v/>
      </c>
      <c r="K51" s="4" t="str">
        <f t="shared" ca="1" si="2"/>
        <v/>
      </c>
      <c r="L51" s="7" t="str">
        <f t="shared" ca="1" si="4"/>
        <v/>
      </c>
      <c r="M51" s="4" t="str">
        <f>IF($I51="Complete","Green",IF($H51="","Amber",IF($H51&lt;'[2]Read Me'!$B$4,"Red",IF($H51-'[2]Read Me'!$B$4&lt;=21,"Amber","Green"))))</f>
        <v>Amber</v>
      </c>
      <c r="N51" s="3"/>
      <c r="O51" t="str">
        <f>IF($I51&lt;&gt;"Complete",IF(COUNTIFS($A$4:$A50,$A51,$B$4:$B50,$B51,$I$4:$I50,"&lt;&gt;Complete")=0,$A51&amp;"|"&amp;$B51,""),"")</f>
        <v/>
      </c>
      <c r="P51" t="str">
        <f ca="1">IF($K51="Yes",COUNTIFS($K$4:$K51,"Yes"),"")</f>
        <v/>
      </c>
      <c r="Q51">
        <f t="shared" ca="1" si="3"/>
        <v>0</v>
      </c>
      <c r="R51" t="str">
        <f ca="1">IF($Q51=1,SUM($Q$4:$Q51),"")</f>
        <v/>
      </c>
    </row>
    <row r="52" spans="1:18" ht="33.75" customHeight="1" x14ac:dyDescent="0.3">
      <c r="A52" s="2" t="s">
        <v>203</v>
      </c>
      <c r="B52" s="2" t="s">
        <v>62</v>
      </c>
      <c r="C52" s="3" t="s">
        <v>203</v>
      </c>
      <c r="D52" s="3" t="s">
        <v>35</v>
      </c>
      <c r="E52" s="2"/>
      <c r="F52" s="2" t="s">
        <v>197</v>
      </c>
      <c r="G52" s="5">
        <v>46041</v>
      </c>
      <c r="H52" s="5"/>
      <c r="I52" s="4" t="s">
        <v>17</v>
      </c>
      <c r="J52" s="6" t="str">
        <f t="shared" si="1"/>
        <v/>
      </c>
      <c r="K52" s="4" t="str">
        <f t="shared" ca="1" si="2"/>
        <v/>
      </c>
      <c r="L52" s="7" t="str">
        <f t="shared" ca="1" si="4"/>
        <v/>
      </c>
      <c r="M52" s="4" t="str">
        <f>IF($I52="Complete","Green",IF($H52="","Amber",IF($H52&lt;'[2]Read Me'!$B$4,"Red",IF($H52-'[2]Read Me'!$B$4&lt;=21,"Amber","Green"))))</f>
        <v>Amber</v>
      </c>
      <c r="N52" s="3"/>
      <c r="O52" t="str">
        <f>IF($I52&lt;&gt;"Complete",IF(COUNTIFS($A$4:$A51,$A52,$B$4:$B51,$B52,$I$4:$I51,"&lt;&gt;Complete")=0,$A52&amp;"|"&amp;$B52,""),"")</f>
        <v/>
      </c>
      <c r="P52" t="str">
        <f ca="1">IF($K52="Yes",COUNTIFS($K$4:$K52,"Yes"),"")</f>
        <v/>
      </c>
      <c r="Q52">
        <f t="shared" ca="1" si="3"/>
        <v>0</v>
      </c>
      <c r="R52" t="str">
        <f ca="1">IF($Q52=1,SUM($Q$4:$Q52),"")</f>
        <v/>
      </c>
    </row>
    <row r="53" spans="1:18" ht="14.25" customHeight="1" x14ac:dyDescent="0.3">
      <c r="A53" s="2" t="s">
        <v>203</v>
      </c>
      <c r="B53" s="2" t="s">
        <v>62</v>
      </c>
      <c r="C53" s="3" t="s">
        <v>203</v>
      </c>
      <c r="D53" s="3" t="s">
        <v>83</v>
      </c>
      <c r="E53" s="2"/>
      <c r="F53" s="2"/>
      <c r="G53" s="5">
        <v>46048</v>
      </c>
      <c r="H53" s="5">
        <v>46096</v>
      </c>
      <c r="I53" s="4" t="s">
        <v>31</v>
      </c>
      <c r="J53" s="6">
        <f t="shared" si="1"/>
        <v>48</v>
      </c>
      <c r="K53" s="4" t="str">
        <f t="shared" ca="1" si="2"/>
        <v>-</v>
      </c>
      <c r="L53" s="7">
        <f t="shared" ca="1" si="4"/>
        <v>0</v>
      </c>
      <c r="M53" s="4" t="str">
        <f>IF($I53="Complete","Green",IF($H53="","Amber",IF($H53&lt;'[2]Read Me'!$B$4,"Red",IF($H53-'[2]Read Me'!$B$4&lt;=21,"Amber","Green"))))</f>
        <v>Red</v>
      </c>
      <c r="N53" s="3"/>
      <c r="O53" t="str">
        <f>IF($I53&lt;&gt;"Complete",IF(COUNTIFS($A$4:$A52,$A53,$B$4:$B52,$B53,$I$4:$I52,"&lt;&gt;Complete")=0,$A53&amp;"|"&amp;$B53,""),"")</f>
        <v/>
      </c>
      <c r="P53" t="str">
        <f ca="1">IF($K53="Yes",COUNTIFS($K$4:$K53,"Yes"),"")</f>
        <v/>
      </c>
      <c r="Q53">
        <f t="shared" ca="1" si="3"/>
        <v>0</v>
      </c>
      <c r="R53" t="str">
        <f ca="1">IF($Q53=1,SUM($Q$4:$Q53),"")</f>
        <v/>
      </c>
    </row>
    <row r="54" spans="1:18" ht="14.25" customHeight="1" x14ac:dyDescent="0.3">
      <c r="A54" s="2" t="s">
        <v>203</v>
      </c>
      <c r="B54" s="2" t="s">
        <v>62</v>
      </c>
      <c r="C54" s="3" t="s">
        <v>203</v>
      </c>
      <c r="D54" s="3" t="s">
        <v>204</v>
      </c>
      <c r="E54" s="2"/>
      <c r="F54" s="2"/>
      <c r="G54" s="5"/>
      <c r="H54" s="5">
        <v>46155</v>
      </c>
      <c r="I54" s="4" t="s">
        <v>31</v>
      </c>
      <c r="J54" s="6" t="str">
        <f t="shared" si="1"/>
        <v/>
      </c>
      <c r="K54" s="4" t="str">
        <f t="shared" ca="1" si="2"/>
        <v>-</v>
      </c>
      <c r="L54" s="7">
        <f t="shared" ca="1" si="4"/>
        <v>0</v>
      </c>
      <c r="M54" s="4" t="str">
        <f>IF($I54="Complete","Green",IF($H54="","Amber",IF($H54&lt;'[2]Read Me'!$B$4,"Red",IF($H54-'[2]Read Me'!$B$4&lt;=21,"Amber","Green"))))</f>
        <v>Red</v>
      </c>
      <c r="N54" s="3"/>
      <c r="O54" t="str">
        <f>IF($I54&lt;&gt;"Complete",IF(COUNTIFS($A$4:$A53,$A54,$B$4:$B53,$B54,$I$4:$I53,"&lt;&gt;Complete")=0,$A54&amp;"|"&amp;$B54,""),"")</f>
        <v/>
      </c>
      <c r="P54" t="str">
        <f ca="1">IF($K54="Yes",COUNTIFS($K$4:$K54,"Yes"),"")</f>
        <v/>
      </c>
      <c r="Q54">
        <f t="shared" ca="1" si="3"/>
        <v>0</v>
      </c>
      <c r="R54" t="str">
        <f ca="1">IF($Q54=1,SUM($Q$4:$Q54),"")</f>
        <v/>
      </c>
    </row>
    <row r="55" spans="1:18" ht="14.25" customHeight="1" x14ac:dyDescent="0.3">
      <c r="A55" s="2" t="s">
        <v>203</v>
      </c>
      <c r="B55" s="2" t="s">
        <v>62</v>
      </c>
      <c r="C55" s="3" t="s">
        <v>203</v>
      </c>
      <c r="D55" s="3" t="s">
        <v>205</v>
      </c>
      <c r="E55" s="2" t="s">
        <v>165</v>
      </c>
      <c r="F55" s="2" t="s">
        <v>197</v>
      </c>
      <c r="G55" s="5">
        <v>46055</v>
      </c>
      <c r="H55" s="5">
        <v>46182</v>
      </c>
      <c r="I55" s="4" t="s">
        <v>31</v>
      </c>
      <c r="J55" s="6">
        <f t="shared" si="1"/>
        <v>127</v>
      </c>
      <c r="K55" s="4" t="str">
        <f t="shared" ca="1" si="2"/>
        <v>-</v>
      </c>
      <c r="L55" s="7">
        <f t="shared" ca="1" si="4"/>
        <v>0</v>
      </c>
      <c r="M55" s="4" t="str">
        <f>IF($I55="Complete","Green",IF($H55="","Amber",IF($H55&lt;'[2]Read Me'!$B$4,"Red",IF($H55-'[2]Read Me'!$B$4&lt;=21,"Amber","Green"))))</f>
        <v>Red</v>
      </c>
      <c r="N55" s="3"/>
      <c r="O55" t="str">
        <f>IF($I55&lt;&gt;"Complete",IF(COUNTIFS($A$4:$A54,$A55,$B$4:$B54,$B55,$I$4:$I54,"&lt;&gt;Complete")=0,$A55&amp;"|"&amp;$B55,""),"")</f>
        <v/>
      </c>
      <c r="P55" t="str">
        <f ca="1">IF($K55="Yes",COUNTIFS($K$4:$K55,"Yes"),"")</f>
        <v/>
      </c>
      <c r="Q55">
        <f t="shared" ca="1" si="3"/>
        <v>0</v>
      </c>
      <c r="R55" t="str">
        <f ca="1">IF($Q55=1,SUM($Q$4:$Q55),"")</f>
        <v/>
      </c>
    </row>
    <row r="56" spans="1:18" ht="14.25" customHeight="1" x14ac:dyDescent="0.3">
      <c r="A56" s="2" t="s">
        <v>203</v>
      </c>
      <c r="B56" s="2" t="s">
        <v>62</v>
      </c>
      <c r="C56" s="3" t="s">
        <v>203</v>
      </c>
      <c r="D56" s="3" t="s">
        <v>16</v>
      </c>
      <c r="E56" s="2"/>
      <c r="F56" s="2"/>
      <c r="G56" s="5">
        <v>46069</v>
      </c>
      <c r="H56" s="5">
        <v>46084</v>
      </c>
      <c r="I56" s="4" t="s">
        <v>31</v>
      </c>
      <c r="J56" s="6">
        <f t="shared" si="1"/>
        <v>15</v>
      </c>
      <c r="K56" s="4" t="str">
        <f t="shared" ca="1" si="2"/>
        <v>-</v>
      </c>
      <c r="L56" s="7">
        <f t="shared" ca="1" si="4"/>
        <v>0</v>
      </c>
      <c r="M56" s="4" t="str">
        <f>IF($I56="Complete","Green",IF($H56="","Amber",IF($H56&lt;'[2]Read Me'!$B$4,"Red",IF($H56-'[2]Read Me'!$B$4&lt;=21,"Amber","Green"))))</f>
        <v>Red</v>
      </c>
      <c r="N56" s="3"/>
      <c r="O56" t="str">
        <f>IF($I56&lt;&gt;"Complete",IF(COUNTIFS($A$4:$A55,$A56,$B$4:$B55,$B56,$I$4:$I55,"&lt;&gt;Complete")=0,$A56&amp;"|"&amp;$B56,""),"")</f>
        <v/>
      </c>
      <c r="P56" t="str">
        <f ca="1">IF($K56="Yes",COUNTIFS($K$4:$K56,"Yes"),"")</f>
        <v/>
      </c>
      <c r="Q56">
        <f t="shared" ca="1" si="3"/>
        <v>0</v>
      </c>
      <c r="R56" t="str">
        <f ca="1">IF($Q56=1,SUM($Q$4:$Q56),"")</f>
        <v/>
      </c>
    </row>
    <row r="57" spans="1:18" ht="14.25" customHeight="1" x14ac:dyDescent="0.3">
      <c r="A57" s="2" t="s">
        <v>203</v>
      </c>
      <c r="B57" s="2" t="s">
        <v>62</v>
      </c>
      <c r="C57" s="3" t="s">
        <v>203</v>
      </c>
      <c r="D57" s="3" t="s">
        <v>37</v>
      </c>
      <c r="E57" s="2"/>
      <c r="F57" s="2" t="s">
        <v>197</v>
      </c>
      <c r="G57" s="5">
        <v>46076</v>
      </c>
      <c r="H57" s="5">
        <v>46086</v>
      </c>
      <c r="I57" s="4" t="s">
        <v>31</v>
      </c>
      <c r="J57" s="6">
        <f t="shared" si="1"/>
        <v>10</v>
      </c>
      <c r="K57" s="4" t="str">
        <f t="shared" ca="1" si="2"/>
        <v>-</v>
      </c>
      <c r="L57" s="7">
        <f t="shared" ca="1" si="4"/>
        <v>0</v>
      </c>
      <c r="M57" s="4" t="str">
        <f>IF($I57="Complete","Green",IF($H57="","Amber",IF($H57&lt;'[2]Read Me'!$B$4,"Red",IF($H57-'[2]Read Me'!$B$4&lt;=21,"Amber","Green"))))</f>
        <v>Red</v>
      </c>
      <c r="N57" s="3"/>
      <c r="O57" t="str">
        <f>IF($I57&lt;&gt;"Complete",IF(COUNTIFS($A$4:$A56,$A57,$B$4:$B56,$B57,$I$4:$I56,"&lt;&gt;Complete")=0,$A57&amp;"|"&amp;$B57,""),"")</f>
        <v/>
      </c>
      <c r="P57" t="str">
        <f ca="1">IF($K57="Yes",COUNTIFS($K$4:$K57,"Yes"),"")</f>
        <v/>
      </c>
      <c r="Q57">
        <f t="shared" ca="1" si="3"/>
        <v>0</v>
      </c>
      <c r="R57" t="str">
        <f ca="1">IF($Q57=1,SUM($Q$4:$Q57),"")</f>
        <v/>
      </c>
    </row>
    <row r="58" spans="1:18" ht="14.25" customHeight="1" x14ac:dyDescent="0.3">
      <c r="A58" s="2" t="s">
        <v>193</v>
      </c>
      <c r="B58" s="2" t="s">
        <v>49</v>
      </c>
      <c r="C58" s="3"/>
      <c r="D58" s="3"/>
      <c r="E58" s="2"/>
      <c r="F58" s="2"/>
      <c r="G58" s="5">
        <v>46215</v>
      </c>
      <c r="H58" s="5">
        <v>46330</v>
      </c>
      <c r="I58" s="4"/>
      <c r="J58" s="6">
        <f t="shared" si="1"/>
        <v>115</v>
      </c>
      <c r="K58" s="4" t="str">
        <f t="shared" ca="1" si="2"/>
        <v/>
      </c>
      <c r="L58" s="7">
        <f t="shared" ca="1" si="4"/>
        <v>122</v>
      </c>
      <c r="M58" s="4" t="str">
        <f>IF($I58="Complete","Green",IF($H58="","Amber",IF($H58&lt;'[2]Read Me'!$B$4,"Red",IF($H58-'[2]Read Me'!$B$4&lt;=21,"Amber","Green"))))</f>
        <v>Green</v>
      </c>
      <c r="N58" s="3"/>
      <c r="O58" t="str">
        <f>IF($I58&lt;&gt;"Complete",IF(COUNTIFS($A$4:$A57,$A58,$B$4:$B57,$B58,$I$4:$I57,"&lt;&gt;Complete")=0,$A58&amp;"|"&amp;$B58,""),"")</f>
        <v>Amaia|Authorities</v>
      </c>
      <c r="P58" t="str">
        <f ca="1">IF($K58="Yes",COUNTIFS($K$4:$K58,"Yes"),"")</f>
        <v/>
      </c>
      <c r="Q58">
        <f t="shared" ca="1" si="3"/>
        <v>0</v>
      </c>
      <c r="R58" t="str">
        <f ca="1">IF($Q58=1,SUM($Q$4:$Q58),"")</f>
        <v/>
      </c>
    </row>
    <row r="59" spans="1:18" ht="14.25" customHeight="1" x14ac:dyDescent="0.3">
      <c r="A59" s="2" t="s">
        <v>193</v>
      </c>
      <c r="B59" s="2" t="s">
        <v>140</v>
      </c>
      <c r="C59" s="3"/>
      <c r="D59" s="3"/>
      <c r="E59" s="2"/>
      <c r="F59" s="2"/>
      <c r="G59" s="5">
        <v>46110</v>
      </c>
      <c r="H59" s="5">
        <v>46092</v>
      </c>
      <c r="I59" s="4"/>
      <c r="J59" s="6">
        <f t="shared" si="1"/>
        <v>-18</v>
      </c>
      <c r="K59" s="4" t="str">
        <f t="shared" ca="1" si="2"/>
        <v/>
      </c>
      <c r="L59" s="7">
        <f t="shared" ca="1" si="4"/>
        <v>-116</v>
      </c>
      <c r="M59" s="4" t="str">
        <f>IF($I59="Complete","Green",IF($H59="","Amber",IF($H59&lt;'[2]Read Me'!$B$4,"Red",IF($H59-'[2]Read Me'!$B$4&lt;=21,"Amber","Green"))))</f>
        <v>Red</v>
      </c>
      <c r="N59" s="3"/>
      <c r="O59" t="str">
        <f>IF($I59&lt;&gt;"Complete",IF(COUNTIFS($A$4:$A58,$A59,$B$4:$B58,$B59,$I$4:$I58,"&lt;&gt;Complete")=0,$A59&amp;"|"&amp;$B59,""),"")</f>
        <v>Amaia|Masterplan</v>
      </c>
      <c r="P59" t="str">
        <f ca="1">IF($K59="Yes",COUNTIFS($K$4:$K59,"Yes"),"")</f>
        <v/>
      </c>
      <c r="Q59">
        <f t="shared" ca="1" si="3"/>
        <v>0</v>
      </c>
      <c r="R59" t="str">
        <f ca="1">IF($Q59=1,SUM($Q$4:$Q59),"")</f>
        <v/>
      </c>
    </row>
    <row r="60" spans="1:18" ht="14.25" customHeight="1" x14ac:dyDescent="0.3">
      <c r="A60" s="2" t="s">
        <v>193</v>
      </c>
      <c r="B60" s="2" t="s">
        <v>140</v>
      </c>
      <c r="C60" s="3" t="s">
        <v>206</v>
      </c>
      <c r="D60" s="3" t="s">
        <v>207</v>
      </c>
      <c r="E60" s="2"/>
      <c r="F60" s="2" t="s">
        <v>208</v>
      </c>
      <c r="G60" s="5">
        <v>46061</v>
      </c>
      <c r="H60" s="5">
        <v>46061</v>
      </c>
      <c r="I60" s="4" t="s">
        <v>31</v>
      </c>
      <c r="J60" s="6">
        <f t="shared" si="1"/>
        <v>0</v>
      </c>
      <c r="K60" s="4" t="str">
        <f t="shared" ca="1" si="2"/>
        <v>-</v>
      </c>
      <c r="L60" s="7">
        <f t="shared" ca="1" si="4"/>
        <v>0</v>
      </c>
      <c r="M60" s="4" t="str">
        <f>IF($I60="Complete","Green",IF($H60="","Amber",IF($H60&lt;'[2]Read Me'!$B$4,"Red",IF($H60-'[2]Read Me'!$B$4&lt;=21,"Amber","Green"))))</f>
        <v>Red</v>
      </c>
      <c r="N60" s="3"/>
      <c r="O60" t="str">
        <f>IF($I60&lt;&gt;"Complete",IF(COUNTIFS($A$4:$A59,$A60,$B$4:$B59,$B60,$I$4:$I59,"&lt;&gt;Complete")=0,$A60&amp;"|"&amp;$B60,""),"")</f>
        <v/>
      </c>
      <c r="P60" t="str">
        <f ca="1">IF($K60="Yes",COUNTIFS($K$4:$K60,"Yes"),"")</f>
        <v/>
      </c>
      <c r="Q60">
        <f t="shared" ca="1" si="3"/>
        <v>0</v>
      </c>
      <c r="R60" t="str">
        <f ca="1">IF($Q60=1,SUM($Q$4:$Q60),"")</f>
        <v/>
      </c>
    </row>
    <row r="61" spans="1:18" ht="14.25" customHeight="1" x14ac:dyDescent="0.3">
      <c r="A61" s="2" t="s">
        <v>193</v>
      </c>
      <c r="B61" s="2" t="s">
        <v>140</v>
      </c>
      <c r="C61" s="3" t="s">
        <v>206</v>
      </c>
      <c r="D61" s="3" t="s">
        <v>209</v>
      </c>
      <c r="E61" s="2"/>
      <c r="F61" s="2"/>
      <c r="G61" s="5">
        <v>46082</v>
      </c>
      <c r="H61" s="5"/>
      <c r="I61" s="4" t="s">
        <v>17</v>
      </c>
      <c r="J61" s="6" t="str">
        <f t="shared" si="1"/>
        <v/>
      </c>
      <c r="K61" s="4" t="str">
        <f t="shared" ca="1" si="2"/>
        <v/>
      </c>
      <c r="L61" s="7" t="str">
        <f t="shared" ca="1" si="4"/>
        <v/>
      </c>
      <c r="M61" s="4" t="str">
        <f>IF($I61="Complete","Green",IF($H61="","Amber",IF($H61&lt;'[2]Read Me'!$B$4,"Red",IF($H61-'[2]Read Me'!$B$4&lt;=21,"Amber","Green"))))</f>
        <v>Amber</v>
      </c>
      <c r="N61" s="3"/>
      <c r="O61" t="str">
        <f>IF($I61&lt;&gt;"Complete",IF(COUNTIFS($A$4:$A60,$A61,$B$4:$B60,$B61,$I$4:$I60,"&lt;&gt;Complete")=0,$A61&amp;"|"&amp;$B61,""),"")</f>
        <v/>
      </c>
      <c r="P61" t="str">
        <f ca="1">IF($K61="Yes",COUNTIFS($K$4:$K61,"Yes"),"")</f>
        <v/>
      </c>
      <c r="Q61">
        <f t="shared" ca="1" si="3"/>
        <v>0</v>
      </c>
      <c r="R61" t="str">
        <f ca="1">IF($Q61=1,SUM($Q$4:$Q61),"")</f>
        <v/>
      </c>
    </row>
    <row r="62" spans="1:18" ht="14.25" customHeight="1" x14ac:dyDescent="0.3">
      <c r="A62" s="2" t="s">
        <v>193</v>
      </c>
      <c r="B62" s="2" t="s">
        <v>140</v>
      </c>
      <c r="C62" s="3" t="s">
        <v>206</v>
      </c>
      <c r="D62" s="3" t="s">
        <v>210</v>
      </c>
      <c r="E62" s="2"/>
      <c r="F62" s="2"/>
      <c r="G62" s="5">
        <v>46089</v>
      </c>
      <c r="H62" s="5"/>
      <c r="I62" s="4" t="s">
        <v>17</v>
      </c>
      <c r="J62" s="6" t="str">
        <f t="shared" si="1"/>
        <v/>
      </c>
      <c r="K62" s="4" t="str">
        <f t="shared" ca="1" si="2"/>
        <v/>
      </c>
      <c r="L62" s="7" t="str">
        <f t="shared" ca="1" si="4"/>
        <v/>
      </c>
      <c r="M62" s="4" t="str">
        <f>IF($I62="Complete","Green",IF($H62="","Amber",IF($H62&lt;'[2]Read Me'!$B$4,"Red",IF($H62-'[2]Read Me'!$B$4&lt;=21,"Amber","Green"))))</f>
        <v>Amber</v>
      </c>
      <c r="N62" s="3"/>
      <c r="O62" t="str">
        <f>IF($I62&lt;&gt;"Complete",IF(COUNTIFS($A$4:$A61,$A62,$B$4:$B61,$B62,$I$4:$I61,"&lt;&gt;Complete")=0,$A62&amp;"|"&amp;$B62,""),"")</f>
        <v/>
      </c>
      <c r="P62" t="str">
        <f ca="1">IF($K62="Yes",COUNTIFS($K$4:$K62,"Yes"),"")</f>
        <v/>
      </c>
      <c r="Q62">
        <f t="shared" ca="1" si="3"/>
        <v>0</v>
      </c>
      <c r="R62" t="str">
        <f ca="1">IF($Q62=1,SUM($Q$4:$Q62),"")</f>
        <v/>
      </c>
    </row>
    <row r="63" spans="1:18" ht="22.5" customHeight="1" x14ac:dyDescent="0.3">
      <c r="A63" s="2" t="s">
        <v>193</v>
      </c>
      <c r="B63" s="2" t="s">
        <v>140</v>
      </c>
      <c r="C63" s="3" t="s">
        <v>206</v>
      </c>
      <c r="D63" s="3" t="s">
        <v>16</v>
      </c>
      <c r="E63" s="2"/>
      <c r="F63" s="2" t="s">
        <v>208</v>
      </c>
      <c r="G63" s="5">
        <v>46103</v>
      </c>
      <c r="H63" s="5">
        <v>46092</v>
      </c>
      <c r="I63" s="4" t="s">
        <v>31</v>
      </c>
      <c r="J63" s="6">
        <f t="shared" si="1"/>
        <v>-11</v>
      </c>
      <c r="K63" s="4" t="str">
        <f t="shared" ca="1" si="2"/>
        <v>-</v>
      </c>
      <c r="L63" s="7">
        <f t="shared" ca="1" si="4"/>
        <v>0</v>
      </c>
      <c r="M63" s="4" t="str">
        <f>IF($I63="Complete","Green",IF($H63="","Amber",IF($H63&lt;'[2]Read Me'!$B$4,"Red",IF($H63-'[2]Read Me'!$B$4&lt;=21,"Amber","Green"))))</f>
        <v>Red</v>
      </c>
      <c r="N63" s="3"/>
      <c r="O63" t="str">
        <f>IF($I63&lt;&gt;"Complete",IF(COUNTIFS($A$4:$A62,$A63,$B$4:$B62,$B63,$I$4:$I62,"&lt;&gt;Complete")=0,$A63&amp;"|"&amp;$B63,""),"")</f>
        <v/>
      </c>
      <c r="P63" t="str">
        <f ca="1">IF($K63="Yes",COUNTIFS($K$4:$K63,"Yes"),"")</f>
        <v/>
      </c>
      <c r="Q63">
        <f t="shared" ca="1" si="3"/>
        <v>0</v>
      </c>
      <c r="R63" t="str">
        <f ca="1">IF($Q63=1,SUM($Q$4:$Q63),"")</f>
        <v/>
      </c>
    </row>
    <row r="64" spans="1:18" ht="22.5" customHeight="1" x14ac:dyDescent="0.3">
      <c r="A64" s="2" t="s">
        <v>193</v>
      </c>
      <c r="B64" s="2" t="s">
        <v>140</v>
      </c>
      <c r="C64" s="3" t="s">
        <v>206</v>
      </c>
      <c r="D64" s="3" t="s">
        <v>210</v>
      </c>
      <c r="E64" s="2"/>
      <c r="F64" s="2"/>
      <c r="G64" s="5">
        <v>46110</v>
      </c>
      <c r="H64" s="5">
        <v>46092</v>
      </c>
      <c r="I64" s="4" t="s">
        <v>31</v>
      </c>
      <c r="J64" s="6">
        <f t="shared" si="1"/>
        <v>-18</v>
      </c>
      <c r="K64" s="4" t="str">
        <f t="shared" ca="1" si="2"/>
        <v>-</v>
      </c>
      <c r="L64" s="7">
        <f t="shared" ca="1" si="4"/>
        <v>0</v>
      </c>
      <c r="M64" s="4" t="str">
        <f>IF($I64="Complete","Green",IF($H64="","Amber",IF($H64&lt;'[2]Read Me'!$B$4,"Red",IF($H64-'[2]Read Me'!$B$4&lt;=21,"Amber","Green"))))</f>
        <v>Red</v>
      </c>
      <c r="N64" s="3"/>
      <c r="O64" t="str">
        <f>IF($I64&lt;&gt;"Complete",IF(COUNTIFS($A$4:$A63,$A64,$B$4:$B63,$B64,$I$4:$I63,"&lt;&gt;Complete")=0,$A64&amp;"|"&amp;$B64,""),"")</f>
        <v/>
      </c>
      <c r="P64" t="str">
        <f ca="1">IF($K64="Yes",COUNTIFS($K$4:$K64,"Yes"),"")</f>
        <v/>
      </c>
      <c r="Q64">
        <f t="shared" ca="1" si="3"/>
        <v>0</v>
      </c>
      <c r="R64" t="str">
        <f ca="1">IF($Q64=1,SUM($Q$4:$Q64),"")</f>
        <v/>
      </c>
    </row>
    <row r="65" spans="1:18" ht="22.5" customHeight="1" x14ac:dyDescent="0.3">
      <c r="A65" s="2"/>
      <c r="B65" s="2"/>
      <c r="C65" s="3" t="s">
        <v>206</v>
      </c>
      <c r="D65" s="3" t="s">
        <v>211</v>
      </c>
      <c r="E65" s="2"/>
      <c r="F65" s="2"/>
      <c r="G65" s="5">
        <v>46222</v>
      </c>
      <c r="H65" s="5">
        <v>46204</v>
      </c>
      <c r="I65" s="4" t="s">
        <v>17</v>
      </c>
      <c r="J65" s="6">
        <f t="shared" si="1"/>
        <v>-18</v>
      </c>
      <c r="K65" s="4" t="str">
        <f t="shared" ca="1" si="2"/>
        <v>Yes</v>
      </c>
      <c r="L65" s="7">
        <f t="shared" ca="1" si="4"/>
        <v>-4</v>
      </c>
      <c r="M65" s="4" t="str">
        <f>IF($I65="Complete","Green",IF($H65="","Amber",IF($H65&lt;'[2]Read Me'!$B$4,"Red",IF($H65-'[2]Read Me'!$B$4&lt;=21,"Amber","Green"))))</f>
        <v>Amber</v>
      </c>
      <c r="N65" s="3"/>
      <c r="O65" t="str">
        <f>IF($I65&lt;&gt;"Complete",IF(COUNTIFS($A$4:$A64,$A65,$B$4:$B64,$B65,$I$4:$I64,"&lt;&gt;Complete")=0,$A65&amp;"|"&amp;$B65,""),"")</f>
        <v>|</v>
      </c>
      <c r="P65">
        <f ca="1">IF($K65="Yes",COUNTIFS($K$4:$K65,"Yes"),"")</f>
        <v>8</v>
      </c>
      <c r="Q65">
        <f t="shared" ca="1" si="3"/>
        <v>1</v>
      </c>
      <c r="R65">
        <f ca="1">IF($Q65=1,SUM($Q$4:$Q65),"")</f>
        <v>8</v>
      </c>
    </row>
    <row r="66" spans="1:18" ht="22.5" customHeight="1" x14ac:dyDescent="0.3">
      <c r="A66" s="2"/>
      <c r="B66" s="2"/>
      <c r="C66" s="3" t="s">
        <v>206</v>
      </c>
      <c r="D66" s="3" t="s">
        <v>212</v>
      </c>
      <c r="E66" s="2"/>
      <c r="F66" s="2"/>
      <c r="G66" s="5">
        <v>46215</v>
      </c>
      <c r="H66" s="5">
        <v>46197</v>
      </c>
      <c r="I66" s="4" t="s">
        <v>17</v>
      </c>
      <c r="J66" s="6">
        <f t="shared" si="1"/>
        <v>-18</v>
      </c>
      <c r="K66" s="4" t="str">
        <f t="shared" ca="1" si="2"/>
        <v>Yes</v>
      </c>
      <c r="L66" s="7">
        <f t="shared" ca="1" si="4"/>
        <v>-11</v>
      </c>
      <c r="M66" s="4" t="str">
        <f>IF($I66="Complete","Green",IF($H66="","Amber",IF($H66&lt;'[2]Read Me'!$B$4,"Red",IF($H66-'[2]Read Me'!$B$4&lt;=21,"Amber","Green"))))</f>
        <v>Amber</v>
      </c>
      <c r="N66" s="3"/>
      <c r="O66" t="str">
        <f>IF($I66&lt;&gt;"Complete",IF(COUNTIFS($A$4:$A65,$A66,$B$4:$B65,$B66,$I$4:$I65,"&lt;&gt;Complete")=0,$A66&amp;"|"&amp;$B66,""),"")</f>
        <v>|</v>
      </c>
      <c r="P66">
        <f ca="1">IF($K66="Yes",COUNTIFS($K$4:$K66,"Yes"),"")</f>
        <v>9</v>
      </c>
      <c r="Q66">
        <f t="shared" ca="1" si="3"/>
        <v>1</v>
      </c>
      <c r="R66">
        <f ca="1">IF($Q66=1,SUM($Q$4:$Q66),"")</f>
        <v>9</v>
      </c>
    </row>
    <row r="67" spans="1:18" ht="22.5" customHeight="1" x14ac:dyDescent="0.3">
      <c r="A67" s="2"/>
      <c r="B67" s="2"/>
      <c r="C67" s="3" t="s">
        <v>206</v>
      </c>
      <c r="D67" s="3" t="s">
        <v>210</v>
      </c>
      <c r="E67" s="2"/>
      <c r="F67" s="2"/>
      <c r="G67" s="5">
        <v>46222</v>
      </c>
      <c r="H67" s="5">
        <v>46204</v>
      </c>
      <c r="I67" s="4" t="s">
        <v>17</v>
      </c>
      <c r="J67" s="6">
        <f t="shared" si="1"/>
        <v>-18</v>
      </c>
      <c r="K67" s="4" t="str">
        <f t="shared" ca="1" si="2"/>
        <v>Yes</v>
      </c>
      <c r="L67" s="7">
        <f t="shared" ca="1" si="4"/>
        <v>-4</v>
      </c>
      <c r="M67" s="4" t="str">
        <f>IF($I67="Complete","Green",IF($H67="","Amber",IF($H67&lt;'[2]Read Me'!$B$4,"Red",IF($H67-'[2]Read Me'!$B$4&lt;=21,"Amber","Green"))))</f>
        <v>Amber</v>
      </c>
      <c r="N67" s="3"/>
      <c r="O67" t="str">
        <f>IF($I67&lt;&gt;"Complete",IF(COUNTIFS($A$4:$A66,$A67,$B$4:$B66,$B67,$I$4:$I66,"&lt;&gt;Complete")=0,$A67&amp;"|"&amp;$B67,""),"")</f>
        <v>|</v>
      </c>
      <c r="P67">
        <f ca="1">IF($K67="Yes",COUNTIFS($K$4:$K67,"Yes"),"")</f>
        <v>10</v>
      </c>
      <c r="Q67">
        <f t="shared" ca="1" si="3"/>
        <v>1</v>
      </c>
      <c r="R67">
        <f ca="1">IF($Q67=1,SUM($Q$4:$Q67),"")</f>
        <v>10</v>
      </c>
    </row>
    <row r="68" spans="1:18" ht="22.5" customHeight="1" x14ac:dyDescent="0.3">
      <c r="A68" s="2" t="s">
        <v>193</v>
      </c>
      <c r="B68" s="2" t="s">
        <v>171</v>
      </c>
      <c r="C68" s="3"/>
      <c r="D68" s="3"/>
      <c r="E68" s="2"/>
      <c r="F68" s="2"/>
      <c r="G68" s="5">
        <v>45852</v>
      </c>
      <c r="H68" s="5">
        <v>45852</v>
      </c>
      <c r="I68" s="4"/>
      <c r="J68" s="6">
        <f t="shared" ref="J68:J131" si="5">IF(OR($G68="",$H68=""),"",$H68-$G68)</f>
        <v>0</v>
      </c>
      <c r="K68" s="4" t="str">
        <f t="shared" ref="K68:K131" ca="1" si="6">IF(C68="","",IF(H68="","",IF($I68="completed","-",IF($H68&gt;TODAY(),"No","Yes"))))</f>
        <v/>
      </c>
      <c r="L68" s="7">
        <f t="shared" ca="1" si="4"/>
        <v>-356</v>
      </c>
      <c r="M68" s="4" t="str">
        <f>IF($I68="Complete","Green",IF($H68="","Amber",IF($H68&lt;'[2]Read Me'!$B$4,"Red",IF($H68-'[2]Read Me'!$B$4&lt;=21,"Amber","Green"))))</f>
        <v>Red</v>
      </c>
      <c r="N68" s="3"/>
      <c r="O68" t="str">
        <f>IF($I68&lt;&gt;"Complete",IF(COUNTIFS($A$4:$A67,$A68,$B$4:$B67,$B68,$I$4:$I67,"&lt;&gt;Complete")=0,$A68&amp;"|"&amp;$B68,""),"")</f>
        <v>Amaia|Infrastructure</v>
      </c>
      <c r="P68" t="str">
        <f ca="1">IF($K68="Yes",COUNTIFS($K$4:$K68,"Yes"),"")</f>
        <v/>
      </c>
      <c r="Q68">
        <f t="shared" ref="Q68:Q131" ca="1" si="7">IF(OR($I68="In Progress",$K68="Yes"),1,0)</f>
        <v>0</v>
      </c>
      <c r="R68" t="str">
        <f ca="1">IF($Q68=1,SUM($Q$4:$Q68),"")</f>
        <v/>
      </c>
    </row>
    <row r="69" spans="1:18" ht="22.5" customHeight="1" x14ac:dyDescent="0.3">
      <c r="A69" s="2" t="s">
        <v>193</v>
      </c>
      <c r="B69" s="2" t="s">
        <v>171</v>
      </c>
      <c r="C69" s="3" t="s">
        <v>213</v>
      </c>
      <c r="D69" s="3" t="s">
        <v>214</v>
      </c>
      <c r="E69" s="2"/>
      <c r="F69" s="2"/>
      <c r="G69" s="5">
        <v>45682</v>
      </c>
      <c r="H69" s="5">
        <v>45682</v>
      </c>
      <c r="I69" s="4" t="s">
        <v>17</v>
      </c>
      <c r="J69" s="6">
        <f t="shared" si="5"/>
        <v>0</v>
      </c>
      <c r="K69" s="4" t="str">
        <f t="shared" ca="1" si="6"/>
        <v>Yes</v>
      </c>
      <c r="L69" s="7">
        <f t="shared" ref="L69:L132" ca="1" si="8">IF(I69="Completed",0,IF(H69="","",H69-TODAY()))</f>
        <v>-526</v>
      </c>
      <c r="M69" s="4" t="str">
        <f>IF($I69="Complete","Green",IF($H69="","Amber",IF($H69&lt;'[2]Read Me'!$B$4,"Red",IF($H69-'[2]Read Me'!$B$4&lt;=21,"Amber","Green"))))</f>
        <v>Red</v>
      </c>
      <c r="N69" s="3"/>
      <c r="O69" t="str">
        <f>IF($I69&lt;&gt;"Complete",IF(COUNTIFS($A$4:$A68,$A69,$B$4:$B68,$B69,$I$4:$I68,"&lt;&gt;Complete")=0,$A69&amp;"|"&amp;$B69,""),"")</f>
        <v/>
      </c>
      <c r="P69">
        <f ca="1">IF($K69="Yes",COUNTIFS($K$4:$K69,"Yes"),"")</f>
        <v>11</v>
      </c>
      <c r="Q69">
        <f t="shared" ca="1" si="7"/>
        <v>1</v>
      </c>
      <c r="R69">
        <f ca="1">IF($Q69=1,SUM($Q$4:$Q69),"")</f>
        <v>11</v>
      </c>
    </row>
    <row r="70" spans="1:18" ht="22.5" customHeight="1" x14ac:dyDescent="0.3">
      <c r="A70" s="2" t="s">
        <v>193</v>
      </c>
      <c r="B70" s="2" t="s">
        <v>171</v>
      </c>
      <c r="C70" s="3" t="s">
        <v>213</v>
      </c>
      <c r="D70" s="3" t="s">
        <v>175</v>
      </c>
      <c r="E70" s="2"/>
      <c r="F70" s="2"/>
      <c r="G70" s="5">
        <v>45731</v>
      </c>
      <c r="H70" s="5">
        <v>45731</v>
      </c>
      <c r="I70" s="4" t="s">
        <v>31</v>
      </c>
      <c r="J70" s="6">
        <f t="shared" si="5"/>
        <v>0</v>
      </c>
      <c r="K70" s="4" t="str">
        <f t="shared" ca="1" si="6"/>
        <v>-</v>
      </c>
      <c r="L70" s="7">
        <f t="shared" ca="1" si="8"/>
        <v>0</v>
      </c>
      <c r="M70" s="4" t="str">
        <f>IF($I70="Complete","Green",IF($H70="","Amber",IF($H70&lt;'[2]Read Me'!$B$4,"Red",IF($H70-'[2]Read Me'!$B$4&lt;=21,"Amber","Green"))))</f>
        <v>Red</v>
      </c>
      <c r="N70" s="3"/>
      <c r="O70" t="str">
        <f>IF($I70&lt;&gt;"Complete",IF(COUNTIFS($A$4:$A69,$A70,$B$4:$B69,$B70,$I$4:$I69,"&lt;&gt;Complete")=0,$A70&amp;"|"&amp;$B70,""),"")</f>
        <v/>
      </c>
      <c r="P70" t="str">
        <f ca="1">IF($K70="Yes",COUNTIFS($K$4:$K70,"Yes"),"")</f>
        <v/>
      </c>
      <c r="Q70">
        <f t="shared" ca="1" si="7"/>
        <v>0</v>
      </c>
      <c r="R70" t="str">
        <f ca="1">IF($Q70=1,SUM($Q$4:$Q70),"")</f>
        <v/>
      </c>
    </row>
    <row r="71" spans="1:18" ht="22.5" customHeight="1" x14ac:dyDescent="0.3">
      <c r="A71" s="2" t="s">
        <v>193</v>
      </c>
      <c r="B71" s="2" t="s">
        <v>171</v>
      </c>
      <c r="C71" s="3" t="s">
        <v>213</v>
      </c>
      <c r="D71" s="3" t="s">
        <v>58</v>
      </c>
      <c r="E71" s="2"/>
      <c r="F71" s="2"/>
      <c r="G71" s="5">
        <v>45763</v>
      </c>
      <c r="H71" s="5">
        <v>45763</v>
      </c>
      <c r="I71" s="4" t="s">
        <v>31</v>
      </c>
      <c r="J71" s="6">
        <f t="shared" si="5"/>
        <v>0</v>
      </c>
      <c r="K71" s="4" t="str">
        <f t="shared" ca="1" si="6"/>
        <v>-</v>
      </c>
      <c r="L71" s="7">
        <f t="shared" ca="1" si="8"/>
        <v>0</v>
      </c>
      <c r="M71" s="4" t="str">
        <f>IF($I71="Complete","Green",IF($H71="","Amber",IF($H71&lt;'[2]Read Me'!$B$4,"Red",IF($H71-'[2]Read Me'!$B$4&lt;=21,"Amber","Green"))))</f>
        <v>Red</v>
      </c>
      <c r="N71" s="3"/>
      <c r="O71" t="str">
        <f>IF($I71&lt;&gt;"Complete",IF(COUNTIFS($A$4:$A70,$A71,$B$4:$B70,$B71,$I$4:$I70,"&lt;&gt;Complete")=0,$A71&amp;"|"&amp;$B71,""),"")</f>
        <v/>
      </c>
      <c r="P71" t="str">
        <f ca="1">IF($K71="Yes",COUNTIFS($K$4:$K71,"Yes"),"")</f>
        <v/>
      </c>
      <c r="Q71">
        <f t="shared" ca="1" si="7"/>
        <v>0</v>
      </c>
      <c r="R71" t="str">
        <f ca="1">IF($Q71=1,SUM($Q$4:$Q71),"")</f>
        <v/>
      </c>
    </row>
    <row r="72" spans="1:18" ht="33.75" customHeight="1" x14ac:dyDescent="0.3">
      <c r="A72" s="2" t="s">
        <v>193</v>
      </c>
      <c r="B72" s="2" t="s">
        <v>171</v>
      </c>
      <c r="C72" s="3" t="s">
        <v>213</v>
      </c>
      <c r="D72" s="3" t="s">
        <v>177</v>
      </c>
      <c r="E72" s="2"/>
      <c r="F72" s="2"/>
      <c r="G72" s="5">
        <v>45790</v>
      </c>
      <c r="H72" s="5">
        <v>45790</v>
      </c>
      <c r="I72" s="4" t="s">
        <v>31</v>
      </c>
      <c r="J72" s="6">
        <f t="shared" si="5"/>
        <v>0</v>
      </c>
      <c r="K72" s="4" t="str">
        <f t="shared" ca="1" si="6"/>
        <v>-</v>
      </c>
      <c r="L72" s="7">
        <f t="shared" ca="1" si="8"/>
        <v>0</v>
      </c>
      <c r="M72" s="4" t="str">
        <f>IF($I72="Complete","Green",IF($H72="","Amber",IF($H72&lt;'[2]Read Me'!$B$4,"Red",IF($H72-'[2]Read Me'!$B$4&lt;=21,"Amber","Green"))))</f>
        <v>Red</v>
      </c>
      <c r="N72" s="3"/>
      <c r="O72" t="str">
        <f>IF($I72&lt;&gt;"Complete",IF(COUNTIFS($A$4:$A71,$A72,$B$4:$B71,$B72,$I$4:$I71,"&lt;&gt;Complete")=0,$A72&amp;"|"&amp;$B72,""),"")</f>
        <v/>
      </c>
      <c r="P72" t="str">
        <f ca="1">IF($K72="Yes",COUNTIFS($K$4:$K72,"Yes"),"")</f>
        <v/>
      </c>
      <c r="Q72">
        <f t="shared" ca="1" si="7"/>
        <v>0</v>
      </c>
      <c r="R72" t="str">
        <f ca="1">IF($Q72=1,SUM($Q$4:$Q72),"")</f>
        <v/>
      </c>
    </row>
    <row r="73" spans="1:18" ht="33.75" customHeight="1" x14ac:dyDescent="0.3">
      <c r="A73" s="2" t="s">
        <v>193</v>
      </c>
      <c r="B73" s="2" t="s">
        <v>171</v>
      </c>
      <c r="C73" s="3" t="s">
        <v>213</v>
      </c>
      <c r="D73" s="3" t="s">
        <v>178</v>
      </c>
      <c r="E73" s="2"/>
      <c r="F73" s="2"/>
      <c r="G73" s="5">
        <v>45852</v>
      </c>
      <c r="H73" s="5">
        <v>45852</v>
      </c>
      <c r="I73" s="4" t="s">
        <v>31</v>
      </c>
      <c r="J73" s="6">
        <f t="shared" si="5"/>
        <v>0</v>
      </c>
      <c r="K73" s="4" t="str">
        <f t="shared" ca="1" si="6"/>
        <v>-</v>
      </c>
      <c r="L73" s="7">
        <f t="shared" ca="1" si="8"/>
        <v>0</v>
      </c>
      <c r="M73" s="4" t="str">
        <f>IF($I73="Complete","Green",IF($H73="","Amber",IF($H73&lt;'[2]Read Me'!$B$4,"Red",IF($H73-'[2]Read Me'!$B$4&lt;=21,"Amber","Green"))))</f>
        <v>Red</v>
      </c>
      <c r="N73" s="3"/>
      <c r="O73" t="str">
        <f>IF($I73&lt;&gt;"Complete",IF(COUNTIFS($A$4:$A72,$A73,$B$4:$B72,$B73,$I$4:$I72,"&lt;&gt;Complete")=0,$A73&amp;"|"&amp;$B73,""),"")</f>
        <v/>
      </c>
      <c r="P73" t="str">
        <f ca="1">IF($K73="Yes",COUNTIFS($K$4:$K73,"Yes"),"")</f>
        <v/>
      </c>
      <c r="Q73">
        <f t="shared" ca="1" si="7"/>
        <v>0</v>
      </c>
      <c r="R73" t="str">
        <f ca="1">IF($Q73=1,SUM($Q$4:$Q73),"")</f>
        <v/>
      </c>
    </row>
    <row r="74" spans="1:18" ht="33.75" customHeight="1" x14ac:dyDescent="0.3">
      <c r="A74" s="2" t="s">
        <v>193</v>
      </c>
      <c r="B74" s="2" t="s">
        <v>21</v>
      </c>
      <c r="C74" s="3"/>
      <c r="D74" s="3"/>
      <c r="E74" s="2"/>
      <c r="F74" s="2"/>
      <c r="G74" s="5">
        <v>46194</v>
      </c>
      <c r="H74" s="5">
        <v>46285</v>
      </c>
      <c r="I74" s="4"/>
      <c r="J74" s="6">
        <f t="shared" si="5"/>
        <v>91</v>
      </c>
      <c r="K74" s="4" t="str">
        <f t="shared" ca="1" si="6"/>
        <v/>
      </c>
      <c r="L74" s="7">
        <f t="shared" ca="1" si="8"/>
        <v>77</v>
      </c>
      <c r="M74" s="4" t="str">
        <f>IF($I74="Complete","Green",IF($H74="","Amber",IF($H74&lt;'[2]Read Me'!$B$4,"Red",IF($H74-'[2]Read Me'!$B$4&lt;=21,"Amber","Green"))))</f>
        <v>Green</v>
      </c>
      <c r="N74" s="3"/>
      <c r="O74" t="str">
        <f>IF($I74&lt;&gt;"Complete",IF(COUNTIFS($A$4:$A73,$A74,$B$4:$B73,$B74,$I$4:$I73,"&lt;&gt;Complete")=0,$A74&amp;"|"&amp;$B74,""),"")</f>
        <v>Amaia|Landscape</v>
      </c>
      <c r="P74" t="str">
        <f ca="1">IF($K74="Yes",COUNTIFS($K$4:$K74,"Yes"),"")</f>
        <v/>
      </c>
      <c r="Q74">
        <f t="shared" ca="1" si="7"/>
        <v>0</v>
      </c>
      <c r="R74" t="str">
        <f ca="1">IF($Q74=1,SUM($Q$4:$Q74),"")</f>
        <v/>
      </c>
    </row>
    <row r="75" spans="1:18" ht="14.25" customHeight="1" x14ac:dyDescent="0.3">
      <c r="A75" s="2" t="s">
        <v>193</v>
      </c>
      <c r="B75" s="2" t="s">
        <v>21</v>
      </c>
      <c r="C75" s="3" t="s">
        <v>21</v>
      </c>
      <c r="D75" s="3" t="s">
        <v>78</v>
      </c>
      <c r="E75" s="2" t="s">
        <v>215</v>
      </c>
      <c r="F75" s="2" t="s">
        <v>208</v>
      </c>
      <c r="G75" s="5">
        <v>46075</v>
      </c>
      <c r="H75" s="5">
        <v>46135</v>
      </c>
      <c r="I75" s="4" t="s">
        <v>31</v>
      </c>
      <c r="J75" s="6">
        <f t="shared" si="5"/>
        <v>60</v>
      </c>
      <c r="K75" s="4" t="str">
        <f t="shared" ca="1" si="6"/>
        <v>-</v>
      </c>
      <c r="L75" s="7">
        <f t="shared" ca="1" si="8"/>
        <v>0</v>
      </c>
      <c r="M75" s="4" t="str">
        <f>IF($I75="Complete","Green",IF($H75="","Amber",IF($H75&lt;'[2]Read Me'!$B$4,"Red",IF($H75-'[2]Read Me'!$B$4&lt;=21,"Amber","Green"))))</f>
        <v>Red</v>
      </c>
      <c r="N75" s="3"/>
      <c r="O75" t="str">
        <f>IF($I75&lt;&gt;"Complete",IF(COUNTIFS($A$4:$A74,$A75,$B$4:$B74,$B75,$I$4:$I74,"&lt;&gt;Complete")=0,$A75&amp;"|"&amp;$B75,""),"")</f>
        <v/>
      </c>
      <c r="P75" t="str">
        <f ca="1">IF($K75="Yes",COUNTIFS($K$4:$K75,"Yes"),"")</f>
        <v/>
      </c>
      <c r="Q75">
        <f t="shared" ca="1" si="7"/>
        <v>0</v>
      </c>
      <c r="R75" t="str">
        <f ca="1">IF($Q75=1,SUM($Q$4:$Q75),"")</f>
        <v/>
      </c>
    </row>
    <row r="76" spans="1:18" ht="14.25" customHeight="1" x14ac:dyDescent="0.3">
      <c r="A76" s="2" t="s">
        <v>193</v>
      </c>
      <c r="B76" s="2" t="s">
        <v>21</v>
      </c>
      <c r="C76" s="3" t="s">
        <v>21</v>
      </c>
      <c r="D76" s="3" t="s">
        <v>80</v>
      </c>
      <c r="E76" s="2" t="s">
        <v>215</v>
      </c>
      <c r="F76" s="2"/>
      <c r="G76" s="5">
        <v>46082</v>
      </c>
      <c r="H76" s="5">
        <v>46159</v>
      </c>
      <c r="I76" s="4" t="s">
        <v>31</v>
      </c>
      <c r="J76" s="6">
        <f t="shared" si="5"/>
        <v>77</v>
      </c>
      <c r="K76" s="4" t="str">
        <f t="shared" ca="1" si="6"/>
        <v>-</v>
      </c>
      <c r="L76" s="7">
        <f t="shared" ca="1" si="8"/>
        <v>0</v>
      </c>
      <c r="M76" s="4" t="str">
        <f>IF($I76="Complete","Green",IF($H76="","Amber",IF($H76&lt;'[2]Read Me'!$B$4,"Red",IF($H76-'[2]Read Me'!$B$4&lt;=21,"Amber","Green"))))</f>
        <v>Red</v>
      </c>
      <c r="N76" s="3"/>
      <c r="O76" t="str">
        <f>IF($I76&lt;&gt;"Complete",IF(COUNTIFS($A$4:$A75,$A76,$B$4:$B75,$B76,$I$4:$I75,"&lt;&gt;Complete")=0,$A76&amp;"|"&amp;$B76,""),"")</f>
        <v/>
      </c>
      <c r="P76" t="str">
        <f ca="1">IF($K76="Yes",COUNTIFS($K$4:$K76,"Yes"),"")</f>
        <v/>
      </c>
      <c r="Q76">
        <f t="shared" ca="1" si="7"/>
        <v>0</v>
      </c>
      <c r="R76" t="str">
        <f ca="1">IF($Q76=1,SUM($Q$4:$Q76),"")</f>
        <v/>
      </c>
    </row>
    <row r="77" spans="1:18" ht="22.5" customHeight="1" x14ac:dyDescent="0.3">
      <c r="A77" s="2" t="s">
        <v>193</v>
      </c>
      <c r="B77" s="2" t="s">
        <v>21</v>
      </c>
      <c r="C77" s="3" t="s">
        <v>21</v>
      </c>
      <c r="D77" s="3" t="s">
        <v>14</v>
      </c>
      <c r="E77" s="2" t="s">
        <v>215</v>
      </c>
      <c r="F77" s="2" t="s">
        <v>208</v>
      </c>
      <c r="G77" s="5">
        <v>46124</v>
      </c>
      <c r="H77" s="5">
        <v>46215</v>
      </c>
      <c r="I77" s="4" t="s">
        <v>46</v>
      </c>
      <c r="J77" s="6">
        <f t="shared" si="5"/>
        <v>91</v>
      </c>
      <c r="K77" s="4" t="str">
        <f t="shared" ca="1" si="6"/>
        <v>No</v>
      </c>
      <c r="L77" s="7">
        <f t="shared" ca="1" si="8"/>
        <v>7</v>
      </c>
      <c r="M77" s="4" t="str">
        <f>IF($I77="Complete","Green",IF($H77="","Amber",IF($H77&lt;'[2]Read Me'!$B$4,"Red",IF($H77-'[2]Read Me'!$B$4&lt;=21,"Amber","Green"))))</f>
        <v>Green</v>
      </c>
      <c r="N77" s="3"/>
      <c r="O77" t="str">
        <f>IF($I77&lt;&gt;"Complete",IF(COUNTIFS($A$4:$A76,$A77,$B$4:$B76,$B77,$I$4:$I76,"&lt;&gt;Complete")=0,$A77&amp;"|"&amp;$B77,""),"")</f>
        <v/>
      </c>
      <c r="P77" t="str">
        <f ca="1">IF($K77="Yes",COUNTIFS($K$4:$K77,"Yes"),"")</f>
        <v/>
      </c>
      <c r="Q77">
        <f t="shared" ca="1" si="7"/>
        <v>0</v>
      </c>
      <c r="R77" t="str">
        <f ca="1">IF($Q77=1,SUM($Q$4:$Q77),"")</f>
        <v/>
      </c>
    </row>
    <row r="78" spans="1:18" ht="14.25" customHeight="1" x14ac:dyDescent="0.3">
      <c r="A78" s="2" t="s">
        <v>193</v>
      </c>
      <c r="B78" s="2" t="s">
        <v>21</v>
      </c>
      <c r="C78" s="3" t="s">
        <v>21</v>
      </c>
      <c r="D78" s="3" t="s">
        <v>34</v>
      </c>
      <c r="E78" s="2" t="s">
        <v>215</v>
      </c>
      <c r="F78" s="2"/>
      <c r="G78" s="5">
        <v>46131</v>
      </c>
      <c r="H78" s="5">
        <v>46222</v>
      </c>
      <c r="I78" s="4" t="s">
        <v>17</v>
      </c>
      <c r="J78" s="6">
        <f t="shared" si="5"/>
        <v>91</v>
      </c>
      <c r="K78" s="4" t="str">
        <f t="shared" ca="1" si="6"/>
        <v>No</v>
      </c>
      <c r="L78" s="7">
        <f t="shared" ca="1" si="8"/>
        <v>14</v>
      </c>
      <c r="M78" s="4" t="str">
        <f>IF($I78="Complete","Green",IF($H78="","Amber",IF($H78&lt;'[2]Read Me'!$B$4,"Red",IF($H78-'[2]Read Me'!$B$4&lt;=21,"Amber","Green"))))</f>
        <v>Green</v>
      </c>
      <c r="N78" s="3"/>
      <c r="O78" t="str">
        <f>IF($I78&lt;&gt;"Complete",IF(COUNTIFS($A$4:$A77,$A78,$B$4:$B77,$B78,$I$4:$I77,"&lt;&gt;Complete")=0,$A78&amp;"|"&amp;$B78,""),"")</f>
        <v/>
      </c>
      <c r="P78" t="str">
        <f ca="1">IF($K78="Yes",COUNTIFS($K$4:$K78,"Yes"),"")</f>
        <v/>
      </c>
      <c r="Q78">
        <f t="shared" ca="1" si="7"/>
        <v>0</v>
      </c>
      <c r="R78" t="str">
        <f ca="1">IF($Q78=1,SUM($Q$4:$Q78),"")</f>
        <v/>
      </c>
    </row>
    <row r="79" spans="1:18" ht="33.75" customHeight="1" x14ac:dyDescent="0.3">
      <c r="A79" s="2" t="s">
        <v>193</v>
      </c>
      <c r="B79" s="2" t="s">
        <v>21</v>
      </c>
      <c r="C79" s="3" t="s">
        <v>21</v>
      </c>
      <c r="D79" s="3" t="s">
        <v>15</v>
      </c>
      <c r="E79" s="2" t="s">
        <v>215</v>
      </c>
      <c r="F79" s="2" t="s">
        <v>208</v>
      </c>
      <c r="G79" s="5">
        <v>46159</v>
      </c>
      <c r="H79" s="5">
        <v>46250</v>
      </c>
      <c r="I79" s="4" t="s">
        <v>17</v>
      </c>
      <c r="J79" s="6">
        <f t="shared" si="5"/>
        <v>91</v>
      </c>
      <c r="K79" s="4" t="str">
        <f t="shared" ca="1" si="6"/>
        <v>No</v>
      </c>
      <c r="L79" s="7">
        <f t="shared" ca="1" si="8"/>
        <v>42</v>
      </c>
      <c r="M79" s="4" t="str">
        <f>IF($I79="Complete","Green",IF($H79="","Amber",IF($H79&lt;'[2]Read Me'!$B$4,"Red",IF($H79-'[2]Read Me'!$B$4&lt;=21,"Amber","Green"))))</f>
        <v>Green</v>
      </c>
      <c r="N79" s="3"/>
      <c r="O79" t="str">
        <f>IF($I79&lt;&gt;"Complete",IF(COUNTIFS($A$4:$A78,$A79,$B$4:$B78,$B79,$I$4:$I78,"&lt;&gt;Complete")=0,$A79&amp;"|"&amp;$B79,""),"")</f>
        <v/>
      </c>
      <c r="P79" t="str">
        <f ca="1">IF($K79="Yes",COUNTIFS($K$4:$K79,"Yes"),"")</f>
        <v/>
      </c>
      <c r="Q79">
        <f t="shared" ca="1" si="7"/>
        <v>0</v>
      </c>
      <c r="R79" t="str">
        <f ca="1">IF($Q79=1,SUM($Q$4:$Q79),"")</f>
        <v/>
      </c>
    </row>
    <row r="80" spans="1:18" ht="33.75" customHeight="1" x14ac:dyDescent="0.3">
      <c r="A80" s="2" t="s">
        <v>193</v>
      </c>
      <c r="B80" s="2" t="s">
        <v>21</v>
      </c>
      <c r="C80" s="3" t="s">
        <v>21</v>
      </c>
      <c r="D80" s="3" t="s">
        <v>35</v>
      </c>
      <c r="E80" s="2" t="s">
        <v>215</v>
      </c>
      <c r="F80" s="2"/>
      <c r="G80" s="5">
        <v>46166</v>
      </c>
      <c r="H80" s="5">
        <v>46257</v>
      </c>
      <c r="I80" s="4" t="s">
        <v>17</v>
      </c>
      <c r="J80" s="6">
        <f t="shared" si="5"/>
        <v>91</v>
      </c>
      <c r="K80" s="4" t="str">
        <f t="shared" ca="1" si="6"/>
        <v>No</v>
      </c>
      <c r="L80" s="7">
        <f t="shared" ca="1" si="8"/>
        <v>49</v>
      </c>
      <c r="M80" s="4" t="str">
        <f>IF($I80="Complete","Green",IF($H80="","Amber",IF($H80&lt;'[2]Read Me'!$B$4,"Red",IF($H80-'[2]Read Me'!$B$4&lt;=21,"Amber","Green"))))</f>
        <v>Green</v>
      </c>
      <c r="N80" s="3"/>
      <c r="O80" t="str">
        <f>IF($I80&lt;&gt;"Complete",IF(COUNTIFS($A$4:$A79,$A80,$B$4:$B79,$B80,$I$4:$I79,"&lt;&gt;Complete")=0,$A80&amp;"|"&amp;$B80,""),"")</f>
        <v/>
      </c>
      <c r="P80" t="str">
        <f ca="1">IF($K80="Yes",COUNTIFS($K$4:$K80,"Yes"),"")</f>
        <v/>
      </c>
      <c r="Q80">
        <f t="shared" ca="1" si="7"/>
        <v>0</v>
      </c>
      <c r="R80" t="str">
        <f ca="1">IF($Q80=1,SUM($Q$4:$Q80),"")</f>
        <v/>
      </c>
    </row>
    <row r="81" spans="1:18" ht="33.75" customHeight="1" x14ac:dyDescent="0.3">
      <c r="A81" s="2" t="s">
        <v>193</v>
      </c>
      <c r="B81" s="2" t="s">
        <v>21</v>
      </c>
      <c r="C81" s="3" t="s">
        <v>21</v>
      </c>
      <c r="D81" s="3" t="s">
        <v>16</v>
      </c>
      <c r="E81" s="2" t="s">
        <v>215</v>
      </c>
      <c r="F81" s="2" t="s">
        <v>208</v>
      </c>
      <c r="G81" s="5">
        <v>46187</v>
      </c>
      <c r="H81" s="5">
        <v>46278</v>
      </c>
      <c r="I81" s="4" t="s">
        <v>17</v>
      </c>
      <c r="J81" s="6">
        <f t="shared" si="5"/>
        <v>91</v>
      </c>
      <c r="K81" s="4" t="str">
        <f t="shared" ca="1" si="6"/>
        <v>No</v>
      </c>
      <c r="L81" s="7">
        <f t="shared" ca="1" si="8"/>
        <v>70</v>
      </c>
      <c r="M81" s="4" t="str">
        <f>IF($I81="Complete","Green",IF($H81="","Amber",IF($H81&lt;'[2]Read Me'!$B$4,"Red",IF($H81-'[2]Read Me'!$B$4&lt;=21,"Amber","Green"))))</f>
        <v>Green</v>
      </c>
      <c r="N81" s="3"/>
      <c r="O81" t="str">
        <f>IF($I81&lt;&gt;"Complete",IF(COUNTIFS($A$4:$A80,$A81,$B$4:$B80,$B81,$I$4:$I80,"&lt;&gt;Complete")=0,$A81&amp;"|"&amp;$B81,""),"")</f>
        <v/>
      </c>
      <c r="P81" t="str">
        <f ca="1">IF($K81="Yes",COUNTIFS($K$4:$K81,"Yes"),"")</f>
        <v/>
      </c>
      <c r="Q81">
        <f t="shared" ca="1" si="7"/>
        <v>0</v>
      </c>
      <c r="R81" t="str">
        <f ca="1">IF($Q81=1,SUM($Q$4:$Q81),"")</f>
        <v/>
      </c>
    </row>
    <row r="82" spans="1:18" ht="33.75" customHeight="1" x14ac:dyDescent="0.3">
      <c r="A82" s="2" t="s">
        <v>193</v>
      </c>
      <c r="B82" s="2" t="s">
        <v>21</v>
      </c>
      <c r="C82" s="3" t="s">
        <v>21</v>
      </c>
      <c r="D82" s="3" t="s">
        <v>37</v>
      </c>
      <c r="E82" s="2" t="s">
        <v>215</v>
      </c>
      <c r="F82" s="2"/>
      <c r="G82" s="5">
        <v>46194</v>
      </c>
      <c r="H82" s="5">
        <v>46285</v>
      </c>
      <c r="I82" s="4" t="s">
        <v>17</v>
      </c>
      <c r="J82" s="6">
        <f t="shared" si="5"/>
        <v>91</v>
      </c>
      <c r="K82" s="4" t="str">
        <f t="shared" ca="1" si="6"/>
        <v>No</v>
      </c>
      <c r="L82" s="7">
        <f t="shared" ca="1" si="8"/>
        <v>77</v>
      </c>
      <c r="M82" s="4" t="str">
        <f>IF($I82="Complete","Green",IF($H82="","Amber",IF($H82&lt;'[2]Read Me'!$B$4,"Red",IF($H82-'[2]Read Me'!$B$4&lt;=21,"Amber","Green"))))</f>
        <v>Green</v>
      </c>
      <c r="N82" s="3"/>
      <c r="O82" t="str">
        <f>IF($I82&lt;&gt;"Complete",IF(COUNTIFS($A$4:$A81,$A82,$B$4:$B81,$B82,$I$4:$I81,"&lt;&gt;Complete")=0,$A82&amp;"|"&amp;$B82,""),"")</f>
        <v/>
      </c>
      <c r="P82" t="str">
        <f ca="1">IF($K82="Yes",COUNTIFS($K$4:$K82,"Yes"),"")</f>
        <v/>
      </c>
      <c r="Q82">
        <f t="shared" ca="1" si="7"/>
        <v>0</v>
      </c>
      <c r="R82" t="str">
        <f ca="1">IF($Q82=1,SUM($Q$4:$Q82),"")</f>
        <v/>
      </c>
    </row>
    <row r="83" spans="1:18" ht="33.75" customHeight="1" x14ac:dyDescent="0.3">
      <c r="A83" s="2"/>
      <c r="B83" s="2"/>
      <c r="C83" s="3" t="s">
        <v>21</v>
      </c>
      <c r="D83" s="3" t="s">
        <v>211</v>
      </c>
      <c r="E83" s="2"/>
      <c r="F83" s="2"/>
      <c r="G83" s="5">
        <v>46306</v>
      </c>
      <c r="H83" s="5">
        <v>46397</v>
      </c>
      <c r="I83" s="4" t="s">
        <v>17</v>
      </c>
      <c r="J83" s="6">
        <f t="shared" si="5"/>
        <v>91</v>
      </c>
      <c r="K83" s="4" t="str">
        <f t="shared" ca="1" si="6"/>
        <v>No</v>
      </c>
      <c r="L83" s="7">
        <f t="shared" ca="1" si="8"/>
        <v>189</v>
      </c>
      <c r="M83" s="4" t="str">
        <f>IF($I83="Complete","Green",IF($H83="","Amber",IF($H83&lt;'[2]Read Me'!$B$4,"Red",IF($H83-'[2]Read Me'!$B$4&lt;=21,"Amber","Green"))))</f>
        <v>Green</v>
      </c>
      <c r="N83" s="3"/>
      <c r="O83" t="str">
        <f>IF($I83&lt;&gt;"Complete",IF(COUNTIFS($A$4:$A82,$A83,$B$4:$B82,$B83,$I$4:$I82,"&lt;&gt;Complete")=0,$A83&amp;"|"&amp;$B83,""),"")</f>
        <v>|</v>
      </c>
      <c r="P83" t="str">
        <f ca="1">IF($K83="Yes",COUNTIFS($K$4:$K83,"Yes"),"")</f>
        <v/>
      </c>
      <c r="Q83">
        <f t="shared" ca="1" si="7"/>
        <v>0</v>
      </c>
      <c r="R83" t="str">
        <f ca="1">IF($Q83=1,SUM($Q$4:$Q83),"")</f>
        <v/>
      </c>
    </row>
    <row r="84" spans="1:18" ht="33.75" customHeight="1" x14ac:dyDescent="0.3">
      <c r="A84" s="2"/>
      <c r="B84" s="2"/>
      <c r="C84" s="3" t="s">
        <v>21</v>
      </c>
      <c r="D84" s="3" t="s">
        <v>212</v>
      </c>
      <c r="E84" s="2"/>
      <c r="F84" s="2" t="s">
        <v>208</v>
      </c>
      <c r="G84" s="5">
        <v>46299</v>
      </c>
      <c r="H84" s="5">
        <v>46390</v>
      </c>
      <c r="I84" s="4" t="s">
        <v>17</v>
      </c>
      <c r="J84" s="6">
        <f t="shared" si="5"/>
        <v>91</v>
      </c>
      <c r="K84" s="4" t="str">
        <f t="shared" ca="1" si="6"/>
        <v>No</v>
      </c>
      <c r="L84" s="7">
        <f t="shared" ca="1" si="8"/>
        <v>182</v>
      </c>
      <c r="M84" s="4" t="str">
        <f>IF($I84="Complete","Green",IF($H84="","Amber",IF($H84&lt;'[2]Read Me'!$B$4,"Red",IF($H84-'[2]Read Me'!$B$4&lt;=21,"Amber","Green"))))</f>
        <v>Green</v>
      </c>
      <c r="N84" s="3"/>
      <c r="O84" t="str">
        <f>IF($I84&lt;&gt;"Complete",IF(COUNTIFS($A$4:$A83,$A84,$B$4:$B83,$B84,$I$4:$I83,"&lt;&gt;Complete")=0,$A84&amp;"|"&amp;$B84,""),"")</f>
        <v>|</v>
      </c>
      <c r="P84" t="str">
        <f ca="1">IF($K84="Yes",COUNTIFS($K$4:$K84,"Yes"),"")</f>
        <v/>
      </c>
      <c r="Q84">
        <f t="shared" ca="1" si="7"/>
        <v>0</v>
      </c>
      <c r="R84" t="str">
        <f ca="1">IF($Q84=1,SUM($Q$4:$Q84),"")</f>
        <v/>
      </c>
    </row>
    <row r="85" spans="1:18" ht="33.75" customHeight="1" x14ac:dyDescent="0.3">
      <c r="A85" s="2"/>
      <c r="B85" s="2"/>
      <c r="C85" s="3" t="s">
        <v>21</v>
      </c>
      <c r="D85" s="3" t="s">
        <v>58</v>
      </c>
      <c r="E85" s="2"/>
      <c r="F85" s="2"/>
      <c r="G85" s="5">
        <v>46306</v>
      </c>
      <c r="H85" s="5">
        <v>46397</v>
      </c>
      <c r="I85" s="4" t="s">
        <v>17</v>
      </c>
      <c r="J85" s="6">
        <f t="shared" si="5"/>
        <v>91</v>
      </c>
      <c r="K85" s="4" t="str">
        <f t="shared" ca="1" si="6"/>
        <v>No</v>
      </c>
      <c r="L85" s="7">
        <f t="shared" ca="1" si="8"/>
        <v>189</v>
      </c>
      <c r="M85" s="4" t="str">
        <f>IF($I85="Complete","Green",IF($H85="","Amber",IF($H85&lt;'[2]Read Me'!$B$4,"Red",IF($H85-'[2]Read Me'!$B$4&lt;=21,"Amber","Green"))))</f>
        <v>Green</v>
      </c>
      <c r="N85" s="3"/>
      <c r="O85" t="str">
        <f>IF($I85&lt;&gt;"Complete",IF(COUNTIFS($A$4:$A84,$A85,$B$4:$B84,$B85,$I$4:$I84,"&lt;&gt;Complete")=0,$A85&amp;"|"&amp;$B85,""),"")</f>
        <v>|</v>
      </c>
      <c r="P85" t="str">
        <f ca="1">IF($K85="Yes",COUNTIFS($K$4:$K85,"Yes"),"")</f>
        <v/>
      </c>
      <c r="Q85">
        <f t="shared" ca="1" si="7"/>
        <v>0</v>
      </c>
      <c r="R85" t="str">
        <f ca="1">IF($Q85=1,SUM($Q$4:$Q85),"")</f>
        <v/>
      </c>
    </row>
    <row r="86" spans="1:18" ht="33.75" customHeight="1" x14ac:dyDescent="0.3">
      <c r="A86" s="2"/>
      <c r="B86" s="2"/>
      <c r="C86" s="3"/>
      <c r="D86" s="3"/>
      <c r="E86" s="2"/>
      <c r="F86" s="2"/>
      <c r="G86" s="5"/>
      <c r="H86" s="5">
        <v>46208</v>
      </c>
      <c r="I86" s="4"/>
      <c r="J86" s="6" t="str">
        <f t="shared" si="5"/>
        <v/>
      </c>
      <c r="K86" s="4" t="str">
        <f t="shared" ca="1" si="6"/>
        <v/>
      </c>
      <c r="L86" s="7">
        <f t="shared" ca="1" si="8"/>
        <v>0</v>
      </c>
      <c r="M86" s="4" t="str">
        <f>IF($I86="Complete","Green",IF($H86="","Amber",IF($H86&lt;'[2]Read Me'!$B$4,"Red",IF($H86-'[2]Read Me'!$B$4&lt;=21,"Amber","Green"))))</f>
        <v>Amber</v>
      </c>
      <c r="N86" s="3"/>
      <c r="O86" t="str">
        <f>IF($I86&lt;&gt;"Complete",IF(COUNTIFS($A$4:$A85,$A86,$B$4:$B85,$B86,$I$4:$I85,"&lt;&gt;Complete")=0,$A86&amp;"|"&amp;$B86,""),"")</f>
        <v>|</v>
      </c>
      <c r="P86" t="str">
        <f ca="1">IF($K86="Yes",COUNTIFS($K$4:$K86,"Yes"),"")</f>
        <v/>
      </c>
      <c r="Q86">
        <f t="shared" ca="1" si="7"/>
        <v>0</v>
      </c>
      <c r="R86" t="str">
        <f ca="1">IF($Q86=1,SUM($Q$4:$Q86),"")</f>
        <v/>
      </c>
    </row>
    <row r="87" spans="1:18" ht="33.75" customHeight="1" x14ac:dyDescent="0.3">
      <c r="A87" s="2" t="s">
        <v>193</v>
      </c>
      <c r="B87" s="2" t="s">
        <v>186</v>
      </c>
      <c r="C87" s="3" t="s">
        <v>216</v>
      </c>
      <c r="D87" s="3" t="s">
        <v>16</v>
      </c>
      <c r="E87" s="2" t="s">
        <v>215</v>
      </c>
      <c r="F87" s="2"/>
      <c r="G87" s="5"/>
      <c r="H87" s="5">
        <v>46201</v>
      </c>
      <c r="I87" s="4" t="s">
        <v>46</v>
      </c>
      <c r="J87" s="6" t="str">
        <f t="shared" si="5"/>
        <v/>
      </c>
      <c r="K87" s="4" t="str">
        <f t="shared" ca="1" si="6"/>
        <v>Yes</v>
      </c>
      <c r="L87" s="7">
        <f t="shared" ca="1" si="8"/>
        <v>-7</v>
      </c>
      <c r="M87" s="4" t="str">
        <f>IF($I87="Complete","Green",IF($H87="","Amber",IF($H87&lt;'[2]Read Me'!$B$4,"Red",IF($H87-'[2]Read Me'!$B$4&lt;=21,"Amber","Green"))))</f>
        <v>Amber</v>
      </c>
      <c r="N87" s="3"/>
      <c r="O87" t="str">
        <f>IF($I87&lt;&gt;"Complete",IF(COUNTIFS($A$4:$A86,$A87,$B$4:$B86,$B87,$I$4:$I86,"&lt;&gt;Complete")=0,$A87&amp;"|"&amp;$B87,""),"")</f>
        <v>Amaia|Plot Fences</v>
      </c>
      <c r="P87">
        <f ca="1">IF($K87="Yes",COUNTIFS($K$4:$K87,"Yes"),"")</f>
        <v>12</v>
      </c>
      <c r="Q87">
        <f t="shared" ca="1" si="7"/>
        <v>1</v>
      </c>
      <c r="R87">
        <f ca="1">IF($Q87=1,SUM($Q$4:$Q87),"")</f>
        <v>12</v>
      </c>
    </row>
    <row r="88" spans="1:18" ht="33.75" customHeight="1" x14ac:dyDescent="0.3">
      <c r="A88" s="2" t="s">
        <v>193</v>
      </c>
      <c r="B88" s="2" t="s">
        <v>186</v>
      </c>
      <c r="C88" s="3" t="s">
        <v>216</v>
      </c>
      <c r="D88" s="3" t="s">
        <v>37</v>
      </c>
      <c r="E88" s="2" t="s">
        <v>215</v>
      </c>
      <c r="F88" s="2"/>
      <c r="G88" s="5"/>
      <c r="H88" s="5">
        <v>46208</v>
      </c>
      <c r="I88" s="4" t="s">
        <v>17</v>
      </c>
      <c r="J88" s="6" t="str">
        <f t="shared" si="5"/>
        <v/>
      </c>
      <c r="K88" s="4" t="str">
        <f t="shared" ca="1" si="6"/>
        <v>Yes</v>
      </c>
      <c r="L88" s="7">
        <f t="shared" ca="1" si="8"/>
        <v>0</v>
      </c>
      <c r="M88" s="4" t="str">
        <f>IF($I88="Complete","Green",IF($H88="","Amber",IF($H88&lt;'[2]Read Me'!$B$4,"Red",IF($H88-'[2]Read Me'!$B$4&lt;=21,"Amber","Green"))))</f>
        <v>Amber</v>
      </c>
      <c r="N88" s="3"/>
      <c r="O88" t="str">
        <f>IF($I88&lt;&gt;"Complete",IF(COUNTIFS($A$4:$A87,$A88,$B$4:$B87,$B88,$I$4:$I87,"&lt;&gt;Complete")=0,$A88&amp;"|"&amp;$B88,""),"")</f>
        <v/>
      </c>
      <c r="P88">
        <f ca="1">IF($K88="Yes",COUNTIFS($K$4:$K88,"Yes"),"")</f>
        <v>13</v>
      </c>
      <c r="Q88">
        <f t="shared" ca="1" si="7"/>
        <v>1</v>
      </c>
      <c r="R88">
        <f ca="1">IF($Q88=1,SUM($Q$4:$Q88),"")</f>
        <v>13</v>
      </c>
    </row>
    <row r="89" spans="1:18" ht="33.75" customHeight="1" x14ac:dyDescent="0.3">
      <c r="A89" s="2" t="s">
        <v>217</v>
      </c>
      <c r="B89" s="2" t="s">
        <v>62</v>
      </c>
      <c r="C89" s="3"/>
      <c r="D89" s="3"/>
      <c r="E89" s="2"/>
      <c r="F89" s="2"/>
      <c r="G89" s="5">
        <v>46078</v>
      </c>
      <c r="H89" s="5">
        <v>46173</v>
      </c>
      <c r="I89" s="4"/>
      <c r="J89" s="6">
        <f t="shared" si="5"/>
        <v>95</v>
      </c>
      <c r="K89" s="4" t="str">
        <f t="shared" ca="1" si="6"/>
        <v/>
      </c>
      <c r="L89" s="7">
        <f t="shared" ca="1" si="8"/>
        <v>-35</v>
      </c>
      <c r="M89" s="4" t="str">
        <f>IF($I89="Complete","Green",IF($H89="","Amber",IF($H89&lt;'[2]Read Me'!$B$4,"Red",IF($H89-'[2]Read Me'!$B$4&lt;=21,"Amber","Green"))))</f>
        <v>Red</v>
      </c>
      <c r="N89" s="3"/>
      <c r="O89" t="str">
        <f>IF($I89&lt;&gt;"Complete",IF(COUNTIFS($A$4:$A88,$A89,$B$4:$B88,$B89,$I$4:$I88,"&lt;&gt;Complete")=0,$A89&amp;"|"&amp;$B89,""),"")</f>
        <v>Pheonix|Buildings</v>
      </c>
      <c r="P89" t="str">
        <f ca="1">IF($K89="Yes",COUNTIFS($K$4:$K89,"Yes"),"")</f>
        <v/>
      </c>
      <c r="Q89">
        <f t="shared" ca="1" si="7"/>
        <v>0</v>
      </c>
      <c r="R89" t="str">
        <f ca="1">IF($Q89=1,SUM($Q$4:$Q89),"")</f>
        <v/>
      </c>
    </row>
    <row r="90" spans="1:18" ht="33.75" customHeight="1" x14ac:dyDescent="0.3">
      <c r="A90" s="2" t="s">
        <v>217</v>
      </c>
      <c r="B90" s="2" t="s">
        <v>62</v>
      </c>
      <c r="C90" s="3" t="s">
        <v>218</v>
      </c>
      <c r="D90" s="3" t="s">
        <v>219</v>
      </c>
      <c r="E90" s="2" t="s">
        <v>165</v>
      </c>
      <c r="F90" s="2" t="s">
        <v>220</v>
      </c>
      <c r="G90" s="5">
        <v>45938</v>
      </c>
      <c r="H90" s="5">
        <v>45981</v>
      </c>
      <c r="I90" s="4" t="s">
        <v>31</v>
      </c>
      <c r="J90" s="6">
        <f t="shared" si="5"/>
        <v>43</v>
      </c>
      <c r="K90" s="4" t="str">
        <f t="shared" ca="1" si="6"/>
        <v>-</v>
      </c>
      <c r="L90" s="7">
        <f t="shared" ca="1" si="8"/>
        <v>0</v>
      </c>
      <c r="M90" s="4" t="str">
        <f>IF($I90="Complete","Green",IF($H90="","Amber",IF($H90&lt;'[2]Read Me'!$B$4,"Red",IF($H90-'[2]Read Me'!$B$4&lt;=21,"Amber","Green"))))</f>
        <v>Red</v>
      </c>
      <c r="N90" s="3"/>
      <c r="O90" t="str">
        <f>IF($I90&lt;&gt;"Complete",IF(COUNTIFS($A$4:$A89,$A90,$B$4:$B89,$B90,$I$4:$I89,"&lt;&gt;Complete")=0,$A90&amp;"|"&amp;$B90,""),"")</f>
        <v/>
      </c>
      <c r="P90" t="str">
        <f ca="1">IF($K90="Yes",COUNTIFS($K$4:$K90,"Yes"),"")</f>
        <v/>
      </c>
      <c r="Q90">
        <f t="shared" ca="1" si="7"/>
        <v>0</v>
      </c>
      <c r="R90" t="str">
        <f ca="1">IF($Q90=1,SUM($Q$4:$Q90),"")</f>
        <v/>
      </c>
    </row>
    <row r="91" spans="1:18" ht="33.75" customHeight="1" x14ac:dyDescent="0.3">
      <c r="A91" s="2" t="s">
        <v>217</v>
      </c>
      <c r="B91" s="2" t="s">
        <v>62</v>
      </c>
      <c r="C91" s="3" t="s">
        <v>218</v>
      </c>
      <c r="D91" s="3" t="s">
        <v>178</v>
      </c>
      <c r="E91" s="2" t="s">
        <v>165</v>
      </c>
      <c r="F91" s="2"/>
      <c r="G91" s="5">
        <v>45952</v>
      </c>
      <c r="H91" s="5">
        <v>45991</v>
      </c>
      <c r="I91" s="4" t="s">
        <v>31</v>
      </c>
      <c r="J91" s="6">
        <f t="shared" si="5"/>
        <v>39</v>
      </c>
      <c r="K91" s="4" t="str">
        <f t="shared" ca="1" si="6"/>
        <v>-</v>
      </c>
      <c r="L91" s="7">
        <f t="shared" ca="1" si="8"/>
        <v>0</v>
      </c>
      <c r="M91" s="4" t="str">
        <f>IF($I91="Complete","Green",IF($H91="","Amber",IF($H91&lt;'[2]Read Me'!$B$4,"Red",IF($H91-'[2]Read Me'!$B$4&lt;=21,"Amber","Green"))))</f>
        <v>Red</v>
      </c>
      <c r="N91" s="3"/>
      <c r="O91" t="str">
        <f>IF($I91&lt;&gt;"Complete",IF(COUNTIFS($A$4:$A90,$A91,$B$4:$B90,$B91,$I$4:$I90,"&lt;&gt;Complete")=0,$A91&amp;"|"&amp;$B91,""),"")</f>
        <v/>
      </c>
      <c r="P91" t="str">
        <f ca="1">IF($K91="Yes",COUNTIFS($K$4:$K91,"Yes"),"")</f>
        <v/>
      </c>
      <c r="Q91">
        <f t="shared" ca="1" si="7"/>
        <v>0</v>
      </c>
      <c r="R91" t="str">
        <f ca="1">IF($Q91=1,SUM($Q$4:$Q91),"")</f>
        <v/>
      </c>
    </row>
    <row r="92" spans="1:18" ht="33.75" customHeight="1" x14ac:dyDescent="0.3">
      <c r="A92" s="2" t="s">
        <v>217</v>
      </c>
      <c r="B92" s="2" t="s">
        <v>62</v>
      </c>
      <c r="C92" s="3" t="s">
        <v>218</v>
      </c>
      <c r="D92" s="3" t="s">
        <v>221</v>
      </c>
      <c r="E92" s="2" t="s">
        <v>165</v>
      </c>
      <c r="F92" s="2" t="s">
        <v>220</v>
      </c>
      <c r="G92" s="5">
        <v>45994</v>
      </c>
      <c r="H92" s="5">
        <v>46033</v>
      </c>
      <c r="I92" s="4" t="s">
        <v>31</v>
      </c>
      <c r="J92" s="6">
        <f t="shared" si="5"/>
        <v>39</v>
      </c>
      <c r="K92" s="4" t="str">
        <f t="shared" ca="1" si="6"/>
        <v>-</v>
      </c>
      <c r="L92" s="7">
        <f t="shared" ca="1" si="8"/>
        <v>0</v>
      </c>
      <c r="M92" s="4" t="str">
        <f>IF($I92="Complete","Green",IF($H92="","Amber",IF($H92&lt;'[2]Read Me'!$B$4,"Red",IF($H92-'[2]Read Me'!$B$4&lt;=21,"Amber","Green"))))</f>
        <v>Red</v>
      </c>
      <c r="N92" s="3"/>
      <c r="O92" t="str">
        <f>IF($I92&lt;&gt;"Complete",IF(COUNTIFS($A$4:$A91,$A92,$B$4:$B91,$B92,$I$4:$I91,"&lt;&gt;Complete")=0,$A92&amp;"|"&amp;$B92,""),"")</f>
        <v/>
      </c>
      <c r="P92" t="str">
        <f ca="1">IF($K92="Yes",COUNTIFS($K$4:$K92,"Yes"),"")</f>
        <v/>
      </c>
      <c r="Q92">
        <f t="shared" ca="1" si="7"/>
        <v>0</v>
      </c>
      <c r="R92" t="str">
        <f ca="1">IF($Q92=1,SUM($Q$4:$Q92),"")</f>
        <v/>
      </c>
    </row>
    <row r="93" spans="1:18" ht="33.75" customHeight="1" x14ac:dyDescent="0.3">
      <c r="A93" s="2" t="s">
        <v>217</v>
      </c>
      <c r="B93" s="2" t="s">
        <v>62</v>
      </c>
      <c r="C93" s="3" t="s">
        <v>218</v>
      </c>
      <c r="D93" s="3" t="s">
        <v>222</v>
      </c>
      <c r="E93" s="2" t="s">
        <v>165</v>
      </c>
      <c r="F93" s="2" t="s">
        <v>220</v>
      </c>
      <c r="G93" s="5">
        <v>46050</v>
      </c>
      <c r="H93" s="5">
        <v>46089</v>
      </c>
      <c r="I93" s="4" t="s">
        <v>31</v>
      </c>
      <c r="J93" s="6">
        <f t="shared" si="5"/>
        <v>39</v>
      </c>
      <c r="K93" s="4" t="str">
        <f t="shared" ca="1" si="6"/>
        <v>-</v>
      </c>
      <c r="L93" s="7">
        <f t="shared" ca="1" si="8"/>
        <v>0</v>
      </c>
      <c r="M93" s="4" t="str">
        <f>IF($I93="Complete","Green",IF($H93="","Amber",IF($H93&lt;'[2]Read Me'!$B$4,"Red",IF($H93-'[2]Read Me'!$B$4&lt;=21,"Amber","Green"))))</f>
        <v>Red</v>
      </c>
      <c r="N93" s="3"/>
      <c r="O93" t="str">
        <f>IF($I93&lt;&gt;"Complete",IF(COUNTIFS($A$4:$A92,$A93,$B$4:$B92,$B93,$I$4:$I92,"&lt;&gt;Complete")=0,$A93&amp;"|"&amp;$B93,""),"")</f>
        <v/>
      </c>
      <c r="P93" t="str">
        <f ca="1">IF($K93="Yes",COUNTIFS($K$4:$K93,"Yes"),"")</f>
        <v/>
      </c>
      <c r="Q93">
        <f t="shared" ca="1" si="7"/>
        <v>0</v>
      </c>
      <c r="R93" t="str">
        <f ca="1">IF($Q93=1,SUM($Q$4:$Q93),"")</f>
        <v/>
      </c>
    </row>
    <row r="94" spans="1:18" ht="33.75" customHeight="1" x14ac:dyDescent="0.3">
      <c r="A94" s="2" t="s">
        <v>217</v>
      </c>
      <c r="B94" s="2" t="s">
        <v>62</v>
      </c>
      <c r="C94" s="3" t="s">
        <v>218</v>
      </c>
      <c r="D94" s="3" t="s">
        <v>223</v>
      </c>
      <c r="E94" s="2" t="s">
        <v>165</v>
      </c>
      <c r="F94" s="2" t="s">
        <v>220</v>
      </c>
      <c r="G94" s="5">
        <v>46036</v>
      </c>
      <c r="H94" s="5">
        <v>46117</v>
      </c>
      <c r="I94" s="4" t="s">
        <v>31</v>
      </c>
      <c r="J94" s="6">
        <f t="shared" si="5"/>
        <v>81</v>
      </c>
      <c r="K94" s="4" t="str">
        <f t="shared" ca="1" si="6"/>
        <v>-</v>
      </c>
      <c r="L94" s="7">
        <f t="shared" ca="1" si="8"/>
        <v>0</v>
      </c>
      <c r="M94" s="4" t="str">
        <f>IF($I94="Complete","Green",IF($H94="","Amber",IF($H94&lt;'[2]Read Me'!$B$4,"Red",IF($H94-'[2]Read Me'!$B$4&lt;=21,"Amber","Green"))))</f>
        <v>Red</v>
      </c>
      <c r="N94" s="3"/>
      <c r="O94" t="str">
        <f>IF($I94&lt;&gt;"Complete",IF(COUNTIFS($A$4:$A93,$A94,$B$4:$B93,$B94,$I$4:$I93,"&lt;&gt;Complete")=0,$A94&amp;"|"&amp;$B94,""),"")</f>
        <v/>
      </c>
      <c r="P94" t="str">
        <f ca="1">IF($K94="Yes",COUNTIFS($K$4:$K94,"Yes"),"")</f>
        <v/>
      </c>
      <c r="Q94">
        <f t="shared" ca="1" si="7"/>
        <v>0</v>
      </c>
      <c r="R94" t="str">
        <f ca="1">IF($Q94=1,SUM($Q$4:$Q94),"")</f>
        <v/>
      </c>
    </row>
    <row r="95" spans="1:18" ht="33.75" customHeight="1" x14ac:dyDescent="0.3">
      <c r="A95" s="2" t="s">
        <v>217</v>
      </c>
      <c r="B95" s="2" t="s">
        <v>62</v>
      </c>
      <c r="C95" s="3" t="s">
        <v>218</v>
      </c>
      <c r="D95" s="3" t="s">
        <v>224</v>
      </c>
      <c r="E95" s="2" t="s">
        <v>165</v>
      </c>
      <c r="F95" s="2" t="s">
        <v>220</v>
      </c>
      <c r="G95" s="5">
        <v>46078</v>
      </c>
      <c r="H95" s="5">
        <v>46173</v>
      </c>
      <c r="I95" s="4" t="s">
        <v>31</v>
      </c>
      <c r="J95" s="6">
        <f t="shared" si="5"/>
        <v>95</v>
      </c>
      <c r="K95" s="4" t="str">
        <f t="shared" ca="1" si="6"/>
        <v>-</v>
      </c>
      <c r="L95" s="7">
        <f t="shared" ca="1" si="8"/>
        <v>0</v>
      </c>
      <c r="M95" s="4" t="str">
        <f>IF($I95="Complete","Green",IF($H95="","Amber",IF($H95&lt;'[2]Read Me'!$B$4,"Red",IF($H95-'[2]Read Me'!$B$4&lt;=21,"Amber","Green"))))</f>
        <v>Red</v>
      </c>
      <c r="N95" s="3"/>
      <c r="O95" t="str">
        <f>IF($I95&lt;&gt;"Complete",IF(COUNTIFS($A$4:$A94,$A95,$B$4:$B94,$B95,$I$4:$I94,"&lt;&gt;Complete")=0,$A95&amp;"|"&amp;$B95,""),"")</f>
        <v/>
      </c>
      <c r="P95" t="str">
        <f ca="1">IF($K95="Yes",COUNTIFS($K$4:$K95,"Yes"),"")</f>
        <v/>
      </c>
      <c r="Q95">
        <f t="shared" ca="1" si="7"/>
        <v>0</v>
      </c>
      <c r="R95" t="str">
        <f ca="1">IF($Q95=1,SUM($Q$4:$Q95),"")</f>
        <v/>
      </c>
    </row>
    <row r="96" spans="1:18" ht="33.75" customHeight="1" x14ac:dyDescent="0.3">
      <c r="A96" s="2" t="s">
        <v>217</v>
      </c>
      <c r="B96" s="2" t="s">
        <v>49</v>
      </c>
      <c r="C96" s="3"/>
      <c r="D96" s="3"/>
      <c r="E96" s="2"/>
      <c r="F96" s="2"/>
      <c r="G96" s="5"/>
      <c r="H96" s="5">
        <v>46306</v>
      </c>
      <c r="I96" s="4"/>
      <c r="J96" s="6" t="str">
        <f t="shared" si="5"/>
        <v/>
      </c>
      <c r="K96" s="4" t="str">
        <f t="shared" ca="1" si="6"/>
        <v/>
      </c>
      <c r="L96" s="7">
        <f t="shared" ca="1" si="8"/>
        <v>98</v>
      </c>
      <c r="M96" s="4" t="str">
        <f>IF($I96="Complete","Green",IF($H96="","Amber",IF($H96&lt;'[2]Read Me'!$B$4,"Red",IF($H96-'[2]Read Me'!$B$4&lt;=21,"Amber","Green"))))</f>
        <v>Green</v>
      </c>
      <c r="N96" s="3"/>
      <c r="O96" t="str">
        <f>IF($I96&lt;&gt;"Complete",IF(COUNTIFS($A$4:$A95,$A96,$B$4:$B95,$B96,$I$4:$I95,"&lt;&gt;Complete")=0,$A96&amp;"|"&amp;$B96,""),"")</f>
        <v>Pheonix|Authorities</v>
      </c>
      <c r="P96" t="str">
        <f ca="1">IF($K96="Yes",COUNTIFS($K$4:$K96,"Yes"),"")</f>
        <v/>
      </c>
      <c r="Q96">
        <f t="shared" ca="1" si="7"/>
        <v>0</v>
      </c>
      <c r="R96" t="str">
        <f ca="1">IF($Q96=1,SUM($Q$4:$Q96),"")</f>
        <v/>
      </c>
    </row>
    <row r="97" spans="1:18" ht="33.75" customHeight="1" x14ac:dyDescent="0.3">
      <c r="A97" s="2" t="s">
        <v>217</v>
      </c>
      <c r="B97" s="2" t="s">
        <v>21</v>
      </c>
      <c r="C97" s="3"/>
      <c r="D97" s="3"/>
      <c r="E97" s="2"/>
      <c r="F97" s="2"/>
      <c r="G97" s="5">
        <v>46233</v>
      </c>
      <c r="H97" s="5">
        <v>46251.3</v>
      </c>
      <c r="I97" s="4"/>
      <c r="J97" s="6">
        <f t="shared" si="5"/>
        <v>18.30000000000291</v>
      </c>
      <c r="K97" s="4" t="str">
        <f t="shared" ca="1" si="6"/>
        <v/>
      </c>
      <c r="L97" s="7">
        <f t="shared" ca="1" si="8"/>
        <v>43.30000000000291</v>
      </c>
      <c r="M97" s="4" t="str">
        <f>IF($I97="Complete","Green",IF($H97="","Amber",IF($H97&lt;'[2]Read Me'!$B$4,"Red",IF($H97-'[2]Read Me'!$B$4&lt;=21,"Amber","Green"))))</f>
        <v>Green</v>
      </c>
      <c r="N97" s="3"/>
      <c r="O97" t="str">
        <f>IF($I97&lt;&gt;"Complete",IF(COUNTIFS($A$4:$A96,$A97,$B$4:$B96,$B97,$I$4:$I96,"&lt;&gt;Complete")=0,$A97&amp;"|"&amp;$B97,""),"")</f>
        <v>Pheonix|Landscape</v>
      </c>
      <c r="P97" t="str">
        <f ca="1">IF($K97="Yes",COUNTIFS($K$4:$K97,"Yes"),"")</f>
        <v/>
      </c>
      <c r="Q97">
        <f t="shared" ca="1" si="7"/>
        <v>0</v>
      </c>
      <c r="R97" t="str">
        <f ca="1">IF($Q97=1,SUM($Q$4:$Q97),"")</f>
        <v/>
      </c>
    </row>
    <row r="98" spans="1:18" ht="33.75" customHeight="1" x14ac:dyDescent="0.3">
      <c r="A98" s="2" t="s">
        <v>217</v>
      </c>
      <c r="B98" s="2" t="s">
        <v>21</v>
      </c>
      <c r="C98" s="3" t="s">
        <v>225</v>
      </c>
      <c r="D98" s="3" t="s">
        <v>226</v>
      </c>
      <c r="E98" s="2" t="s">
        <v>181</v>
      </c>
      <c r="F98" s="2" t="s">
        <v>227</v>
      </c>
      <c r="G98" s="5">
        <v>46152</v>
      </c>
      <c r="H98" s="5">
        <v>46180</v>
      </c>
      <c r="I98" s="4" t="s">
        <v>31</v>
      </c>
      <c r="J98" s="6">
        <f t="shared" si="5"/>
        <v>28</v>
      </c>
      <c r="K98" s="4" t="str">
        <f t="shared" ca="1" si="6"/>
        <v>-</v>
      </c>
      <c r="L98" s="7">
        <f t="shared" ca="1" si="8"/>
        <v>0</v>
      </c>
      <c r="M98" s="4" t="str">
        <f>IF($I98="Complete","Green",IF($H98="","Amber",IF($H98&lt;'[2]Read Me'!$B$4,"Red",IF($H98-'[2]Read Me'!$B$4&lt;=21,"Amber","Green"))))</f>
        <v>Red</v>
      </c>
      <c r="N98" s="3"/>
      <c r="O98" t="str">
        <f>IF($I98&lt;&gt;"Complete",IF(COUNTIFS($A$4:$A97,$A98,$B$4:$B97,$B98,$I$4:$I97,"&lt;&gt;Complete")=0,$A98&amp;"|"&amp;$B98,""),"")</f>
        <v/>
      </c>
      <c r="P98" t="str">
        <f ca="1">IF($K98="Yes",COUNTIFS($K$4:$K98,"Yes"),"")</f>
        <v/>
      </c>
      <c r="Q98">
        <f t="shared" ca="1" si="7"/>
        <v>0</v>
      </c>
      <c r="R98" t="str">
        <f ca="1">IF($Q98=1,SUM($Q$4:$Q98),"")</f>
        <v/>
      </c>
    </row>
    <row r="99" spans="1:18" ht="33.75" customHeight="1" x14ac:dyDescent="0.3">
      <c r="A99" s="2" t="s">
        <v>217</v>
      </c>
      <c r="B99" s="2" t="s">
        <v>21</v>
      </c>
      <c r="C99" s="3" t="s">
        <v>225</v>
      </c>
      <c r="D99" s="3" t="s">
        <v>32</v>
      </c>
      <c r="E99" s="2" t="s">
        <v>181</v>
      </c>
      <c r="F99" s="2"/>
      <c r="G99" s="5">
        <v>46154</v>
      </c>
      <c r="H99" s="5">
        <v>46182</v>
      </c>
      <c r="I99" s="4" t="s">
        <v>31</v>
      </c>
      <c r="J99" s="6">
        <f t="shared" si="5"/>
        <v>28</v>
      </c>
      <c r="K99" s="4" t="str">
        <f t="shared" ca="1" si="6"/>
        <v>-</v>
      </c>
      <c r="L99" s="7">
        <f t="shared" ca="1" si="8"/>
        <v>0</v>
      </c>
      <c r="M99" s="4" t="str">
        <f>IF($I99="Complete","Green",IF($H99="","Amber",IF($H99&lt;'[2]Read Me'!$B$4,"Red",IF($H99-'[2]Read Me'!$B$4&lt;=21,"Amber","Green"))))</f>
        <v>Red</v>
      </c>
      <c r="N99" s="3"/>
      <c r="O99" t="str">
        <f>IF($I99&lt;&gt;"Complete",IF(COUNTIFS($A$4:$A98,$A99,$B$4:$B98,$B99,$I$4:$I98,"&lt;&gt;Complete")=0,$A99&amp;"|"&amp;$B99,""),"")</f>
        <v/>
      </c>
      <c r="P99" t="str">
        <f ca="1">IF($K99="Yes",COUNTIFS($K$4:$K99,"Yes"),"")</f>
        <v/>
      </c>
      <c r="Q99">
        <f t="shared" ca="1" si="7"/>
        <v>0</v>
      </c>
      <c r="R99" t="str">
        <f ca="1">IF($Q99=1,SUM($Q$4:$Q99),"")</f>
        <v/>
      </c>
    </row>
    <row r="100" spans="1:18" ht="33.75" customHeight="1" x14ac:dyDescent="0.3">
      <c r="A100" s="2" t="s">
        <v>217</v>
      </c>
      <c r="B100" s="2" t="s">
        <v>21</v>
      </c>
      <c r="C100" s="3" t="s">
        <v>225</v>
      </c>
      <c r="D100" s="3" t="s">
        <v>14</v>
      </c>
      <c r="E100" s="2" t="s">
        <v>181</v>
      </c>
      <c r="F100" s="2" t="s">
        <v>227</v>
      </c>
      <c r="G100" s="5">
        <v>46180</v>
      </c>
      <c r="H100" s="5">
        <v>46204</v>
      </c>
      <c r="I100" s="4" t="s">
        <v>46</v>
      </c>
      <c r="J100" s="6">
        <f t="shared" si="5"/>
        <v>24</v>
      </c>
      <c r="K100" s="4" t="str">
        <f t="shared" ca="1" si="6"/>
        <v>Yes</v>
      </c>
      <c r="L100" s="7">
        <f t="shared" ca="1" si="8"/>
        <v>-4</v>
      </c>
      <c r="M100" s="4" t="str">
        <f>IF($I100="Complete","Green",IF($H100="","Amber",IF($H100&lt;'[2]Read Me'!$B$4,"Red",IF($H100-'[2]Read Me'!$B$4&lt;=21,"Amber","Green"))))</f>
        <v>Amber</v>
      </c>
      <c r="N100" s="3"/>
      <c r="O100" t="str">
        <f>IF($I100&lt;&gt;"Complete",IF(COUNTIFS($A$4:$A99,$A100,$B$4:$B99,$B100,$I$4:$I99,"&lt;&gt;Complete")=0,$A100&amp;"|"&amp;$B100,""),"")</f>
        <v/>
      </c>
      <c r="P100">
        <f ca="1">IF($K100="Yes",COUNTIFS($K$4:$K100,"Yes"),"")</f>
        <v>14</v>
      </c>
      <c r="Q100">
        <f t="shared" ca="1" si="7"/>
        <v>1</v>
      </c>
      <c r="R100">
        <f ca="1">IF($Q100=1,SUM($Q$4:$Q100),"")</f>
        <v>14</v>
      </c>
    </row>
    <row r="101" spans="1:18" ht="33.75" customHeight="1" x14ac:dyDescent="0.3">
      <c r="A101" s="2" t="s">
        <v>217</v>
      </c>
      <c r="B101" s="2" t="s">
        <v>21</v>
      </c>
      <c r="C101" s="3" t="s">
        <v>225</v>
      </c>
      <c r="D101" s="3" t="s">
        <v>34</v>
      </c>
      <c r="E101" s="2" t="s">
        <v>181</v>
      </c>
      <c r="F101" s="2"/>
      <c r="G101" s="5">
        <v>46183</v>
      </c>
      <c r="H101" s="5">
        <v>46210</v>
      </c>
      <c r="I101" s="4" t="s">
        <v>17</v>
      </c>
      <c r="J101" s="6">
        <f t="shared" si="5"/>
        <v>27</v>
      </c>
      <c r="K101" s="4" t="str">
        <f t="shared" ca="1" si="6"/>
        <v>No</v>
      </c>
      <c r="L101" s="7">
        <f t="shared" ca="1" si="8"/>
        <v>2</v>
      </c>
      <c r="M101" s="4" t="str">
        <f>IF($I101="Complete","Green",IF($H101="","Amber",IF($H101&lt;'[2]Read Me'!$B$4,"Red",IF($H101-'[2]Read Me'!$B$4&lt;=21,"Amber","Green"))))</f>
        <v>Green</v>
      </c>
      <c r="N101" s="3"/>
      <c r="O101" t="str">
        <f>IF($I101&lt;&gt;"Complete",IF(COUNTIFS($A$4:$A100,$A101,$B$4:$B100,$B101,$I$4:$I100,"&lt;&gt;Complete")=0,$A101&amp;"|"&amp;$B101,""),"")</f>
        <v/>
      </c>
      <c r="P101" t="str">
        <f ca="1">IF($K101="Yes",COUNTIFS($K$4:$K101,"Yes"),"")</f>
        <v/>
      </c>
      <c r="Q101">
        <f t="shared" ca="1" si="7"/>
        <v>0</v>
      </c>
      <c r="R101" t="str">
        <f ca="1">IF($Q101=1,SUM($Q$4:$Q101),"")</f>
        <v/>
      </c>
    </row>
    <row r="102" spans="1:18" ht="33.75" customHeight="1" x14ac:dyDescent="0.3">
      <c r="A102" s="2" t="s">
        <v>217</v>
      </c>
      <c r="B102" s="2" t="s">
        <v>21</v>
      </c>
      <c r="C102" s="3" t="s">
        <v>225</v>
      </c>
      <c r="D102" s="3" t="s">
        <v>15</v>
      </c>
      <c r="E102" s="2" t="s">
        <v>181</v>
      </c>
      <c r="F102" s="2" t="s">
        <v>227</v>
      </c>
      <c r="G102" s="5">
        <v>46202</v>
      </c>
      <c r="H102" s="5">
        <v>46229</v>
      </c>
      <c r="I102" s="4" t="s">
        <v>17</v>
      </c>
      <c r="J102" s="6">
        <f t="shared" si="5"/>
        <v>27</v>
      </c>
      <c r="K102" s="4" t="str">
        <f t="shared" ca="1" si="6"/>
        <v>No</v>
      </c>
      <c r="L102" s="7">
        <f t="shared" ca="1" si="8"/>
        <v>21</v>
      </c>
      <c r="M102" s="4" t="str">
        <f>IF($I102="Complete","Green",IF($H102="","Amber",IF($H102&lt;'[2]Read Me'!$B$4,"Red",IF($H102-'[2]Read Me'!$B$4&lt;=21,"Amber","Green"))))</f>
        <v>Green</v>
      </c>
      <c r="N102" s="3"/>
      <c r="O102" t="str">
        <f>IF($I102&lt;&gt;"Complete",IF(COUNTIFS($A$4:$A101,$A102,$B$4:$B101,$B102,$I$4:$I101,"&lt;&gt;Complete")=0,$A102&amp;"|"&amp;$B102,""),"")</f>
        <v/>
      </c>
      <c r="P102" t="str">
        <f ca="1">IF($K102="Yes",COUNTIFS($K$4:$K102,"Yes"),"")</f>
        <v/>
      </c>
      <c r="Q102">
        <f t="shared" ca="1" si="7"/>
        <v>0</v>
      </c>
      <c r="R102" t="str">
        <f ca="1">IF($Q102=1,SUM($Q$4:$Q102),"")</f>
        <v/>
      </c>
    </row>
    <row r="103" spans="1:18" ht="33.75" customHeight="1" x14ac:dyDescent="0.3">
      <c r="A103" s="2" t="s">
        <v>217</v>
      </c>
      <c r="B103" s="2" t="s">
        <v>21</v>
      </c>
      <c r="C103" s="3" t="s">
        <v>225</v>
      </c>
      <c r="D103" s="3" t="s">
        <v>35</v>
      </c>
      <c r="E103" s="2" t="s">
        <v>181</v>
      </c>
      <c r="F103" s="2"/>
      <c r="G103" s="5">
        <v>46208</v>
      </c>
      <c r="H103" s="5">
        <v>46232</v>
      </c>
      <c r="I103" s="4" t="s">
        <v>17</v>
      </c>
      <c r="J103" s="6">
        <f t="shared" si="5"/>
        <v>24</v>
      </c>
      <c r="K103" s="4" t="str">
        <f t="shared" ca="1" si="6"/>
        <v>No</v>
      </c>
      <c r="L103" s="7">
        <f t="shared" ca="1" si="8"/>
        <v>24</v>
      </c>
      <c r="M103" s="4" t="str">
        <f>IF($I103="Complete","Green",IF($H103="","Amber",IF($H103&lt;'[2]Read Me'!$B$4,"Red",IF($H103-'[2]Read Me'!$B$4&lt;=21,"Amber","Green"))))</f>
        <v>Green</v>
      </c>
      <c r="N103" s="3"/>
      <c r="O103" t="str">
        <f>IF($I103&lt;&gt;"Complete",IF(COUNTIFS($A$4:$A102,$A103,$B$4:$B102,$B103,$I$4:$I102,"&lt;&gt;Complete")=0,$A103&amp;"|"&amp;$B103,""),"")</f>
        <v/>
      </c>
      <c r="P103" t="str">
        <f ca="1">IF($K103="Yes",COUNTIFS($K$4:$K103,"Yes"),"")</f>
        <v/>
      </c>
      <c r="Q103">
        <f t="shared" ca="1" si="7"/>
        <v>0</v>
      </c>
      <c r="R103" t="str">
        <f ca="1">IF($Q103=1,SUM($Q$4:$Q103),"")</f>
        <v/>
      </c>
    </row>
    <row r="104" spans="1:18" ht="33.75" customHeight="1" x14ac:dyDescent="0.3">
      <c r="A104" s="2" t="s">
        <v>217</v>
      </c>
      <c r="B104" s="2" t="s">
        <v>21</v>
      </c>
      <c r="C104" s="3" t="s">
        <v>225</v>
      </c>
      <c r="D104" s="3" t="s">
        <v>20</v>
      </c>
      <c r="E104" s="2" t="s">
        <v>184</v>
      </c>
      <c r="F104" s="2"/>
      <c r="G104" s="5">
        <v>46216</v>
      </c>
      <c r="H104" s="5">
        <v>46244</v>
      </c>
      <c r="I104" s="4" t="s">
        <v>17</v>
      </c>
      <c r="J104" s="6">
        <f t="shared" si="5"/>
        <v>28</v>
      </c>
      <c r="K104" s="4" t="str">
        <f t="shared" ca="1" si="6"/>
        <v>No</v>
      </c>
      <c r="L104" s="7">
        <f t="shared" ca="1" si="8"/>
        <v>36</v>
      </c>
      <c r="M104" s="4" t="str">
        <f>IF($I104="Complete","Green",IF($H104="","Amber",IF($H104&lt;'[2]Read Me'!$B$4,"Red",IF($H104-'[2]Read Me'!$B$4&lt;=21,"Amber","Green"))))</f>
        <v>Green</v>
      </c>
      <c r="N104" s="3"/>
      <c r="O104" t="str">
        <f>IF($I104&lt;&gt;"Complete",IF(COUNTIFS($A$4:$A103,$A104,$B$4:$B103,$B104,$I$4:$I103,"&lt;&gt;Complete")=0,$A104&amp;"|"&amp;$B104,""),"")</f>
        <v/>
      </c>
      <c r="P104" t="str">
        <f ca="1">IF($K104="Yes",COUNTIFS($K$4:$K104,"Yes"),"")</f>
        <v/>
      </c>
      <c r="Q104">
        <f t="shared" ca="1" si="7"/>
        <v>0</v>
      </c>
      <c r="R104" t="str">
        <f ca="1">IF($Q104=1,SUM($Q$4:$Q104),"")</f>
        <v/>
      </c>
    </row>
    <row r="105" spans="1:18" ht="33.75" customHeight="1" x14ac:dyDescent="0.3">
      <c r="A105" s="2" t="s">
        <v>217</v>
      </c>
      <c r="B105" s="2" t="s">
        <v>21</v>
      </c>
      <c r="C105" s="3" t="s">
        <v>225</v>
      </c>
      <c r="D105" s="3" t="s">
        <v>16</v>
      </c>
      <c r="E105" s="2" t="s">
        <v>181</v>
      </c>
      <c r="F105" s="2" t="s">
        <v>227</v>
      </c>
      <c r="G105" s="5">
        <v>46222</v>
      </c>
      <c r="H105" s="5">
        <v>46246.3</v>
      </c>
      <c r="I105" s="4" t="s">
        <v>17</v>
      </c>
      <c r="J105" s="6">
        <f t="shared" si="5"/>
        <v>24.30000000000291</v>
      </c>
      <c r="K105" s="4" t="str">
        <f t="shared" ca="1" si="6"/>
        <v>No</v>
      </c>
      <c r="L105" s="7">
        <f t="shared" ca="1" si="8"/>
        <v>38.30000000000291</v>
      </c>
      <c r="M105" s="4" t="str">
        <f>IF($I105="Complete","Green",IF($H105="","Amber",IF($H105&lt;'[2]Read Me'!$B$4,"Red",IF($H105-'[2]Read Me'!$B$4&lt;=21,"Amber","Green"))))</f>
        <v>Green</v>
      </c>
      <c r="N105" s="3"/>
      <c r="O105" t="str">
        <f>IF($I105&lt;&gt;"Complete",IF(COUNTIFS($A$4:$A104,$A105,$B$4:$B104,$B105,$I$4:$I104,"&lt;&gt;Complete")=0,$A105&amp;"|"&amp;$B105,""),"")</f>
        <v/>
      </c>
      <c r="P105" t="str">
        <f ca="1">IF($K105="Yes",COUNTIFS($K$4:$K105,"Yes"),"")</f>
        <v/>
      </c>
      <c r="Q105">
        <f t="shared" ca="1" si="7"/>
        <v>0</v>
      </c>
      <c r="R105" t="str">
        <f ca="1">IF($Q105=1,SUM($Q$4:$Q105),"")</f>
        <v/>
      </c>
    </row>
    <row r="106" spans="1:18" ht="22.5" customHeight="1" x14ac:dyDescent="0.3">
      <c r="A106" s="2" t="s">
        <v>217</v>
      </c>
      <c r="B106" s="2" t="s">
        <v>21</v>
      </c>
      <c r="C106" s="3" t="s">
        <v>225</v>
      </c>
      <c r="D106" s="3" t="s">
        <v>228</v>
      </c>
      <c r="E106" s="2" t="s">
        <v>181</v>
      </c>
      <c r="F106" s="2"/>
      <c r="G106" s="5">
        <v>46233</v>
      </c>
      <c r="H106" s="5">
        <v>46251.3</v>
      </c>
      <c r="I106" s="4" t="s">
        <v>17</v>
      </c>
      <c r="J106" s="6">
        <f t="shared" si="5"/>
        <v>18.30000000000291</v>
      </c>
      <c r="K106" s="4" t="str">
        <f t="shared" ca="1" si="6"/>
        <v>No</v>
      </c>
      <c r="L106" s="7">
        <f t="shared" ca="1" si="8"/>
        <v>43.30000000000291</v>
      </c>
      <c r="M106" s="4" t="str">
        <f>IF($I106="Complete","Green",IF($H106="","Amber",IF($H106&lt;'[2]Read Me'!$B$4,"Red",IF($H106-'[2]Read Me'!$B$4&lt;=21,"Amber","Green"))))</f>
        <v>Green</v>
      </c>
      <c r="N106" s="3"/>
      <c r="O106" t="str">
        <f>IF($I106&lt;&gt;"Complete",IF(COUNTIFS($A$4:$A105,$A106,$B$4:$B105,$B106,$I$4:$I105,"&lt;&gt;Complete")=0,$A106&amp;"|"&amp;$B106,""),"")</f>
        <v/>
      </c>
      <c r="P106" t="str">
        <f ca="1">IF($K106="Yes",COUNTIFS($K$4:$K106,"Yes"),"")</f>
        <v/>
      </c>
      <c r="Q106">
        <f t="shared" ca="1" si="7"/>
        <v>0</v>
      </c>
      <c r="R106" t="str">
        <f ca="1">IF($Q106=1,SUM($Q$4:$Q106),"")</f>
        <v/>
      </c>
    </row>
    <row r="107" spans="1:18" ht="22.5" customHeight="1" x14ac:dyDescent="0.3">
      <c r="A107" s="2"/>
      <c r="B107" s="2"/>
      <c r="C107" s="3" t="s">
        <v>225</v>
      </c>
      <c r="D107" s="3" t="s">
        <v>144</v>
      </c>
      <c r="E107" s="2"/>
      <c r="F107" s="2"/>
      <c r="G107" s="5">
        <v>46348</v>
      </c>
      <c r="H107" s="5">
        <v>46366.3</v>
      </c>
      <c r="I107" s="4" t="s">
        <v>17</v>
      </c>
      <c r="J107" s="6">
        <f t="shared" si="5"/>
        <v>18.30000000000291</v>
      </c>
      <c r="K107" s="4" t="str">
        <f t="shared" ca="1" si="6"/>
        <v>No</v>
      </c>
      <c r="L107" s="7">
        <f t="shared" ca="1" si="8"/>
        <v>158.30000000000291</v>
      </c>
      <c r="M107" s="4" t="str">
        <f>IF($I107="Complete","Green",IF($H107="","Amber",IF($H107&lt;'[2]Read Me'!$B$4,"Red",IF($H107-'[2]Read Me'!$B$4&lt;=21,"Amber","Green"))))</f>
        <v>Green</v>
      </c>
      <c r="N107" s="3"/>
      <c r="O107" t="str">
        <f>IF($I107&lt;&gt;"Complete",IF(COUNTIFS($A$4:$A106,$A107,$B$4:$B106,$B107,$I$4:$I106,"&lt;&gt;Complete")=0,$A107&amp;"|"&amp;$B107,""),"")</f>
        <v>|</v>
      </c>
      <c r="P107" t="str">
        <f ca="1">IF($K107="Yes",COUNTIFS($K$4:$K107,"Yes"),"")</f>
        <v/>
      </c>
      <c r="Q107">
        <f t="shared" ca="1" si="7"/>
        <v>0</v>
      </c>
      <c r="R107" t="str">
        <f ca="1">IF($Q107=1,SUM($Q$4:$Q107),"")</f>
        <v/>
      </c>
    </row>
    <row r="108" spans="1:18" ht="22.5" customHeight="1" x14ac:dyDescent="0.3">
      <c r="A108" s="2"/>
      <c r="B108" s="2"/>
      <c r="C108" s="3" t="s">
        <v>225</v>
      </c>
      <c r="D108" s="3" t="s">
        <v>212</v>
      </c>
      <c r="E108" s="2"/>
      <c r="F108" s="2"/>
      <c r="G108" s="5">
        <v>46348</v>
      </c>
      <c r="H108" s="5">
        <v>46366.3</v>
      </c>
      <c r="I108" s="4" t="s">
        <v>17</v>
      </c>
      <c r="J108" s="6">
        <f t="shared" si="5"/>
        <v>18.30000000000291</v>
      </c>
      <c r="K108" s="4" t="str">
        <f t="shared" ca="1" si="6"/>
        <v>No</v>
      </c>
      <c r="L108" s="7">
        <f t="shared" ca="1" si="8"/>
        <v>158.30000000000291</v>
      </c>
      <c r="M108" s="4" t="str">
        <f>IF($I108="Complete","Green",IF($H108="","Amber",IF($H108&lt;'[2]Read Me'!$B$4,"Red",IF($H108-'[2]Read Me'!$B$4&lt;=21,"Amber","Green"))))</f>
        <v>Green</v>
      </c>
      <c r="N108" s="3"/>
      <c r="O108" t="str">
        <f>IF($I108&lt;&gt;"Complete",IF(COUNTIFS($A$4:$A107,$A108,$B$4:$B107,$B108,$I$4:$I107,"&lt;&gt;Complete")=0,$A108&amp;"|"&amp;$B108,""),"")</f>
        <v>|</v>
      </c>
      <c r="P108" t="str">
        <f ca="1">IF($K108="Yes",COUNTIFS($K$4:$K108,"Yes"),"")</f>
        <v/>
      </c>
      <c r="Q108">
        <f t="shared" ca="1" si="7"/>
        <v>0</v>
      </c>
      <c r="R108" t="str">
        <f ca="1">IF($Q108=1,SUM($Q$4:$Q108),"")</f>
        <v/>
      </c>
    </row>
    <row r="109" spans="1:18" ht="22.5" customHeight="1" x14ac:dyDescent="0.3">
      <c r="A109" s="2" t="s">
        <v>217</v>
      </c>
      <c r="B109" s="2" t="s">
        <v>186</v>
      </c>
      <c r="C109" s="3"/>
      <c r="D109" s="3"/>
      <c r="E109" s="2"/>
      <c r="F109" s="2"/>
      <c r="G109" s="5">
        <v>46174</v>
      </c>
      <c r="H109" s="5">
        <v>46203</v>
      </c>
      <c r="I109" s="4"/>
      <c r="J109" s="6">
        <f t="shared" si="5"/>
        <v>29</v>
      </c>
      <c r="K109" s="4" t="str">
        <f t="shared" ca="1" si="6"/>
        <v/>
      </c>
      <c r="L109" s="7">
        <f t="shared" ca="1" si="8"/>
        <v>-5</v>
      </c>
      <c r="M109" s="4" t="str">
        <f>IF($I109="Complete","Green",IF($H109="","Amber",IF($H109&lt;'[2]Read Me'!$B$4,"Red",IF($H109-'[2]Read Me'!$B$4&lt;=21,"Amber","Green"))))</f>
        <v>Amber</v>
      </c>
      <c r="N109" s="3"/>
      <c r="O109" t="str">
        <f>IF($I109&lt;&gt;"Complete",IF(COUNTIFS($A$4:$A108,$A109,$B$4:$B108,$B109,$I$4:$I108,"&lt;&gt;Complete")=0,$A109&amp;"|"&amp;$B109,""),"")</f>
        <v>Pheonix|Plot Fences</v>
      </c>
      <c r="P109" t="str">
        <f ca="1">IF($K109="Yes",COUNTIFS($K$4:$K109,"Yes"),"")</f>
        <v/>
      </c>
      <c r="Q109">
        <f t="shared" ca="1" si="7"/>
        <v>0</v>
      </c>
      <c r="R109" t="str">
        <f ca="1">IF($Q109=1,SUM($Q$4:$Q109),"")</f>
        <v/>
      </c>
    </row>
    <row r="110" spans="1:18" ht="22.5" customHeight="1" x14ac:dyDescent="0.3">
      <c r="A110" s="2" t="s">
        <v>217</v>
      </c>
      <c r="B110" s="2" t="s">
        <v>186</v>
      </c>
      <c r="C110" s="3" t="s">
        <v>229</v>
      </c>
      <c r="D110" s="3" t="s">
        <v>230</v>
      </c>
      <c r="E110" s="2" t="s">
        <v>181</v>
      </c>
      <c r="F110" s="2" t="s">
        <v>227</v>
      </c>
      <c r="G110" s="5">
        <v>46152</v>
      </c>
      <c r="H110" s="5">
        <v>46167</v>
      </c>
      <c r="I110" s="4" t="s">
        <v>31</v>
      </c>
      <c r="J110" s="6">
        <f t="shared" si="5"/>
        <v>15</v>
      </c>
      <c r="K110" s="4" t="str">
        <f t="shared" ca="1" si="6"/>
        <v>-</v>
      </c>
      <c r="L110" s="7">
        <f t="shared" ca="1" si="8"/>
        <v>0</v>
      </c>
      <c r="M110" s="4" t="str">
        <f>IF($I110="Complete","Green",IF($H110="","Amber",IF($H110&lt;'[2]Read Me'!$B$4,"Red",IF($H110-'[2]Read Me'!$B$4&lt;=21,"Amber","Green"))))</f>
        <v>Red</v>
      </c>
      <c r="N110" s="3"/>
      <c r="O110" t="str">
        <f>IF($I110&lt;&gt;"Complete",IF(COUNTIFS($A$4:$A109,$A110,$B$4:$B109,$B110,$I$4:$I109,"&lt;&gt;Complete")=0,$A110&amp;"|"&amp;$B110,""),"")</f>
        <v/>
      </c>
      <c r="P110" t="str">
        <f ca="1">IF($K110="Yes",COUNTIFS($K$4:$K110,"Yes"),"")</f>
        <v/>
      </c>
      <c r="Q110">
        <f t="shared" ca="1" si="7"/>
        <v>0</v>
      </c>
      <c r="R110" t="str">
        <f ca="1">IF($Q110=1,SUM($Q$4:$Q110),"")</f>
        <v/>
      </c>
    </row>
    <row r="111" spans="1:18" ht="22.5" customHeight="1" x14ac:dyDescent="0.3">
      <c r="A111" s="2" t="s">
        <v>217</v>
      </c>
      <c r="B111" s="2" t="s">
        <v>186</v>
      </c>
      <c r="C111" s="3" t="s">
        <v>229</v>
      </c>
      <c r="D111" s="3" t="s">
        <v>231</v>
      </c>
      <c r="E111" s="2" t="s">
        <v>181</v>
      </c>
      <c r="F111" s="2"/>
      <c r="G111" s="5">
        <v>46154</v>
      </c>
      <c r="H111" s="5">
        <v>46174</v>
      </c>
      <c r="I111" s="4" t="s">
        <v>31</v>
      </c>
      <c r="J111" s="6">
        <f t="shared" si="5"/>
        <v>20</v>
      </c>
      <c r="K111" s="4" t="str">
        <f t="shared" ca="1" si="6"/>
        <v>-</v>
      </c>
      <c r="L111" s="7">
        <f t="shared" ca="1" si="8"/>
        <v>0</v>
      </c>
      <c r="M111" s="4" t="str">
        <f>IF($I111="Complete","Green",IF($H111="","Amber",IF($H111&lt;'[2]Read Me'!$B$4,"Red",IF($H111-'[2]Read Me'!$B$4&lt;=21,"Amber","Green"))))</f>
        <v>Red</v>
      </c>
      <c r="N111" s="3"/>
      <c r="O111" t="str">
        <f>IF($I111&lt;&gt;"Complete",IF(COUNTIFS($A$4:$A110,$A111,$B$4:$B110,$B111,$I$4:$I110,"&lt;&gt;Complete")=0,$A111&amp;"|"&amp;$B111,""),"")</f>
        <v/>
      </c>
      <c r="P111" t="str">
        <f ca="1">IF($K111="Yes",COUNTIFS($K$4:$K111,"Yes"),"")</f>
        <v/>
      </c>
      <c r="Q111">
        <f t="shared" ca="1" si="7"/>
        <v>0</v>
      </c>
      <c r="R111" t="str">
        <f ca="1">IF($Q111=1,SUM($Q$4:$Q111),"")</f>
        <v/>
      </c>
    </row>
    <row r="112" spans="1:18" ht="22.5" customHeight="1" x14ac:dyDescent="0.3">
      <c r="A112" s="2" t="s">
        <v>217</v>
      </c>
      <c r="B112" s="2" t="s">
        <v>186</v>
      </c>
      <c r="C112" s="3" t="s">
        <v>229</v>
      </c>
      <c r="D112" s="3" t="s">
        <v>16</v>
      </c>
      <c r="E112" s="2" t="s">
        <v>181</v>
      </c>
      <c r="F112" s="2" t="s">
        <v>227</v>
      </c>
      <c r="G112" s="5">
        <v>46161</v>
      </c>
      <c r="H112" s="5">
        <v>46196</v>
      </c>
      <c r="I112" s="4" t="s">
        <v>46</v>
      </c>
      <c r="J112" s="6">
        <f t="shared" si="5"/>
        <v>35</v>
      </c>
      <c r="K112" s="4" t="str">
        <f t="shared" ca="1" si="6"/>
        <v>Yes</v>
      </c>
      <c r="L112" s="7">
        <f t="shared" ca="1" si="8"/>
        <v>-12</v>
      </c>
      <c r="M112" s="4" t="str">
        <f>IF($I112="Complete","Green",IF($H112="","Amber",IF($H112&lt;'[2]Read Me'!$B$4,"Red",IF($H112-'[2]Read Me'!$B$4&lt;=21,"Amber","Green"))))</f>
        <v>Amber</v>
      </c>
      <c r="N112" s="3"/>
      <c r="O112" t="str">
        <f>IF($I112&lt;&gt;"Complete",IF(COUNTIFS($A$4:$A111,$A112,$B$4:$B111,$B112,$I$4:$I111,"&lt;&gt;Complete")=0,$A112&amp;"|"&amp;$B112,""),"")</f>
        <v/>
      </c>
      <c r="P112">
        <f ca="1">IF($K112="Yes",COUNTIFS($K$4:$K112,"Yes"),"")</f>
        <v>15</v>
      </c>
      <c r="Q112">
        <f t="shared" ca="1" si="7"/>
        <v>1</v>
      </c>
      <c r="R112">
        <f ca="1">IF($Q112=1,SUM($Q$4:$Q112),"")</f>
        <v>15</v>
      </c>
    </row>
    <row r="113" spans="1:18" ht="22.5" customHeight="1" x14ac:dyDescent="0.3">
      <c r="A113" s="2" t="s">
        <v>217</v>
      </c>
      <c r="B113" s="2" t="s">
        <v>186</v>
      </c>
      <c r="C113" s="3" t="s">
        <v>229</v>
      </c>
      <c r="D113" s="3" t="s">
        <v>228</v>
      </c>
      <c r="E113" s="2" t="s">
        <v>181</v>
      </c>
      <c r="F113" s="2"/>
      <c r="G113" s="5">
        <v>46174</v>
      </c>
      <c r="H113" s="5">
        <v>46203</v>
      </c>
      <c r="I113" s="4" t="s">
        <v>17</v>
      </c>
      <c r="J113" s="6">
        <f t="shared" si="5"/>
        <v>29</v>
      </c>
      <c r="K113" s="4" t="str">
        <f t="shared" ca="1" si="6"/>
        <v>Yes</v>
      </c>
      <c r="L113" s="7">
        <f t="shared" ca="1" si="8"/>
        <v>-5</v>
      </c>
      <c r="M113" s="4" t="str">
        <f>IF($I113="Complete","Green",IF($H113="","Amber",IF($H113&lt;'[2]Read Me'!$B$4,"Red",IF($H113-'[2]Read Me'!$B$4&lt;=21,"Amber","Green"))))</f>
        <v>Amber</v>
      </c>
      <c r="N113" s="3"/>
      <c r="O113" t="str">
        <f>IF($I113&lt;&gt;"Complete",IF(COUNTIFS($A$4:$A112,$A113,$B$4:$B112,$B113,$I$4:$I112,"&lt;&gt;Complete")=0,$A113&amp;"|"&amp;$B113,""),"")</f>
        <v/>
      </c>
      <c r="P113">
        <f ca="1">IF($K113="Yes",COUNTIFS($K$4:$K113,"Yes"),"")</f>
        <v>16</v>
      </c>
      <c r="Q113">
        <f t="shared" ca="1" si="7"/>
        <v>1</v>
      </c>
      <c r="R113">
        <f ca="1">IF($Q113=1,SUM($Q$4:$Q113),"")</f>
        <v>16</v>
      </c>
    </row>
    <row r="114" spans="1:18" ht="22.5" customHeight="1" x14ac:dyDescent="0.3">
      <c r="A114" s="2" t="s">
        <v>232</v>
      </c>
      <c r="B114" s="2" t="s">
        <v>21</v>
      </c>
      <c r="C114" s="3"/>
      <c r="D114" s="3"/>
      <c r="E114" s="2"/>
      <c r="F114" s="2"/>
      <c r="G114" s="5">
        <v>46006</v>
      </c>
      <c r="H114" s="5">
        <v>46076</v>
      </c>
      <c r="I114" s="4"/>
      <c r="J114" s="6">
        <f t="shared" si="5"/>
        <v>70</v>
      </c>
      <c r="K114" s="4" t="str">
        <f t="shared" ca="1" si="6"/>
        <v/>
      </c>
      <c r="L114" s="7">
        <f t="shared" ca="1" si="8"/>
        <v>-132</v>
      </c>
      <c r="M114" s="4" t="str">
        <f>IF($I114="Complete","Green",IF($H114="","Amber",IF($H114&lt;'[2]Read Me'!$B$4,"Red",IF($H114-'[2]Read Me'!$B$4&lt;=21,"Amber","Green"))))</f>
        <v>Red</v>
      </c>
      <c r="N114" s="3"/>
      <c r="O114" t="str">
        <f>IF($I114&lt;&gt;"Complete",IF(COUNTIFS($A$4:$A113,$A114,$B$4:$B113,$B114,$I$4:$I113,"&lt;&gt;Complete")=0,$A114&amp;"|"&amp;$B114,""),"")</f>
        <v>IRIS 01&amp;02|Landscape</v>
      </c>
      <c r="P114" t="str">
        <f ca="1">IF($K114="Yes",COUNTIFS($K$4:$K114,"Yes"),"")</f>
        <v/>
      </c>
      <c r="Q114">
        <f t="shared" ca="1" si="7"/>
        <v>0</v>
      </c>
      <c r="R114" t="str">
        <f ca="1">IF($Q114=1,SUM($Q$4:$Q114),"")</f>
        <v/>
      </c>
    </row>
    <row r="115" spans="1:18" ht="22.5" customHeight="1" x14ac:dyDescent="0.3">
      <c r="A115" s="2" t="s">
        <v>232</v>
      </c>
      <c r="B115" s="2" t="s">
        <v>21</v>
      </c>
      <c r="C115" s="3" t="s">
        <v>233</v>
      </c>
      <c r="D115" s="3" t="s">
        <v>234</v>
      </c>
      <c r="E115" s="2"/>
      <c r="F115" s="2"/>
      <c r="G115" s="5">
        <v>45717</v>
      </c>
      <c r="H115" s="5">
        <v>45717</v>
      </c>
      <c r="I115" s="4" t="s">
        <v>31</v>
      </c>
      <c r="J115" s="6">
        <f t="shared" si="5"/>
        <v>0</v>
      </c>
      <c r="K115" s="4" t="str">
        <f t="shared" ca="1" si="6"/>
        <v>-</v>
      </c>
      <c r="L115" s="7">
        <f t="shared" ca="1" si="8"/>
        <v>0</v>
      </c>
      <c r="M115" s="4" t="str">
        <f>IF($I115="Complete","Green",IF($H115="","Amber",IF($H115&lt;'[2]Read Me'!$B$4,"Red",IF($H115-'[2]Read Me'!$B$4&lt;=21,"Amber","Green"))))</f>
        <v>Red</v>
      </c>
      <c r="N115" s="3"/>
      <c r="O115" t="str">
        <f>IF($I115&lt;&gt;"Complete",IF(COUNTIFS($A$4:$A114,$A115,$B$4:$B114,$B115,$I$4:$I114,"&lt;&gt;Complete")=0,$A115&amp;"|"&amp;$B115,""),"")</f>
        <v/>
      </c>
      <c r="P115" t="str">
        <f ca="1">IF($K115="Yes",COUNTIFS($K$4:$K115,"Yes"),"")</f>
        <v/>
      </c>
      <c r="Q115">
        <f t="shared" ca="1" si="7"/>
        <v>0</v>
      </c>
      <c r="R115" t="str">
        <f ca="1">IF($Q115=1,SUM($Q$4:$Q115),"")</f>
        <v/>
      </c>
    </row>
    <row r="116" spans="1:18" ht="22.5" customHeight="1" x14ac:dyDescent="0.3">
      <c r="A116" s="2" t="s">
        <v>232</v>
      </c>
      <c r="B116" s="2" t="s">
        <v>21</v>
      </c>
      <c r="C116" s="3" t="s">
        <v>233</v>
      </c>
      <c r="D116" s="3" t="s">
        <v>235</v>
      </c>
      <c r="E116" s="2"/>
      <c r="F116" s="2"/>
      <c r="G116" s="5">
        <v>45746</v>
      </c>
      <c r="H116" s="5">
        <v>45746</v>
      </c>
      <c r="I116" s="4" t="s">
        <v>31</v>
      </c>
      <c r="J116" s="6">
        <f t="shared" si="5"/>
        <v>0</v>
      </c>
      <c r="K116" s="4" t="str">
        <f t="shared" ca="1" si="6"/>
        <v>-</v>
      </c>
      <c r="L116" s="7">
        <f t="shared" ca="1" si="8"/>
        <v>0</v>
      </c>
      <c r="M116" s="4" t="str">
        <f>IF($I116="Complete","Green",IF($H116="","Amber",IF($H116&lt;'[2]Read Me'!$B$4,"Red",IF($H116-'[2]Read Me'!$B$4&lt;=21,"Amber","Green"))))</f>
        <v>Red</v>
      </c>
      <c r="N116" s="3"/>
      <c r="O116" t="str">
        <f>IF($I116&lt;&gt;"Complete",IF(COUNTIFS($A$4:$A115,$A116,$B$4:$B115,$B116,$I$4:$I115,"&lt;&gt;Complete")=0,$A116&amp;"|"&amp;$B116,""),"")</f>
        <v/>
      </c>
      <c r="P116" t="str">
        <f ca="1">IF($K116="Yes",COUNTIFS($K$4:$K116,"Yes"),"")</f>
        <v/>
      </c>
      <c r="Q116">
        <f t="shared" ca="1" si="7"/>
        <v>0</v>
      </c>
      <c r="R116" t="str">
        <f ca="1">IF($Q116=1,SUM($Q$4:$Q116),"")</f>
        <v/>
      </c>
    </row>
    <row r="117" spans="1:18" ht="22.5" customHeight="1" x14ac:dyDescent="0.3">
      <c r="A117" s="2" t="s">
        <v>232</v>
      </c>
      <c r="B117" s="2" t="s">
        <v>21</v>
      </c>
      <c r="C117" s="3" t="s">
        <v>233</v>
      </c>
      <c r="D117" s="3" t="s">
        <v>236</v>
      </c>
      <c r="E117" s="2"/>
      <c r="F117" s="2"/>
      <c r="G117" s="5">
        <v>45775</v>
      </c>
      <c r="H117" s="5">
        <v>45775</v>
      </c>
      <c r="I117" s="4" t="s">
        <v>31</v>
      </c>
      <c r="J117" s="6">
        <f t="shared" si="5"/>
        <v>0</v>
      </c>
      <c r="K117" s="4" t="str">
        <f t="shared" ca="1" si="6"/>
        <v>-</v>
      </c>
      <c r="L117" s="7">
        <f t="shared" ca="1" si="8"/>
        <v>0</v>
      </c>
      <c r="M117" s="4" t="str">
        <f>IF($I117="Complete","Green",IF($H117="","Amber",IF($H117&lt;'[2]Read Me'!$B$4,"Red",IF($H117-'[2]Read Me'!$B$4&lt;=21,"Amber","Green"))))</f>
        <v>Red</v>
      </c>
      <c r="N117" s="3"/>
      <c r="O117" t="str">
        <f>IF($I117&lt;&gt;"Complete",IF(COUNTIFS($A$4:$A116,$A117,$B$4:$B116,$B117,$I$4:$I116,"&lt;&gt;Complete")=0,$A117&amp;"|"&amp;$B117,""),"")</f>
        <v/>
      </c>
      <c r="P117" t="str">
        <f ca="1">IF($K117="Yes",COUNTIFS($K$4:$K117,"Yes"),"")</f>
        <v/>
      </c>
      <c r="Q117">
        <f t="shared" ca="1" si="7"/>
        <v>0</v>
      </c>
      <c r="R117" t="str">
        <f ca="1">IF($Q117=1,SUM($Q$4:$Q117),"")</f>
        <v/>
      </c>
    </row>
    <row r="118" spans="1:18" ht="22.5" customHeight="1" x14ac:dyDescent="0.3">
      <c r="A118" s="2" t="s">
        <v>232</v>
      </c>
      <c r="B118" s="2" t="s">
        <v>21</v>
      </c>
      <c r="C118" s="3" t="s">
        <v>233</v>
      </c>
      <c r="D118" s="3" t="s">
        <v>47</v>
      </c>
      <c r="E118" s="2"/>
      <c r="F118" s="2"/>
      <c r="G118" s="5">
        <v>45790</v>
      </c>
      <c r="H118" s="5">
        <v>45790</v>
      </c>
      <c r="I118" s="4" t="s">
        <v>31</v>
      </c>
      <c r="J118" s="6">
        <f t="shared" si="5"/>
        <v>0</v>
      </c>
      <c r="K118" s="4" t="str">
        <f t="shared" ca="1" si="6"/>
        <v>-</v>
      </c>
      <c r="L118" s="7">
        <f t="shared" ca="1" si="8"/>
        <v>0</v>
      </c>
      <c r="M118" s="4" t="str">
        <f>IF($I118="Complete","Green",IF($H118="","Amber",IF($H118&lt;'[2]Read Me'!$B$4,"Red",IF($H118-'[2]Read Me'!$B$4&lt;=21,"Amber","Green"))))</f>
        <v>Red</v>
      </c>
      <c r="N118" s="3"/>
      <c r="O118" t="str">
        <f>IF($I118&lt;&gt;"Complete",IF(COUNTIFS($A$4:$A117,$A118,$B$4:$B117,$B118,$I$4:$I117,"&lt;&gt;Complete")=0,$A118&amp;"|"&amp;$B118,""),"")</f>
        <v/>
      </c>
      <c r="P118" t="str">
        <f ca="1">IF($K118="Yes",COUNTIFS($K$4:$K118,"Yes"),"")</f>
        <v/>
      </c>
      <c r="Q118">
        <f t="shared" ca="1" si="7"/>
        <v>0</v>
      </c>
      <c r="R118" t="str">
        <f ca="1">IF($Q118=1,SUM($Q$4:$Q118),"")</f>
        <v/>
      </c>
    </row>
    <row r="119" spans="1:18" ht="22.5" customHeight="1" x14ac:dyDescent="0.3">
      <c r="A119" s="2" t="s">
        <v>232</v>
      </c>
      <c r="B119" s="2" t="s">
        <v>21</v>
      </c>
      <c r="C119" s="3" t="s">
        <v>233</v>
      </c>
      <c r="D119" s="3" t="s">
        <v>237</v>
      </c>
      <c r="E119" s="2"/>
      <c r="F119" s="2"/>
      <c r="G119" s="5">
        <v>45790</v>
      </c>
      <c r="H119" s="5">
        <v>45790</v>
      </c>
      <c r="I119" s="4" t="s">
        <v>31</v>
      </c>
      <c r="J119" s="6">
        <f t="shared" si="5"/>
        <v>0</v>
      </c>
      <c r="K119" s="4" t="str">
        <f t="shared" ca="1" si="6"/>
        <v>-</v>
      </c>
      <c r="L119" s="7">
        <f t="shared" ca="1" si="8"/>
        <v>0</v>
      </c>
      <c r="M119" s="4" t="str">
        <f>IF($I119="Complete","Green",IF($H119="","Amber",IF($H119&lt;'[2]Read Me'!$B$4,"Red",IF($H119-'[2]Read Me'!$B$4&lt;=21,"Amber","Green"))))</f>
        <v>Red</v>
      </c>
      <c r="N119" s="3"/>
      <c r="O119" t="str">
        <f>IF($I119&lt;&gt;"Complete",IF(COUNTIFS($A$4:$A118,$A119,$B$4:$B118,$B119,$I$4:$I118,"&lt;&gt;Complete")=0,$A119&amp;"|"&amp;$B119,""),"")</f>
        <v/>
      </c>
      <c r="P119" t="str">
        <f ca="1">IF($K119="Yes",COUNTIFS($K$4:$K119,"Yes"),"")</f>
        <v/>
      </c>
      <c r="Q119">
        <f t="shared" ca="1" si="7"/>
        <v>0</v>
      </c>
      <c r="R119" t="str">
        <f ca="1">IF($Q119=1,SUM($Q$4:$Q119),"")</f>
        <v/>
      </c>
    </row>
    <row r="120" spans="1:18" ht="22.5" customHeight="1" x14ac:dyDescent="0.3">
      <c r="A120" s="2" t="s">
        <v>232</v>
      </c>
      <c r="B120" s="2" t="s">
        <v>21</v>
      </c>
      <c r="C120" s="3" t="s">
        <v>233</v>
      </c>
      <c r="D120" s="3" t="s">
        <v>238</v>
      </c>
      <c r="E120" s="2"/>
      <c r="F120" s="2"/>
      <c r="G120" s="5">
        <v>45819</v>
      </c>
      <c r="H120" s="5">
        <v>45819</v>
      </c>
      <c r="I120" s="4" t="s">
        <v>31</v>
      </c>
      <c r="J120" s="6">
        <f t="shared" si="5"/>
        <v>0</v>
      </c>
      <c r="K120" s="4" t="str">
        <f t="shared" ca="1" si="6"/>
        <v>-</v>
      </c>
      <c r="L120" s="7">
        <f t="shared" ca="1" si="8"/>
        <v>0</v>
      </c>
      <c r="M120" s="4" t="str">
        <f>IF($I120="Complete","Green",IF($H120="","Amber",IF($H120&lt;'[2]Read Me'!$B$4,"Red",IF($H120-'[2]Read Me'!$B$4&lt;=21,"Amber","Green"))))</f>
        <v>Red</v>
      </c>
      <c r="N120" s="3"/>
      <c r="O120" t="str">
        <f>IF($I120&lt;&gt;"Complete",IF(COUNTIFS($A$4:$A119,$A120,$B$4:$B119,$B120,$I$4:$I119,"&lt;&gt;Complete")=0,$A120&amp;"|"&amp;$B120,""),"")</f>
        <v/>
      </c>
      <c r="P120" t="str">
        <f ca="1">IF($K120="Yes",COUNTIFS($K$4:$K120,"Yes"),"")</f>
        <v/>
      </c>
      <c r="Q120">
        <f t="shared" ca="1" si="7"/>
        <v>0</v>
      </c>
      <c r="R120" t="str">
        <f ca="1">IF($Q120=1,SUM($Q$4:$Q120),"")</f>
        <v/>
      </c>
    </row>
    <row r="121" spans="1:18" ht="22.5" customHeight="1" x14ac:dyDescent="0.3">
      <c r="A121" s="2" t="s">
        <v>232</v>
      </c>
      <c r="B121" s="2" t="s">
        <v>21</v>
      </c>
      <c r="C121" s="3" t="s">
        <v>233</v>
      </c>
      <c r="D121" s="3" t="s">
        <v>134</v>
      </c>
      <c r="E121" s="2"/>
      <c r="F121" s="2"/>
      <c r="G121" s="5">
        <v>45834</v>
      </c>
      <c r="H121" s="5">
        <v>45834</v>
      </c>
      <c r="I121" s="4" t="s">
        <v>31</v>
      </c>
      <c r="J121" s="6">
        <f t="shared" si="5"/>
        <v>0</v>
      </c>
      <c r="K121" s="4" t="str">
        <f t="shared" ca="1" si="6"/>
        <v>-</v>
      </c>
      <c r="L121" s="7">
        <f t="shared" ca="1" si="8"/>
        <v>0</v>
      </c>
      <c r="M121" s="4" t="str">
        <f>IF($I121="Complete","Green",IF($H121="","Amber",IF($H121&lt;'[2]Read Me'!$B$4,"Red",IF($H121-'[2]Read Me'!$B$4&lt;=21,"Amber","Green"))))</f>
        <v>Red</v>
      </c>
      <c r="N121" s="3"/>
      <c r="O121" t="str">
        <f>IF($I121&lt;&gt;"Complete",IF(COUNTIFS($A$4:$A120,$A121,$B$4:$B120,$B121,$I$4:$I120,"&lt;&gt;Complete")=0,$A121&amp;"|"&amp;$B121,""),"")</f>
        <v/>
      </c>
      <c r="P121" t="str">
        <f ca="1">IF($K121="Yes",COUNTIFS($K$4:$K121,"Yes"),"")</f>
        <v/>
      </c>
      <c r="Q121">
        <f t="shared" ca="1" si="7"/>
        <v>0</v>
      </c>
      <c r="R121" t="str">
        <f ca="1">IF($Q121=1,SUM($Q$4:$Q121),"")</f>
        <v/>
      </c>
    </row>
    <row r="122" spans="1:18" ht="22.5" customHeight="1" x14ac:dyDescent="0.3">
      <c r="A122" s="2" t="s">
        <v>232</v>
      </c>
      <c r="B122" s="2" t="s">
        <v>21</v>
      </c>
      <c r="C122" s="3" t="s">
        <v>233</v>
      </c>
      <c r="D122" s="3" t="s">
        <v>239</v>
      </c>
      <c r="E122" s="2"/>
      <c r="F122" s="2"/>
      <c r="G122" s="5">
        <v>45841</v>
      </c>
      <c r="H122" s="5">
        <v>45841</v>
      </c>
      <c r="I122" s="4" t="s">
        <v>31</v>
      </c>
      <c r="J122" s="6">
        <f t="shared" si="5"/>
        <v>0</v>
      </c>
      <c r="K122" s="4" t="str">
        <f t="shared" ca="1" si="6"/>
        <v>-</v>
      </c>
      <c r="L122" s="7">
        <f t="shared" ca="1" si="8"/>
        <v>0</v>
      </c>
      <c r="M122" s="4" t="str">
        <f>IF($I122="Complete","Green",IF($H122="","Amber",IF($H122&lt;'[2]Read Me'!$B$4,"Red",IF($H122-'[2]Read Me'!$B$4&lt;=21,"Amber","Green"))))</f>
        <v>Red</v>
      </c>
      <c r="N122" s="3"/>
      <c r="O122" t="str">
        <f>IF($I122&lt;&gt;"Complete",IF(COUNTIFS($A$4:$A121,$A122,$B$4:$B121,$B122,$I$4:$I121,"&lt;&gt;Complete")=0,$A122&amp;"|"&amp;$B122,""),"")</f>
        <v/>
      </c>
      <c r="P122" t="str">
        <f ca="1">IF($K122="Yes",COUNTIFS($K$4:$K122,"Yes"),"")</f>
        <v/>
      </c>
      <c r="Q122">
        <f t="shared" ca="1" si="7"/>
        <v>0</v>
      </c>
      <c r="R122" t="str">
        <f ca="1">IF($Q122=1,SUM($Q$4:$Q122),"")</f>
        <v/>
      </c>
    </row>
    <row r="123" spans="1:18" ht="22.5" customHeight="1" x14ac:dyDescent="0.3">
      <c r="A123" s="2" t="s">
        <v>232</v>
      </c>
      <c r="B123" s="2" t="s">
        <v>21</v>
      </c>
      <c r="C123" s="3" t="s">
        <v>233</v>
      </c>
      <c r="D123" s="3" t="s">
        <v>240</v>
      </c>
      <c r="E123" s="2"/>
      <c r="F123" s="2"/>
      <c r="G123" s="5">
        <v>45871</v>
      </c>
      <c r="H123" s="5">
        <v>45871</v>
      </c>
      <c r="I123" s="4" t="s">
        <v>31</v>
      </c>
      <c r="J123" s="6">
        <f t="shared" si="5"/>
        <v>0</v>
      </c>
      <c r="K123" s="4" t="str">
        <f t="shared" ca="1" si="6"/>
        <v>-</v>
      </c>
      <c r="L123" s="7">
        <f t="shared" ca="1" si="8"/>
        <v>0</v>
      </c>
      <c r="M123" s="4" t="str">
        <f>IF($I123="Complete","Green",IF($H123="","Amber",IF($H123&lt;'[2]Read Me'!$B$4,"Red",IF($H123-'[2]Read Me'!$B$4&lt;=21,"Amber","Green"))))</f>
        <v>Red</v>
      </c>
      <c r="N123" s="3"/>
      <c r="O123" t="str">
        <f>IF($I123&lt;&gt;"Complete",IF(COUNTIFS($A$4:$A122,$A123,$B$4:$B122,$B123,$I$4:$I122,"&lt;&gt;Complete")=0,$A123&amp;"|"&amp;$B123,""),"")</f>
        <v/>
      </c>
      <c r="P123" t="str">
        <f ca="1">IF($K123="Yes",COUNTIFS($K$4:$K123,"Yes"),"")</f>
        <v/>
      </c>
      <c r="Q123">
        <f t="shared" ca="1" si="7"/>
        <v>0</v>
      </c>
      <c r="R123" t="str">
        <f ca="1">IF($Q123=1,SUM($Q$4:$Q123),"")</f>
        <v/>
      </c>
    </row>
    <row r="124" spans="1:18" ht="22.5" customHeight="1" x14ac:dyDescent="0.3">
      <c r="A124" s="2" t="s">
        <v>232</v>
      </c>
      <c r="B124" s="2" t="s">
        <v>21</v>
      </c>
      <c r="C124" s="3" t="s">
        <v>233</v>
      </c>
      <c r="D124" s="3" t="s">
        <v>32</v>
      </c>
      <c r="E124" s="2"/>
      <c r="F124" s="2"/>
      <c r="G124" s="5">
        <v>45886</v>
      </c>
      <c r="H124" s="5">
        <v>45886</v>
      </c>
      <c r="I124" s="4" t="s">
        <v>31</v>
      </c>
      <c r="J124" s="6">
        <f t="shared" si="5"/>
        <v>0</v>
      </c>
      <c r="K124" s="4" t="str">
        <f t="shared" ca="1" si="6"/>
        <v>-</v>
      </c>
      <c r="L124" s="7">
        <f t="shared" ca="1" si="8"/>
        <v>0</v>
      </c>
      <c r="M124" s="4" t="str">
        <f>IF($I124="Complete","Green",IF($H124="","Amber",IF($H124&lt;'[2]Read Me'!$B$4,"Red",IF($H124-'[2]Read Me'!$B$4&lt;=21,"Amber","Green"))))</f>
        <v>Red</v>
      </c>
      <c r="N124" s="3"/>
      <c r="O124" t="str">
        <f>IF($I124&lt;&gt;"Complete",IF(COUNTIFS($A$4:$A123,$A124,$B$4:$B123,$B124,$I$4:$I123,"&lt;&gt;Complete")=0,$A124&amp;"|"&amp;$B124,""),"")</f>
        <v/>
      </c>
      <c r="P124" t="str">
        <f ca="1">IF($K124="Yes",COUNTIFS($K$4:$K124,"Yes"),"")</f>
        <v/>
      </c>
      <c r="Q124">
        <f t="shared" ca="1" si="7"/>
        <v>0</v>
      </c>
      <c r="R124" t="str">
        <f ca="1">IF($Q124=1,SUM($Q$4:$Q124),"")</f>
        <v/>
      </c>
    </row>
    <row r="125" spans="1:18" ht="22.5" customHeight="1" x14ac:dyDescent="0.3">
      <c r="A125" s="2" t="s">
        <v>232</v>
      </c>
      <c r="B125" s="2" t="s">
        <v>21</v>
      </c>
      <c r="C125" s="3" t="s">
        <v>233</v>
      </c>
      <c r="D125" s="3" t="s">
        <v>241</v>
      </c>
      <c r="E125" s="2"/>
      <c r="F125" s="2"/>
      <c r="G125" s="5">
        <v>45945</v>
      </c>
      <c r="H125" s="5">
        <v>45978</v>
      </c>
      <c r="I125" s="4" t="s">
        <v>31</v>
      </c>
      <c r="J125" s="6">
        <f t="shared" si="5"/>
        <v>33</v>
      </c>
      <c r="K125" s="4" t="str">
        <f t="shared" ca="1" si="6"/>
        <v>-</v>
      </c>
      <c r="L125" s="7">
        <f t="shared" ca="1" si="8"/>
        <v>0</v>
      </c>
      <c r="M125" s="4" t="str">
        <f>IF($I125="Complete","Green",IF($H125="","Amber",IF($H125&lt;'[2]Read Me'!$B$4,"Red",IF($H125-'[2]Read Me'!$B$4&lt;=21,"Amber","Green"))))</f>
        <v>Red</v>
      </c>
      <c r="N125" s="3"/>
      <c r="O125" t="str">
        <f>IF($I125&lt;&gt;"Complete",IF(COUNTIFS($A$4:$A124,$A125,$B$4:$B124,$B125,$I$4:$I124,"&lt;&gt;Complete")=0,$A125&amp;"|"&amp;$B125,""),"")</f>
        <v/>
      </c>
      <c r="P125" t="str">
        <f ca="1">IF($K125="Yes",COUNTIFS($K$4:$K125,"Yes"),"")</f>
        <v/>
      </c>
      <c r="Q125">
        <f t="shared" ca="1" si="7"/>
        <v>0</v>
      </c>
      <c r="R125" t="str">
        <f ca="1">IF($Q125=1,SUM($Q$4:$Q125),"")</f>
        <v/>
      </c>
    </row>
    <row r="126" spans="1:18" ht="22.5" customHeight="1" x14ac:dyDescent="0.3">
      <c r="A126" s="2" t="s">
        <v>232</v>
      </c>
      <c r="B126" s="2" t="s">
        <v>21</v>
      </c>
      <c r="C126" s="3" t="s">
        <v>233</v>
      </c>
      <c r="D126" s="3" t="s">
        <v>242</v>
      </c>
      <c r="E126" s="2"/>
      <c r="F126" s="2"/>
      <c r="G126" s="5">
        <v>45945</v>
      </c>
      <c r="H126" s="5">
        <v>46030</v>
      </c>
      <c r="I126" s="4" t="s">
        <v>31</v>
      </c>
      <c r="J126" s="6">
        <f t="shared" si="5"/>
        <v>85</v>
      </c>
      <c r="K126" s="4" t="str">
        <f t="shared" ca="1" si="6"/>
        <v>-</v>
      </c>
      <c r="L126" s="7">
        <f t="shared" ca="1" si="8"/>
        <v>0</v>
      </c>
      <c r="M126" s="4" t="str">
        <f>IF($I126="Complete","Green",IF($H126="","Amber",IF($H126&lt;'[2]Read Me'!$B$4,"Red",IF($H126-'[2]Read Me'!$B$4&lt;=21,"Amber","Green"))))</f>
        <v>Red</v>
      </c>
      <c r="N126" s="3"/>
      <c r="O126" t="str">
        <f>IF($I126&lt;&gt;"Complete",IF(COUNTIFS($A$4:$A125,$A126,$B$4:$B125,$B126,$I$4:$I125,"&lt;&gt;Complete")=0,$A126&amp;"|"&amp;$B126,""),"")</f>
        <v/>
      </c>
      <c r="P126" t="str">
        <f ca="1">IF($K126="Yes",COUNTIFS($K$4:$K126,"Yes"),"")</f>
        <v/>
      </c>
      <c r="Q126">
        <f t="shared" ca="1" si="7"/>
        <v>0</v>
      </c>
      <c r="R126" t="str">
        <f ca="1">IF($Q126=1,SUM($Q$4:$Q126),"")</f>
        <v/>
      </c>
    </row>
    <row r="127" spans="1:18" ht="22.5" customHeight="1" x14ac:dyDescent="0.3">
      <c r="A127" s="2" t="s">
        <v>232</v>
      </c>
      <c r="B127" s="2" t="s">
        <v>21</v>
      </c>
      <c r="C127" s="3" t="s">
        <v>233</v>
      </c>
      <c r="D127" s="3" t="s">
        <v>35</v>
      </c>
      <c r="E127" s="2"/>
      <c r="F127" s="2"/>
      <c r="G127" s="5">
        <v>45960</v>
      </c>
      <c r="H127" s="5">
        <v>46036</v>
      </c>
      <c r="I127" s="4" t="s">
        <v>31</v>
      </c>
      <c r="J127" s="6">
        <f t="shared" si="5"/>
        <v>76</v>
      </c>
      <c r="K127" s="4" t="str">
        <f t="shared" ca="1" si="6"/>
        <v>-</v>
      </c>
      <c r="L127" s="7">
        <f t="shared" ca="1" si="8"/>
        <v>0</v>
      </c>
      <c r="M127" s="4" t="str">
        <f>IF($I127="Complete","Green",IF($H127="","Amber",IF($H127&lt;'[2]Read Me'!$B$4,"Red",IF($H127-'[2]Read Me'!$B$4&lt;=21,"Amber","Green"))))</f>
        <v>Red</v>
      </c>
      <c r="N127" s="3"/>
      <c r="O127" t="str">
        <f>IF($I127&lt;&gt;"Complete",IF(COUNTIFS($A$4:$A126,$A127,$B$4:$B126,$B127,$I$4:$I126,"&lt;&gt;Complete")=0,$A127&amp;"|"&amp;$B127,""),"")</f>
        <v/>
      </c>
      <c r="P127" t="str">
        <f ca="1">IF($K127="Yes",COUNTIFS($K$4:$K127,"Yes"),"")</f>
        <v/>
      </c>
      <c r="Q127">
        <f t="shared" ca="1" si="7"/>
        <v>0</v>
      </c>
      <c r="R127" t="str">
        <f ca="1">IF($Q127=1,SUM($Q$4:$Q127),"")</f>
        <v/>
      </c>
    </row>
    <row r="128" spans="1:18" ht="22.5" customHeight="1" x14ac:dyDescent="0.3">
      <c r="A128" s="2" t="s">
        <v>232</v>
      </c>
      <c r="B128" s="2" t="s">
        <v>21</v>
      </c>
      <c r="C128" s="3" t="s">
        <v>233</v>
      </c>
      <c r="D128" s="3" t="s">
        <v>16</v>
      </c>
      <c r="E128" s="2"/>
      <c r="F128" s="2"/>
      <c r="G128" s="5">
        <v>45991</v>
      </c>
      <c r="H128" s="5">
        <v>46072</v>
      </c>
      <c r="I128" s="4" t="s">
        <v>31</v>
      </c>
      <c r="J128" s="6">
        <f t="shared" si="5"/>
        <v>81</v>
      </c>
      <c r="K128" s="4" t="str">
        <f t="shared" ca="1" si="6"/>
        <v>-</v>
      </c>
      <c r="L128" s="7">
        <f t="shared" ca="1" si="8"/>
        <v>0</v>
      </c>
      <c r="M128" s="4" t="str">
        <f>IF($I128="Complete","Green",IF($H128="","Amber",IF($H128&lt;'[2]Read Me'!$B$4,"Red",IF($H128-'[2]Read Me'!$B$4&lt;=21,"Amber","Green"))))</f>
        <v>Red</v>
      </c>
      <c r="N128" s="3"/>
      <c r="O128" t="str">
        <f>IF($I128&lt;&gt;"Complete",IF(COUNTIFS($A$4:$A127,$A128,$B$4:$B127,$B128,$I$4:$I127,"&lt;&gt;Complete")=0,$A128&amp;"|"&amp;$B128,""),"")</f>
        <v/>
      </c>
      <c r="P128" t="str">
        <f ca="1">IF($K128="Yes",COUNTIFS($K$4:$K128,"Yes"),"")</f>
        <v/>
      </c>
      <c r="Q128">
        <f t="shared" ca="1" si="7"/>
        <v>0</v>
      </c>
      <c r="R128" t="str">
        <f ca="1">IF($Q128=1,SUM($Q$4:$Q128),"")</f>
        <v/>
      </c>
    </row>
    <row r="129" spans="1:18" ht="22.5" customHeight="1" x14ac:dyDescent="0.3">
      <c r="A129" s="2" t="s">
        <v>232</v>
      </c>
      <c r="B129" s="2" t="s">
        <v>21</v>
      </c>
      <c r="C129" s="3" t="s">
        <v>233</v>
      </c>
      <c r="D129" s="3" t="s">
        <v>37</v>
      </c>
      <c r="E129" s="2"/>
      <c r="F129" s="2"/>
      <c r="G129" s="5">
        <v>46006</v>
      </c>
      <c r="H129" s="5">
        <v>46076</v>
      </c>
      <c r="I129" s="4" t="s">
        <v>31</v>
      </c>
      <c r="J129" s="6">
        <f t="shared" si="5"/>
        <v>70</v>
      </c>
      <c r="K129" s="4" t="str">
        <f t="shared" ca="1" si="6"/>
        <v>-</v>
      </c>
      <c r="L129" s="7">
        <f t="shared" ca="1" si="8"/>
        <v>0</v>
      </c>
      <c r="M129" s="4" t="str">
        <f>IF($I129="Complete","Green",IF($H129="","Amber",IF($H129&lt;'[2]Read Me'!$B$4,"Red",IF($H129-'[2]Read Me'!$B$4&lt;=21,"Amber","Green"))))</f>
        <v>Red</v>
      </c>
      <c r="N129" s="3"/>
      <c r="O129" t="str">
        <f>IF($I129&lt;&gt;"Complete",IF(COUNTIFS($A$4:$A128,$A129,$B$4:$B128,$B129,$I$4:$I128,"&lt;&gt;Complete")=0,$A129&amp;"|"&amp;$B129,""),"")</f>
        <v/>
      </c>
      <c r="P129" t="str">
        <f ca="1">IF($K129="Yes",COUNTIFS($K$4:$K129,"Yes"),"")</f>
        <v/>
      </c>
      <c r="Q129">
        <f t="shared" ca="1" si="7"/>
        <v>0</v>
      </c>
      <c r="R129" t="str">
        <f ca="1">IF($Q129=1,SUM($Q$4:$Q129),"")</f>
        <v/>
      </c>
    </row>
    <row r="130" spans="1:18" ht="22.5" customHeight="1" x14ac:dyDescent="0.3">
      <c r="A130" s="2" t="s">
        <v>232</v>
      </c>
      <c r="B130" s="2" t="s">
        <v>186</v>
      </c>
      <c r="C130" s="3"/>
      <c r="D130" s="3"/>
      <c r="E130" s="2"/>
      <c r="F130" s="2"/>
      <c r="G130" s="5">
        <v>46366</v>
      </c>
      <c r="H130" s="5">
        <v>46090</v>
      </c>
      <c r="I130" s="4"/>
      <c r="J130" s="6">
        <f t="shared" si="5"/>
        <v>-276</v>
      </c>
      <c r="K130" s="4" t="str">
        <f t="shared" ca="1" si="6"/>
        <v/>
      </c>
      <c r="L130" s="7">
        <f t="shared" ca="1" si="8"/>
        <v>-118</v>
      </c>
      <c r="M130" s="4" t="str">
        <f>IF($I130="Complete","Green",IF($H130="","Amber",IF($H130&lt;'[2]Read Me'!$B$4,"Red",IF($H130-'[2]Read Me'!$B$4&lt;=21,"Amber","Green"))))</f>
        <v>Red</v>
      </c>
      <c r="N130" s="3"/>
      <c r="O130" t="str">
        <f>IF($I130&lt;&gt;"Complete",IF(COUNTIFS($A$4:$A129,$A130,$B$4:$B129,$B130,$I$4:$I129,"&lt;&gt;Complete")=0,$A130&amp;"|"&amp;$B130,""),"")</f>
        <v>IRIS 01&amp;02|Plot Fences</v>
      </c>
      <c r="P130" t="str">
        <f ca="1">IF($K130="Yes",COUNTIFS($K$4:$K130,"Yes"),"")</f>
        <v/>
      </c>
      <c r="Q130">
        <f t="shared" ca="1" si="7"/>
        <v>0</v>
      </c>
      <c r="R130" t="str">
        <f ca="1">IF($Q130=1,SUM($Q$4:$Q130),"")</f>
        <v/>
      </c>
    </row>
    <row r="131" spans="1:18" ht="22.5" customHeight="1" x14ac:dyDescent="0.3">
      <c r="A131" s="2" t="s">
        <v>232</v>
      </c>
      <c r="B131" s="2" t="s">
        <v>186</v>
      </c>
      <c r="C131" s="3" t="s">
        <v>186</v>
      </c>
      <c r="D131" s="3" t="s">
        <v>243</v>
      </c>
      <c r="E131" s="2"/>
      <c r="F131" s="2"/>
      <c r="G131" s="5"/>
      <c r="H131" s="5">
        <v>46084</v>
      </c>
      <c r="I131" s="4" t="s">
        <v>31</v>
      </c>
      <c r="J131" s="6" t="str">
        <f t="shared" si="5"/>
        <v/>
      </c>
      <c r="K131" s="4" t="str">
        <f t="shared" ca="1" si="6"/>
        <v>-</v>
      </c>
      <c r="L131" s="7">
        <f t="shared" ca="1" si="8"/>
        <v>0</v>
      </c>
      <c r="M131" s="4" t="str">
        <f>IF($I131="Complete","Green",IF($H131="","Amber",IF($H131&lt;'[2]Read Me'!$B$4,"Red",IF($H131-'[2]Read Me'!$B$4&lt;=21,"Amber","Green"))))</f>
        <v>Red</v>
      </c>
      <c r="N131" s="3"/>
      <c r="O131" t="str">
        <f>IF($I131&lt;&gt;"Complete",IF(COUNTIFS($A$4:$A130,$A131,$B$4:$B130,$B131,$I$4:$I130,"&lt;&gt;Complete")=0,$A131&amp;"|"&amp;$B131,""),"")</f>
        <v/>
      </c>
      <c r="P131" t="str">
        <f ca="1">IF($K131="Yes",COUNTIFS($K$4:$K131,"Yes"),"")</f>
        <v/>
      </c>
      <c r="Q131">
        <f t="shared" ca="1" si="7"/>
        <v>0</v>
      </c>
      <c r="R131" t="str">
        <f ca="1">IF($Q131=1,SUM($Q$4:$Q131),"")</f>
        <v/>
      </c>
    </row>
    <row r="132" spans="1:18" ht="22.5" customHeight="1" x14ac:dyDescent="0.3">
      <c r="A132" s="2" t="s">
        <v>232</v>
      </c>
      <c r="B132" s="2" t="s">
        <v>186</v>
      </c>
      <c r="C132" s="3" t="s">
        <v>186</v>
      </c>
      <c r="D132" s="3" t="s">
        <v>58</v>
      </c>
      <c r="E132" s="2"/>
      <c r="F132" s="2"/>
      <c r="G132" s="5"/>
      <c r="H132" s="5">
        <v>46090</v>
      </c>
      <c r="I132" s="4" t="s">
        <v>31</v>
      </c>
      <c r="J132" s="6" t="str">
        <f t="shared" ref="J132:J195" si="9">IF(OR($G132="",$H132=""),"",$H132-$G132)</f>
        <v/>
      </c>
      <c r="K132" s="4" t="str">
        <f t="shared" ref="K132:K195" ca="1" si="10">IF(C132="","",IF(H132="","",IF($I132="completed","-",IF($H132&gt;TODAY(),"No","Yes"))))</f>
        <v>-</v>
      </c>
      <c r="L132" s="7">
        <f t="shared" ca="1" si="8"/>
        <v>0</v>
      </c>
      <c r="M132" s="4" t="str">
        <f>IF($I132="Complete","Green",IF($H132="","Amber",IF($H132&lt;'[2]Read Me'!$B$4,"Red",IF($H132-'[2]Read Me'!$B$4&lt;=21,"Amber","Green"))))</f>
        <v>Red</v>
      </c>
      <c r="N132" s="3"/>
      <c r="O132" t="str">
        <f>IF($I132&lt;&gt;"Complete",IF(COUNTIFS($A$4:$A131,$A132,$B$4:$B131,$B132,$I$4:$I131,"&lt;&gt;Complete")=0,$A132&amp;"|"&amp;$B132,""),"")</f>
        <v/>
      </c>
      <c r="P132" t="str">
        <f ca="1">IF($K132="Yes",COUNTIFS($K$4:$K132,"Yes"),"")</f>
        <v/>
      </c>
      <c r="Q132">
        <f t="shared" ref="Q132:Q195" ca="1" si="11">IF(OR($I132="In Progress",$K132="Yes"),1,0)</f>
        <v>0</v>
      </c>
      <c r="R132" t="str">
        <f ca="1">IF($Q132=1,SUM($Q$4:$Q132),"")</f>
        <v/>
      </c>
    </row>
    <row r="133" spans="1:18" ht="22.5" customHeight="1" x14ac:dyDescent="0.3">
      <c r="A133" s="2" t="s">
        <v>244</v>
      </c>
      <c r="B133" s="2" t="s">
        <v>62</v>
      </c>
      <c r="C133" s="3"/>
      <c r="D133" s="3"/>
      <c r="E133" s="2"/>
      <c r="F133" s="2"/>
      <c r="G133" s="5">
        <v>46322</v>
      </c>
      <c r="H133" s="5">
        <v>46111</v>
      </c>
      <c r="I133" s="4"/>
      <c r="J133" s="6">
        <f t="shared" si="9"/>
        <v>-211</v>
      </c>
      <c r="K133" s="4" t="str">
        <f t="shared" ca="1" si="10"/>
        <v/>
      </c>
      <c r="L133" s="7">
        <f t="shared" ref="L133:L196" ca="1" si="12">IF(I133="Completed",0,IF(H133="","",H133-TODAY()))</f>
        <v>-97</v>
      </c>
      <c r="M133" s="4" t="str">
        <f>IF($I133="Complete","Green",IF($H133="","Amber",IF($H133&lt;'[2]Read Me'!$B$4,"Red",IF($H133-'[2]Read Me'!$B$4&lt;=21,"Amber","Green"))))</f>
        <v>Red</v>
      </c>
      <c r="N133" s="3"/>
      <c r="O133" t="str">
        <f>IF($I133&lt;&gt;"Complete",IF(COUNTIFS($A$4:$A132,$A133,$B$4:$B132,$B133,$I$4:$I132,"&lt;&gt;Complete")=0,$A133&amp;"|"&amp;$B133,""),"")</f>
        <v>IRIS 03|Buildings</v>
      </c>
      <c r="P133" t="str">
        <f ca="1">IF($K133="Yes",COUNTIFS($K$4:$K133,"Yes"),"")</f>
        <v/>
      </c>
      <c r="Q133">
        <f t="shared" ca="1" si="11"/>
        <v>0</v>
      </c>
      <c r="R133" t="str">
        <f ca="1">IF($Q133=1,SUM($Q$4:$Q133),"")</f>
        <v/>
      </c>
    </row>
    <row r="134" spans="1:18" ht="22.5" customHeight="1" x14ac:dyDescent="0.3">
      <c r="A134" s="2" t="s">
        <v>244</v>
      </c>
      <c r="B134" s="2" t="s">
        <v>62</v>
      </c>
      <c r="C134" s="3" t="s">
        <v>245</v>
      </c>
      <c r="D134" s="3" t="s">
        <v>246</v>
      </c>
      <c r="E134" s="2"/>
      <c r="F134" s="2"/>
      <c r="G134" s="5">
        <v>46287</v>
      </c>
      <c r="H134" s="5">
        <v>45988</v>
      </c>
      <c r="I134" s="4" t="s">
        <v>31</v>
      </c>
      <c r="J134" s="6">
        <f t="shared" si="9"/>
        <v>-299</v>
      </c>
      <c r="K134" s="4" t="str">
        <f t="shared" ca="1" si="10"/>
        <v>-</v>
      </c>
      <c r="L134" s="7">
        <f t="shared" ca="1" si="12"/>
        <v>0</v>
      </c>
      <c r="M134" s="4" t="str">
        <f>IF($I134="Complete","Green",IF($H134="","Amber",IF($H134&lt;'[2]Read Me'!$B$4,"Red",IF($H134-'[2]Read Me'!$B$4&lt;=21,"Amber","Green"))))</f>
        <v>Red</v>
      </c>
      <c r="N134" s="3"/>
      <c r="O134" t="str">
        <f>IF($I134&lt;&gt;"Complete",IF(COUNTIFS($A$4:$A133,$A134,$B$4:$B133,$B134,$I$4:$I133,"&lt;&gt;Complete")=0,$A134&amp;"|"&amp;$B134,""),"")</f>
        <v/>
      </c>
      <c r="P134" t="str">
        <f ca="1">IF($K134="Yes",COUNTIFS($K$4:$K134,"Yes"),"")</f>
        <v/>
      </c>
      <c r="Q134">
        <f t="shared" ca="1" si="11"/>
        <v>0</v>
      </c>
      <c r="R134" t="str">
        <f ca="1">IF($Q134=1,SUM($Q$4:$Q134),"")</f>
        <v/>
      </c>
    </row>
    <row r="135" spans="1:18" ht="22.5" customHeight="1" x14ac:dyDescent="0.3">
      <c r="A135" s="2" t="s">
        <v>244</v>
      </c>
      <c r="B135" s="2" t="s">
        <v>62</v>
      </c>
      <c r="C135" s="3" t="s">
        <v>245</v>
      </c>
      <c r="D135" s="3" t="s">
        <v>58</v>
      </c>
      <c r="E135" s="2"/>
      <c r="F135" s="2"/>
      <c r="G135" s="5">
        <v>46294</v>
      </c>
      <c r="H135" s="5">
        <v>45995</v>
      </c>
      <c r="I135" s="4" t="s">
        <v>31</v>
      </c>
      <c r="J135" s="6">
        <f t="shared" si="9"/>
        <v>-299</v>
      </c>
      <c r="K135" s="4" t="str">
        <f t="shared" ca="1" si="10"/>
        <v>-</v>
      </c>
      <c r="L135" s="7">
        <f t="shared" ca="1" si="12"/>
        <v>0</v>
      </c>
      <c r="M135" s="4" t="str">
        <f>IF($I135="Complete","Green",IF($H135="","Amber",IF($H135&lt;'[2]Read Me'!$B$4,"Red",IF($H135-'[2]Read Me'!$B$4&lt;=21,"Amber","Green"))))</f>
        <v>Red</v>
      </c>
      <c r="N135" s="3"/>
      <c r="O135" t="str">
        <f>IF($I135&lt;&gt;"Complete",IF(COUNTIFS($A$4:$A134,$A135,$B$4:$B134,$B135,$I$4:$I134,"&lt;&gt;Complete")=0,$A135&amp;"|"&amp;$B135,""),"")</f>
        <v/>
      </c>
      <c r="P135" t="str">
        <f ca="1">IF($K135="Yes",COUNTIFS($K$4:$K135,"Yes"),"")</f>
        <v/>
      </c>
      <c r="Q135">
        <f t="shared" ca="1" si="11"/>
        <v>0</v>
      </c>
      <c r="R135" t="str">
        <f ca="1">IF($Q135=1,SUM($Q$4:$Q135),"")</f>
        <v/>
      </c>
    </row>
    <row r="136" spans="1:18" ht="22.5" customHeight="1" x14ac:dyDescent="0.3">
      <c r="A136" s="2" t="s">
        <v>244</v>
      </c>
      <c r="B136" s="2" t="s">
        <v>62</v>
      </c>
      <c r="C136" s="3" t="s">
        <v>245</v>
      </c>
      <c r="D136" s="3" t="s">
        <v>247</v>
      </c>
      <c r="E136" s="2"/>
      <c r="F136" s="2"/>
      <c r="G136" s="5">
        <v>46315</v>
      </c>
      <c r="H136" s="5">
        <v>46096</v>
      </c>
      <c r="I136" s="4" t="s">
        <v>31</v>
      </c>
      <c r="J136" s="6">
        <f t="shared" si="9"/>
        <v>-219</v>
      </c>
      <c r="K136" s="4" t="str">
        <f t="shared" ca="1" si="10"/>
        <v>-</v>
      </c>
      <c r="L136" s="7">
        <f t="shared" ca="1" si="12"/>
        <v>0</v>
      </c>
      <c r="M136" s="4" t="str">
        <f>IF($I136="Complete","Green",IF($H136="","Amber",IF($H136&lt;'[2]Read Me'!$B$4,"Red",IF($H136-'[2]Read Me'!$B$4&lt;=21,"Amber","Green"))))</f>
        <v>Red</v>
      </c>
      <c r="N136" s="3"/>
      <c r="O136" t="str">
        <f>IF($I136&lt;&gt;"Complete",IF(COUNTIFS($A$4:$A135,$A136,$B$4:$B135,$B136,$I$4:$I135,"&lt;&gt;Complete")=0,$A136&amp;"|"&amp;$B136,""),"")</f>
        <v/>
      </c>
      <c r="P136" t="str">
        <f ca="1">IF($K136="Yes",COUNTIFS($K$4:$K136,"Yes"),"")</f>
        <v/>
      </c>
      <c r="Q136">
        <f t="shared" ca="1" si="11"/>
        <v>0</v>
      </c>
      <c r="R136" t="str">
        <f ca="1">IF($Q136=1,SUM($Q$4:$Q136),"")</f>
        <v/>
      </c>
    </row>
    <row r="137" spans="1:18" ht="22.5" customHeight="1" x14ac:dyDescent="0.3">
      <c r="A137" s="2" t="s">
        <v>244</v>
      </c>
      <c r="B137" s="2" t="s">
        <v>62</v>
      </c>
      <c r="C137" s="3" t="s">
        <v>245</v>
      </c>
      <c r="D137" s="3" t="s">
        <v>58</v>
      </c>
      <c r="E137" s="2"/>
      <c r="F137" s="2"/>
      <c r="G137" s="5">
        <v>46322</v>
      </c>
      <c r="H137" s="5">
        <v>46111</v>
      </c>
      <c r="I137" s="4" t="s">
        <v>31</v>
      </c>
      <c r="J137" s="6">
        <f t="shared" si="9"/>
        <v>-211</v>
      </c>
      <c r="K137" s="4" t="str">
        <f t="shared" ca="1" si="10"/>
        <v>-</v>
      </c>
      <c r="L137" s="7">
        <f t="shared" ca="1" si="12"/>
        <v>0</v>
      </c>
      <c r="M137" s="4" t="str">
        <f>IF($I137="Complete","Green",IF($H137="","Amber",IF($H137&lt;'[2]Read Me'!$B$4,"Red",IF($H137-'[2]Read Me'!$B$4&lt;=21,"Amber","Green"))))</f>
        <v>Red</v>
      </c>
      <c r="N137" s="3"/>
      <c r="O137" t="str">
        <f>IF($I137&lt;&gt;"Complete",IF(COUNTIFS($A$4:$A136,$A137,$B$4:$B136,$B137,$I$4:$I136,"&lt;&gt;Complete")=0,$A137&amp;"|"&amp;$B137,""),"")</f>
        <v/>
      </c>
      <c r="P137" t="str">
        <f ca="1">IF($K137="Yes",COUNTIFS($K$4:$K137,"Yes"),"")</f>
        <v/>
      </c>
      <c r="Q137">
        <f t="shared" ca="1" si="11"/>
        <v>0</v>
      </c>
      <c r="R137" t="str">
        <f ca="1">IF($Q137=1,SUM($Q$4:$Q137),"")</f>
        <v/>
      </c>
    </row>
    <row r="138" spans="1:18" ht="22.5" customHeight="1" x14ac:dyDescent="0.3">
      <c r="A138" s="2" t="s">
        <v>244</v>
      </c>
      <c r="B138" s="2" t="s">
        <v>62</v>
      </c>
      <c r="C138" s="3"/>
      <c r="D138" s="3"/>
      <c r="E138" s="2"/>
      <c r="F138" s="2"/>
      <c r="G138" s="5">
        <v>46366</v>
      </c>
      <c r="H138" s="5">
        <v>46160</v>
      </c>
      <c r="I138" s="4"/>
      <c r="J138" s="6">
        <f t="shared" si="9"/>
        <v>-206</v>
      </c>
      <c r="K138" s="4" t="str">
        <f t="shared" ca="1" si="10"/>
        <v/>
      </c>
      <c r="L138" s="7">
        <f t="shared" ca="1" si="12"/>
        <v>-48</v>
      </c>
      <c r="M138" s="4" t="str">
        <f>IF($I138="Complete","Green",IF($H138="","Amber",IF($H138&lt;'[2]Read Me'!$B$4,"Red",IF($H138-'[2]Read Me'!$B$4&lt;=21,"Amber","Green"))))</f>
        <v>Red</v>
      </c>
      <c r="N138" s="3"/>
      <c r="O138" t="str">
        <f>IF($I138&lt;&gt;"Complete",IF(COUNTIFS($A$4:$A137,$A138,$B$4:$B137,$B138,$I$4:$I137,"&lt;&gt;Complete")=0,$A138&amp;"|"&amp;$B138,""),"")</f>
        <v/>
      </c>
      <c r="P138" t="str">
        <f ca="1">IF($K138="Yes",COUNTIFS($K$4:$K138,"Yes"),"")</f>
        <v/>
      </c>
      <c r="Q138">
        <f t="shared" ca="1" si="11"/>
        <v>0</v>
      </c>
      <c r="R138" t="str">
        <f ca="1">IF($Q138=1,SUM($Q$4:$Q138),"")</f>
        <v/>
      </c>
    </row>
    <row r="139" spans="1:18" ht="22.5" customHeight="1" x14ac:dyDescent="0.3">
      <c r="A139" s="2" t="s">
        <v>244</v>
      </c>
      <c r="B139" s="2" t="s">
        <v>62</v>
      </c>
      <c r="C139" s="3" t="s">
        <v>248</v>
      </c>
      <c r="D139" s="3" t="s">
        <v>249</v>
      </c>
      <c r="E139" s="2"/>
      <c r="F139" s="2" t="s">
        <v>166</v>
      </c>
      <c r="G139" s="5"/>
      <c r="H139" s="5">
        <v>46126</v>
      </c>
      <c r="I139" s="4" t="s">
        <v>31</v>
      </c>
      <c r="J139" s="6" t="str">
        <f t="shared" si="9"/>
        <v/>
      </c>
      <c r="K139" s="4" t="str">
        <f t="shared" ca="1" si="10"/>
        <v>-</v>
      </c>
      <c r="L139" s="7">
        <f t="shared" ca="1" si="12"/>
        <v>0</v>
      </c>
      <c r="M139" s="4" t="str">
        <f>IF($I139="Complete","Green",IF($H139="","Amber",IF($H139&lt;'[2]Read Me'!$B$4,"Red",IF($H139-'[2]Read Me'!$B$4&lt;=21,"Amber","Green"))))</f>
        <v>Red</v>
      </c>
      <c r="N139" s="3"/>
      <c r="O139" t="str">
        <f>IF($I139&lt;&gt;"Complete",IF(COUNTIFS($A$4:$A138,$A139,$B$4:$B138,$B139,$I$4:$I138,"&lt;&gt;Complete")=0,$A139&amp;"|"&amp;$B139,""),"")</f>
        <v/>
      </c>
      <c r="P139" t="str">
        <f ca="1">IF($K139="Yes",COUNTIFS($K$4:$K139,"Yes"),"")</f>
        <v/>
      </c>
      <c r="Q139">
        <f t="shared" ca="1" si="11"/>
        <v>0</v>
      </c>
      <c r="R139" t="str">
        <f ca="1">IF($Q139=1,SUM($Q$4:$Q139),"")</f>
        <v/>
      </c>
    </row>
    <row r="140" spans="1:18" ht="22.5" customHeight="1" x14ac:dyDescent="0.3">
      <c r="A140" s="2" t="s">
        <v>244</v>
      </c>
      <c r="B140" s="2" t="s">
        <v>62</v>
      </c>
      <c r="C140" s="3" t="s">
        <v>248</v>
      </c>
      <c r="D140" s="3" t="s">
        <v>250</v>
      </c>
      <c r="E140" s="2" t="s">
        <v>165</v>
      </c>
      <c r="F140" s="2" t="s">
        <v>166</v>
      </c>
      <c r="G140" s="5">
        <v>46336</v>
      </c>
      <c r="H140" s="5">
        <v>46139</v>
      </c>
      <c r="I140" s="4" t="s">
        <v>31</v>
      </c>
      <c r="J140" s="6">
        <f t="shared" si="9"/>
        <v>-197</v>
      </c>
      <c r="K140" s="4" t="str">
        <f t="shared" ca="1" si="10"/>
        <v>-</v>
      </c>
      <c r="L140" s="7">
        <f t="shared" ca="1" si="12"/>
        <v>0</v>
      </c>
      <c r="M140" s="4" t="str">
        <f>IF($I140="Complete","Green",IF($H140="","Amber",IF($H140&lt;'[2]Read Me'!$B$4,"Red",IF($H140-'[2]Read Me'!$B$4&lt;=21,"Amber","Green"))))</f>
        <v>Red</v>
      </c>
      <c r="N140" s="3"/>
      <c r="O140" t="str">
        <f>IF($I140&lt;&gt;"Complete",IF(COUNTIFS($A$4:$A139,$A140,$B$4:$B139,$B140,$I$4:$I139,"&lt;&gt;Complete")=0,$A140&amp;"|"&amp;$B140,""),"")</f>
        <v/>
      </c>
      <c r="P140" t="str">
        <f ca="1">IF($K140="Yes",COUNTIFS($K$4:$K140,"Yes"),"")</f>
        <v/>
      </c>
      <c r="Q140">
        <f t="shared" ca="1" si="11"/>
        <v>0</v>
      </c>
      <c r="R140" t="str">
        <f ca="1">IF($Q140=1,SUM($Q$4:$Q140),"")</f>
        <v/>
      </c>
    </row>
    <row r="141" spans="1:18" ht="22.5" customHeight="1" x14ac:dyDescent="0.3">
      <c r="A141" s="2" t="s">
        <v>244</v>
      </c>
      <c r="B141" s="2" t="s">
        <v>62</v>
      </c>
      <c r="C141" s="3" t="s">
        <v>248</v>
      </c>
      <c r="D141" s="3" t="s">
        <v>251</v>
      </c>
      <c r="E141" s="2" t="s">
        <v>165</v>
      </c>
      <c r="F141" s="2" t="s">
        <v>166</v>
      </c>
      <c r="G141" s="5">
        <v>46358</v>
      </c>
      <c r="H141" s="5">
        <v>46153</v>
      </c>
      <c r="I141" s="4" t="s">
        <v>31</v>
      </c>
      <c r="J141" s="6">
        <f t="shared" si="9"/>
        <v>-205</v>
      </c>
      <c r="K141" s="4" t="str">
        <f t="shared" ca="1" si="10"/>
        <v>-</v>
      </c>
      <c r="L141" s="7">
        <f t="shared" ca="1" si="12"/>
        <v>0</v>
      </c>
      <c r="M141" s="4" t="str">
        <f>IF($I141="Complete","Green",IF($H141="","Amber",IF($H141&lt;'[2]Read Me'!$B$4,"Red",IF($H141-'[2]Read Me'!$B$4&lt;=21,"Amber","Green"))))</f>
        <v>Red</v>
      </c>
      <c r="N141" s="3"/>
      <c r="O141" t="str">
        <f>IF($I141&lt;&gt;"Complete",IF(COUNTIFS($A$4:$A140,$A141,$B$4:$B140,$B141,$I$4:$I140,"&lt;&gt;Complete")=0,$A141&amp;"|"&amp;$B141,""),"")</f>
        <v/>
      </c>
      <c r="P141" t="str">
        <f ca="1">IF($K141="Yes",COUNTIFS($K$4:$K141,"Yes"),"")</f>
        <v/>
      </c>
      <c r="Q141">
        <f t="shared" ca="1" si="11"/>
        <v>0</v>
      </c>
      <c r="R141" t="str">
        <f ca="1">IF($Q141=1,SUM($Q$4:$Q141),"")</f>
        <v/>
      </c>
    </row>
    <row r="142" spans="1:18" ht="22.5" customHeight="1" x14ac:dyDescent="0.3">
      <c r="A142" s="2" t="s">
        <v>244</v>
      </c>
      <c r="B142" s="2" t="s">
        <v>62</v>
      </c>
      <c r="C142" s="3" t="s">
        <v>248</v>
      </c>
      <c r="D142" s="3" t="s">
        <v>210</v>
      </c>
      <c r="E142" s="2" t="s">
        <v>165</v>
      </c>
      <c r="F142" s="2"/>
      <c r="G142" s="5">
        <v>46366</v>
      </c>
      <c r="H142" s="5">
        <v>46160</v>
      </c>
      <c r="I142" s="4" t="s">
        <v>31</v>
      </c>
      <c r="J142" s="6">
        <f t="shared" si="9"/>
        <v>-206</v>
      </c>
      <c r="K142" s="4" t="str">
        <f t="shared" ca="1" si="10"/>
        <v>-</v>
      </c>
      <c r="L142" s="7">
        <f t="shared" ca="1" si="12"/>
        <v>0</v>
      </c>
      <c r="M142" s="4" t="str">
        <f>IF($I142="Complete","Green",IF($H142="","Amber",IF($H142&lt;'[2]Read Me'!$B$4,"Red",IF($H142-'[2]Read Me'!$B$4&lt;=21,"Amber","Green"))))</f>
        <v>Red</v>
      </c>
      <c r="N142" s="3"/>
      <c r="O142" t="str">
        <f>IF($I142&lt;&gt;"Complete",IF(COUNTIFS($A$4:$A141,$A142,$B$4:$B141,$B142,$I$4:$I141,"&lt;&gt;Complete")=0,$A142&amp;"|"&amp;$B142,""),"")</f>
        <v/>
      </c>
      <c r="P142" t="str">
        <f ca="1">IF($K142="Yes",COUNTIFS($K$4:$K142,"Yes"),"")</f>
        <v/>
      </c>
      <c r="Q142">
        <f t="shared" ca="1" si="11"/>
        <v>0</v>
      </c>
      <c r="R142" t="str">
        <f ca="1">IF($Q142=1,SUM($Q$4:$Q142),"")</f>
        <v/>
      </c>
    </row>
    <row r="143" spans="1:18" ht="22.5" customHeight="1" x14ac:dyDescent="0.3">
      <c r="A143" s="2" t="s">
        <v>252</v>
      </c>
      <c r="B143" s="2" t="s">
        <v>62</v>
      </c>
      <c r="C143" s="3"/>
      <c r="D143" s="3"/>
      <c r="E143" s="2"/>
      <c r="F143" s="2"/>
      <c r="G143" s="5">
        <v>46417</v>
      </c>
      <c r="H143" s="5">
        <v>46229.7</v>
      </c>
      <c r="I143" s="4"/>
      <c r="J143" s="6">
        <f t="shared" si="9"/>
        <v>-187.30000000000291</v>
      </c>
      <c r="K143" s="4" t="str">
        <f t="shared" ca="1" si="10"/>
        <v/>
      </c>
      <c r="L143" s="7">
        <f t="shared" ca="1" si="12"/>
        <v>21.69999999999709</v>
      </c>
      <c r="M143" s="4" t="str">
        <f>IF($I143="Complete","Green",IF($H143="","Amber",IF($H143&lt;'[2]Read Me'!$B$4,"Red",IF($H143-'[2]Read Me'!$B$4&lt;=21,"Amber","Green"))))</f>
        <v>Green</v>
      </c>
      <c r="N143" s="3"/>
      <c r="O143" t="str">
        <f>IF($I143&lt;&gt;"Complete",IF(COUNTIFS($A$4:$A142,$A143,$B$4:$B142,$B143,$I$4:$I142,"&lt;&gt;Complete")=0,$A143&amp;"|"&amp;$B143,""),"")</f>
        <v>IRIS 03 B.01|Buildings</v>
      </c>
      <c r="P143" t="str">
        <f ca="1">IF($K143="Yes",COUNTIFS($K$4:$K143,"Yes"),"")</f>
        <v/>
      </c>
      <c r="Q143">
        <f t="shared" ca="1" si="11"/>
        <v>0</v>
      </c>
      <c r="R143" t="str">
        <f ca="1">IF($Q143=1,SUM($Q$4:$Q143),"")</f>
        <v/>
      </c>
    </row>
    <row r="144" spans="1:18" ht="22.5" customHeight="1" x14ac:dyDescent="0.3">
      <c r="A144" s="2" t="s">
        <v>252</v>
      </c>
      <c r="B144" s="2" t="s">
        <v>62</v>
      </c>
      <c r="C144" s="3" t="s">
        <v>253</v>
      </c>
      <c r="D144" s="3" t="s">
        <v>254</v>
      </c>
      <c r="E144" s="2" t="s">
        <v>165</v>
      </c>
      <c r="F144" s="2" t="s">
        <v>166</v>
      </c>
      <c r="G144" s="5">
        <v>46401</v>
      </c>
      <c r="H144" s="5">
        <v>46201.3</v>
      </c>
      <c r="I144" s="4" t="s">
        <v>46</v>
      </c>
      <c r="J144" s="6">
        <f t="shared" si="9"/>
        <v>-199.69999999999709</v>
      </c>
      <c r="K144" s="4" t="str">
        <f t="shared" ca="1" si="10"/>
        <v>Yes</v>
      </c>
      <c r="L144" s="7">
        <f t="shared" ca="1" si="12"/>
        <v>-6.6999999999970896</v>
      </c>
      <c r="M144" s="4" t="str">
        <f>IF($I144="Complete","Green",IF($H144="","Amber",IF($H144&lt;'[2]Read Me'!$B$4,"Red",IF($H144-'[2]Read Me'!$B$4&lt;=21,"Amber","Green"))))</f>
        <v>Amber</v>
      </c>
      <c r="N144" s="3"/>
      <c r="O144" t="str">
        <f>IF($I144&lt;&gt;"Complete",IF(COUNTIFS($A$4:$A143,$A144,$B$4:$B143,$B144,$I$4:$I143,"&lt;&gt;Complete")=0,$A144&amp;"|"&amp;$B144,""),"")</f>
        <v/>
      </c>
      <c r="P144">
        <f ca="1">IF($K144="Yes",COUNTIFS($K$4:$K144,"Yes"),"")</f>
        <v>17</v>
      </c>
      <c r="Q144">
        <f t="shared" ca="1" si="11"/>
        <v>1</v>
      </c>
      <c r="R144">
        <f ca="1">IF($Q144=1,SUM($Q$4:$Q144),"")</f>
        <v>17</v>
      </c>
    </row>
    <row r="145" spans="1:18" ht="22.5" customHeight="1" x14ac:dyDescent="0.3">
      <c r="A145" s="2" t="s">
        <v>252</v>
      </c>
      <c r="B145" s="2" t="s">
        <v>62</v>
      </c>
      <c r="C145" s="3" t="s">
        <v>253</v>
      </c>
      <c r="D145" s="3" t="s">
        <v>210</v>
      </c>
      <c r="E145" s="2" t="s">
        <v>165</v>
      </c>
      <c r="F145" s="2"/>
      <c r="G145" s="5">
        <v>46410</v>
      </c>
      <c r="H145" s="5">
        <v>46208.3</v>
      </c>
      <c r="I145" s="4" t="s">
        <v>17</v>
      </c>
      <c r="J145" s="6">
        <f t="shared" si="9"/>
        <v>-201.69999999999709</v>
      </c>
      <c r="K145" s="4" t="str">
        <f t="shared" ca="1" si="10"/>
        <v>No</v>
      </c>
      <c r="L145" s="7">
        <f t="shared" ca="1" si="12"/>
        <v>0.30000000000291038</v>
      </c>
      <c r="M145" s="4" t="str">
        <f>IF($I145="Complete","Green",IF($H145="","Amber",IF($H145&lt;'[2]Read Me'!$B$4,"Red",IF($H145-'[2]Read Me'!$B$4&lt;=21,"Amber","Green"))))</f>
        <v>Green</v>
      </c>
      <c r="N145" s="3"/>
      <c r="O145" t="str">
        <f>IF($I145&lt;&gt;"Complete",IF(COUNTIFS($A$4:$A144,$A145,$B$4:$B144,$B145,$I$4:$I144,"&lt;&gt;Complete")=0,$A145&amp;"|"&amp;$B145,""),"")</f>
        <v/>
      </c>
      <c r="P145" t="str">
        <f ca="1">IF($K145="Yes",COUNTIFS($K$4:$K145,"Yes"),"")</f>
        <v/>
      </c>
      <c r="Q145">
        <f t="shared" ca="1" si="11"/>
        <v>0</v>
      </c>
      <c r="R145" t="str">
        <f ca="1">IF($Q145=1,SUM($Q$4:$Q145),"")</f>
        <v/>
      </c>
    </row>
    <row r="146" spans="1:18" ht="22.5" customHeight="1" x14ac:dyDescent="0.3">
      <c r="A146" s="2" t="s">
        <v>252</v>
      </c>
      <c r="B146" s="2" t="s">
        <v>62</v>
      </c>
      <c r="C146" s="3" t="s">
        <v>253</v>
      </c>
      <c r="D146" s="3" t="s">
        <v>255</v>
      </c>
      <c r="E146" s="2"/>
      <c r="F146" s="2" t="s">
        <v>166</v>
      </c>
      <c r="G146" s="5"/>
      <c r="H146" s="5">
        <v>46212.2</v>
      </c>
      <c r="I146" s="4" t="s">
        <v>17</v>
      </c>
      <c r="J146" s="6" t="str">
        <f t="shared" si="9"/>
        <v/>
      </c>
      <c r="K146" s="4" t="str">
        <f t="shared" ca="1" si="10"/>
        <v>No</v>
      </c>
      <c r="L146" s="7">
        <f t="shared" ca="1" si="12"/>
        <v>4.1999999999970896</v>
      </c>
      <c r="M146" s="4" t="str">
        <f>IF($I146="Complete","Green",IF($H146="","Amber",IF($H146&lt;'[2]Read Me'!$B$4,"Red",IF($H146-'[2]Read Me'!$B$4&lt;=21,"Amber","Green"))))</f>
        <v>Green</v>
      </c>
      <c r="N146" s="3"/>
      <c r="O146" t="str">
        <f>IF($I146&lt;&gt;"Complete",IF(COUNTIFS($A$4:$A145,$A146,$B$4:$B145,$B146,$I$4:$I145,"&lt;&gt;Complete")=0,$A146&amp;"|"&amp;$B146,""),"")</f>
        <v/>
      </c>
      <c r="P146" t="str">
        <f ca="1">IF($K146="Yes",COUNTIFS($K$4:$K146,"Yes"),"")</f>
        <v/>
      </c>
      <c r="Q146">
        <f t="shared" ca="1" si="11"/>
        <v>0</v>
      </c>
      <c r="R146" t="str">
        <f ca="1">IF($Q146=1,SUM($Q$4:$Q146),"")</f>
        <v/>
      </c>
    </row>
    <row r="147" spans="1:18" ht="22.5" customHeight="1" x14ac:dyDescent="0.3">
      <c r="A147" s="2" t="s">
        <v>252</v>
      </c>
      <c r="B147" s="2" t="s">
        <v>62</v>
      </c>
      <c r="C147" s="3" t="s">
        <v>253</v>
      </c>
      <c r="D147" s="3" t="s">
        <v>210</v>
      </c>
      <c r="E147" s="2"/>
      <c r="F147" s="2"/>
      <c r="G147" s="5"/>
      <c r="H147" s="5">
        <v>46229.7</v>
      </c>
      <c r="I147" s="4" t="s">
        <v>17</v>
      </c>
      <c r="J147" s="6" t="str">
        <f t="shared" si="9"/>
        <v/>
      </c>
      <c r="K147" s="4" t="str">
        <f t="shared" ca="1" si="10"/>
        <v>No</v>
      </c>
      <c r="L147" s="7">
        <f t="shared" ca="1" si="12"/>
        <v>21.69999999999709</v>
      </c>
      <c r="M147" s="4" t="str">
        <f>IF($I147="Complete","Green",IF($H147="","Amber",IF($H147&lt;'[2]Read Me'!$B$4,"Red",IF($H147-'[2]Read Me'!$B$4&lt;=21,"Amber","Green"))))</f>
        <v>Green</v>
      </c>
      <c r="N147" s="3"/>
      <c r="O147" t="str">
        <f>IF($I147&lt;&gt;"Complete",IF(COUNTIFS($A$4:$A146,$A147,$B$4:$B146,$B147,$I$4:$I146,"&lt;&gt;Complete")=0,$A147&amp;"|"&amp;$B147,""),"")</f>
        <v/>
      </c>
      <c r="P147" t="str">
        <f ca="1">IF($K147="Yes",COUNTIFS($K$4:$K147,"Yes"),"")</f>
        <v/>
      </c>
      <c r="Q147">
        <f t="shared" ca="1" si="11"/>
        <v>0</v>
      </c>
      <c r="R147" t="str">
        <f ca="1">IF($Q147=1,SUM($Q$4:$Q147),"")</f>
        <v/>
      </c>
    </row>
    <row r="148" spans="1:18" ht="22.5" customHeight="1" x14ac:dyDescent="0.3">
      <c r="A148" s="2" t="s">
        <v>252</v>
      </c>
      <c r="B148" s="2" t="s">
        <v>62</v>
      </c>
      <c r="C148" s="3" t="s">
        <v>253</v>
      </c>
      <c r="D148" s="3" t="s">
        <v>183</v>
      </c>
      <c r="E148" s="2" t="s">
        <v>184</v>
      </c>
      <c r="F148" s="2"/>
      <c r="G148" s="5">
        <v>46417</v>
      </c>
      <c r="H148" s="5">
        <v>46229.2</v>
      </c>
      <c r="I148" s="4" t="s">
        <v>17</v>
      </c>
      <c r="J148" s="6">
        <f t="shared" si="9"/>
        <v>-187.80000000000291</v>
      </c>
      <c r="K148" s="4" t="str">
        <f t="shared" ca="1" si="10"/>
        <v>No</v>
      </c>
      <c r="L148" s="7">
        <f t="shared" ca="1" si="12"/>
        <v>21.19999999999709</v>
      </c>
      <c r="M148" s="4" t="str">
        <f>IF($I148="Complete","Green",IF($H148="","Amber",IF($H148&lt;'[2]Read Me'!$B$4,"Red",IF($H148-'[2]Read Me'!$B$4&lt;=21,"Amber","Green"))))</f>
        <v>Green</v>
      </c>
      <c r="N148" s="3"/>
      <c r="O148" t="str">
        <f>IF($I148&lt;&gt;"Complete",IF(COUNTIFS($A$4:$A147,$A148,$B$4:$B147,$B148,$I$4:$I147,"&lt;&gt;Complete")=0,$A148&amp;"|"&amp;$B148,""),"")</f>
        <v/>
      </c>
      <c r="P148" t="str">
        <f ca="1">IF($K148="Yes",COUNTIFS($K$4:$K148,"Yes"),"")</f>
        <v/>
      </c>
      <c r="Q148">
        <f t="shared" ca="1" si="11"/>
        <v>0</v>
      </c>
      <c r="R148" t="str">
        <f ca="1">IF($Q148=1,SUM($Q$4:$Q148),"")</f>
        <v/>
      </c>
    </row>
    <row r="149" spans="1:18" ht="22.5" customHeight="1" x14ac:dyDescent="0.3">
      <c r="A149" s="2" t="s">
        <v>252</v>
      </c>
      <c r="B149" s="2" t="s">
        <v>62</v>
      </c>
      <c r="C149" s="3"/>
      <c r="D149" s="3"/>
      <c r="E149" s="2"/>
      <c r="F149" s="2"/>
      <c r="G149" s="5">
        <v>46531</v>
      </c>
      <c r="H149" s="5">
        <v>46337.1</v>
      </c>
      <c r="I149" s="4"/>
      <c r="J149" s="6">
        <f t="shared" si="9"/>
        <v>-193.90000000000146</v>
      </c>
      <c r="K149" s="4" t="str">
        <f t="shared" ca="1" si="10"/>
        <v/>
      </c>
      <c r="L149" s="7">
        <f t="shared" ca="1" si="12"/>
        <v>129.09999999999854</v>
      </c>
      <c r="M149" s="4" t="str">
        <f>IF($I149="Complete","Green",IF($H149="","Amber",IF($H149&lt;'[2]Read Me'!$B$4,"Red",IF($H149-'[2]Read Me'!$B$4&lt;=21,"Amber","Green"))))</f>
        <v>Green</v>
      </c>
      <c r="N149" s="3"/>
      <c r="O149" t="str">
        <f>IF($I149&lt;&gt;"Complete",IF(COUNTIFS($A$4:$A148,$A149,$B$4:$B148,$B149,$I$4:$I148,"&lt;&gt;Complete")=0,$A149&amp;"|"&amp;$B149,""),"")</f>
        <v/>
      </c>
      <c r="P149" t="str">
        <f ca="1">IF($K149="Yes",COUNTIFS($K$4:$K149,"Yes"),"")</f>
        <v/>
      </c>
      <c r="Q149">
        <f t="shared" ca="1" si="11"/>
        <v>0</v>
      </c>
      <c r="R149" t="str">
        <f ca="1">IF($Q149=1,SUM($Q$4:$Q149),"")</f>
        <v/>
      </c>
    </row>
    <row r="150" spans="1:18" ht="22.5" customHeight="1" x14ac:dyDescent="0.3">
      <c r="A150" s="2" t="s">
        <v>252</v>
      </c>
      <c r="B150" s="2" t="s">
        <v>62</v>
      </c>
      <c r="C150" s="3" t="s">
        <v>256</v>
      </c>
      <c r="D150" s="3" t="s">
        <v>14</v>
      </c>
      <c r="E150" s="2" t="s">
        <v>165</v>
      </c>
      <c r="F150" s="2" t="s">
        <v>166</v>
      </c>
      <c r="G150" s="5">
        <v>46447</v>
      </c>
      <c r="H150" s="5">
        <v>46264.7</v>
      </c>
      <c r="I150" s="4" t="s">
        <v>17</v>
      </c>
      <c r="J150" s="6">
        <f t="shared" si="9"/>
        <v>-182.30000000000291</v>
      </c>
      <c r="K150" s="4" t="str">
        <f t="shared" ca="1" si="10"/>
        <v>No</v>
      </c>
      <c r="L150" s="7">
        <f t="shared" ca="1" si="12"/>
        <v>56.69999999999709</v>
      </c>
      <c r="M150" s="4" t="str">
        <f>IF($I150="Complete","Green",IF($H150="","Amber",IF($H150&lt;'[2]Read Me'!$B$4,"Red",IF($H150-'[2]Read Me'!$B$4&lt;=21,"Amber","Green"))))</f>
        <v>Green</v>
      </c>
      <c r="N150" s="3"/>
      <c r="O150" t="str">
        <f>IF($I150&lt;&gt;"Complete",IF(COUNTIFS($A$4:$A149,$A150,$B$4:$B149,$B150,$I$4:$I149,"&lt;&gt;Complete")=0,$A150&amp;"|"&amp;$B150,""),"")</f>
        <v/>
      </c>
      <c r="P150" t="str">
        <f ca="1">IF($K150="Yes",COUNTIFS($K$4:$K150,"Yes"),"")</f>
        <v/>
      </c>
      <c r="Q150">
        <f t="shared" ca="1" si="11"/>
        <v>0</v>
      </c>
      <c r="R150" t="str">
        <f ca="1">IF($Q150=1,SUM($Q$4:$Q150),"")</f>
        <v/>
      </c>
    </row>
    <row r="151" spans="1:18" ht="22.5" customHeight="1" x14ac:dyDescent="0.3">
      <c r="A151" s="2" t="s">
        <v>252</v>
      </c>
      <c r="B151" s="2" t="s">
        <v>62</v>
      </c>
      <c r="C151" s="3" t="s">
        <v>256</v>
      </c>
      <c r="D151" s="3" t="s">
        <v>210</v>
      </c>
      <c r="E151" s="2" t="s">
        <v>165</v>
      </c>
      <c r="F151" s="2"/>
      <c r="G151" s="5">
        <v>46455</v>
      </c>
      <c r="H151" s="5">
        <v>46271.7</v>
      </c>
      <c r="I151" s="4" t="s">
        <v>17</v>
      </c>
      <c r="J151" s="6">
        <f t="shared" si="9"/>
        <v>-183.30000000000291</v>
      </c>
      <c r="K151" s="4" t="str">
        <f t="shared" ca="1" si="10"/>
        <v>No</v>
      </c>
      <c r="L151" s="7">
        <f t="shared" ca="1" si="12"/>
        <v>63.69999999999709</v>
      </c>
      <c r="M151" s="4" t="str">
        <f>IF($I151="Complete","Green",IF($H151="","Amber",IF($H151&lt;'[2]Read Me'!$B$4,"Red",IF($H151-'[2]Read Me'!$B$4&lt;=21,"Amber","Green"))))</f>
        <v>Green</v>
      </c>
      <c r="N151" s="3"/>
      <c r="O151" t="str">
        <f>IF($I151&lt;&gt;"Complete",IF(COUNTIFS($A$4:$A150,$A151,$B$4:$B150,$B151,$I$4:$I150,"&lt;&gt;Complete")=0,$A151&amp;"|"&amp;$B151,""),"")</f>
        <v/>
      </c>
      <c r="P151" t="str">
        <f ca="1">IF($K151="Yes",COUNTIFS($K$4:$K151,"Yes"),"")</f>
        <v/>
      </c>
      <c r="Q151">
        <f t="shared" ca="1" si="11"/>
        <v>0</v>
      </c>
      <c r="R151" t="str">
        <f ca="1">IF($Q151=1,SUM($Q$4:$Q151),"")</f>
        <v/>
      </c>
    </row>
    <row r="152" spans="1:18" ht="22.5" customHeight="1" x14ac:dyDescent="0.3">
      <c r="A152" s="2" t="s">
        <v>252</v>
      </c>
      <c r="B152" s="2" t="s">
        <v>62</v>
      </c>
      <c r="C152" s="3" t="s">
        <v>256</v>
      </c>
      <c r="D152" s="3" t="s">
        <v>257</v>
      </c>
      <c r="E152" s="2" t="s">
        <v>165</v>
      </c>
      <c r="F152" s="2" t="s">
        <v>166</v>
      </c>
      <c r="G152" s="5">
        <v>46484</v>
      </c>
      <c r="H152" s="5">
        <v>46299.7</v>
      </c>
      <c r="I152" s="4" t="s">
        <v>17</v>
      </c>
      <c r="J152" s="6">
        <f t="shared" si="9"/>
        <v>-184.30000000000291</v>
      </c>
      <c r="K152" s="4" t="str">
        <f t="shared" ca="1" si="10"/>
        <v>No</v>
      </c>
      <c r="L152" s="7">
        <f t="shared" ca="1" si="12"/>
        <v>91.69999999999709</v>
      </c>
      <c r="M152" s="4" t="str">
        <f>IF($I152="Complete","Green",IF($H152="","Amber",IF($H152&lt;'[2]Read Me'!$B$4,"Red",IF($H152-'[2]Read Me'!$B$4&lt;=21,"Amber","Green"))))</f>
        <v>Green</v>
      </c>
      <c r="N152" s="3"/>
      <c r="O152" t="str">
        <f>IF($I152&lt;&gt;"Complete",IF(COUNTIFS($A$4:$A151,$A152,$B$4:$B151,$B152,$I$4:$I151,"&lt;&gt;Complete")=0,$A152&amp;"|"&amp;$B152,""),"")</f>
        <v/>
      </c>
      <c r="P152" t="str">
        <f ca="1">IF($K152="Yes",COUNTIFS($K$4:$K152,"Yes"),"")</f>
        <v/>
      </c>
      <c r="Q152">
        <f t="shared" ca="1" si="11"/>
        <v>0</v>
      </c>
      <c r="R152" t="str">
        <f ca="1">IF($Q152=1,SUM($Q$4:$Q152),"")</f>
        <v/>
      </c>
    </row>
    <row r="153" spans="1:18" ht="22.5" customHeight="1" x14ac:dyDescent="0.3">
      <c r="A153" s="2" t="s">
        <v>252</v>
      </c>
      <c r="B153" s="2" t="s">
        <v>62</v>
      </c>
      <c r="C153" s="3" t="s">
        <v>256</v>
      </c>
      <c r="D153" s="3" t="s">
        <v>210</v>
      </c>
      <c r="E153" s="2" t="s">
        <v>165</v>
      </c>
      <c r="F153" s="2"/>
      <c r="G153" s="5">
        <v>46492</v>
      </c>
      <c r="H153" s="5">
        <v>46306.7</v>
      </c>
      <c r="I153" s="4" t="s">
        <v>17</v>
      </c>
      <c r="J153" s="6">
        <f t="shared" si="9"/>
        <v>-185.30000000000291</v>
      </c>
      <c r="K153" s="4" t="str">
        <f t="shared" ca="1" si="10"/>
        <v>No</v>
      </c>
      <c r="L153" s="7">
        <f t="shared" ca="1" si="12"/>
        <v>98.69999999999709</v>
      </c>
      <c r="M153" s="4" t="str">
        <f>IF($I153="Complete","Green",IF($H153="","Amber",IF($H153&lt;'[2]Read Me'!$B$4,"Red",IF($H153-'[2]Read Me'!$B$4&lt;=21,"Amber","Green"))))</f>
        <v>Green</v>
      </c>
      <c r="N153" s="3"/>
      <c r="O153" t="str">
        <f>IF($I153&lt;&gt;"Complete",IF(COUNTIFS($A$4:$A152,$A153,$B$4:$B152,$B153,$I$4:$I152,"&lt;&gt;Complete")=0,$A153&amp;"|"&amp;$B153,""),"")</f>
        <v/>
      </c>
      <c r="P153" t="str">
        <f ca="1">IF($K153="Yes",COUNTIFS($K$4:$K153,"Yes"),"")</f>
        <v/>
      </c>
      <c r="Q153">
        <f t="shared" ca="1" si="11"/>
        <v>0</v>
      </c>
      <c r="R153" t="str">
        <f ca="1">IF($Q153=1,SUM($Q$4:$Q153),"")</f>
        <v/>
      </c>
    </row>
    <row r="154" spans="1:18" ht="22.5" customHeight="1" x14ac:dyDescent="0.3">
      <c r="A154" s="2" t="s">
        <v>252</v>
      </c>
      <c r="B154" s="2" t="s">
        <v>62</v>
      </c>
      <c r="C154" s="3" t="s">
        <v>256</v>
      </c>
      <c r="D154" s="3" t="s">
        <v>183</v>
      </c>
      <c r="E154" s="2" t="s">
        <v>184</v>
      </c>
      <c r="F154" s="2"/>
      <c r="G154" s="5">
        <v>46499</v>
      </c>
      <c r="H154" s="5">
        <v>46314.7</v>
      </c>
      <c r="I154" s="4" t="s">
        <v>17</v>
      </c>
      <c r="J154" s="6">
        <f t="shared" si="9"/>
        <v>-184.30000000000291</v>
      </c>
      <c r="K154" s="4" t="str">
        <f t="shared" ca="1" si="10"/>
        <v>No</v>
      </c>
      <c r="L154" s="7">
        <f t="shared" ca="1" si="12"/>
        <v>106.69999999999709</v>
      </c>
      <c r="M154" s="4" t="str">
        <f>IF($I154="Complete","Green",IF($H154="","Amber",IF($H154&lt;'[2]Read Me'!$B$4,"Red",IF($H154-'[2]Read Me'!$B$4&lt;=21,"Amber","Green"))))</f>
        <v>Green</v>
      </c>
      <c r="N154" s="3"/>
      <c r="O154" t="str">
        <f>IF($I154&lt;&gt;"Complete",IF(COUNTIFS($A$4:$A153,$A154,$B$4:$B153,$B154,$I$4:$I153,"&lt;&gt;Complete")=0,$A154&amp;"|"&amp;$B154,""),"")</f>
        <v/>
      </c>
      <c r="P154" t="str">
        <f ca="1">IF($K154="Yes",COUNTIFS($K$4:$K154,"Yes"),"")</f>
        <v/>
      </c>
      <c r="Q154">
        <f t="shared" ca="1" si="11"/>
        <v>0</v>
      </c>
      <c r="R154" t="str">
        <f ca="1">IF($Q154=1,SUM($Q$4:$Q154),"")</f>
        <v/>
      </c>
    </row>
    <row r="155" spans="1:18" ht="22.5" customHeight="1" x14ac:dyDescent="0.3">
      <c r="A155" s="2" t="s">
        <v>252</v>
      </c>
      <c r="B155" s="2" t="s">
        <v>62</v>
      </c>
      <c r="C155" s="3" t="s">
        <v>256</v>
      </c>
      <c r="D155" s="3" t="s">
        <v>258</v>
      </c>
      <c r="E155" s="2" t="s">
        <v>165</v>
      </c>
      <c r="F155" s="2" t="s">
        <v>166</v>
      </c>
      <c r="G155" s="5">
        <v>46470</v>
      </c>
      <c r="H155" s="5">
        <v>46323.5</v>
      </c>
      <c r="I155" s="4" t="s">
        <v>17</v>
      </c>
      <c r="J155" s="6">
        <f t="shared" si="9"/>
        <v>-146.5</v>
      </c>
      <c r="K155" s="4" t="str">
        <f t="shared" ca="1" si="10"/>
        <v>No</v>
      </c>
      <c r="L155" s="7">
        <f t="shared" ca="1" si="12"/>
        <v>115.5</v>
      </c>
      <c r="M155" s="4" t="str">
        <f>IF($I155="Complete","Green",IF($H155="","Amber",IF($H155&lt;'[2]Read Me'!$B$4,"Red",IF($H155-'[2]Read Me'!$B$4&lt;=21,"Amber","Green"))))</f>
        <v>Green</v>
      </c>
      <c r="N155" s="3"/>
      <c r="O155" t="str">
        <f>IF($I155&lt;&gt;"Complete",IF(COUNTIFS($A$4:$A154,$A155,$B$4:$B154,$B155,$I$4:$I154,"&lt;&gt;Complete")=0,$A155&amp;"|"&amp;$B155,""),"")</f>
        <v/>
      </c>
      <c r="P155" t="str">
        <f ca="1">IF($K155="Yes",COUNTIFS($K$4:$K155,"Yes"),"")</f>
        <v/>
      </c>
      <c r="Q155">
        <f t="shared" ca="1" si="11"/>
        <v>0</v>
      </c>
      <c r="R155" t="str">
        <f ca="1">IF($Q155=1,SUM($Q$4:$Q155),"")</f>
        <v/>
      </c>
    </row>
    <row r="156" spans="1:18" ht="22.5" customHeight="1" x14ac:dyDescent="0.3">
      <c r="A156" s="2" t="s">
        <v>252</v>
      </c>
      <c r="B156" s="2" t="s">
        <v>62</v>
      </c>
      <c r="C156" s="3" t="s">
        <v>256</v>
      </c>
      <c r="D156" s="3" t="s">
        <v>259</v>
      </c>
      <c r="E156" s="2" t="s">
        <v>165</v>
      </c>
      <c r="F156" s="2" t="s">
        <v>166</v>
      </c>
      <c r="G156" s="5">
        <v>46522</v>
      </c>
      <c r="H156" s="5">
        <v>46330.1</v>
      </c>
      <c r="I156" s="4" t="s">
        <v>17</v>
      </c>
      <c r="J156" s="6">
        <f t="shared" si="9"/>
        <v>-191.90000000000146</v>
      </c>
      <c r="K156" s="4" t="str">
        <f t="shared" ca="1" si="10"/>
        <v>No</v>
      </c>
      <c r="L156" s="7">
        <f t="shared" ca="1" si="12"/>
        <v>122.09999999999854</v>
      </c>
      <c r="M156" s="4" t="str">
        <f>IF($I156="Complete","Green",IF($H156="","Amber",IF($H156&lt;'[2]Read Me'!$B$4,"Red",IF($H156-'[2]Read Me'!$B$4&lt;=21,"Amber","Green"))))</f>
        <v>Green</v>
      </c>
      <c r="N156" s="3"/>
      <c r="O156" t="str">
        <f>IF($I156&lt;&gt;"Complete",IF(COUNTIFS($A$4:$A155,$A156,$B$4:$B155,$B156,$I$4:$I155,"&lt;&gt;Complete")=0,$A156&amp;"|"&amp;$B156,""),"")</f>
        <v/>
      </c>
      <c r="P156" t="str">
        <f ca="1">IF($K156="Yes",COUNTIFS($K$4:$K156,"Yes"),"")</f>
        <v/>
      </c>
      <c r="Q156">
        <f t="shared" ca="1" si="11"/>
        <v>0</v>
      </c>
      <c r="R156" t="str">
        <f ca="1">IF($Q156=1,SUM($Q$4:$Q156),"")</f>
        <v/>
      </c>
    </row>
    <row r="157" spans="1:18" ht="33.75" customHeight="1" x14ac:dyDescent="0.3">
      <c r="A157" s="2" t="s">
        <v>252</v>
      </c>
      <c r="B157" s="2" t="s">
        <v>62</v>
      </c>
      <c r="C157" s="3" t="s">
        <v>256</v>
      </c>
      <c r="D157" s="3" t="s">
        <v>260</v>
      </c>
      <c r="E157" s="2" t="s">
        <v>165</v>
      </c>
      <c r="F157" s="2"/>
      <c r="G157" s="5">
        <v>46531</v>
      </c>
      <c r="H157" s="5">
        <v>46337.1</v>
      </c>
      <c r="I157" s="4" t="s">
        <v>17</v>
      </c>
      <c r="J157" s="6">
        <f t="shared" si="9"/>
        <v>-193.90000000000146</v>
      </c>
      <c r="K157" s="4" t="str">
        <f t="shared" ca="1" si="10"/>
        <v>No</v>
      </c>
      <c r="L157" s="7">
        <f t="shared" ca="1" si="12"/>
        <v>129.09999999999854</v>
      </c>
      <c r="M157" s="4" t="str">
        <f>IF($I157="Complete","Green",IF($H157="","Amber",IF($H157&lt;'[2]Read Me'!$B$4,"Red",IF($H157-'[2]Read Me'!$B$4&lt;=21,"Amber","Green"))))</f>
        <v>Green</v>
      </c>
      <c r="N157" s="3"/>
      <c r="O157" t="str">
        <f>IF($I157&lt;&gt;"Complete",IF(COUNTIFS($A$4:$A156,$A157,$B$4:$B156,$B157,$I$4:$I156,"&lt;&gt;Complete")=0,$A157&amp;"|"&amp;$B157,""),"")</f>
        <v/>
      </c>
      <c r="P157" t="str">
        <f ca="1">IF($K157="Yes",COUNTIFS($K$4:$K157,"Yes"),"")</f>
        <v/>
      </c>
      <c r="Q157">
        <f t="shared" ca="1" si="11"/>
        <v>0</v>
      </c>
      <c r="R157" t="str">
        <f ca="1">IF($Q157=1,SUM($Q$4:$Q157),"")</f>
        <v/>
      </c>
    </row>
    <row r="158" spans="1:18" ht="33.75" customHeight="1" x14ac:dyDescent="0.3">
      <c r="A158" s="2" t="s">
        <v>252</v>
      </c>
      <c r="B158" s="2" t="s">
        <v>62</v>
      </c>
      <c r="C158" s="3"/>
      <c r="D158" s="3"/>
      <c r="E158" s="2"/>
      <c r="F158" s="2"/>
      <c r="G158" s="5">
        <v>46410</v>
      </c>
      <c r="H158" s="5">
        <v>46229.3</v>
      </c>
      <c r="I158" s="4"/>
      <c r="J158" s="6">
        <f t="shared" si="9"/>
        <v>-180.69999999999709</v>
      </c>
      <c r="K158" s="4" t="str">
        <f t="shared" ca="1" si="10"/>
        <v/>
      </c>
      <c r="L158" s="7">
        <f t="shared" ca="1" si="12"/>
        <v>21.30000000000291</v>
      </c>
      <c r="M158" s="4" t="str">
        <f>IF($I158="Complete","Green",IF($H158="","Amber",IF($H158&lt;'[2]Read Me'!$B$4,"Red",IF($H158-'[2]Read Me'!$B$4&lt;=21,"Amber","Green"))))</f>
        <v>Green</v>
      </c>
      <c r="N158" s="3"/>
      <c r="O158" t="str">
        <f>IF($I158&lt;&gt;"Complete",IF(COUNTIFS($A$4:$A157,$A158,$B$4:$B157,$B158,$I$4:$I157,"&lt;&gt;Complete")=0,$A158&amp;"|"&amp;$B158,""),"")</f>
        <v/>
      </c>
      <c r="P158" t="str">
        <f ca="1">IF($K158="Yes",COUNTIFS($K$4:$K158,"Yes"),"")</f>
        <v/>
      </c>
      <c r="Q158">
        <f t="shared" ca="1" si="11"/>
        <v>0</v>
      </c>
      <c r="R158" t="str">
        <f ca="1">IF($Q158=1,SUM($Q$4:$Q158),"")</f>
        <v/>
      </c>
    </row>
    <row r="159" spans="1:18" ht="33.75" customHeight="1" x14ac:dyDescent="0.3">
      <c r="A159" s="2" t="s">
        <v>252</v>
      </c>
      <c r="B159" s="2" t="s">
        <v>62</v>
      </c>
      <c r="C159" s="3" t="s">
        <v>253</v>
      </c>
      <c r="D159" s="3" t="s">
        <v>261</v>
      </c>
      <c r="E159" s="2" t="s">
        <v>165</v>
      </c>
      <c r="F159" s="2" t="s">
        <v>166</v>
      </c>
      <c r="G159" s="5">
        <v>46394</v>
      </c>
      <c r="H159" s="5">
        <v>46212.5</v>
      </c>
      <c r="I159" s="4" t="s">
        <v>46</v>
      </c>
      <c r="J159" s="6">
        <f t="shared" si="9"/>
        <v>-181.5</v>
      </c>
      <c r="K159" s="4" t="str">
        <f t="shared" ca="1" si="10"/>
        <v>No</v>
      </c>
      <c r="L159" s="7">
        <f t="shared" ca="1" si="12"/>
        <v>4.5</v>
      </c>
      <c r="M159" s="4" t="str">
        <f>IF($I159="Complete","Green",IF($H159="","Amber",IF($H159&lt;'[2]Read Me'!$B$4,"Red",IF($H159-'[2]Read Me'!$B$4&lt;=21,"Amber","Green"))))</f>
        <v>Green</v>
      </c>
      <c r="N159" s="3"/>
      <c r="O159" t="str">
        <f>IF($I159&lt;&gt;"Complete",IF(COUNTIFS($A$4:$A158,$A159,$B$4:$B158,$B159,$I$4:$I158,"&lt;&gt;Complete")=0,$A159&amp;"|"&amp;$B159,""),"")</f>
        <v/>
      </c>
      <c r="P159" t="str">
        <f ca="1">IF($K159="Yes",COUNTIFS($K$4:$K159,"Yes"),"")</f>
        <v/>
      </c>
      <c r="Q159">
        <f t="shared" ca="1" si="11"/>
        <v>0</v>
      </c>
      <c r="R159" t="str">
        <f ca="1">IF($Q159=1,SUM($Q$4:$Q159),"")</f>
        <v/>
      </c>
    </row>
    <row r="160" spans="1:18" ht="33.75" customHeight="1" x14ac:dyDescent="0.3">
      <c r="A160" s="2" t="s">
        <v>252</v>
      </c>
      <c r="B160" s="2" t="s">
        <v>62</v>
      </c>
      <c r="C160" s="3" t="s">
        <v>253</v>
      </c>
      <c r="D160" s="3" t="s">
        <v>210</v>
      </c>
      <c r="E160" s="2" t="s">
        <v>165</v>
      </c>
      <c r="F160" s="2"/>
      <c r="G160" s="5">
        <v>46403</v>
      </c>
      <c r="H160" s="5">
        <v>46229.3</v>
      </c>
      <c r="I160" s="4" t="s">
        <v>17</v>
      </c>
      <c r="J160" s="6">
        <f t="shared" si="9"/>
        <v>-173.69999999999709</v>
      </c>
      <c r="K160" s="4" t="str">
        <f t="shared" ca="1" si="10"/>
        <v>No</v>
      </c>
      <c r="L160" s="7">
        <f t="shared" ca="1" si="12"/>
        <v>21.30000000000291</v>
      </c>
      <c r="M160" s="4" t="str">
        <f>IF($I160="Complete","Green",IF($H160="","Amber",IF($H160&lt;'[2]Read Me'!$B$4,"Red",IF($H160-'[2]Read Me'!$B$4&lt;=21,"Amber","Green"))))</f>
        <v>Green</v>
      </c>
      <c r="N160" s="3"/>
      <c r="O160" t="str">
        <f>IF($I160&lt;&gt;"Complete",IF(COUNTIFS($A$4:$A159,$A160,$B$4:$B159,$B160,$I$4:$I159,"&lt;&gt;Complete")=0,$A160&amp;"|"&amp;$B160,""),"")</f>
        <v/>
      </c>
      <c r="P160" t="str">
        <f ca="1">IF($K160="Yes",COUNTIFS($K$4:$K160,"Yes"),"")</f>
        <v/>
      </c>
      <c r="Q160">
        <f t="shared" ca="1" si="11"/>
        <v>0</v>
      </c>
      <c r="R160" t="str">
        <f ca="1">IF($Q160=1,SUM($Q$4:$Q160),"")</f>
        <v/>
      </c>
    </row>
    <row r="161" spans="1:18" ht="33.75" customHeight="1" x14ac:dyDescent="0.3">
      <c r="A161" s="2" t="s">
        <v>262</v>
      </c>
      <c r="B161" s="2" t="s">
        <v>62</v>
      </c>
      <c r="C161" s="3" t="s">
        <v>253</v>
      </c>
      <c r="D161" s="3" t="s">
        <v>183</v>
      </c>
      <c r="E161" s="2" t="s">
        <v>184</v>
      </c>
      <c r="F161" s="2" t="s">
        <v>81</v>
      </c>
      <c r="G161" s="5">
        <v>46410</v>
      </c>
      <c r="H161" s="5">
        <v>46229.3</v>
      </c>
      <c r="I161" s="4" t="s">
        <v>17</v>
      </c>
      <c r="J161" s="6">
        <f t="shared" si="9"/>
        <v>-180.69999999999709</v>
      </c>
      <c r="K161" s="4" t="str">
        <f t="shared" ca="1" si="10"/>
        <v>No</v>
      </c>
      <c r="L161" s="7">
        <f t="shared" ca="1" si="12"/>
        <v>21.30000000000291</v>
      </c>
      <c r="M161" s="4" t="str">
        <f>IF($I161="Complete","Green",IF($H161="","Amber",IF($H161&lt;'[2]Read Me'!$B$4,"Red",IF($H161-'[2]Read Me'!$B$4&lt;=21,"Amber","Green"))))</f>
        <v>Green</v>
      </c>
      <c r="N161" s="3"/>
      <c r="O161" t="str">
        <f>IF($I161&lt;&gt;"Complete",IF(COUNTIFS($A$4:$A160,$A161,$B$4:$B160,$B161,$I$4:$I160,"&lt;&gt;Complete")=0,$A161&amp;"|"&amp;$B161,""),"")</f>
        <v>IRIS 03 B.02|Buildings</v>
      </c>
      <c r="P161" t="str">
        <f ca="1">IF($K161="Yes",COUNTIFS($K$4:$K161,"Yes"),"")</f>
        <v/>
      </c>
      <c r="Q161">
        <f t="shared" ca="1" si="11"/>
        <v>0</v>
      </c>
      <c r="R161" t="str">
        <f ca="1">IF($Q161=1,SUM($Q$4:$Q161),"")</f>
        <v/>
      </c>
    </row>
    <row r="162" spans="1:18" ht="33.75" customHeight="1" x14ac:dyDescent="0.3">
      <c r="A162" s="2" t="s">
        <v>262</v>
      </c>
      <c r="B162" s="2" t="s">
        <v>62</v>
      </c>
      <c r="C162" s="3"/>
      <c r="D162" s="3"/>
      <c r="E162" s="2"/>
      <c r="F162" s="2"/>
      <c r="G162" s="5">
        <v>46531</v>
      </c>
      <c r="H162" s="5">
        <v>46350.7</v>
      </c>
      <c r="I162" s="4"/>
      <c r="J162" s="6">
        <f t="shared" si="9"/>
        <v>-180.30000000000291</v>
      </c>
      <c r="K162" s="4" t="str">
        <f t="shared" ca="1" si="10"/>
        <v/>
      </c>
      <c r="L162" s="7">
        <f t="shared" ca="1" si="12"/>
        <v>142.69999999999709</v>
      </c>
      <c r="M162" s="4" t="str">
        <f>IF($I162="Complete","Green",IF($H162="","Amber",IF($H162&lt;'[2]Read Me'!$B$4,"Red",IF($H162-'[2]Read Me'!$B$4&lt;=21,"Amber","Green"))))</f>
        <v>Green</v>
      </c>
      <c r="N162" s="3"/>
      <c r="O162" t="str">
        <f>IF($I162&lt;&gt;"Complete",IF(COUNTIFS($A$4:$A161,$A162,$B$4:$B161,$B162,$I$4:$I161,"&lt;&gt;Complete")=0,$A162&amp;"|"&amp;$B162,""),"")</f>
        <v/>
      </c>
      <c r="P162" t="str">
        <f ca="1">IF($K162="Yes",COUNTIFS($K$4:$K162,"Yes"),"")</f>
        <v/>
      </c>
      <c r="Q162">
        <f t="shared" ca="1" si="11"/>
        <v>0</v>
      </c>
      <c r="R162" t="str">
        <f ca="1">IF($Q162=1,SUM($Q$4:$Q162),"")</f>
        <v/>
      </c>
    </row>
    <row r="163" spans="1:18" ht="33.75" customHeight="1" x14ac:dyDescent="0.3">
      <c r="A163" s="2" t="s">
        <v>262</v>
      </c>
      <c r="B163" s="2" t="s">
        <v>62</v>
      </c>
      <c r="C163" s="3" t="s">
        <v>256</v>
      </c>
      <c r="D163" s="3" t="s">
        <v>14</v>
      </c>
      <c r="E163" s="2" t="s">
        <v>165</v>
      </c>
      <c r="F163" s="2" t="s">
        <v>166</v>
      </c>
      <c r="G163" s="5">
        <v>46447</v>
      </c>
      <c r="H163" s="5">
        <v>46279.7</v>
      </c>
      <c r="I163" s="4" t="s">
        <v>17</v>
      </c>
      <c r="J163" s="6">
        <f t="shared" si="9"/>
        <v>-167.30000000000291</v>
      </c>
      <c r="K163" s="4" t="str">
        <f t="shared" ca="1" si="10"/>
        <v>No</v>
      </c>
      <c r="L163" s="7">
        <f t="shared" ca="1" si="12"/>
        <v>71.69999999999709</v>
      </c>
      <c r="M163" s="4" t="str">
        <f>IF($I163="Complete","Green",IF($H163="","Amber",IF($H163&lt;'[2]Read Me'!$B$4,"Red",IF($H163-'[2]Read Me'!$B$4&lt;=21,"Amber","Green"))))</f>
        <v>Green</v>
      </c>
      <c r="N163" s="3"/>
      <c r="O163" t="str">
        <f>IF($I163&lt;&gt;"Complete",IF(COUNTIFS($A$4:$A162,$A163,$B$4:$B162,$B163,$I$4:$I162,"&lt;&gt;Complete")=0,$A163&amp;"|"&amp;$B163,""),"")</f>
        <v/>
      </c>
      <c r="P163" t="str">
        <f ca="1">IF($K163="Yes",COUNTIFS($K$4:$K163,"Yes"),"")</f>
        <v/>
      </c>
      <c r="Q163">
        <f t="shared" ca="1" si="11"/>
        <v>0</v>
      </c>
      <c r="R163" t="str">
        <f ca="1">IF($Q163=1,SUM($Q$4:$Q163),"")</f>
        <v/>
      </c>
    </row>
    <row r="164" spans="1:18" ht="33.75" customHeight="1" x14ac:dyDescent="0.3">
      <c r="A164" s="2" t="s">
        <v>262</v>
      </c>
      <c r="B164" s="2" t="s">
        <v>62</v>
      </c>
      <c r="C164" s="3" t="s">
        <v>256</v>
      </c>
      <c r="D164" s="3" t="s">
        <v>210</v>
      </c>
      <c r="E164" s="2" t="s">
        <v>165</v>
      </c>
      <c r="F164" s="2"/>
      <c r="G164" s="5">
        <v>46455</v>
      </c>
      <c r="H164" s="5">
        <v>46287.4</v>
      </c>
      <c r="I164" s="4" t="s">
        <v>17</v>
      </c>
      <c r="J164" s="6">
        <f t="shared" si="9"/>
        <v>-167.59999999999854</v>
      </c>
      <c r="K164" s="4" t="str">
        <f t="shared" ca="1" si="10"/>
        <v>No</v>
      </c>
      <c r="L164" s="7">
        <f t="shared" ca="1" si="12"/>
        <v>79.400000000001455</v>
      </c>
      <c r="M164" s="4" t="str">
        <f>IF($I164="Complete","Green",IF($H164="","Amber",IF($H164&lt;'[2]Read Me'!$B$4,"Red",IF($H164-'[2]Read Me'!$B$4&lt;=21,"Amber","Green"))))</f>
        <v>Green</v>
      </c>
      <c r="N164" s="3"/>
      <c r="O164" t="str">
        <f>IF($I164&lt;&gt;"Complete",IF(COUNTIFS($A$4:$A163,$A164,$B$4:$B163,$B164,$I$4:$I163,"&lt;&gt;Complete")=0,$A164&amp;"|"&amp;$B164,""),"")</f>
        <v/>
      </c>
      <c r="P164" t="str">
        <f ca="1">IF($K164="Yes",COUNTIFS($K$4:$K164,"Yes"),"")</f>
        <v/>
      </c>
      <c r="Q164">
        <f t="shared" ca="1" si="11"/>
        <v>0</v>
      </c>
      <c r="R164" t="str">
        <f ca="1">IF($Q164=1,SUM($Q$4:$Q164),"")</f>
        <v/>
      </c>
    </row>
    <row r="165" spans="1:18" ht="33.75" customHeight="1" x14ac:dyDescent="0.3">
      <c r="A165" s="2" t="s">
        <v>262</v>
      </c>
      <c r="B165" s="2" t="s">
        <v>62</v>
      </c>
      <c r="C165" s="3" t="s">
        <v>256</v>
      </c>
      <c r="D165" s="3" t="s">
        <v>257</v>
      </c>
      <c r="E165" s="2" t="s">
        <v>165</v>
      </c>
      <c r="F165" s="2" t="s">
        <v>166</v>
      </c>
      <c r="G165" s="5">
        <v>46484</v>
      </c>
      <c r="H165" s="5">
        <v>46315.7</v>
      </c>
      <c r="I165" s="4" t="s">
        <v>17</v>
      </c>
      <c r="J165" s="6">
        <f t="shared" si="9"/>
        <v>-168.30000000000291</v>
      </c>
      <c r="K165" s="4" t="str">
        <f t="shared" ca="1" si="10"/>
        <v>No</v>
      </c>
      <c r="L165" s="7">
        <f t="shared" ca="1" si="12"/>
        <v>107.69999999999709</v>
      </c>
      <c r="M165" s="4" t="str">
        <f>IF($I165="Complete","Green",IF($H165="","Amber",IF($H165&lt;'[2]Read Me'!$B$4,"Red",IF($H165-'[2]Read Me'!$B$4&lt;=21,"Amber","Green"))))</f>
        <v>Green</v>
      </c>
      <c r="N165" s="3"/>
      <c r="O165" t="str">
        <f>IF($I165&lt;&gt;"Complete",IF(COUNTIFS($A$4:$A164,$A165,$B$4:$B164,$B165,$I$4:$I164,"&lt;&gt;Complete")=0,$A165&amp;"|"&amp;$B165,""),"")</f>
        <v/>
      </c>
      <c r="P165" t="str">
        <f ca="1">IF($K165="Yes",COUNTIFS($K$4:$K165,"Yes"),"")</f>
        <v/>
      </c>
      <c r="Q165">
        <f t="shared" ca="1" si="11"/>
        <v>0</v>
      </c>
      <c r="R165" t="str">
        <f ca="1">IF($Q165=1,SUM($Q$4:$Q165),"")</f>
        <v/>
      </c>
    </row>
    <row r="166" spans="1:18" ht="33.75" customHeight="1" x14ac:dyDescent="0.3">
      <c r="A166" s="2" t="s">
        <v>262</v>
      </c>
      <c r="B166" s="2" t="s">
        <v>62</v>
      </c>
      <c r="C166" s="3" t="s">
        <v>256</v>
      </c>
      <c r="D166" s="3" t="s">
        <v>210</v>
      </c>
      <c r="E166" s="2" t="s">
        <v>165</v>
      </c>
      <c r="F166" s="2"/>
      <c r="G166" s="5">
        <v>46492</v>
      </c>
      <c r="H166" s="5">
        <v>46322.7</v>
      </c>
      <c r="I166" s="4" t="s">
        <v>17</v>
      </c>
      <c r="J166" s="6">
        <f t="shared" si="9"/>
        <v>-169.30000000000291</v>
      </c>
      <c r="K166" s="4" t="str">
        <f t="shared" ca="1" si="10"/>
        <v>No</v>
      </c>
      <c r="L166" s="7">
        <f t="shared" ca="1" si="12"/>
        <v>114.69999999999709</v>
      </c>
      <c r="M166" s="4" t="str">
        <f>IF($I166="Complete","Green",IF($H166="","Amber",IF($H166&lt;'[2]Read Me'!$B$4,"Red",IF($H166-'[2]Read Me'!$B$4&lt;=21,"Amber","Green"))))</f>
        <v>Green</v>
      </c>
      <c r="N166" s="3"/>
      <c r="O166" t="str">
        <f>IF($I166&lt;&gt;"Complete",IF(COUNTIFS($A$4:$A165,$A166,$B$4:$B165,$B166,$I$4:$I165,"&lt;&gt;Complete")=0,$A166&amp;"|"&amp;$B166,""),"")</f>
        <v/>
      </c>
      <c r="P166" t="str">
        <f ca="1">IF($K166="Yes",COUNTIFS($K$4:$K166,"Yes"),"")</f>
        <v/>
      </c>
      <c r="Q166">
        <f t="shared" ca="1" si="11"/>
        <v>0</v>
      </c>
      <c r="R166" t="str">
        <f ca="1">IF($Q166=1,SUM($Q$4:$Q166),"")</f>
        <v/>
      </c>
    </row>
    <row r="167" spans="1:18" ht="33.75" customHeight="1" x14ac:dyDescent="0.3">
      <c r="A167" s="2" t="s">
        <v>262</v>
      </c>
      <c r="B167" s="2" t="s">
        <v>62</v>
      </c>
      <c r="C167" s="3" t="s">
        <v>256</v>
      </c>
      <c r="D167" s="3" t="s">
        <v>183</v>
      </c>
      <c r="E167" s="2" t="s">
        <v>184</v>
      </c>
      <c r="F167" s="2"/>
      <c r="G167" s="5">
        <v>46499</v>
      </c>
      <c r="H167" s="5">
        <v>46329.7</v>
      </c>
      <c r="I167" s="4" t="s">
        <v>17</v>
      </c>
      <c r="J167" s="6">
        <f t="shared" si="9"/>
        <v>-169.30000000000291</v>
      </c>
      <c r="K167" s="4" t="str">
        <f t="shared" ca="1" si="10"/>
        <v>No</v>
      </c>
      <c r="L167" s="7">
        <f t="shared" ca="1" si="12"/>
        <v>121.69999999999709</v>
      </c>
      <c r="M167" s="4" t="str">
        <f>IF($I167="Complete","Green",IF($H167="","Amber",IF($H167&lt;'[2]Read Me'!$B$4,"Red",IF($H167-'[2]Read Me'!$B$4&lt;=21,"Amber","Green"))))</f>
        <v>Green</v>
      </c>
      <c r="N167" s="3"/>
      <c r="O167" t="str">
        <f>IF($I167&lt;&gt;"Complete",IF(COUNTIFS($A$4:$A166,$A167,$B$4:$B166,$B167,$I$4:$I166,"&lt;&gt;Complete")=0,$A167&amp;"|"&amp;$B167,""),"")</f>
        <v/>
      </c>
      <c r="P167" t="str">
        <f ca="1">IF($K167="Yes",COUNTIFS($K$4:$K167,"Yes"),"")</f>
        <v/>
      </c>
      <c r="Q167">
        <f t="shared" ca="1" si="11"/>
        <v>0</v>
      </c>
      <c r="R167" t="str">
        <f ca="1">IF($Q167=1,SUM($Q$4:$Q167),"")</f>
        <v/>
      </c>
    </row>
    <row r="168" spans="1:18" ht="33.75" customHeight="1" x14ac:dyDescent="0.3">
      <c r="A168" s="2" t="s">
        <v>262</v>
      </c>
      <c r="B168" s="2" t="s">
        <v>62</v>
      </c>
      <c r="C168" s="3" t="s">
        <v>256</v>
      </c>
      <c r="D168" s="3" t="s">
        <v>258</v>
      </c>
      <c r="E168" s="2" t="s">
        <v>165</v>
      </c>
      <c r="F168" s="2" t="s">
        <v>166</v>
      </c>
      <c r="G168" s="5">
        <v>46470</v>
      </c>
      <c r="H168" s="5">
        <v>46338.8</v>
      </c>
      <c r="I168" s="4" t="s">
        <v>17</v>
      </c>
      <c r="J168" s="6">
        <f t="shared" si="9"/>
        <v>-131.19999999999709</v>
      </c>
      <c r="K168" s="4" t="str">
        <f t="shared" ca="1" si="10"/>
        <v>No</v>
      </c>
      <c r="L168" s="7">
        <f t="shared" ca="1" si="12"/>
        <v>130.80000000000291</v>
      </c>
      <c r="M168" s="4" t="str">
        <f>IF($I168="Complete","Green",IF($H168="","Amber",IF($H168&lt;'[2]Read Me'!$B$4,"Red",IF($H168-'[2]Read Me'!$B$4&lt;=21,"Amber","Green"))))</f>
        <v>Green</v>
      </c>
      <c r="N168" s="3"/>
      <c r="O168" t="str">
        <f>IF($I168&lt;&gt;"Complete",IF(COUNTIFS($A$4:$A167,$A168,$B$4:$B167,$B168,$I$4:$I167,"&lt;&gt;Complete")=0,$A168&amp;"|"&amp;$B168,""),"")</f>
        <v/>
      </c>
      <c r="P168" t="str">
        <f ca="1">IF($K168="Yes",COUNTIFS($K$4:$K168,"Yes"),"")</f>
        <v/>
      </c>
      <c r="Q168">
        <f t="shared" ca="1" si="11"/>
        <v>0</v>
      </c>
      <c r="R168" t="str">
        <f ca="1">IF($Q168=1,SUM($Q$4:$Q168),"")</f>
        <v/>
      </c>
    </row>
    <row r="169" spans="1:18" ht="33.75" customHeight="1" x14ac:dyDescent="0.3">
      <c r="A169" s="2" t="s">
        <v>262</v>
      </c>
      <c r="B169" s="2" t="s">
        <v>62</v>
      </c>
      <c r="C169" s="3" t="s">
        <v>256</v>
      </c>
      <c r="D169" s="3" t="s">
        <v>259</v>
      </c>
      <c r="E169" s="2" t="s">
        <v>165</v>
      </c>
      <c r="F169" s="2" t="s">
        <v>166</v>
      </c>
      <c r="G169" s="5">
        <v>46522</v>
      </c>
      <c r="H169" s="5">
        <v>46343.7</v>
      </c>
      <c r="I169" s="4" t="s">
        <v>17</v>
      </c>
      <c r="J169" s="6">
        <f t="shared" si="9"/>
        <v>-178.30000000000291</v>
      </c>
      <c r="K169" s="4" t="str">
        <f t="shared" ca="1" si="10"/>
        <v>No</v>
      </c>
      <c r="L169" s="7">
        <f t="shared" ca="1" si="12"/>
        <v>135.69999999999709</v>
      </c>
      <c r="M169" s="4" t="str">
        <f>IF($I169="Complete","Green",IF($H169="","Amber",IF($H169&lt;'[2]Read Me'!$B$4,"Red",IF($H169-'[2]Read Me'!$B$4&lt;=21,"Amber","Green"))))</f>
        <v>Green</v>
      </c>
      <c r="N169" s="3"/>
      <c r="O169" t="str">
        <f>IF($I169&lt;&gt;"Complete",IF(COUNTIFS($A$4:$A168,$A169,$B$4:$B168,$B169,$I$4:$I168,"&lt;&gt;Complete")=0,$A169&amp;"|"&amp;$B169,""),"")</f>
        <v/>
      </c>
      <c r="P169" t="str">
        <f ca="1">IF($K169="Yes",COUNTIFS($K$4:$K169,"Yes"),"")</f>
        <v/>
      </c>
      <c r="Q169">
        <f t="shared" ca="1" si="11"/>
        <v>0</v>
      </c>
      <c r="R169" t="str">
        <f ca="1">IF($Q169=1,SUM($Q$4:$Q169),"")</f>
        <v/>
      </c>
    </row>
    <row r="170" spans="1:18" ht="33.75" customHeight="1" x14ac:dyDescent="0.3">
      <c r="A170" s="2" t="s">
        <v>262</v>
      </c>
      <c r="B170" s="2" t="s">
        <v>62</v>
      </c>
      <c r="C170" s="3" t="s">
        <v>256</v>
      </c>
      <c r="D170" s="3" t="s">
        <v>260</v>
      </c>
      <c r="E170" s="2" t="s">
        <v>165</v>
      </c>
      <c r="F170" s="2"/>
      <c r="G170" s="5">
        <v>46531</v>
      </c>
      <c r="H170" s="5">
        <v>46350.7</v>
      </c>
      <c r="I170" s="4" t="s">
        <v>17</v>
      </c>
      <c r="J170" s="6">
        <f t="shared" si="9"/>
        <v>-180.30000000000291</v>
      </c>
      <c r="K170" s="4" t="str">
        <f t="shared" ca="1" si="10"/>
        <v>No</v>
      </c>
      <c r="L170" s="7">
        <f t="shared" ca="1" si="12"/>
        <v>142.69999999999709</v>
      </c>
      <c r="M170" s="4" t="str">
        <f>IF($I170="Complete","Green",IF($H170="","Amber",IF($H170&lt;'[2]Read Me'!$B$4,"Red",IF($H170-'[2]Read Me'!$B$4&lt;=21,"Amber","Green"))))</f>
        <v>Green</v>
      </c>
      <c r="N170" s="3"/>
      <c r="O170" t="str">
        <f>IF($I170&lt;&gt;"Complete",IF(COUNTIFS($A$4:$A169,$A170,$B$4:$B169,$B170,$I$4:$I169,"&lt;&gt;Complete")=0,$A170&amp;"|"&amp;$B170,""),"")</f>
        <v/>
      </c>
      <c r="P170" t="str">
        <f ca="1">IF($K170="Yes",COUNTIFS($K$4:$K170,"Yes"),"")</f>
        <v/>
      </c>
      <c r="Q170">
        <f t="shared" ca="1" si="11"/>
        <v>0</v>
      </c>
      <c r="R170" t="str">
        <f ca="1">IF($Q170=1,SUM($Q$4:$Q170),"")</f>
        <v/>
      </c>
    </row>
    <row r="171" spans="1:18" ht="33.75" customHeight="1" x14ac:dyDescent="0.3">
      <c r="A171" s="2" t="s">
        <v>244</v>
      </c>
      <c r="B171" s="2" t="s">
        <v>62</v>
      </c>
      <c r="C171" s="3"/>
      <c r="D171" s="3"/>
      <c r="E171" s="2"/>
      <c r="F171" s="2"/>
      <c r="G171" s="5">
        <v>46296.3</v>
      </c>
      <c r="H171" s="5">
        <v>46264</v>
      </c>
      <c r="I171" s="4"/>
      <c r="J171" s="6">
        <f t="shared" si="9"/>
        <v>-32.30000000000291</v>
      </c>
      <c r="K171" s="4" t="str">
        <f t="shared" ca="1" si="10"/>
        <v/>
      </c>
      <c r="L171" s="7">
        <f t="shared" ca="1" si="12"/>
        <v>56</v>
      </c>
      <c r="M171" s="4" t="str">
        <f>IF($I171="Complete","Green",IF($H171="","Amber",IF($H171&lt;'[2]Read Me'!$B$4,"Red",IF($H171-'[2]Read Me'!$B$4&lt;=21,"Amber","Green"))))</f>
        <v>Green</v>
      </c>
      <c r="N171" s="3"/>
      <c r="O171" t="str">
        <f>IF($I171&lt;&gt;"Complete",IF(COUNTIFS($A$4:$A170,$A171,$B$4:$B170,$B171,$I$4:$I170,"&lt;&gt;Complete")=0,$A171&amp;"|"&amp;$B171,""),"")</f>
        <v/>
      </c>
      <c r="P171" t="str">
        <f ca="1">IF($K171="Yes",COUNTIFS($K$4:$K171,"Yes"),"")</f>
        <v/>
      </c>
      <c r="Q171">
        <f t="shared" ca="1" si="11"/>
        <v>0</v>
      </c>
      <c r="R171" t="str">
        <f ca="1">IF($Q171=1,SUM($Q$4:$Q171),"")</f>
        <v/>
      </c>
    </row>
    <row r="172" spans="1:18" ht="33.75" customHeight="1" x14ac:dyDescent="0.3">
      <c r="A172" s="2" t="s">
        <v>244</v>
      </c>
      <c r="B172" s="2" t="s">
        <v>62</v>
      </c>
      <c r="C172" s="3" t="s">
        <v>263</v>
      </c>
      <c r="D172" s="3" t="s">
        <v>15</v>
      </c>
      <c r="E172" s="2" t="s">
        <v>165</v>
      </c>
      <c r="F172" s="2" t="s">
        <v>166</v>
      </c>
      <c r="G172" s="5">
        <v>46236.3</v>
      </c>
      <c r="H172" s="5">
        <v>46204</v>
      </c>
      <c r="I172" s="4" t="s">
        <v>17</v>
      </c>
      <c r="J172" s="6">
        <f t="shared" si="9"/>
        <v>-32.30000000000291</v>
      </c>
      <c r="K172" s="4" t="str">
        <f t="shared" ca="1" si="10"/>
        <v>Yes</v>
      </c>
      <c r="L172" s="7">
        <f t="shared" ca="1" si="12"/>
        <v>-4</v>
      </c>
      <c r="M172" s="4" t="str">
        <f>IF($I172="Complete","Green",IF($H172="","Amber",IF($H172&lt;'[2]Read Me'!$B$4,"Red",IF($H172-'[2]Read Me'!$B$4&lt;=21,"Amber","Green"))))</f>
        <v>Amber</v>
      </c>
      <c r="N172" s="3"/>
      <c r="O172" t="str">
        <f>IF($I172&lt;&gt;"Complete",IF(COUNTIFS($A$4:$A171,$A172,$B$4:$B171,$B172,$I$4:$I171,"&lt;&gt;Complete")=0,$A172&amp;"|"&amp;$B172,""),"")</f>
        <v/>
      </c>
      <c r="P172">
        <f ca="1">IF($K172="Yes",COUNTIFS($K$4:$K172,"Yes"),"")</f>
        <v>18</v>
      </c>
      <c r="Q172">
        <f t="shared" ca="1" si="11"/>
        <v>1</v>
      </c>
      <c r="R172">
        <f ca="1">IF($Q172=1,SUM($Q$4:$Q172),"")</f>
        <v>18</v>
      </c>
    </row>
    <row r="173" spans="1:18" ht="33.75" customHeight="1" x14ac:dyDescent="0.3">
      <c r="A173" s="2" t="s">
        <v>244</v>
      </c>
      <c r="B173" s="2" t="s">
        <v>62</v>
      </c>
      <c r="C173" s="3" t="s">
        <v>263</v>
      </c>
      <c r="D173" s="3" t="s">
        <v>264</v>
      </c>
      <c r="E173" s="2" t="s">
        <v>165</v>
      </c>
      <c r="F173" s="2"/>
      <c r="G173" s="5">
        <v>46243.3</v>
      </c>
      <c r="H173" s="5">
        <v>46211</v>
      </c>
      <c r="I173" s="4" t="s">
        <v>17</v>
      </c>
      <c r="J173" s="6">
        <f t="shared" si="9"/>
        <v>-32.30000000000291</v>
      </c>
      <c r="K173" s="4" t="str">
        <f t="shared" ca="1" si="10"/>
        <v>No</v>
      </c>
      <c r="L173" s="7">
        <f t="shared" ca="1" si="12"/>
        <v>3</v>
      </c>
      <c r="M173" s="4" t="str">
        <f>IF($I173="Complete","Green",IF($H173="","Amber",IF($H173&lt;'[2]Read Me'!$B$4,"Red",IF($H173-'[2]Read Me'!$B$4&lt;=21,"Amber","Green"))))</f>
        <v>Green</v>
      </c>
      <c r="N173" s="3"/>
      <c r="O173" t="str">
        <f>IF($I173&lt;&gt;"Complete",IF(COUNTIFS($A$4:$A172,$A173,$B$4:$B172,$B173,$I$4:$I172,"&lt;&gt;Complete")=0,$A173&amp;"|"&amp;$B173,""),"")</f>
        <v/>
      </c>
      <c r="P173" t="str">
        <f ca="1">IF($K173="Yes",COUNTIFS($K$4:$K173,"Yes"),"")</f>
        <v/>
      </c>
      <c r="Q173">
        <f t="shared" ca="1" si="11"/>
        <v>0</v>
      </c>
      <c r="R173" t="str">
        <f ca="1">IF($Q173=1,SUM($Q$4:$Q173),"")</f>
        <v/>
      </c>
    </row>
    <row r="174" spans="1:18" ht="33.75" customHeight="1" x14ac:dyDescent="0.3">
      <c r="A174" s="2" t="s">
        <v>244</v>
      </c>
      <c r="B174" s="2" t="s">
        <v>62</v>
      </c>
      <c r="C174" s="3" t="s">
        <v>263</v>
      </c>
      <c r="D174" s="3" t="s">
        <v>58</v>
      </c>
      <c r="E174" s="2" t="s">
        <v>165</v>
      </c>
      <c r="F174" s="2" t="s">
        <v>265</v>
      </c>
      <c r="G174" s="5">
        <v>46243.3</v>
      </c>
      <c r="H174" s="5">
        <v>46211</v>
      </c>
      <c r="I174" s="4" t="s">
        <v>17</v>
      </c>
      <c r="J174" s="6">
        <f t="shared" si="9"/>
        <v>-32.30000000000291</v>
      </c>
      <c r="K174" s="4" t="str">
        <f t="shared" ca="1" si="10"/>
        <v>No</v>
      </c>
      <c r="L174" s="7">
        <f t="shared" ca="1" si="12"/>
        <v>3</v>
      </c>
      <c r="M174" s="4" t="str">
        <f>IF($I174="Complete","Green",IF($H174="","Amber",IF($H174&lt;'[2]Read Me'!$B$4,"Red",IF($H174-'[2]Read Me'!$B$4&lt;=21,"Amber","Green"))))</f>
        <v>Green</v>
      </c>
      <c r="N174" s="3"/>
      <c r="O174" t="str">
        <f>IF($I174&lt;&gt;"Complete",IF(COUNTIFS($A$4:$A173,$A174,$B$4:$B173,$B174,$I$4:$I173,"&lt;&gt;Complete")=0,$A174&amp;"|"&amp;$B174,""),"")</f>
        <v/>
      </c>
      <c r="P174" t="str">
        <f ca="1">IF($K174="Yes",COUNTIFS($K$4:$K174,"Yes"),"")</f>
        <v/>
      </c>
      <c r="Q174">
        <f t="shared" ca="1" si="11"/>
        <v>0</v>
      </c>
      <c r="R174" t="str">
        <f ca="1">IF($Q174=1,SUM($Q$4:$Q174),"")</f>
        <v/>
      </c>
    </row>
    <row r="175" spans="1:18" ht="33.75" customHeight="1" x14ac:dyDescent="0.3">
      <c r="A175" s="2" t="s">
        <v>244</v>
      </c>
      <c r="B175" s="2" t="s">
        <v>62</v>
      </c>
      <c r="C175" s="3" t="s">
        <v>263</v>
      </c>
      <c r="D175" s="3" t="s">
        <v>266</v>
      </c>
      <c r="E175" s="2" t="s">
        <v>165</v>
      </c>
      <c r="F175" s="2" t="s">
        <v>166</v>
      </c>
      <c r="G175" s="5">
        <v>46271.3</v>
      </c>
      <c r="H175" s="5">
        <v>46239</v>
      </c>
      <c r="I175" s="4" t="s">
        <v>17</v>
      </c>
      <c r="J175" s="6">
        <f t="shared" si="9"/>
        <v>-32.30000000000291</v>
      </c>
      <c r="K175" s="4" t="str">
        <f t="shared" ca="1" si="10"/>
        <v>No</v>
      </c>
      <c r="L175" s="7">
        <f t="shared" ca="1" si="12"/>
        <v>31</v>
      </c>
      <c r="M175" s="4" t="str">
        <f>IF($I175="Complete","Green",IF($H175="","Amber",IF($H175&lt;'[2]Read Me'!$B$4,"Red",IF($H175-'[2]Read Me'!$B$4&lt;=21,"Amber","Green"))))</f>
        <v>Green</v>
      </c>
      <c r="N175" s="3"/>
      <c r="O175" t="str">
        <f>IF($I175&lt;&gt;"Complete",IF(COUNTIFS($A$4:$A174,$A175,$B$4:$B174,$B175,$I$4:$I174,"&lt;&gt;Complete")=0,$A175&amp;"|"&amp;$B175,""),"")</f>
        <v/>
      </c>
      <c r="P175" t="str">
        <f ca="1">IF($K175="Yes",COUNTIFS($K$4:$K175,"Yes"),"")</f>
        <v/>
      </c>
      <c r="Q175">
        <f t="shared" ca="1" si="11"/>
        <v>0</v>
      </c>
      <c r="R175" t="str">
        <f ca="1">IF($Q175=1,SUM($Q$4:$Q175),"")</f>
        <v/>
      </c>
    </row>
    <row r="176" spans="1:18" ht="22.5" customHeight="1" x14ac:dyDescent="0.3">
      <c r="A176" s="2" t="s">
        <v>244</v>
      </c>
      <c r="B176" s="2" t="s">
        <v>62</v>
      </c>
      <c r="C176" s="3" t="s">
        <v>263</v>
      </c>
      <c r="D176" s="3" t="s">
        <v>267</v>
      </c>
      <c r="E176" s="2" t="s">
        <v>165</v>
      </c>
      <c r="F176" s="2"/>
      <c r="G176" s="5">
        <v>46278.3</v>
      </c>
      <c r="H176" s="5">
        <v>46246</v>
      </c>
      <c r="I176" s="4" t="s">
        <v>17</v>
      </c>
      <c r="J176" s="6">
        <f t="shared" si="9"/>
        <v>-32.30000000000291</v>
      </c>
      <c r="K176" s="4" t="str">
        <f t="shared" ca="1" si="10"/>
        <v>No</v>
      </c>
      <c r="L176" s="7">
        <f t="shared" ca="1" si="12"/>
        <v>38</v>
      </c>
      <c r="M176" s="4" t="str">
        <f>IF($I176="Complete","Green",IF($H176="","Amber",IF($H176&lt;'[2]Read Me'!$B$4,"Red",IF($H176-'[2]Read Me'!$B$4&lt;=21,"Amber","Green"))))</f>
        <v>Green</v>
      </c>
      <c r="N176" s="3"/>
      <c r="O176" t="str">
        <f>IF($I176&lt;&gt;"Complete",IF(COUNTIFS($A$4:$A175,$A176,$B$4:$B175,$B176,$I$4:$I175,"&lt;&gt;Complete")=0,$A176&amp;"|"&amp;$B176,""),"")</f>
        <v/>
      </c>
      <c r="P176" t="str">
        <f ca="1">IF($K176="Yes",COUNTIFS($K$4:$K176,"Yes"),"")</f>
        <v/>
      </c>
      <c r="Q176">
        <f t="shared" ca="1" si="11"/>
        <v>0</v>
      </c>
      <c r="R176" t="str">
        <f ca="1">IF($Q176=1,SUM($Q$4:$Q176),"")</f>
        <v/>
      </c>
    </row>
    <row r="177" spans="1:18" ht="22.5" customHeight="1" x14ac:dyDescent="0.3">
      <c r="A177" s="2" t="s">
        <v>244</v>
      </c>
      <c r="B177" s="2" t="s">
        <v>62</v>
      </c>
      <c r="C177" s="3" t="s">
        <v>263</v>
      </c>
      <c r="D177" s="3" t="s">
        <v>58</v>
      </c>
      <c r="E177" s="2" t="s">
        <v>165</v>
      </c>
      <c r="F177" s="2" t="s">
        <v>265</v>
      </c>
      <c r="G177" s="5">
        <v>46282.3</v>
      </c>
      <c r="H177" s="5">
        <v>46250</v>
      </c>
      <c r="I177" s="4" t="s">
        <v>17</v>
      </c>
      <c r="J177" s="6">
        <f t="shared" si="9"/>
        <v>-32.30000000000291</v>
      </c>
      <c r="K177" s="4" t="str">
        <f t="shared" ca="1" si="10"/>
        <v>No</v>
      </c>
      <c r="L177" s="7">
        <f t="shared" ca="1" si="12"/>
        <v>42</v>
      </c>
      <c r="M177" s="4" t="str">
        <f>IF($I177="Complete","Green",IF($H177="","Amber",IF($H177&lt;'[2]Read Me'!$B$4,"Red",IF($H177-'[2]Read Me'!$B$4&lt;=21,"Amber","Green"))))</f>
        <v>Green</v>
      </c>
      <c r="N177" s="3"/>
      <c r="O177" t="str">
        <f>IF($I177&lt;&gt;"Complete",IF(COUNTIFS($A$4:$A176,$A177,$B$4:$B176,$B177,$I$4:$I176,"&lt;&gt;Complete")=0,$A177&amp;"|"&amp;$B177,""),"")</f>
        <v/>
      </c>
      <c r="P177" t="str">
        <f ca="1">IF($K177="Yes",COUNTIFS($K$4:$K177,"Yes"),"")</f>
        <v/>
      </c>
      <c r="Q177">
        <f t="shared" ca="1" si="11"/>
        <v>0</v>
      </c>
      <c r="R177" t="str">
        <f ca="1">IF($Q177=1,SUM($Q$4:$Q177),"")</f>
        <v/>
      </c>
    </row>
    <row r="178" spans="1:18" ht="22.5" customHeight="1" x14ac:dyDescent="0.3">
      <c r="A178" s="2" t="s">
        <v>244</v>
      </c>
      <c r="B178" s="2" t="s">
        <v>62</v>
      </c>
      <c r="C178" s="3" t="s">
        <v>263</v>
      </c>
      <c r="D178" s="3" t="s">
        <v>268</v>
      </c>
      <c r="E178" s="2" t="s">
        <v>165</v>
      </c>
      <c r="F178" s="2" t="s">
        <v>166</v>
      </c>
      <c r="G178" s="5">
        <v>46296.3</v>
      </c>
      <c r="H178" s="5">
        <v>46264</v>
      </c>
      <c r="I178" s="4" t="s">
        <v>17</v>
      </c>
      <c r="J178" s="6">
        <f t="shared" si="9"/>
        <v>-32.30000000000291</v>
      </c>
      <c r="K178" s="4" t="str">
        <f t="shared" ca="1" si="10"/>
        <v>No</v>
      </c>
      <c r="L178" s="7">
        <f t="shared" ca="1" si="12"/>
        <v>56</v>
      </c>
      <c r="M178" s="4" t="str">
        <f>IF($I178="Complete","Green",IF($H178="","Amber",IF($H178&lt;'[2]Read Me'!$B$4,"Red",IF($H178-'[2]Read Me'!$B$4&lt;=21,"Amber","Green"))))</f>
        <v>Green</v>
      </c>
      <c r="N178" s="3"/>
      <c r="O178" t="str">
        <f>IF($I178&lt;&gt;"Complete",IF(COUNTIFS($A$4:$A177,$A178,$B$4:$B177,$B178,$I$4:$I177,"&lt;&gt;Complete")=0,$A178&amp;"|"&amp;$B178,""),"")</f>
        <v/>
      </c>
      <c r="P178" t="str">
        <f ca="1">IF($K178="Yes",COUNTIFS($K$4:$K178,"Yes"),"")</f>
        <v/>
      </c>
      <c r="Q178">
        <f t="shared" ca="1" si="11"/>
        <v>0</v>
      </c>
      <c r="R178" t="str">
        <f ca="1">IF($Q178=1,SUM($Q$4:$Q178),"")</f>
        <v/>
      </c>
    </row>
    <row r="179" spans="1:18" ht="22.5" customHeight="1" x14ac:dyDescent="0.3">
      <c r="A179" s="2" t="s">
        <v>244</v>
      </c>
      <c r="B179" s="2" t="s">
        <v>140</v>
      </c>
      <c r="C179" s="3"/>
      <c r="D179" s="3"/>
      <c r="E179" s="2"/>
      <c r="F179" s="2"/>
      <c r="G179" s="5">
        <v>46019</v>
      </c>
      <c r="H179" s="5">
        <v>46090</v>
      </c>
      <c r="I179" s="4"/>
      <c r="J179" s="6">
        <f t="shared" si="9"/>
        <v>71</v>
      </c>
      <c r="K179" s="4" t="str">
        <f t="shared" ca="1" si="10"/>
        <v/>
      </c>
      <c r="L179" s="7">
        <f t="shared" ca="1" si="12"/>
        <v>-118</v>
      </c>
      <c r="M179" s="4" t="str">
        <f>IF($I179="Complete","Green",IF($H179="","Amber",IF($H179&lt;'[2]Read Me'!$B$4,"Red",IF($H179-'[2]Read Me'!$B$4&lt;=21,"Amber","Green"))))</f>
        <v>Red</v>
      </c>
      <c r="N179" s="3"/>
      <c r="O179" t="str">
        <f>IF($I179&lt;&gt;"Complete",IF(COUNTIFS($A$4:$A178,$A179,$B$4:$B178,$B179,$I$4:$I178,"&lt;&gt;Complete")=0,$A179&amp;"|"&amp;$B179,""),"")</f>
        <v>IRIS 03|Masterplan</v>
      </c>
      <c r="P179" t="str">
        <f ca="1">IF($K179="Yes",COUNTIFS($K$4:$K179,"Yes"),"")</f>
        <v/>
      </c>
      <c r="Q179">
        <f t="shared" ca="1" si="11"/>
        <v>0</v>
      </c>
      <c r="R179" t="str">
        <f ca="1">IF($Q179=1,SUM($Q$4:$Q179),"")</f>
        <v/>
      </c>
    </row>
    <row r="180" spans="1:18" ht="22.5" customHeight="1" x14ac:dyDescent="0.3">
      <c r="A180" s="2" t="s">
        <v>244</v>
      </c>
      <c r="B180" s="2" t="s">
        <v>140</v>
      </c>
      <c r="C180" s="3" t="s">
        <v>269</v>
      </c>
      <c r="D180" s="3" t="s">
        <v>15</v>
      </c>
      <c r="E180" s="2" t="s">
        <v>165</v>
      </c>
      <c r="F180" s="2" t="s">
        <v>270</v>
      </c>
      <c r="G180" s="5">
        <v>45959</v>
      </c>
      <c r="H180" s="5"/>
      <c r="I180" s="4" t="s">
        <v>17</v>
      </c>
      <c r="J180" s="6" t="str">
        <f t="shared" si="9"/>
        <v/>
      </c>
      <c r="K180" s="4" t="str">
        <f t="shared" ca="1" si="10"/>
        <v/>
      </c>
      <c r="L180" s="7" t="str">
        <f t="shared" ca="1" si="12"/>
        <v/>
      </c>
      <c r="M180" s="4" t="str">
        <f>IF($I180="Complete","Green",IF($H180="","Amber",IF($H180&lt;'[2]Read Me'!$B$4,"Red",IF($H180-'[2]Read Me'!$B$4&lt;=21,"Amber","Green"))))</f>
        <v>Amber</v>
      </c>
      <c r="N180" s="3"/>
      <c r="O180" t="str">
        <f>IF($I180&lt;&gt;"Complete",IF(COUNTIFS($A$4:$A179,$A180,$B$4:$B179,$B180,$I$4:$I179,"&lt;&gt;Complete")=0,$A180&amp;"|"&amp;$B180,""),"")</f>
        <v/>
      </c>
      <c r="P180" t="str">
        <f ca="1">IF($K180="Yes",COUNTIFS($K$4:$K180,"Yes"),"")</f>
        <v/>
      </c>
      <c r="Q180">
        <f t="shared" ca="1" si="11"/>
        <v>0</v>
      </c>
      <c r="R180" t="str">
        <f ca="1">IF($Q180=1,SUM($Q$4:$Q180),"")</f>
        <v/>
      </c>
    </row>
    <row r="181" spans="1:18" ht="22.5" customHeight="1" x14ac:dyDescent="0.3">
      <c r="A181" s="2" t="s">
        <v>244</v>
      </c>
      <c r="B181" s="2" t="s">
        <v>140</v>
      </c>
      <c r="C181" s="3" t="s">
        <v>269</v>
      </c>
      <c r="D181" s="3" t="s">
        <v>210</v>
      </c>
      <c r="E181" s="2" t="s">
        <v>165</v>
      </c>
      <c r="F181" s="2"/>
      <c r="G181" s="5">
        <v>45974</v>
      </c>
      <c r="H181" s="5"/>
      <c r="I181" s="4" t="s">
        <v>17</v>
      </c>
      <c r="J181" s="6" t="str">
        <f t="shared" si="9"/>
        <v/>
      </c>
      <c r="K181" s="4" t="str">
        <f t="shared" ca="1" si="10"/>
        <v/>
      </c>
      <c r="L181" s="7" t="str">
        <f t="shared" ca="1" si="12"/>
        <v/>
      </c>
      <c r="M181" s="4" t="str">
        <f>IF($I181="Complete","Green",IF($H181="","Amber",IF($H181&lt;'[2]Read Me'!$B$4,"Red",IF($H181-'[2]Read Me'!$B$4&lt;=21,"Amber","Green"))))</f>
        <v>Amber</v>
      </c>
      <c r="N181" s="3"/>
      <c r="O181" t="str">
        <f>IF($I181&lt;&gt;"Complete",IF(COUNTIFS($A$4:$A180,$A181,$B$4:$B180,$B181,$I$4:$I180,"&lt;&gt;Complete")=0,$A181&amp;"|"&amp;$B181,""),"")</f>
        <v/>
      </c>
      <c r="P181" t="str">
        <f ca="1">IF($K181="Yes",COUNTIFS($K$4:$K181,"Yes"),"")</f>
        <v/>
      </c>
      <c r="Q181">
        <f t="shared" ca="1" si="11"/>
        <v>0</v>
      </c>
      <c r="R181" t="str">
        <f ca="1">IF($Q181=1,SUM($Q$4:$Q181),"")</f>
        <v/>
      </c>
    </row>
    <row r="182" spans="1:18" ht="22.5" customHeight="1" x14ac:dyDescent="0.3">
      <c r="A182" s="2" t="s">
        <v>244</v>
      </c>
      <c r="B182" s="2" t="s">
        <v>140</v>
      </c>
      <c r="C182" s="3" t="s">
        <v>269</v>
      </c>
      <c r="D182" s="3" t="s">
        <v>271</v>
      </c>
      <c r="E182" s="2" t="s">
        <v>165</v>
      </c>
      <c r="F182" s="2" t="s">
        <v>270</v>
      </c>
      <c r="G182" s="5">
        <v>45959</v>
      </c>
      <c r="H182" s="5"/>
      <c r="I182" s="4" t="s">
        <v>17</v>
      </c>
      <c r="J182" s="6" t="str">
        <f t="shared" si="9"/>
        <v/>
      </c>
      <c r="K182" s="4" t="str">
        <f t="shared" ca="1" si="10"/>
        <v/>
      </c>
      <c r="L182" s="7" t="str">
        <f t="shared" ca="1" si="12"/>
        <v/>
      </c>
      <c r="M182" s="4" t="str">
        <f>IF($I182="Complete","Green",IF($H182="","Amber",IF($H182&lt;'[2]Read Me'!$B$4,"Red",IF($H182-'[2]Read Me'!$B$4&lt;=21,"Amber","Green"))))</f>
        <v>Amber</v>
      </c>
      <c r="N182" s="3"/>
      <c r="O182" t="str">
        <f>IF($I182&lt;&gt;"Complete",IF(COUNTIFS($A$4:$A181,$A182,$B$4:$B181,$B182,$I$4:$I181,"&lt;&gt;Complete")=0,$A182&amp;"|"&amp;$B182,""),"")</f>
        <v/>
      </c>
      <c r="P182" t="str">
        <f ca="1">IF($K182="Yes",COUNTIFS($K$4:$K182,"Yes"),"")</f>
        <v/>
      </c>
      <c r="Q182">
        <f t="shared" ca="1" si="11"/>
        <v>0</v>
      </c>
      <c r="R182" t="str">
        <f ca="1">IF($Q182=1,SUM($Q$4:$Q182),"")</f>
        <v/>
      </c>
    </row>
    <row r="183" spans="1:18" ht="22.5" customHeight="1" x14ac:dyDescent="0.3">
      <c r="A183" s="2" t="s">
        <v>244</v>
      </c>
      <c r="B183" s="2" t="s">
        <v>140</v>
      </c>
      <c r="C183" s="3" t="s">
        <v>269</v>
      </c>
      <c r="D183" s="3" t="s">
        <v>259</v>
      </c>
      <c r="E183" s="2" t="s">
        <v>165</v>
      </c>
      <c r="F183" s="2" t="s">
        <v>270</v>
      </c>
      <c r="G183" s="5">
        <v>46004</v>
      </c>
      <c r="H183" s="5">
        <v>46083</v>
      </c>
      <c r="I183" s="4" t="s">
        <v>31</v>
      </c>
      <c r="J183" s="6">
        <f t="shared" si="9"/>
        <v>79</v>
      </c>
      <c r="K183" s="4" t="str">
        <f t="shared" ca="1" si="10"/>
        <v>-</v>
      </c>
      <c r="L183" s="7">
        <f t="shared" ca="1" si="12"/>
        <v>0</v>
      </c>
      <c r="M183" s="4" t="str">
        <f>IF($I183="Complete","Green",IF($H183="","Amber",IF($H183&lt;'[2]Read Me'!$B$4,"Red",IF($H183-'[2]Read Me'!$B$4&lt;=21,"Amber","Green"))))</f>
        <v>Red</v>
      </c>
      <c r="N183" s="3"/>
      <c r="O183" t="str">
        <f>IF($I183&lt;&gt;"Complete",IF(COUNTIFS($A$4:$A182,$A183,$B$4:$B182,$B183,$I$4:$I182,"&lt;&gt;Complete")=0,$A183&amp;"|"&amp;$B183,""),"")</f>
        <v/>
      </c>
      <c r="P183" t="str">
        <f ca="1">IF($K183="Yes",COUNTIFS($K$4:$K183,"Yes"),"")</f>
        <v/>
      </c>
      <c r="Q183">
        <f t="shared" ca="1" si="11"/>
        <v>0</v>
      </c>
      <c r="R183" t="str">
        <f ca="1">IF($Q183=1,SUM($Q$4:$Q183),"")</f>
        <v/>
      </c>
    </row>
    <row r="184" spans="1:18" ht="22.5" customHeight="1" x14ac:dyDescent="0.3">
      <c r="A184" s="2" t="s">
        <v>244</v>
      </c>
      <c r="B184" s="2" t="s">
        <v>140</v>
      </c>
      <c r="C184" s="3" t="s">
        <v>269</v>
      </c>
      <c r="D184" s="3" t="s">
        <v>260</v>
      </c>
      <c r="E184" s="2" t="s">
        <v>165</v>
      </c>
      <c r="F184" s="2"/>
      <c r="G184" s="5">
        <v>46019</v>
      </c>
      <c r="H184" s="5">
        <v>46090</v>
      </c>
      <c r="I184" s="4" t="s">
        <v>31</v>
      </c>
      <c r="J184" s="6">
        <f t="shared" si="9"/>
        <v>71</v>
      </c>
      <c r="K184" s="4" t="str">
        <f t="shared" ca="1" si="10"/>
        <v>-</v>
      </c>
      <c r="L184" s="7">
        <f t="shared" ca="1" si="12"/>
        <v>0</v>
      </c>
      <c r="M184" s="4" t="str">
        <f>IF($I184="Complete","Green",IF($H184="","Amber",IF($H184&lt;'[2]Read Me'!$B$4,"Red",IF($H184-'[2]Read Me'!$B$4&lt;=21,"Amber","Green"))))</f>
        <v>Red</v>
      </c>
      <c r="N184" s="3"/>
      <c r="O184" t="str">
        <f>IF($I184&lt;&gt;"Complete",IF(COUNTIFS($A$4:$A183,$A184,$B$4:$B183,$B184,$I$4:$I183,"&lt;&gt;Complete")=0,$A184&amp;"|"&amp;$B184,""),"")</f>
        <v/>
      </c>
      <c r="P184" t="str">
        <f ca="1">IF($K184="Yes",COUNTIFS($K$4:$K184,"Yes"),"")</f>
        <v/>
      </c>
      <c r="Q184">
        <f t="shared" ca="1" si="11"/>
        <v>0</v>
      </c>
      <c r="R184" t="str">
        <f ca="1">IF($Q184=1,SUM($Q$4:$Q184),"")</f>
        <v/>
      </c>
    </row>
    <row r="185" spans="1:18" ht="22.5" customHeight="1" x14ac:dyDescent="0.3">
      <c r="A185" s="2" t="s">
        <v>244</v>
      </c>
      <c r="B185" s="2" t="s">
        <v>171</v>
      </c>
      <c r="C185" s="3"/>
      <c r="D185" s="3"/>
      <c r="E185" s="2"/>
      <c r="F185" s="2"/>
      <c r="G185" s="5">
        <v>46576</v>
      </c>
      <c r="H185" s="5">
        <v>46393.7</v>
      </c>
      <c r="I185" s="4"/>
      <c r="J185" s="6">
        <f t="shared" si="9"/>
        <v>-182.30000000000291</v>
      </c>
      <c r="K185" s="4" t="str">
        <f t="shared" ca="1" si="10"/>
        <v/>
      </c>
      <c r="L185" s="7">
        <f t="shared" ca="1" si="12"/>
        <v>185.69999999999709</v>
      </c>
      <c r="M185" s="4" t="str">
        <f>IF($I185="Complete","Green",IF($H185="","Amber",IF($H185&lt;'[2]Read Me'!$B$4,"Red",IF($H185-'[2]Read Me'!$B$4&lt;=21,"Amber","Green"))))</f>
        <v>Green</v>
      </c>
      <c r="N185" s="3"/>
      <c r="O185" t="str">
        <f>IF($I185&lt;&gt;"Complete",IF(COUNTIFS($A$4:$A184,$A185,$B$4:$B184,$B185,$I$4:$I184,"&lt;&gt;Complete")=0,$A185&amp;"|"&amp;$B185,""),"")</f>
        <v>IRIS 03|Infrastructure</v>
      </c>
      <c r="P185" t="str">
        <f ca="1">IF($K185="Yes",COUNTIFS($K$4:$K185,"Yes"),"")</f>
        <v/>
      </c>
      <c r="Q185">
        <f t="shared" ca="1" si="11"/>
        <v>0</v>
      </c>
      <c r="R185" t="str">
        <f ca="1">IF($Q185=1,SUM($Q$4:$Q185),"")</f>
        <v/>
      </c>
    </row>
    <row r="186" spans="1:18" ht="22.5" customHeight="1" x14ac:dyDescent="0.3">
      <c r="A186" s="2" t="s">
        <v>244</v>
      </c>
      <c r="B186" s="2" t="s">
        <v>171</v>
      </c>
      <c r="C186" s="3" t="s">
        <v>272</v>
      </c>
      <c r="D186" s="3" t="s">
        <v>273</v>
      </c>
      <c r="E186" s="2" t="s">
        <v>165</v>
      </c>
      <c r="F186" s="2" t="s">
        <v>176</v>
      </c>
      <c r="G186" s="5">
        <v>46476</v>
      </c>
      <c r="H186" s="5">
        <v>46293.7</v>
      </c>
      <c r="I186" s="4" t="s">
        <v>17</v>
      </c>
      <c r="J186" s="6">
        <f t="shared" si="9"/>
        <v>-182.30000000000291</v>
      </c>
      <c r="K186" s="4" t="str">
        <f t="shared" ca="1" si="10"/>
        <v>No</v>
      </c>
      <c r="L186" s="7">
        <f t="shared" ca="1" si="12"/>
        <v>85.69999999999709</v>
      </c>
      <c r="M186" s="4" t="str">
        <f>IF($I186="Complete","Green",IF($H186="","Amber",IF($H186&lt;'[2]Read Me'!$B$4,"Red",IF($H186-'[2]Read Me'!$B$4&lt;=21,"Amber","Green"))))</f>
        <v>Green</v>
      </c>
      <c r="N186" s="3"/>
      <c r="O186" t="str">
        <f>IF($I186&lt;&gt;"Complete",IF(COUNTIFS($A$4:$A185,$A186,$B$4:$B185,$B186,$I$4:$I185,"&lt;&gt;Complete")=0,$A186&amp;"|"&amp;$B186,""),"")</f>
        <v/>
      </c>
      <c r="P186" t="str">
        <f ca="1">IF($K186="Yes",COUNTIFS($K$4:$K186,"Yes"),"")</f>
        <v/>
      </c>
      <c r="Q186">
        <f t="shared" ca="1" si="11"/>
        <v>0</v>
      </c>
      <c r="R186" t="str">
        <f ca="1">IF($Q186=1,SUM($Q$4:$Q186),"")</f>
        <v/>
      </c>
    </row>
    <row r="187" spans="1:18" ht="22.5" customHeight="1" x14ac:dyDescent="0.3">
      <c r="A187" s="2" t="s">
        <v>244</v>
      </c>
      <c r="B187" s="2" t="s">
        <v>171</v>
      </c>
      <c r="C187" s="3" t="s">
        <v>272</v>
      </c>
      <c r="D187" s="3" t="s">
        <v>274</v>
      </c>
      <c r="E187" s="2" t="s">
        <v>165</v>
      </c>
      <c r="F187" s="2"/>
      <c r="G187" s="5">
        <v>46491</v>
      </c>
      <c r="H187" s="5">
        <v>46308.7</v>
      </c>
      <c r="I187" s="4" t="s">
        <v>17</v>
      </c>
      <c r="J187" s="6">
        <f t="shared" si="9"/>
        <v>-182.30000000000291</v>
      </c>
      <c r="K187" s="4" t="str">
        <f t="shared" ca="1" si="10"/>
        <v>No</v>
      </c>
      <c r="L187" s="7">
        <f t="shared" ca="1" si="12"/>
        <v>100.69999999999709</v>
      </c>
      <c r="M187" s="4" t="str">
        <f>IF($I187="Complete","Green",IF($H187="","Amber",IF($H187&lt;'[2]Read Me'!$B$4,"Red",IF($H187-'[2]Read Me'!$B$4&lt;=21,"Amber","Green"))))</f>
        <v>Green</v>
      </c>
      <c r="N187" s="3"/>
      <c r="O187" t="str">
        <f>IF($I187&lt;&gt;"Complete",IF(COUNTIFS($A$4:$A186,$A187,$B$4:$B186,$B187,$I$4:$I186,"&lt;&gt;Complete")=0,$A187&amp;"|"&amp;$B187,""),"")</f>
        <v/>
      </c>
      <c r="P187" t="str">
        <f ca="1">IF($K187="Yes",COUNTIFS($K$4:$K187,"Yes"),"")</f>
        <v/>
      </c>
      <c r="Q187">
        <f t="shared" ca="1" si="11"/>
        <v>0</v>
      </c>
      <c r="R187" t="str">
        <f ca="1">IF($Q187=1,SUM($Q$4:$Q187),"")</f>
        <v/>
      </c>
    </row>
    <row r="188" spans="1:18" ht="22.5" customHeight="1" x14ac:dyDescent="0.3">
      <c r="A188" s="2" t="s">
        <v>244</v>
      </c>
      <c r="B188" s="2" t="s">
        <v>171</v>
      </c>
      <c r="C188" s="3" t="s">
        <v>272</v>
      </c>
      <c r="D188" s="3" t="s">
        <v>144</v>
      </c>
      <c r="E188" s="2"/>
      <c r="F188" s="2"/>
      <c r="G188" s="5">
        <v>46576</v>
      </c>
      <c r="H188" s="5">
        <v>46393.7</v>
      </c>
      <c r="I188" s="4" t="s">
        <v>17</v>
      </c>
      <c r="J188" s="6">
        <f t="shared" si="9"/>
        <v>-182.30000000000291</v>
      </c>
      <c r="K188" s="4" t="str">
        <f t="shared" ca="1" si="10"/>
        <v>No</v>
      </c>
      <c r="L188" s="7">
        <f t="shared" ca="1" si="12"/>
        <v>185.69999999999709</v>
      </c>
      <c r="M188" s="4" t="str">
        <f>IF($I188="Complete","Green",IF($H188="","Amber",IF($H188&lt;'[2]Read Me'!$B$4,"Red",IF($H188-'[2]Read Me'!$B$4&lt;=21,"Amber","Green"))))</f>
        <v>Green</v>
      </c>
      <c r="N188" s="3"/>
      <c r="O188" t="str">
        <f>IF($I188&lt;&gt;"Complete",IF(COUNTIFS($A$4:$A187,$A188,$B$4:$B187,$B188,$I$4:$I187,"&lt;&gt;Complete")=0,$A188&amp;"|"&amp;$B188,""),"")</f>
        <v/>
      </c>
      <c r="P188" t="str">
        <f ca="1">IF($K188="Yes",COUNTIFS($K$4:$K188,"Yes"),"")</f>
        <v/>
      </c>
      <c r="Q188">
        <f t="shared" ca="1" si="11"/>
        <v>0</v>
      </c>
      <c r="R188" t="str">
        <f ca="1">IF($Q188=1,SUM($Q$4:$Q188),"")</f>
        <v/>
      </c>
    </row>
    <row r="189" spans="1:18" ht="22.5" customHeight="1" x14ac:dyDescent="0.3">
      <c r="A189" s="2" t="s">
        <v>244</v>
      </c>
      <c r="B189" s="2" t="s">
        <v>21</v>
      </c>
      <c r="C189" s="3"/>
      <c r="D189" s="3"/>
      <c r="E189" s="2"/>
      <c r="F189" s="2"/>
      <c r="G189" s="5">
        <v>46680</v>
      </c>
      <c r="H189" s="5">
        <v>46343</v>
      </c>
      <c r="I189" s="4"/>
      <c r="J189" s="6">
        <f t="shared" si="9"/>
        <v>-337</v>
      </c>
      <c r="K189" s="4" t="str">
        <f t="shared" ca="1" si="10"/>
        <v/>
      </c>
      <c r="L189" s="7">
        <f t="shared" ca="1" si="12"/>
        <v>135</v>
      </c>
      <c r="M189" s="4" t="str">
        <f>IF($I189="Complete","Green",IF($H189="","Amber",IF($H189&lt;'[2]Read Me'!$B$4,"Red",IF($H189-'[2]Read Me'!$B$4&lt;=21,"Amber","Green"))))</f>
        <v>Green</v>
      </c>
      <c r="N189" s="3"/>
      <c r="O189" t="str">
        <f>IF($I189&lt;&gt;"Complete",IF(COUNTIFS($A$4:$A188,$A189,$B$4:$B188,$B189,$I$4:$I188,"&lt;&gt;Complete")=0,$A189&amp;"|"&amp;$B189,""),"")</f>
        <v>IRIS 03|Landscape</v>
      </c>
      <c r="P189" t="str">
        <f ca="1">IF($K189="Yes",COUNTIFS($K$4:$K189,"Yes"),"")</f>
        <v/>
      </c>
      <c r="Q189">
        <f t="shared" ca="1" si="11"/>
        <v>0</v>
      </c>
      <c r="R189" t="str">
        <f ca="1">IF($Q189=1,SUM($Q$4:$Q189),"")</f>
        <v/>
      </c>
    </row>
    <row r="190" spans="1:18" ht="22.5" customHeight="1" x14ac:dyDescent="0.3">
      <c r="A190" s="2" t="s">
        <v>244</v>
      </c>
      <c r="B190" s="2" t="s">
        <v>21</v>
      </c>
      <c r="C190" s="3" t="s">
        <v>275</v>
      </c>
      <c r="D190" s="3" t="s">
        <v>276</v>
      </c>
      <c r="E190" s="2" t="s">
        <v>181</v>
      </c>
      <c r="F190" s="2" t="s">
        <v>277</v>
      </c>
      <c r="G190" s="5">
        <v>45943</v>
      </c>
      <c r="H190" s="5">
        <v>45943</v>
      </c>
      <c r="I190" s="4" t="s">
        <v>31</v>
      </c>
      <c r="J190" s="6">
        <f t="shared" si="9"/>
        <v>0</v>
      </c>
      <c r="K190" s="4" t="str">
        <f t="shared" ca="1" si="10"/>
        <v>-</v>
      </c>
      <c r="L190" s="7">
        <f t="shared" ca="1" si="12"/>
        <v>0</v>
      </c>
      <c r="M190" s="4" t="str">
        <f>IF($I190="Complete","Green",IF($H190="","Amber",IF($H190&lt;'[2]Read Me'!$B$4,"Red",IF($H190-'[2]Read Me'!$B$4&lt;=21,"Amber","Green"))))</f>
        <v>Red</v>
      </c>
      <c r="N190" s="3"/>
      <c r="O190" t="str">
        <f>IF($I190&lt;&gt;"Complete",IF(COUNTIFS($A$4:$A189,$A190,$B$4:$B189,$B190,$I$4:$I189,"&lt;&gt;Complete")=0,$A190&amp;"|"&amp;$B190,""),"")</f>
        <v/>
      </c>
      <c r="P190" t="str">
        <f ca="1">IF($K190="Yes",COUNTIFS($K$4:$K190,"Yes"),"")</f>
        <v/>
      </c>
      <c r="Q190">
        <f t="shared" ca="1" si="11"/>
        <v>0</v>
      </c>
      <c r="R190" t="str">
        <f ca="1">IF($Q190=1,SUM($Q$4:$Q190),"")</f>
        <v/>
      </c>
    </row>
    <row r="191" spans="1:18" ht="22.5" customHeight="1" x14ac:dyDescent="0.3">
      <c r="A191" s="2" t="s">
        <v>244</v>
      </c>
      <c r="B191" s="2" t="s">
        <v>21</v>
      </c>
      <c r="C191" s="3" t="s">
        <v>275</v>
      </c>
      <c r="D191" s="3" t="s">
        <v>210</v>
      </c>
      <c r="E191" s="2" t="s">
        <v>181</v>
      </c>
      <c r="F191" s="2"/>
      <c r="G191" s="5">
        <v>45958</v>
      </c>
      <c r="H191" s="5">
        <v>45958</v>
      </c>
      <c r="I191" s="4" t="s">
        <v>31</v>
      </c>
      <c r="J191" s="6">
        <f t="shared" si="9"/>
        <v>0</v>
      </c>
      <c r="K191" s="4" t="str">
        <f t="shared" ca="1" si="10"/>
        <v>-</v>
      </c>
      <c r="L191" s="7">
        <f t="shared" ca="1" si="12"/>
        <v>0</v>
      </c>
      <c r="M191" s="4" t="str">
        <f>IF($I191="Complete","Green",IF($H191="","Amber",IF($H191&lt;'[2]Read Me'!$B$4,"Red",IF($H191-'[2]Read Me'!$B$4&lt;=21,"Amber","Green"))))</f>
        <v>Red</v>
      </c>
      <c r="N191" s="3"/>
      <c r="O191" t="str">
        <f>IF($I191&lt;&gt;"Complete",IF(COUNTIFS($A$4:$A190,$A191,$B$4:$B190,$B191,$I$4:$I190,"&lt;&gt;Complete")=0,$A191&amp;"|"&amp;$B191,""),"")</f>
        <v/>
      </c>
      <c r="P191" t="str">
        <f ca="1">IF($K191="Yes",COUNTIFS($K$4:$K191,"Yes"),"")</f>
        <v/>
      </c>
      <c r="Q191">
        <f t="shared" ca="1" si="11"/>
        <v>0</v>
      </c>
      <c r="R191" t="str">
        <f ca="1">IF($Q191=1,SUM($Q$4:$Q191),"")</f>
        <v/>
      </c>
    </row>
    <row r="192" spans="1:18" ht="33.75" customHeight="1" x14ac:dyDescent="0.3">
      <c r="A192" s="2" t="s">
        <v>244</v>
      </c>
      <c r="B192" s="2" t="s">
        <v>21</v>
      </c>
      <c r="C192" s="3" t="s">
        <v>275</v>
      </c>
      <c r="D192" s="3" t="s">
        <v>278</v>
      </c>
      <c r="E192" s="2" t="s">
        <v>181</v>
      </c>
      <c r="F192" s="2" t="s">
        <v>277</v>
      </c>
      <c r="G192" s="5">
        <v>46438</v>
      </c>
      <c r="H192" s="5">
        <v>46174</v>
      </c>
      <c r="I192" s="4" t="s">
        <v>31</v>
      </c>
      <c r="J192" s="6">
        <f t="shared" si="9"/>
        <v>-264</v>
      </c>
      <c r="K192" s="4" t="str">
        <f t="shared" ca="1" si="10"/>
        <v>-</v>
      </c>
      <c r="L192" s="7">
        <f t="shared" ca="1" si="12"/>
        <v>0</v>
      </c>
      <c r="M192" s="4" t="str">
        <f>IF($I192="Complete","Green",IF($H192="","Amber",IF($H192&lt;'[2]Read Me'!$B$4,"Red",IF($H192-'[2]Read Me'!$B$4&lt;=21,"Amber","Green"))))</f>
        <v>Red</v>
      </c>
      <c r="N192" s="3"/>
      <c r="O192" t="str">
        <f>IF($I192&lt;&gt;"Complete",IF(COUNTIFS($A$4:$A191,$A192,$B$4:$B191,$B192,$I$4:$I191,"&lt;&gt;Complete")=0,$A192&amp;"|"&amp;$B192,""),"")</f>
        <v/>
      </c>
      <c r="P192" t="str">
        <f ca="1">IF($K192="Yes",COUNTIFS($K$4:$K192,"Yes"),"")</f>
        <v/>
      </c>
      <c r="Q192">
        <f t="shared" ca="1" si="11"/>
        <v>0</v>
      </c>
      <c r="R192" t="str">
        <f ca="1">IF($Q192=1,SUM($Q$4:$Q192),"")</f>
        <v/>
      </c>
    </row>
    <row r="193" spans="1:18" ht="33.75" customHeight="1" x14ac:dyDescent="0.3">
      <c r="A193" s="2" t="s">
        <v>244</v>
      </c>
      <c r="B193" s="2" t="s">
        <v>21</v>
      </c>
      <c r="C193" s="3" t="s">
        <v>275</v>
      </c>
      <c r="D193" s="3" t="s">
        <v>210</v>
      </c>
      <c r="E193" s="2" t="s">
        <v>181</v>
      </c>
      <c r="F193" s="2"/>
      <c r="G193" s="5">
        <v>46453</v>
      </c>
      <c r="H193" s="5">
        <v>46198</v>
      </c>
      <c r="I193" s="4" t="s">
        <v>46</v>
      </c>
      <c r="J193" s="6">
        <f t="shared" si="9"/>
        <v>-255</v>
      </c>
      <c r="K193" s="4" t="str">
        <f t="shared" ca="1" si="10"/>
        <v>Yes</v>
      </c>
      <c r="L193" s="7">
        <f t="shared" ca="1" si="12"/>
        <v>-10</v>
      </c>
      <c r="M193" s="4" t="str">
        <f>IF($I193="Complete","Green",IF($H193="","Amber",IF($H193&lt;'[2]Read Me'!$B$4,"Red",IF($H193-'[2]Read Me'!$B$4&lt;=21,"Amber","Green"))))</f>
        <v>Amber</v>
      </c>
      <c r="N193" s="3"/>
      <c r="O193" t="str">
        <f>IF($I193&lt;&gt;"Complete",IF(COUNTIFS($A$4:$A192,$A193,$B$4:$B192,$B193,$I$4:$I192,"&lt;&gt;Complete")=0,$A193&amp;"|"&amp;$B193,""),"")</f>
        <v/>
      </c>
      <c r="P193">
        <f ca="1">IF($K193="Yes",COUNTIFS($K$4:$K193,"Yes"),"")</f>
        <v>19</v>
      </c>
      <c r="Q193">
        <f t="shared" ca="1" si="11"/>
        <v>1</v>
      </c>
      <c r="R193">
        <f ca="1">IF($Q193=1,SUM($Q$4:$Q193),"")</f>
        <v>19</v>
      </c>
    </row>
    <row r="194" spans="1:18" ht="33.75" customHeight="1" x14ac:dyDescent="0.3">
      <c r="A194" s="2" t="s">
        <v>244</v>
      </c>
      <c r="B194" s="2" t="s">
        <v>21</v>
      </c>
      <c r="C194" s="3" t="s">
        <v>275</v>
      </c>
      <c r="D194" s="3" t="s">
        <v>183</v>
      </c>
      <c r="E194" s="2" t="s">
        <v>279</v>
      </c>
      <c r="F194" s="2" t="s">
        <v>81</v>
      </c>
      <c r="G194" s="5">
        <v>46460</v>
      </c>
      <c r="H194" s="5">
        <v>46197</v>
      </c>
      <c r="I194" s="4" t="s">
        <v>17</v>
      </c>
      <c r="J194" s="6">
        <f t="shared" si="9"/>
        <v>-263</v>
      </c>
      <c r="K194" s="4" t="str">
        <f t="shared" ca="1" si="10"/>
        <v>Yes</v>
      </c>
      <c r="L194" s="7">
        <f t="shared" ca="1" si="12"/>
        <v>-11</v>
      </c>
      <c r="M194" s="4" t="str">
        <f>IF($I194="Complete","Green",IF($H194="","Amber",IF($H194&lt;'[2]Read Me'!$B$4,"Red",IF($H194-'[2]Read Me'!$B$4&lt;=21,"Amber","Green"))))</f>
        <v>Amber</v>
      </c>
      <c r="N194" s="3"/>
      <c r="O194" t="str">
        <f>IF($I194&lt;&gt;"Complete",IF(COUNTIFS($A$4:$A193,$A194,$B$4:$B193,$B194,$I$4:$I193,"&lt;&gt;Complete")=0,$A194&amp;"|"&amp;$B194,""),"")</f>
        <v/>
      </c>
      <c r="P194">
        <f ca="1">IF($K194="Yes",COUNTIFS($K$4:$K194,"Yes"),"")</f>
        <v>20</v>
      </c>
      <c r="Q194">
        <f t="shared" ca="1" si="11"/>
        <v>1</v>
      </c>
      <c r="R194">
        <f ca="1">IF($Q194=1,SUM($Q$4:$Q194),"")</f>
        <v>20</v>
      </c>
    </row>
    <row r="195" spans="1:18" ht="33.75" customHeight="1" x14ac:dyDescent="0.3">
      <c r="A195" s="2" t="s">
        <v>244</v>
      </c>
      <c r="B195" s="2" t="s">
        <v>21</v>
      </c>
      <c r="C195" s="3" t="s">
        <v>275</v>
      </c>
      <c r="D195" s="3" t="s">
        <v>280</v>
      </c>
      <c r="E195" s="2" t="s">
        <v>181</v>
      </c>
      <c r="F195" s="2" t="s">
        <v>277</v>
      </c>
      <c r="G195" s="5">
        <v>46482</v>
      </c>
      <c r="H195" s="5">
        <v>46224</v>
      </c>
      <c r="I195" s="4" t="s">
        <v>17</v>
      </c>
      <c r="J195" s="6">
        <f t="shared" si="9"/>
        <v>-258</v>
      </c>
      <c r="K195" s="4" t="str">
        <f t="shared" ca="1" si="10"/>
        <v>No</v>
      </c>
      <c r="L195" s="7">
        <f t="shared" ca="1" si="12"/>
        <v>16</v>
      </c>
      <c r="M195" s="4" t="str">
        <f>IF($I195="Complete","Green",IF($H195="","Amber",IF($H195&lt;'[2]Read Me'!$B$4,"Red",IF($H195-'[2]Read Me'!$B$4&lt;=21,"Amber","Green"))))</f>
        <v>Green</v>
      </c>
      <c r="N195" s="3"/>
      <c r="O195" t="str">
        <f>IF($I195&lt;&gt;"Complete",IF(COUNTIFS($A$4:$A194,$A195,$B$4:$B194,$B195,$I$4:$I194,"&lt;&gt;Complete")=0,$A195&amp;"|"&amp;$B195,""),"")</f>
        <v/>
      </c>
      <c r="P195" t="str">
        <f ca="1">IF($K195="Yes",COUNTIFS($K$4:$K195,"Yes"),"")</f>
        <v/>
      </c>
      <c r="Q195">
        <f t="shared" ca="1" si="11"/>
        <v>0</v>
      </c>
      <c r="R195" t="str">
        <f ca="1">IF($Q195=1,SUM($Q$4:$Q195),"")</f>
        <v/>
      </c>
    </row>
    <row r="196" spans="1:18" ht="33.75" customHeight="1" x14ac:dyDescent="0.3">
      <c r="A196" s="2" t="s">
        <v>244</v>
      </c>
      <c r="B196" s="2" t="s">
        <v>21</v>
      </c>
      <c r="C196" s="3" t="s">
        <v>275</v>
      </c>
      <c r="D196" s="3" t="s">
        <v>210</v>
      </c>
      <c r="E196" s="2" t="s">
        <v>181</v>
      </c>
      <c r="F196" s="2"/>
      <c r="G196" s="5">
        <v>46498</v>
      </c>
      <c r="H196" s="5">
        <v>46240</v>
      </c>
      <c r="I196" s="4" t="s">
        <v>17</v>
      </c>
      <c r="J196" s="6">
        <f t="shared" ref="J196:J259" si="13">IF(OR($G196="",$H196=""),"",$H196-$G196)</f>
        <v>-258</v>
      </c>
      <c r="K196" s="4" t="str">
        <f t="shared" ref="K196:K243" ca="1" si="14">IF(C196="","",IF(H196="","",IF($I196="completed","-",IF($H196&gt;TODAY(),"No","Yes"))))</f>
        <v>No</v>
      </c>
      <c r="L196" s="7">
        <f t="shared" ca="1" si="12"/>
        <v>32</v>
      </c>
      <c r="M196" s="4" t="str">
        <f>IF($I196="Complete","Green",IF($H196="","Amber",IF($H196&lt;'[2]Read Me'!$B$4,"Red",IF($H196-'[2]Read Me'!$B$4&lt;=21,"Amber","Green"))))</f>
        <v>Green</v>
      </c>
      <c r="N196" s="3"/>
      <c r="O196" t="str">
        <f>IF($I196&lt;&gt;"Complete",IF(COUNTIFS($A$4:$A195,$A196,$B$4:$B195,$B196,$I$4:$I195,"&lt;&gt;Complete")=0,$A196&amp;"|"&amp;$B196,""),"")</f>
        <v/>
      </c>
      <c r="P196" t="str">
        <f ca="1">IF($K196="Yes",COUNTIFS($K$4:$K196,"Yes"),"")</f>
        <v/>
      </c>
      <c r="Q196">
        <f t="shared" ref="Q196:Q259" ca="1" si="15">IF(OR($I196="In Progress",$K196="Yes"),1,0)</f>
        <v>0</v>
      </c>
      <c r="R196" t="str">
        <f ca="1">IF($Q196=1,SUM($Q$4:$Q196),"")</f>
        <v/>
      </c>
    </row>
    <row r="197" spans="1:18" ht="22.5" customHeight="1" x14ac:dyDescent="0.3">
      <c r="A197" s="2" t="s">
        <v>244</v>
      </c>
      <c r="B197" s="2" t="s">
        <v>21</v>
      </c>
      <c r="C197" s="3" t="s">
        <v>275</v>
      </c>
      <c r="D197" s="3" t="s">
        <v>281</v>
      </c>
      <c r="E197" s="2" t="s">
        <v>181</v>
      </c>
      <c r="F197" s="2" t="s">
        <v>189</v>
      </c>
      <c r="G197" s="5">
        <v>46512</v>
      </c>
      <c r="H197" s="5">
        <v>46238</v>
      </c>
      <c r="I197" s="4" t="s">
        <v>17</v>
      </c>
      <c r="J197" s="6">
        <f t="shared" si="13"/>
        <v>-274</v>
      </c>
      <c r="K197" s="4" t="str">
        <f t="shared" ca="1" si="14"/>
        <v>No</v>
      </c>
      <c r="L197" s="7">
        <f t="shared" ref="L197:L260" ca="1" si="16">IF(I197="Completed",0,IF(H197="","",H197-TODAY()))</f>
        <v>30</v>
      </c>
      <c r="M197" s="4" t="str">
        <f>IF($I197="Complete","Green",IF($H197="","Amber",IF($H197&lt;'[2]Read Me'!$B$4,"Red",IF($H197-'[2]Read Me'!$B$4&lt;=21,"Amber","Green"))))</f>
        <v>Green</v>
      </c>
      <c r="N197" s="3"/>
      <c r="O197" t="str">
        <f>IF($I197&lt;&gt;"Complete",IF(COUNTIFS($A$4:$A196,$A197,$B$4:$B196,$B197,$I$4:$I196,"&lt;&gt;Complete")=0,$A197&amp;"|"&amp;$B197,""),"")</f>
        <v/>
      </c>
      <c r="P197" t="str">
        <f ca="1">IF($K197="Yes",COUNTIFS($K$4:$K197,"Yes"),"")</f>
        <v/>
      </c>
      <c r="Q197">
        <f t="shared" ca="1" si="15"/>
        <v>0</v>
      </c>
      <c r="R197" t="str">
        <f ca="1">IF($Q197=1,SUM($Q$4:$Q197),"")</f>
        <v/>
      </c>
    </row>
    <row r="198" spans="1:18" ht="22.5" customHeight="1" x14ac:dyDescent="0.3">
      <c r="A198" s="2"/>
      <c r="B198" s="2"/>
      <c r="C198" s="3" t="s">
        <v>275</v>
      </c>
      <c r="D198" s="3" t="s">
        <v>58</v>
      </c>
      <c r="E198" s="2" t="s">
        <v>181</v>
      </c>
      <c r="F198" s="2"/>
      <c r="G198" s="5">
        <v>46526</v>
      </c>
      <c r="H198" s="5">
        <v>46238</v>
      </c>
      <c r="I198" s="4" t="s">
        <v>17</v>
      </c>
      <c r="J198" s="6">
        <f t="shared" si="13"/>
        <v>-288</v>
      </c>
      <c r="K198" s="4" t="str">
        <f t="shared" ca="1" si="14"/>
        <v>No</v>
      </c>
      <c r="L198" s="7">
        <f t="shared" ca="1" si="16"/>
        <v>30</v>
      </c>
      <c r="M198" s="4" t="str">
        <f>IF($I198="Complete","Green",IF($H198="","Amber",IF($H198&lt;'[2]Read Me'!$B$4,"Red",IF($H198-'[2]Read Me'!$B$4&lt;=21,"Amber","Green"))))</f>
        <v>Green</v>
      </c>
      <c r="N198" s="3"/>
      <c r="O198" t="str">
        <f>IF($I198&lt;&gt;"Complete",IF(COUNTIFS($A$4:$A197,$A198,$B$4:$B197,$B198,$I$4:$I197,"&lt;&gt;Complete")=0,$A198&amp;"|"&amp;$B198,""),"")</f>
        <v>|</v>
      </c>
      <c r="P198" t="str">
        <f ca="1">IF($K198="Yes",COUNTIFS($K$4:$K198,"Yes"),"")</f>
        <v/>
      </c>
      <c r="Q198">
        <f t="shared" ca="1" si="15"/>
        <v>0</v>
      </c>
      <c r="R198" t="str">
        <f ca="1">IF($Q198=1,SUM($Q$4:$Q198),"")</f>
        <v/>
      </c>
    </row>
    <row r="199" spans="1:18" ht="22.5" customHeight="1" x14ac:dyDescent="0.3">
      <c r="A199" s="2" t="s">
        <v>244</v>
      </c>
      <c r="B199" s="2" t="s">
        <v>21</v>
      </c>
      <c r="C199" s="3" t="s">
        <v>275</v>
      </c>
      <c r="D199" s="3" t="s">
        <v>282</v>
      </c>
      <c r="E199" s="2" t="s">
        <v>279</v>
      </c>
      <c r="F199" s="2" t="s">
        <v>81</v>
      </c>
      <c r="G199" s="5">
        <v>46526</v>
      </c>
      <c r="H199" s="5">
        <v>46252</v>
      </c>
      <c r="I199" s="4" t="s">
        <v>17</v>
      </c>
      <c r="J199" s="6">
        <f t="shared" si="13"/>
        <v>-274</v>
      </c>
      <c r="K199" s="4" t="str">
        <f t="shared" ca="1" si="14"/>
        <v>No</v>
      </c>
      <c r="L199" s="7">
        <f t="shared" ca="1" si="16"/>
        <v>44</v>
      </c>
      <c r="M199" s="4" t="str">
        <f>IF($I199="Complete","Green",IF($H199="","Amber",IF($H199&lt;'[2]Read Me'!$B$4,"Red",IF($H199-'[2]Read Me'!$B$4&lt;=21,"Amber","Green"))))</f>
        <v>Green</v>
      </c>
      <c r="N199" s="3"/>
      <c r="O199" t="str">
        <f>IF($I199&lt;&gt;"Complete",IF(COUNTIFS($A$4:$A198,$A199,$B$4:$B198,$B199,$I$4:$I198,"&lt;&gt;Complete")=0,$A199&amp;"|"&amp;$B199,""),"")</f>
        <v/>
      </c>
      <c r="P199" t="str">
        <f ca="1">IF($K199="Yes",COUNTIFS($K$4:$K199,"Yes"),"")</f>
        <v/>
      </c>
      <c r="Q199">
        <f t="shared" ca="1" si="15"/>
        <v>0</v>
      </c>
      <c r="R199" t="str">
        <f ca="1">IF($Q199=1,SUM($Q$4:$Q199),"")</f>
        <v/>
      </c>
    </row>
    <row r="200" spans="1:18" ht="22.5" customHeight="1" x14ac:dyDescent="0.3">
      <c r="A200" s="2"/>
      <c r="B200" s="2"/>
      <c r="C200" s="3" t="s">
        <v>275</v>
      </c>
      <c r="D200" s="3" t="s">
        <v>283</v>
      </c>
      <c r="E200" s="2" t="s">
        <v>181</v>
      </c>
      <c r="F200" s="2" t="s">
        <v>189</v>
      </c>
      <c r="G200" s="5">
        <v>46568</v>
      </c>
      <c r="H200" s="5">
        <v>46238</v>
      </c>
      <c r="I200" s="4" t="s">
        <v>17</v>
      </c>
      <c r="J200" s="6">
        <f t="shared" si="13"/>
        <v>-330</v>
      </c>
      <c r="K200" s="4" t="str">
        <f t="shared" ca="1" si="14"/>
        <v>No</v>
      </c>
      <c r="L200" s="7">
        <f t="shared" ca="1" si="16"/>
        <v>30</v>
      </c>
      <c r="M200" s="4" t="str">
        <f>IF($I200="Complete","Green",IF($H200="","Amber",IF($H200&lt;'[2]Read Me'!$B$4,"Red",IF($H200-'[2]Read Me'!$B$4&lt;=21,"Amber","Green"))))</f>
        <v>Green</v>
      </c>
      <c r="N200" s="3"/>
      <c r="O200" t="str">
        <f>IF($I200&lt;&gt;"Complete",IF(COUNTIFS($A$4:$A199,$A200,$B$4:$B199,$B200,$I$4:$I199,"&lt;&gt;Complete")=0,$A200&amp;"|"&amp;$B200,""),"")</f>
        <v>|</v>
      </c>
      <c r="P200" t="str">
        <f ca="1">IF($K200="Yes",COUNTIFS($K$4:$K200,"Yes"),"")</f>
        <v/>
      </c>
      <c r="Q200">
        <f t="shared" ca="1" si="15"/>
        <v>0</v>
      </c>
      <c r="R200" t="str">
        <f ca="1">IF($Q200=1,SUM($Q$4:$Q200),"")</f>
        <v/>
      </c>
    </row>
    <row r="201" spans="1:18" ht="22.5" customHeight="1" x14ac:dyDescent="0.3">
      <c r="A201" s="2"/>
      <c r="B201" s="2"/>
      <c r="C201" s="3" t="s">
        <v>275</v>
      </c>
      <c r="D201" s="3" t="s">
        <v>58</v>
      </c>
      <c r="E201" s="2" t="s">
        <v>181</v>
      </c>
      <c r="F201" s="2"/>
      <c r="G201" s="5">
        <v>46582</v>
      </c>
      <c r="H201" s="5">
        <v>46238</v>
      </c>
      <c r="I201" s="4" t="s">
        <v>17</v>
      </c>
      <c r="J201" s="6">
        <f t="shared" si="13"/>
        <v>-344</v>
      </c>
      <c r="K201" s="4" t="str">
        <f t="shared" ca="1" si="14"/>
        <v>No</v>
      </c>
      <c r="L201" s="7">
        <f t="shared" ca="1" si="16"/>
        <v>30</v>
      </c>
      <c r="M201" s="4" t="str">
        <f>IF($I201="Complete","Green",IF($H201="","Amber",IF($H201&lt;'[2]Read Me'!$B$4,"Red",IF($H201-'[2]Read Me'!$B$4&lt;=21,"Amber","Green"))))</f>
        <v>Green</v>
      </c>
      <c r="N201" s="3"/>
      <c r="O201" t="str">
        <f>IF($I201&lt;&gt;"Complete",IF(COUNTIFS($A$4:$A200,$A201,$B$4:$B200,$B201,$I$4:$I200,"&lt;&gt;Complete")=0,$A201&amp;"|"&amp;$B201,""),"")</f>
        <v>|</v>
      </c>
      <c r="P201" t="str">
        <f ca="1">IF($K201="Yes",COUNTIFS($K$4:$K201,"Yes"),"")</f>
        <v/>
      </c>
      <c r="Q201">
        <f t="shared" ca="1" si="15"/>
        <v>0</v>
      </c>
      <c r="R201" t="str">
        <f ca="1">IF($Q201=1,SUM($Q$4:$Q201),"")</f>
        <v/>
      </c>
    </row>
    <row r="202" spans="1:18" ht="22.5" customHeight="1" x14ac:dyDescent="0.3">
      <c r="A202" s="2" t="s">
        <v>244</v>
      </c>
      <c r="B202" s="2" t="s">
        <v>21</v>
      </c>
      <c r="C202" s="3" t="s">
        <v>275</v>
      </c>
      <c r="D202" s="3" t="s">
        <v>284</v>
      </c>
      <c r="E202" s="2" t="s">
        <v>181</v>
      </c>
      <c r="F202" s="2" t="s">
        <v>189</v>
      </c>
      <c r="G202" s="5">
        <v>46624</v>
      </c>
      <c r="H202" s="5">
        <v>46273</v>
      </c>
      <c r="I202" s="4" t="s">
        <v>17</v>
      </c>
      <c r="J202" s="6">
        <f t="shared" si="13"/>
        <v>-351</v>
      </c>
      <c r="K202" s="4" t="str">
        <f t="shared" ca="1" si="14"/>
        <v>No</v>
      </c>
      <c r="L202" s="7">
        <f t="shared" ca="1" si="16"/>
        <v>65</v>
      </c>
      <c r="M202" s="4" t="str">
        <f>IF($I202="Complete","Green",IF($H202="","Amber",IF($H202&lt;'[2]Read Me'!$B$4,"Red",IF($H202-'[2]Read Me'!$B$4&lt;=21,"Amber","Green"))))</f>
        <v>Green</v>
      </c>
      <c r="N202" s="3"/>
      <c r="O202" t="str">
        <f>IF($I202&lt;&gt;"Complete",IF(COUNTIFS($A$4:$A201,$A202,$B$4:$B201,$B202,$I$4:$I201,"&lt;&gt;Complete")=0,$A202&amp;"|"&amp;$B202,""),"")</f>
        <v/>
      </c>
      <c r="P202" t="str">
        <f ca="1">IF($K202="Yes",COUNTIFS($K$4:$K202,"Yes"),"")</f>
        <v/>
      </c>
      <c r="Q202">
        <f t="shared" ca="1" si="15"/>
        <v>0</v>
      </c>
      <c r="R202" t="str">
        <f ca="1">IF($Q202=1,SUM($Q$4:$Q202),"")</f>
        <v/>
      </c>
    </row>
    <row r="203" spans="1:18" ht="22.5" customHeight="1" x14ac:dyDescent="0.3">
      <c r="A203" s="2" t="s">
        <v>244</v>
      </c>
      <c r="B203" s="2" t="s">
        <v>21</v>
      </c>
      <c r="C203" s="3" t="s">
        <v>275</v>
      </c>
      <c r="D203" s="3" t="s">
        <v>58</v>
      </c>
      <c r="E203" s="2" t="s">
        <v>181</v>
      </c>
      <c r="F203" s="2"/>
      <c r="G203" s="5">
        <v>46638</v>
      </c>
      <c r="H203" s="5">
        <v>46287</v>
      </c>
      <c r="I203" s="4" t="s">
        <v>17</v>
      </c>
      <c r="J203" s="6">
        <f t="shared" si="13"/>
        <v>-351</v>
      </c>
      <c r="K203" s="4" t="str">
        <f t="shared" ca="1" si="14"/>
        <v>No</v>
      </c>
      <c r="L203" s="7">
        <f t="shared" ca="1" si="16"/>
        <v>79</v>
      </c>
      <c r="M203" s="4" t="str">
        <f>IF($I203="Complete","Green",IF($H203="","Amber",IF($H203&lt;'[2]Read Me'!$B$4,"Red",IF($H203-'[2]Read Me'!$B$4&lt;=21,"Amber","Green"))))</f>
        <v>Green</v>
      </c>
      <c r="N203" s="3"/>
      <c r="O203" t="str">
        <f>IF($I203&lt;&gt;"Complete",IF(COUNTIFS($A$4:$A202,$A203,$B$4:$B202,$B203,$I$4:$I202,"&lt;&gt;Complete")=0,$A203&amp;"|"&amp;$B203,""),"")</f>
        <v/>
      </c>
      <c r="P203" t="str">
        <f ca="1">IF($K203="Yes",COUNTIFS($K$4:$K203,"Yes"),"")</f>
        <v/>
      </c>
      <c r="Q203">
        <f t="shared" ca="1" si="15"/>
        <v>0</v>
      </c>
      <c r="R203" t="str">
        <f ca="1">IF($Q203=1,SUM($Q$4:$Q203),"")</f>
        <v/>
      </c>
    </row>
    <row r="204" spans="1:18" ht="33.75" customHeight="1" x14ac:dyDescent="0.3">
      <c r="A204" s="2" t="s">
        <v>244</v>
      </c>
      <c r="B204" s="2" t="s">
        <v>21</v>
      </c>
      <c r="C204" s="3" t="s">
        <v>275</v>
      </c>
      <c r="D204" s="3" t="s">
        <v>282</v>
      </c>
      <c r="E204" s="2" t="s">
        <v>279</v>
      </c>
      <c r="F204" s="2" t="s">
        <v>81</v>
      </c>
      <c r="G204" s="5">
        <v>46645</v>
      </c>
      <c r="H204" s="5">
        <v>46294</v>
      </c>
      <c r="I204" s="4" t="s">
        <v>17</v>
      </c>
      <c r="J204" s="6">
        <f t="shared" si="13"/>
        <v>-351</v>
      </c>
      <c r="K204" s="4" t="str">
        <f t="shared" ca="1" si="14"/>
        <v>No</v>
      </c>
      <c r="L204" s="7">
        <f t="shared" ca="1" si="16"/>
        <v>86</v>
      </c>
      <c r="M204" s="4" t="str">
        <f>IF($I204="Complete","Green",IF($H204="","Amber",IF($H204&lt;'[2]Read Me'!$B$4,"Red",IF($H204-'[2]Read Me'!$B$4&lt;=21,"Amber","Green"))))</f>
        <v>Green</v>
      </c>
      <c r="N204" s="3"/>
      <c r="O204" t="str">
        <f>IF($I204&lt;&gt;"Complete",IF(COUNTIFS($A$4:$A203,$A204,$B$4:$B203,$B204,$I$4:$I203,"&lt;&gt;Complete")=0,$A204&amp;"|"&amp;$B204,""),"")</f>
        <v/>
      </c>
      <c r="P204" t="str">
        <f ca="1">IF($K204="Yes",COUNTIFS($K$4:$K204,"Yes"),"")</f>
        <v/>
      </c>
      <c r="Q204">
        <f t="shared" ca="1" si="15"/>
        <v>0</v>
      </c>
      <c r="R204" t="str">
        <f ca="1">IF($Q204=1,SUM($Q$4:$Q204),"")</f>
        <v/>
      </c>
    </row>
    <row r="205" spans="1:18" ht="33.75" customHeight="1" x14ac:dyDescent="0.3">
      <c r="A205" s="2" t="s">
        <v>244</v>
      </c>
      <c r="B205" s="2" t="s">
        <v>21</v>
      </c>
      <c r="C205" s="3" t="s">
        <v>275</v>
      </c>
      <c r="D205" s="3" t="s">
        <v>285</v>
      </c>
      <c r="E205" s="2" t="s">
        <v>181</v>
      </c>
      <c r="F205" s="2" t="s">
        <v>189</v>
      </c>
      <c r="G205" s="5">
        <v>46666</v>
      </c>
      <c r="H205" s="5">
        <v>46329</v>
      </c>
      <c r="I205" s="4" t="s">
        <v>17</v>
      </c>
      <c r="J205" s="6">
        <f t="shared" si="13"/>
        <v>-337</v>
      </c>
      <c r="K205" s="4" t="str">
        <f t="shared" ca="1" si="14"/>
        <v>No</v>
      </c>
      <c r="L205" s="7">
        <f t="shared" ca="1" si="16"/>
        <v>121</v>
      </c>
      <c r="M205" s="4" t="str">
        <f>IF($I205="Complete","Green",IF($H205="","Amber",IF($H205&lt;'[2]Read Me'!$B$4,"Red",IF($H205-'[2]Read Me'!$B$4&lt;=21,"Amber","Green"))))</f>
        <v>Green</v>
      </c>
      <c r="N205" s="3"/>
      <c r="O205" t="str">
        <f>IF($I205&lt;&gt;"Complete",IF(COUNTIFS($A$4:$A204,$A205,$B$4:$B204,$B205,$I$4:$I204,"&lt;&gt;Complete")=0,$A205&amp;"|"&amp;$B205,""),"")</f>
        <v/>
      </c>
      <c r="P205" t="str">
        <f ca="1">IF($K205="Yes",COUNTIFS($K$4:$K205,"Yes"),"")</f>
        <v/>
      </c>
      <c r="Q205">
        <f t="shared" ca="1" si="15"/>
        <v>0</v>
      </c>
      <c r="R205" t="str">
        <f ca="1">IF($Q205=1,SUM($Q$4:$Q205),"")</f>
        <v/>
      </c>
    </row>
    <row r="206" spans="1:18" ht="33.75" customHeight="1" x14ac:dyDescent="0.3">
      <c r="A206" s="2" t="s">
        <v>244</v>
      </c>
      <c r="B206" s="2" t="s">
        <v>21</v>
      </c>
      <c r="C206" s="3" t="s">
        <v>275</v>
      </c>
      <c r="D206" s="3" t="s">
        <v>58</v>
      </c>
      <c r="E206" s="2" t="s">
        <v>181</v>
      </c>
      <c r="F206" s="2"/>
      <c r="G206" s="5">
        <v>46680</v>
      </c>
      <c r="H206" s="5">
        <v>46343</v>
      </c>
      <c r="I206" s="4" t="s">
        <v>17</v>
      </c>
      <c r="J206" s="6">
        <f t="shared" si="13"/>
        <v>-337</v>
      </c>
      <c r="K206" s="4" t="str">
        <f t="shared" ca="1" si="14"/>
        <v>No</v>
      </c>
      <c r="L206" s="7">
        <f t="shared" ca="1" si="16"/>
        <v>135</v>
      </c>
      <c r="M206" s="4" t="str">
        <f>IF($I206="Complete","Green",IF($H206="","Amber",IF($H206&lt;'[2]Read Me'!$B$4,"Red",IF($H206-'[2]Read Me'!$B$4&lt;=21,"Amber","Green"))))</f>
        <v>Green</v>
      </c>
      <c r="N206" s="3"/>
      <c r="O206" t="str">
        <f>IF($I206&lt;&gt;"Complete",IF(COUNTIFS($A$4:$A205,$A206,$B$4:$B205,$B206,$I$4:$I205,"&lt;&gt;Complete")=0,$A206&amp;"|"&amp;$B206,""),"")</f>
        <v/>
      </c>
      <c r="P206" t="str">
        <f ca="1">IF($K206="Yes",COUNTIFS($K$4:$K206,"Yes"),"")</f>
        <v/>
      </c>
      <c r="Q206">
        <f t="shared" ca="1" si="15"/>
        <v>0</v>
      </c>
      <c r="R206" t="str">
        <f ca="1">IF($Q206=1,SUM($Q$4:$Q206),"")</f>
        <v/>
      </c>
    </row>
    <row r="207" spans="1:18" ht="33.75" customHeight="1" x14ac:dyDescent="0.3">
      <c r="A207" s="2" t="s">
        <v>244</v>
      </c>
      <c r="B207" s="2" t="s">
        <v>49</v>
      </c>
      <c r="C207" s="3"/>
      <c r="D207" s="3"/>
      <c r="E207" s="2"/>
      <c r="F207" s="2"/>
      <c r="G207" s="5">
        <v>46554</v>
      </c>
      <c r="H207" s="5">
        <v>46414</v>
      </c>
      <c r="I207" s="4"/>
      <c r="J207" s="6">
        <f t="shared" si="13"/>
        <v>-140</v>
      </c>
      <c r="K207" s="4" t="str">
        <f t="shared" ca="1" si="14"/>
        <v/>
      </c>
      <c r="L207" s="7">
        <f t="shared" ca="1" si="16"/>
        <v>206</v>
      </c>
      <c r="M207" s="4" t="str">
        <f>IF($I207="Complete","Green",IF($H207="","Amber",IF($H207&lt;'[2]Read Me'!$B$4,"Red",IF($H207-'[2]Read Me'!$B$4&lt;=21,"Amber","Green"))))</f>
        <v>Green</v>
      </c>
      <c r="N207" s="3"/>
      <c r="O207" t="str">
        <f>IF($I207&lt;&gt;"Complete",IF(COUNTIFS($A$4:$A206,$A207,$B$4:$B206,$B207,$I$4:$I206,"&lt;&gt;Complete")=0,$A207&amp;"|"&amp;$B207,""),"")</f>
        <v>IRIS 03|Authorities</v>
      </c>
      <c r="P207" t="str">
        <f ca="1">IF($K207="Yes",COUNTIFS($K$4:$K207,"Yes"),"")</f>
        <v/>
      </c>
      <c r="Q207">
        <f t="shared" ca="1" si="15"/>
        <v>0</v>
      </c>
      <c r="R207" t="str">
        <f ca="1">IF($Q207=1,SUM($Q$4:$Q207),"")</f>
        <v/>
      </c>
    </row>
    <row r="208" spans="1:18" ht="33.75" customHeight="1" x14ac:dyDescent="0.3">
      <c r="A208" s="2" t="s">
        <v>244</v>
      </c>
      <c r="B208" s="2" t="s">
        <v>49</v>
      </c>
      <c r="C208" s="3" t="s">
        <v>286</v>
      </c>
      <c r="D208" s="3" t="s">
        <v>287</v>
      </c>
      <c r="E208" s="2" t="s">
        <v>104</v>
      </c>
      <c r="F208" s="2"/>
      <c r="G208" s="5">
        <v>46071</v>
      </c>
      <c r="H208" s="5">
        <v>46330</v>
      </c>
      <c r="I208" s="4" t="s">
        <v>17</v>
      </c>
      <c r="J208" s="6">
        <f t="shared" si="13"/>
        <v>259</v>
      </c>
      <c r="K208" s="4" t="str">
        <f t="shared" ca="1" si="14"/>
        <v>No</v>
      </c>
      <c r="L208" s="7">
        <f t="shared" ca="1" si="16"/>
        <v>122</v>
      </c>
      <c r="M208" s="4" t="str">
        <f>IF($I208="Complete","Green",IF($H208="","Amber",IF($H208&lt;'[2]Read Me'!$B$4,"Red",IF($H208-'[2]Read Me'!$B$4&lt;=21,"Amber","Green"))))</f>
        <v>Green</v>
      </c>
      <c r="N208" s="3"/>
      <c r="O208" t="str">
        <f>IF($I208&lt;&gt;"Complete",IF(COUNTIFS($A$4:$A207,$A208,$B$4:$B207,$B208,$I$4:$I207,"&lt;&gt;Complete")=0,$A208&amp;"|"&amp;$B208,""),"")</f>
        <v/>
      </c>
      <c r="P208" t="str">
        <f ca="1">IF($K208="Yes",COUNTIFS($K$4:$K208,"Yes"),"")</f>
        <v/>
      </c>
      <c r="Q208">
        <f t="shared" ca="1" si="15"/>
        <v>0</v>
      </c>
      <c r="R208" t="str">
        <f ca="1">IF($Q208=1,SUM($Q$4:$Q208),"")</f>
        <v/>
      </c>
    </row>
    <row r="209" spans="1:18" ht="33.75" customHeight="1" x14ac:dyDescent="0.3">
      <c r="A209" s="2" t="s">
        <v>244</v>
      </c>
      <c r="B209" s="2" t="s">
        <v>49</v>
      </c>
      <c r="C209" s="3" t="s">
        <v>286</v>
      </c>
      <c r="D209" s="3" t="s">
        <v>288</v>
      </c>
      <c r="E209" s="2" t="s">
        <v>104</v>
      </c>
      <c r="F209" s="2"/>
      <c r="G209" s="5">
        <v>46512</v>
      </c>
      <c r="H209" s="5">
        <v>46372</v>
      </c>
      <c r="I209" s="4" t="s">
        <v>17</v>
      </c>
      <c r="J209" s="6">
        <f t="shared" si="13"/>
        <v>-140</v>
      </c>
      <c r="K209" s="4" t="str">
        <f t="shared" ca="1" si="14"/>
        <v>No</v>
      </c>
      <c r="L209" s="7">
        <f t="shared" ca="1" si="16"/>
        <v>164</v>
      </c>
      <c r="M209" s="4" t="str">
        <f>IF($I209="Complete","Green",IF($H209="","Amber",IF($H209&lt;'[2]Read Me'!$B$4,"Red",IF($H209-'[2]Read Me'!$B$4&lt;=21,"Amber","Green"))))</f>
        <v>Green</v>
      </c>
      <c r="N209" s="3"/>
      <c r="O209" t="str">
        <f>IF($I209&lt;&gt;"Complete",IF(COUNTIFS($A$4:$A208,$A209,$B$4:$B208,$B209,$I$4:$I208,"&lt;&gt;Complete")=0,$A209&amp;"|"&amp;$B209,""),"")</f>
        <v/>
      </c>
      <c r="P209" t="str">
        <f ca="1">IF($K209="Yes",COUNTIFS($K$4:$K209,"Yes"),"")</f>
        <v/>
      </c>
      <c r="Q209">
        <f t="shared" ca="1" si="15"/>
        <v>0</v>
      </c>
      <c r="R209" t="str">
        <f ca="1">IF($Q209=1,SUM($Q$4:$Q209),"")</f>
        <v/>
      </c>
    </row>
    <row r="210" spans="1:18" ht="33.75" customHeight="1" x14ac:dyDescent="0.3">
      <c r="A210" s="2" t="s">
        <v>244</v>
      </c>
      <c r="B210" s="2" t="s">
        <v>49</v>
      </c>
      <c r="C210" s="3" t="s">
        <v>286</v>
      </c>
      <c r="D210" s="3" t="s">
        <v>289</v>
      </c>
      <c r="E210" s="2" t="s">
        <v>104</v>
      </c>
      <c r="F210" s="2"/>
      <c r="G210" s="5">
        <v>46554</v>
      </c>
      <c r="H210" s="5">
        <v>46414</v>
      </c>
      <c r="I210" s="4" t="s">
        <v>17</v>
      </c>
      <c r="J210" s="6">
        <f t="shared" si="13"/>
        <v>-140</v>
      </c>
      <c r="K210" s="4" t="str">
        <f t="shared" ca="1" si="14"/>
        <v>No</v>
      </c>
      <c r="L210" s="7">
        <f t="shared" ca="1" si="16"/>
        <v>206</v>
      </c>
      <c r="M210" s="4" t="str">
        <f>IF($I210="Complete","Green",IF($H210="","Amber",IF($H210&lt;'[2]Read Me'!$B$4,"Red",IF($H210-'[2]Read Me'!$B$4&lt;=21,"Amber","Green"))))</f>
        <v>Green</v>
      </c>
      <c r="N210" s="3"/>
      <c r="O210" t="str">
        <f>IF($I210&lt;&gt;"Complete",IF(COUNTIFS($A$4:$A209,$A210,$B$4:$B209,$B210,$I$4:$I209,"&lt;&gt;Complete")=0,$A210&amp;"|"&amp;$B210,""),"")</f>
        <v/>
      </c>
      <c r="P210" t="str">
        <f ca="1">IF($K210="Yes",COUNTIFS($K$4:$K210,"Yes"),"")</f>
        <v/>
      </c>
      <c r="Q210">
        <f t="shared" ca="1" si="15"/>
        <v>0</v>
      </c>
      <c r="R210" t="str">
        <f ca="1">IF($Q210=1,SUM($Q$4:$Q210),"")</f>
        <v/>
      </c>
    </row>
    <row r="211" spans="1:18" ht="22.5" customHeight="1" x14ac:dyDescent="0.3">
      <c r="A211" s="2" t="s">
        <v>244</v>
      </c>
      <c r="B211" s="2" t="s">
        <v>186</v>
      </c>
      <c r="C211" s="3"/>
      <c r="D211" s="3"/>
      <c r="E211" s="2"/>
      <c r="F211" s="2"/>
      <c r="G211" s="5"/>
      <c r="H211" s="5">
        <v>46219</v>
      </c>
      <c r="I211" s="4"/>
      <c r="J211" s="6" t="str">
        <f t="shared" si="13"/>
        <v/>
      </c>
      <c r="K211" s="4" t="str">
        <f t="shared" ca="1" si="14"/>
        <v/>
      </c>
      <c r="L211" s="7">
        <f t="shared" ca="1" si="16"/>
        <v>11</v>
      </c>
      <c r="M211" s="4" t="str">
        <f>IF($I211="Complete","Green",IF($H211="","Amber",IF($H211&lt;'[2]Read Me'!$B$4,"Red",IF($H211-'[2]Read Me'!$B$4&lt;=21,"Amber","Green"))))</f>
        <v>Green</v>
      </c>
      <c r="N211" s="3"/>
      <c r="O211" t="str">
        <f>IF($I211&lt;&gt;"Complete",IF(COUNTIFS($A$4:$A210,$A211,$B$4:$B210,$B211,$I$4:$I210,"&lt;&gt;Complete")=0,$A211&amp;"|"&amp;$B211,""),"")</f>
        <v>IRIS 03|Plot Fences</v>
      </c>
      <c r="P211" t="str">
        <f ca="1">IF($K211="Yes",COUNTIFS($K$4:$K211,"Yes"),"")</f>
        <v/>
      </c>
      <c r="Q211">
        <f t="shared" ca="1" si="15"/>
        <v>0</v>
      </c>
      <c r="R211" t="str">
        <f ca="1">IF($Q211=1,SUM($Q$4:$Q211),"")</f>
        <v/>
      </c>
    </row>
    <row r="212" spans="1:18" ht="22.5" customHeight="1" x14ac:dyDescent="0.3">
      <c r="A212" s="2" t="s">
        <v>244</v>
      </c>
      <c r="B212" s="2" t="s">
        <v>186</v>
      </c>
      <c r="C212" s="3" t="s">
        <v>290</v>
      </c>
      <c r="D212" s="3" t="s">
        <v>16</v>
      </c>
      <c r="E212" s="2" t="s">
        <v>291</v>
      </c>
      <c r="F212" s="2"/>
      <c r="G212" s="5"/>
      <c r="H212" s="5">
        <v>46212</v>
      </c>
      <c r="I212" s="4" t="s">
        <v>17</v>
      </c>
      <c r="J212" s="6" t="str">
        <f t="shared" si="13"/>
        <v/>
      </c>
      <c r="K212" s="4" t="str">
        <f t="shared" ca="1" si="14"/>
        <v>No</v>
      </c>
      <c r="L212" s="7">
        <f t="shared" ca="1" si="16"/>
        <v>4</v>
      </c>
      <c r="M212" s="4" t="str">
        <f>IF($I212="Complete","Green",IF($H212="","Amber",IF($H212&lt;'[2]Read Me'!$B$4,"Red",IF($H212-'[2]Read Me'!$B$4&lt;=21,"Amber","Green"))))</f>
        <v>Green</v>
      </c>
      <c r="N212" s="3"/>
      <c r="O212" t="str">
        <f>IF($I212&lt;&gt;"Complete",IF(COUNTIFS($A$4:$A211,$A212,$B$4:$B211,$B212,$I$4:$I211,"&lt;&gt;Complete")=0,$A212&amp;"|"&amp;$B212,""),"")</f>
        <v/>
      </c>
      <c r="P212" t="str">
        <f ca="1">IF($K212="Yes",COUNTIFS($K$4:$K212,"Yes"),"")</f>
        <v/>
      </c>
      <c r="Q212">
        <f t="shared" ca="1" si="15"/>
        <v>0</v>
      </c>
      <c r="R212" t="str">
        <f ca="1">IF($Q212=1,SUM($Q$4:$Q212),"")</f>
        <v/>
      </c>
    </row>
    <row r="213" spans="1:18" ht="22.5" customHeight="1" x14ac:dyDescent="0.3">
      <c r="A213" s="2" t="s">
        <v>244</v>
      </c>
      <c r="B213" s="2" t="s">
        <v>186</v>
      </c>
      <c r="C213" s="3" t="s">
        <v>290</v>
      </c>
      <c r="D213" s="3" t="s">
        <v>58</v>
      </c>
      <c r="E213" s="2"/>
      <c r="F213" s="2"/>
      <c r="G213" s="5"/>
      <c r="H213" s="5">
        <v>46219</v>
      </c>
      <c r="I213" s="4" t="s">
        <v>17</v>
      </c>
      <c r="J213" s="6" t="str">
        <f t="shared" si="13"/>
        <v/>
      </c>
      <c r="K213" s="4" t="str">
        <f t="shared" ca="1" si="14"/>
        <v>No</v>
      </c>
      <c r="L213" s="7">
        <f t="shared" ca="1" si="16"/>
        <v>11</v>
      </c>
      <c r="M213" s="4" t="str">
        <f>IF($I213="Complete","Green",IF($H213="","Amber",IF($H213&lt;'[2]Read Me'!$B$4,"Red",IF($H213-'[2]Read Me'!$B$4&lt;=21,"Amber","Green"))))</f>
        <v>Green</v>
      </c>
      <c r="N213" s="3"/>
      <c r="O213" t="str">
        <f>IF($I213&lt;&gt;"Complete",IF(COUNTIFS($A$4:$A212,$A213,$B$4:$B212,$B213,$I$4:$I212,"&lt;&gt;Complete")=0,$A213&amp;"|"&amp;$B213,""),"")</f>
        <v/>
      </c>
      <c r="P213" t="str">
        <f ca="1">IF($K213="Yes",COUNTIFS($K$4:$K213,"Yes"),"")</f>
        <v/>
      </c>
      <c r="Q213">
        <f t="shared" ca="1" si="15"/>
        <v>0</v>
      </c>
      <c r="R213" t="str">
        <f ca="1">IF($Q213=1,SUM($Q$4:$Q213),"")</f>
        <v/>
      </c>
    </row>
    <row r="214" spans="1:18" ht="22.5" customHeight="1" x14ac:dyDescent="0.3">
      <c r="A214" s="2" t="s">
        <v>244</v>
      </c>
      <c r="B214" s="2" t="s">
        <v>192</v>
      </c>
      <c r="C214" s="3"/>
      <c r="D214" s="3"/>
      <c r="E214" s="2"/>
      <c r="F214" s="2"/>
      <c r="G214" s="5"/>
      <c r="H214" s="5">
        <v>45938</v>
      </c>
      <c r="I214" s="4"/>
      <c r="J214" s="6" t="str">
        <f t="shared" si="13"/>
        <v/>
      </c>
      <c r="K214" s="4" t="str">
        <f t="shared" ca="1" si="14"/>
        <v/>
      </c>
      <c r="L214" s="7">
        <f t="shared" ca="1" si="16"/>
        <v>-270</v>
      </c>
      <c r="M214" s="4" t="str">
        <f>IF($I214="Complete","Green",IF($H214="","Amber",IF($H214&lt;'[2]Read Me'!$B$4,"Red",IF($H214-'[2]Read Me'!$B$4&lt;=21,"Amber","Green"))))</f>
        <v>Red</v>
      </c>
      <c r="N214" s="3"/>
      <c r="O214" t="str">
        <f>IF($I214&lt;&gt;"Complete",IF(COUNTIFS($A$4:$A213,$A214,$B$4:$B213,$B214,$I$4:$I213,"&lt;&gt;Complete")=0,$A214&amp;"|"&amp;$B214,""),"")</f>
        <v>IRIS 03|Parcel Fence</v>
      </c>
      <c r="P214" t="str">
        <f ca="1">IF($K214="Yes",COUNTIFS($K$4:$K214,"Yes"),"")</f>
        <v/>
      </c>
      <c r="Q214">
        <f t="shared" ca="1" si="15"/>
        <v>0</v>
      </c>
      <c r="R214" t="str">
        <f ca="1">IF($Q214=1,SUM($Q$4:$Q214),"")</f>
        <v/>
      </c>
    </row>
    <row r="215" spans="1:18" ht="22.5" customHeight="1" x14ac:dyDescent="0.3">
      <c r="A215" s="2" t="s">
        <v>244</v>
      </c>
      <c r="B215" s="2" t="s">
        <v>192</v>
      </c>
      <c r="C215" s="3" t="s">
        <v>292</v>
      </c>
      <c r="D215" s="3" t="s">
        <v>293</v>
      </c>
      <c r="E215" s="2"/>
      <c r="F215" s="2"/>
      <c r="G215" s="5"/>
      <c r="H215" s="5">
        <v>45938</v>
      </c>
      <c r="I215" s="4" t="s">
        <v>31</v>
      </c>
      <c r="J215" s="6" t="str">
        <f t="shared" si="13"/>
        <v/>
      </c>
      <c r="K215" s="4" t="str">
        <f t="shared" ca="1" si="14"/>
        <v>-</v>
      </c>
      <c r="L215" s="7">
        <f t="shared" ca="1" si="16"/>
        <v>0</v>
      </c>
      <c r="M215" s="4" t="str">
        <f>IF($I215="Complete","Green",IF($H215="","Amber",IF($H215&lt;'[2]Read Me'!$B$4,"Red",IF($H215-'[2]Read Me'!$B$4&lt;=21,"Amber","Green"))))</f>
        <v>Red</v>
      </c>
      <c r="N215" s="3"/>
      <c r="O215" t="str">
        <f>IF($I215&lt;&gt;"Complete",IF(COUNTIFS($A$4:$A214,$A215,$B$4:$B214,$B215,$I$4:$I214,"&lt;&gt;Complete")=0,$A215&amp;"|"&amp;$B215,""),"")</f>
        <v/>
      </c>
      <c r="P215" t="str">
        <f ca="1">IF($K215="Yes",COUNTIFS($K$4:$K215,"Yes"),"")</f>
        <v/>
      </c>
      <c r="Q215">
        <f t="shared" ca="1" si="15"/>
        <v>0</v>
      </c>
      <c r="R215" t="str">
        <f ca="1">IF($Q215=1,SUM($Q$4:$Q215),"")</f>
        <v/>
      </c>
    </row>
    <row r="216" spans="1:18" ht="22.5" customHeight="1" x14ac:dyDescent="0.3">
      <c r="A216" s="2" t="s">
        <v>294</v>
      </c>
      <c r="B216" s="2" t="s">
        <v>171</v>
      </c>
      <c r="C216" s="3"/>
      <c r="D216" s="3"/>
      <c r="E216" s="2"/>
      <c r="F216" s="2"/>
      <c r="G216" s="5">
        <v>45690</v>
      </c>
      <c r="H216" s="5">
        <v>45690</v>
      </c>
      <c r="I216" s="4"/>
      <c r="J216" s="6">
        <f t="shared" si="13"/>
        <v>0</v>
      </c>
      <c r="K216" s="4" t="str">
        <f t="shared" ca="1" si="14"/>
        <v/>
      </c>
      <c r="L216" s="7">
        <f t="shared" ca="1" si="16"/>
        <v>-518</v>
      </c>
      <c r="M216" s="4" t="str">
        <f>IF($I216="Complete","Green",IF($H216="","Amber",IF($H216&lt;'[2]Read Me'!$B$4,"Red",IF($H216-'[2]Read Me'!$B$4&lt;=21,"Amber","Green"))))</f>
        <v>Red</v>
      </c>
      <c r="N216" s="3"/>
      <c r="O216" t="str">
        <f>IF($I216&lt;&gt;"Complete",IF(COUNTIFS($A$4:$A215,$A216,$B$4:$B215,$B216,$I$4:$I215,"&lt;&gt;Complete")=0,$A216&amp;"|"&amp;$B216,""),"")</f>
        <v>Parcel 07|Infrastructure</v>
      </c>
      <c r="P216" t="str">
        <f ca="1">IF($K216="Yes",COUNTIFS($K$4:$K216,"Yes"),"")</f>
        <v/>
      </c>
      <c r="Q216">
        <f t="shared" ca="1" si="15"/>
        <v>0</v>
      </c>
      <c r="R216" t="str">
        <f ca="1">IF($Q216=1,SUM($Q$4:$Q216),"")</f>
        <v/>
      </c>
    </row>
    <row r="217" spans="1:18" ht="22.5" customHeight="1" x14ac:dyDescent="0.3">
      <c r="A217" s="2" t="s">
        <v>294</v>
      </c>
      <c r="B217" s="2" t="s">
        <v>171</v>
      </c>
      <c r="C217" s="3" t="s">
        <v>295</v>
      </c>
      <c r="D217" s="3" t="s">
        <v>173</v>
      </c>
      <c r="E217" s="2"/>
      <c r="F217" s="2"/>
      <c r="G217" s="5">
        <v>45603</v>
      </c>
      <c r="H217" s="5">
        <v>45603</v>
      </c>
      <c r="I217" s="4" t="s">
        <v>17</v>
      </c>
      <c r="J217" s="6">
        <f t="shared" si="13"/>
        <v>0</v>
      </c>
      <c r="K217" s="4" t="str">
        <f t="shared" ca="1" si="14"/>
        <v>Yes</v>
      </c>
      <c r="L217" s="7">
        <f t="shared" ca="1" si="16"/>
        <v>-605</v>
      </c>
      <c r="M217" s="4" t="str">
        <f>IF($I217="Complete","Green",IF($H217="","Amber",IF($H217&lt;'[2]Read Me'!$B$4,"Red",IF($H217-'[2]Read Me'!$B$4&lt;=21,"Amber","Green"))))</f>
        <v>Red</v>
      </c>
      <c r="N217" s="3"/>
      <c r="O217" t="str">
        <f>IF($I217&lt;&gt;"Complete",IF(COUNTIFS($A$4:$A216,$A217,$B$4:$B216,$B217,$I$4:$I216,"&lt;&gt;Complete")=0,$A217&amp;"|"&amp;$B217,""),"")</f>
        <v/>
      </c>
      <c r="P217">
        <f ca="1">IF($K217="Yes",COUNTIFS($K$4:$K217,"Yes"),"")</f>
        <v>21</v>
      </c>
      <c r="Q217">
        <f t="shared" ca="1" si="15"/>
        <v>1</v>
      </c>
      <c r="R217">
        <f ca="1">IF($Q217=1,SUM($Q$4:$Q217),"")</f>
        <v>21</v>
      </c>
    </row>
    <row r="218" spans="1:18" ht="22.5" customHeight="1" x14ac:dyDescent="0.3">
      <c r="A218" s="2" t="s">
        <v>294</v>
      </c>
      <c r="B218" s="2" t="s">
        <v>171</v>
      </c>
      <c r="C218" s="3" t="s">
        <v>295</v>
      </c>
      <c r="D218" s="3" t="s">
        <v>296</v>
      </c>
      <c r="E218" s="2"/>
      <c r="F218" s="2"/>
      <c r="G218" s="5">
        <v>45631</v>
      </c>
      <c r="H218" s="5">
        <v>45631</v>
      </c>
      <c r="I218" s="4" t="s">
        <v>31</v>
      </c>
      <c r="J218" s="6">
        <f t="shared" si="13"/>
        <v>0</v>
      </c>
      <c r="K218" s="4" t="str">
        <f t="shared" ca="1" si="14"/>
        <v>-</v>
      </c>
      <c r="L218" s="7">
        <f t="shared" ca="1" si="16"/>
        <v>0</v>
      </c>
      <c r="M218" s="4" t="str">
        <f>IF($I218="Complete","Green",IF($H218="","Amber",IF($H218&lt;'[2]Read Me'!$B$4,"Red",IF($H218-'[2]Read Me'!$B$4&lt;=21,"Amber","Green"))))</f>
        <v>Red</v>
      </c>
      <c r="N218" s="3"/>
      <c r="O218" t="str">
        <f>IF($I218&lt;&gt;"Complete",IF(COUNTIFS($A$4:$A217,$A218,$B$4:$B217,$B218,$I$4:$I217,"&lt;&gt;Complete")=0,$A218&amp;"|"&amp;$B218,""),"")</f>
        <v/>
      </c>
      <c r="P218" t="str">
        <f ca="1">IF($K218="Yes",COUNTIFS($K$4:$K218,"Yes"),"")</f>
        <v/>
      </c>
      <c r="Q218">
        <f t="shared" ca="1" si="15"/>
        <v>0</v>
      </c>
      <c r="R218" t="str">
        <f ca="1">IF($Q218=1,SUM($Q$4:$Q218),"")</f>
        <v/>
      </c>
    </row>
    <row r="219" spans="1:18" ht="22.5" customHeight="1" x14ac:dyDescent="0.3">
      <c r="A219" s="2" t="s">
        <v>294</v>
      </c>
      <c r="B219" s="2" t="s">
        <v>171</v>
      </c>
      <c r="C219" s="3" t="s">
        <v>295</v>
      </c>
      <c r="D219" s="3" t="s">
        <v>297</v>
      </c>
      <c r="E219" s="2"/>
      <c r="F219" s="2"/>
      <c r="G219" s="5">
        <v>45690</v>
      </c>
      <c r="H219" s="5">
        <v>45690</v>
      </c>
      <c r="I219" s="4" t="s">
        <v>31</v>
      </c>
      <c r="J219" s="6">
        <f t="shared" si="13"/>
        <v>0</v>
      </c>
      <c r="K219" s="4" t="str">
        <f t="shared" ca="1" si="14"/>
        <v>-</v>
      </c>
      <c r="L219" s="7">
        <f t="shared" ca="1" si="16"/>
        <v>0</v>
      </c>
      <c r="M219" s="4" t="str">
        <f>IF($I219="Complete","Green",IF($H219="","Amber",IF($H219&lt;'[2]Read Me'!$B$4,"Red",IF($H219-'[2]Read Me'!$B$4&lt;=21,"Amber","Green"))))</f>
        <v>Red</v>
      </c>
      <c r="N219" s="3"/>
      <c r="O219" t="str">
        <f>IF($I219&lt;&gt;"Complete",IF(COUNTIFS($A$4:$A218,$A219,$B$4:$B218,$B219,$I$4:$I218,"&lt;&gt;Complete")=0,$A219&amp;"|"&amp;$B219,""),"")</f>
        <v/>
      </c>
      <c r="P219" t="str">
        <f ca="1">IF($K219="Yes",COUNTIFS($K$4:$K219,"Yes"),"")</f>
        <v/>
      </c>
      <c r="Q219">
        <f t="shared" ca="1" si="15"/>
        <v>0</v>
      </c>
      <c r="R219" t="str">
        <f ca="1">IF($Q219=1,SUM($Q$4:$Q219),"")</f>
        <v/>
      </c>
    </row>
    <row r="220" spans="1:18" ht="22.5" customHeight="1" x14ac:dyDescent="0.3">
      <c r="A220" s="2" t="s">
        <v>294</v>
      </c>
      <c r="B220" s="2" t="s">
        <v>41</v>
      </c>
      <c r="C220" s="3"/>
      <c r="D220" s="3"/>
      <c r="E220" s="2"/>
      <c r="F220" s="2"/>
      <c r="G220" s="5">
        <v>45991</v>
      </c>
      <c r="H220" s="5">
        <v>46154</v>
      </c>
      <c r="I220" s="4"/>
      <c r="J220" s="6">
        <f t="shared" si="13"/>
        <v>163</v>
      </c>
      <c r="K220" s="4" t="str">
        <f t="shared" ca="1" si="14"/>
        <v/>
      </c>
      <c r="L220" s="7">
        <f t="shared" ca="1" si="16"/>
        <v>-54</v>
      </c>
      <c r="M220" s="4" t="str">
        <f>IF($I220="Complete","Green",IF($H220="","Amber",IF($H220&lt;'[2]Read Me'!$B$4,"Red",IF($H220-'[2]Read Me'!$B$4&lt;=21,"Amber","Green"))))</f>
        <v>Red</v>
      </c>
      <c r="N220" s="3"/>
      <c r="O220" t="str">
        <f>IF($I220&lt;&gt;"Complete",IF(COUNTIFS($A$4:$A219,$A220,$B$4:$B219,$B220,$I$4:$I219,"&lt;&gt;Complete")=0,$A220&amp;"|"&amp;$B220,""),"")</f>
        <v>Parcel 07|Fit-out</v>
      </c>
      <c r="P220" t="str">
        <f ca="1">IF($K220="Yes",COUNTIFS($K$4:$K220,"Yes"),"")</f>
        <v/>
      </c>
      <c r="Q220">
        <f t="shared" ca="1" si="15"/>
        <v>0</v>
      </c>
      <c r="R220" t="str">
        <f ca="1">IF($Q220=1,SUM($Q$4:$Q220),"")</f>
        <v/>
      </c>
    </row>
    <row r="221" spans="1:18" ht="22.5" customHeight="1" x14ac:dyDescent="0.3">
      <c r="A221" s="2" t="s">
        <v>294</v>
      </c>
      <c r="B221" s="2" t="s">
        <v>41</v>
      </c>
      <c r="C221" s="3" t="s">
        <v>298</v>
      </c>
      <c r="D221" s="3" t="s">
        <v>299</v>
      </c>
      <c r="E221" s="2"/>
      <c r="F221" s="2"/>
      <c r="G221" s="5">
        <v>45826</v>
      </c>
      <c r="H221" s="5">
        <v>45826</v>
      </c>
      <c r="I221" s="4" t="s">
        <v>31</v>
      </c>
      <c r="J221" s="6">
        <f t="shared" si="13"/>
        <v>0</v>
      </c>
      <c r="K221" s="4" t="str">
        <f t="shared" ca="1" si="14"/>
        <v>-</v>
      </c>
      <c r="L221" s="7">
        <f t="shared" ca="1" si="16"/>
        <v>0</v>
      </c>
      <c r="M221" s="4" t="str">
        <f>IF($I221="Complete","Green",IF($H221="","Amber",IF($H221&lt;'[2]Read Me'!$B$4,"Red",IF($H221-'[2]Read Me'!$B$4&lt;=21,"Amber","Green"))))</f>
        <v>Red</v>
      </c>
      <c r="N221" s="3"/>
      <c r="O221" t="str">
        <f>IF($I221&lt;&gt;"Complete",IF(COUNTIFS($A$4:$A220,$A221,$B$4:$B220,$B221,$I$4:$I220,"&lt;&gt;Complete")=0,$A221&amp;"|"&amp;$B221,""),"")</f>
        <v/>
      </c>
      <c r="P221" t="str">
        <f ca="1">IF($K221="Yes",COUNTIFS($K$4:$K221,"Yes"),"")</f>
        <v/>
      </c>
      <c r="Q221">
        <f t="shared" ca="1" si="15"/>
        <v>0</v>
      </c>
      <c r="R221" t="str">
        <f ca="1">IF($Q221=1,SUM($Q$4:$Q221),"")</f>
        <v/>
      </c>
    </row>
    <row r="222" spans="1:18" ht="22.5" customHeight="1" x14ac:dyDescent="0.3">
      <c r="A222" s="2" t="s">
        <v>294</v>
      </c>
      <c r="B222" s="2" t="s">
        <v>41</v>
      </c>
      <c r="C222" s="3" t="s">
        <v>298</v>
      </c>
      <c r="D222" s="3" t="s">
        <v>58</v>
      </c>
      <c r="E222" s="2"/>
      <c r="F222" s="2"/>
      <c r="G222" s="5">
        <v>45827</v>
      </c>
      <c r="H222" s="5">
        <v>45827</v>
      </c>
      <c r="I222" s="4" t="s">
        <v>31</v>
      </c>
      <c r="J222" s="6">
        <f t="shared" si="13"/>
        <v>0</v>
      </c>
      <c r="K222" s="4" t="str">
        <f t="shared" ca="1" si="14"/>
        <v>-</v>
      </c>
      <c r="L222" s="7">
        <f t="shared" ca="1" si="16"/>
        <v>0</v>
      </c>
      <c r="M222" s="4" t="str">
        <f>IF($I222="Complete","Green",IF($H222="","Amber",IF($H222&lt;'[2]Read Me'!$B$4,"Red",IF($H222-'[2]Read Me'!$B$4&lt;=21,"Amber","Green"))))</f>
        <v>Red</v>
      </c>
      <c r="N222" s="3"/>
      <c r="O222" t="str">
        <f>IF($I222&lt;&gt;"Complete",IF(COUNTIFS($A$4:$A221,$A222,$B$4:$B221,$B222,$I$4:$I221,"&lt;&gt;Complete")=0,$A222&amp;"|"&amp;$B222,""),"")</f>
        <v/>
      </c>
      <c r="P222" t="str">
        <f ca="1">IF($K222="Yes",COUNTIFS($K$4:$K222,"Yes"),"")</f>
        <v/>
      </c>
      <c r="Q222">
        <f t="shared" ca="1" si="15"/>
        <v>0</v>
      </c>
      <c r="R222" t="str">
        <f ca="1">IF($Q222=1,SUM($Q$4:$Q222),"")</f>
        <v/>
      </c>
    </row>
    <row r="223" spans="1:18" ht="22.5" customHeight="1" x14ac:dyDescent="0.3">
      <c r="A223" s="2" t="s">
        <v>294</v>
      </c>
      <c r="B223" s="2" t="s">
        <v>41</v>
      </c>
      <c r="C223" s="3" t="s">
        <v>298</v>
      </c>
      <c r="D223" s="3" t="s">
        <v>300</v>
      </c>
      <c r="E223" s="2"/>
      <c r="F223" s="2"/>
      <c r="G223" s="5">
        <v>45833</v>
      </c>
      <c r="H223" s="5">
        <v>45833</v>
      </c>
      <c r="I223" s="4" t="s">
        <v>31</v>
      </c>
      <c r="J223" s="6">
        <f t="shared" si="13"/>
        <v>0</v>
      </c>
      <c r="K223" s="4" t="str">
        <f t="shared" ca="1" si="14"/>
        <v>-</v>
      </c>
      <c r="L223" s="7">
        <f t="shared" ca="1" si="16"/>
        <v>0</v>
      </c>
      <c r="M223" s="4" t="str">
        <f>IF($I223="Complete","Green",IF($H223="","Amber",IF($H223&lt;'[2]Read Me'!$B$4,"Red",IF($H223-'[2]Read Me'!$B$4&lt;=21,"Amber","Green"))))</f>
        <v>Red</v>
      </c>
      <c r="N223" s="3"/>
      <c r="O223" t="str">
        <f>IF($I223&lt;&gt;"Complete",IF(COUNTIFS($A$4:$A222,$A223,$B$4:$B222,$B223,$I$4:$I222,"&lt;&gt;Complete")=0,$A223&amp;"|"&amp;$B223,""),"")</f>
        <v/>
      </c>
      <c r="P223" t="str">
        <f ca="1">IF($K223="Yes",COUNTIFS($K$4:$K223,"Yes"),"")</f>
        <v/>
      </c>
      <c r="Q223">
        <f t="shared" ca="1" si="15"/>
        <v>0</v>
      </c>
      <c r="R223" t="str">
        <f ca="1">IF($Q223=1,SUM($Q$4:$Q223),"")</f>
        <v/>
      </c>
    </row>
    <row r="224" spans="1:18" ht="22.5" customHeight="1" x14ac:dyDescent="0.3">
      <c r="A224" s="2" t="s">
        <v>294</v>
      </c>
      <c r="B224" s="2" t="s">
        <v>41</v>
      </c>
      <c r="C224" s="3" t="s">
        <v>298</v>
      </c>
      <c r="D224" s="3" t="s">
        <v>58</v>
      </c>
      <c r="E224" s="2"/>
      <c r="F224" s="2"/>
      <c r="G224" s="5">
        <v>45834</v>
      </c>
      <c r="H224" s="5">
        <v>45834</v>
      </c>
      <c r="I224" s="4" t="s">
        <v>31</v>
      </c>
      <c r="J224" s="6">
        <f t="shared" si="13"/>
        <v>0</v>
      </c>
      <c r="K224" s="4" t="str">
        <f t="shared" ca="1" si="14"/>
        <v>-</v>
      </c>
      <c r="L224" s="7">
        <f t="shared" ca="1" si="16"/>
        <v>0</v>
      </c>
      <c r="M224" s="4" t="str">
        <f>IF($I224="Complete","Green",IF($H224="","Amber",IF($H224&lt;'[2]Read Me'!$B$4,"Red",IF($H224-'[2]Read Me'!$B$4&lt;=21,"Amber","Green"))))</f>
        <v>Red</v>
      </c>
      <c r="N224" s="3"/>
      <c r="O224" t="str">
        <f>IF($I224&lt;&gt;"Complete",IF(COUNTIFS($A$4:$A223,$A224,$B$4:$B223,$B224,$I$4:$I223,"&lt;&gt;Complete")=0,$A224&amp;"|"&amp;$B224,""),"")</f>
        <v/>
      </c>
      <c r="P224" t="str">
        <f ca="1">IF($K224="Yes",COUNTIFS($K$4:$K224,"Yes"),"")</f>
        <v/>
      </c>
      <c r="Q224">
        <f t="shared" ca="1" si="15"/>
        <v>0</v>
      </c>
      <c r="R224" t="str">
        <f ca="1">IF($Q224=1,SUM($Q$4:$Q224),"")</f>
        <v/>
      </c>
    </row>
    <row r="225" spans="1:18" ht="22.5" customHeight="1" x14ac:dyDescent="0.3">
      <c r="A225" s="2" t="s">
        <v>294</v>
      </c>
      <c r="B225" s="2" t="s">
        <v>41</v>
      </c>
      <c r="C225" s="3" t="s">
        <v>298</v>
      </c>
      <c r="D225" s="3" t="s">
        <v>301</v>
      </c>
      <c r="E225" s="2"/>
      <c r="F225" s="2"/>
      <c r="G225" s="5">
        <v>45976</v>
      </c>
      <c r="H225" s="5">
        <v>45974</v>
      </c>
      <c r="I225" s="4" t="s">
        <v>31</v>
      </c>
      <c r="J225" s="6">
        <f t="shared" si="13"/>
        <v>-2</v>
      </c>
      <c r="K225" s="4" t="str">
        <f t="shared" ca="1" si="14"/>
        <v>-</v>
      </c>
      <c r="L225" s="7">
        <f t="shared" ca="1" si="16"/>
        <v>0</v>
      </c>
      <c r="M225" s="4" t="str">
        <f>IF($I225="Complete","Green",IF($H225="","Amber",IF($H225&lt;'[2]Read Me'!$B$4,"Red",IF($H225-'[2]Read Me'!$B$4&lt;=21,"Amber","Green"))))</f>
        <v>Red</v>
      </c>
      <c r="N225" s="3"/>
      <c r="O225" t="str">
        <f>IF($I225&lt;&gt;"Complete",IF(COUNTIFS($A$4:$A224,$A225,$B$4:$B224,$B225,$I$4:$I224,"&lt;&gt;Complete")=0,$A225&amp;"|"&amp;$B225,""),"")</f>
        <v/>
      </c>
      <c r="P225" t="str">
        <f ca="1">IF($K225="Yes",COUNTIFS($K$4:$K225,"Yes"),"")</f>
        <v/>
      </c>
      <c r="Q225">
        <f t="shared" ca="1" si="15"/>
        <v>0</v>
      </c>
      <c r="R225" t="str">
        <f ca="1">IF($Q225=1,SUM($Q$4:$Q225),"")</f>
        <v/>
      </c>
    </row>
    <row r="226" spans="1:18" ht="22.5" customHeight="1" x14ac:dyDescent="0.3">
      <c r="A226" s="2" t="s">
        <v>294</v>
      </c>
      <c r="B226" s="2" t="s">
        <v>41</v>
      </c>
      <c r="C226" s="3" t="s">
        <v>298</v>
      </c>
      <c r="D226" s="3" t="s">
        <v>58</v>
      </c>
      <c r="E226" s="2"/>
      <c r="F226" s="2"/>
      <c r="G226" s="5">
        <v>45991</v>
      </c>
      <c r="H226" s="5">
        <v>45991</v>
      </c>
      <c r="I226" s="4" t="s">
        <v>31</v>
      </c>
      <c r="J226" s="6">
        <f t="shared" si="13"/>
        <v>0</v>
      </c>
      <c r="K226" s="4" t="str">
        <f t="shared" ca="1" si="14"/>
        <v>-</v>
      </c>
      <c r="L226" s="7">
        <f t="shared" ca="1" si="16"/>
        <v>0</v>
      </c>
      <c r="M226" s="4" t="str">
        <f>IF($I226="Complete","Green",IF($H226="","Amber",IF($H226&lt;'[2]Read Me'!$B$4,"Red",IF($H226-'[2]Read Me'!$B$4&lt;=21,"Amber","Green"))))</f>
        <v>Red</v>
      </c>
      <c r="N226" s="3"/>
      <c r="O226" t="str">
        <f>IF($I226&lt;&gt;"Complete",IF(COUNTIFS($A$4:$A225,$A226,$B$4:$B225,$B226,$I$4:$I225,"&lt;&gt;Complete")=0,$A226&amp;"|"&amp;$B226,""),"")</f>
        <v/>
      </c>
      <c r="P226" t="str">
        <f ca="1">IF($K226="Yes",COUNTIFS($K$4:$K226,"Yes"),"")</f>
        <v/>
      </c>
      <c r="Q226">
        <f t="shared" ca="1" si="15"/>
        <v>0</v>
      </c>
      <c r="R226" t="str">
        <f ca="1">IF($Q226=1,SUM($Q$4:$Q226),"")</f>
        <v/>
      </c>
    </row>
    <row r="227" spans="1:18" ht="22.5" customHeight="1" x14ac:dyDescent="0.3">
      <c r="A227" s="2" t="s">
        <v>294</v>
      </c>
      <c r="B227" s="2" t="s">
        <v>41</v>
      </c>
      <c r="C227" s="3" t="s">
        <v>298</v>
      </c>
      <c r="D227" s="3" t="s">
        <v>302</v>
      </c>
      <c r="E227" s="2"/>
      <c r="F227" s="2"/>
      <c r="G227" s="5">
        <v>45962</v>
      </c>
      <c r="H227" s="5">
        <v>45974</v>
      </c>
      <c r="I227" s="4" t="s">
        <v>31</v>
      </c>
      <c r="J227" s="6">
        <f t="shared" si="13"/>
        <v>12</v>
      </c>
      <c r="K227" s="4" t="str">
        <f t="shared" ca="1" si="14"/>
        <v>-</v>
      </c>
      <c r="L227" s="7">
        <f t="shared" ca="1" si="16"/>
        <v>0</v>
      </c>
      <c r="M227" s="4" t="str">
        <f>IF($I227="Complete","Green",IF($H227="","Amber",IF($H227&lt;'[2]Read Me'!$B$4,"Red",IF($H227-'[2]Read Me'!$B$4&lt;=21,"Amber","Green"))))</f>
        <v>Red</v>
      </c>
      <c r="N227" s="3"/>
      <c r="O227" t="str">
        <f>IF($I227&lt;&gt;"Complete",IF(COUNTIFS($A$4:$A226,$A227,$B$4:$B226,$B227,$I$4:$I226,"&lt;&gt;Complete")=0,$A227&amp;"|"&amp;$B227,""),"")</f>
        <v/>
      </c>
      <c r="P227" t="str">
        <f ca="1">IF($K227="Yes",COUNTIFS($K$4:$K227,"Yes"),"")</f>
        <v/>
      </c>
      <c r="Q227">
        <f t="shared" ca="1" si="15"/>
        <v>0</v>
      </c>
      <c r="R227" t="str">
        <f ca="1">IF($Q227=1,SUM($Q$4:$Q227),"")</f>
        <v/>
      </c>
    </row>
    <row r="228" spans="1:18" ht="22.5" customHeight="1" x14ac:dyDescent="0.3">
      <c r="A228" s="2" t="s">
        <v>294</v>
      </c>
      <c r="B228" s="2" t="s">
        <v>41</v>
      </c>
      <c r="C228" s="3" t="s">
        <v>298</v>
      </c>
      <c r="D228" s="3" t="s">
        <v>58</v>
      </c>
      <c r="E228" s="2"/>
      <c r="F228" s="2"/>
      <c r="G228" s="5">
        <v>45977</v>
      </c>
      <c r="H228" s="5">
        <v>45986</v>
      </c>
      <c r="I228" s="4" t="s">
        <v>31</v>
      </c>
      <c r="J228" s="6">
        <f t="shared" si="13"/>
        <v>9</v>
      </c>
      <c r="K228" s="4" t="str">
        <f t="shared" ca="1" si="14"/>
        <v>-</v>
      </c>
      <c r="L228" s="7">
        <f t="shared" ca="1" si="16"/>
        <v>0</v>
      </c>
      <c r="M228" s="4" t="str">
        <f>IF($I228="Complete","Green",IF($H228="","Amber",IF($H228&lt;'[2]Read Me'!$B$4,"Red",IF($H228-'[2]Read Me'!$B$4&lt;=21,"Amber","Green"))))</f>
        <v>Red</v>
      </c>
      <c r="N228" s="3"/>
      <c r="O228" t="str">
        <f>IF($I228&lt;&gt;"Complete",IF(COUNTIFS($A$4:$A227,$A228,$B$4:$B227,$B228,$I$4:$I227,"&lt;&gt;Complete")=0,$A228&amp;"|"&amp;$B228,""),"")</f>
        <v/>
      </c>
      <c r="P228" t="str">
        <f ca="1">IF($K228="Yes",COUNTIFS($K$4:$K228,"Yes"),"")</f>
        <v/>
      </c>
      <c r="Q228">
        <f t="shared" ca="1" si="15"/>
        <v>0</v>
      </c>
      <c r="R228" t="str">
        <f ca="1">IF($Q228=1,SUM($Q$4:$Q228),"")</f>
        <v/>
      </c>
    </row>
    <row r="229" spans="1:18" ht="22.5" customHeight="1" x14ac:dyDescent="0.3">
      <c r="A229" s="2" t="s">
        <v>294</v>
      </c>
      <c r="B229" s="2" t="s">
        <v>303</v>
      </c>
      <c r="C229" s="3"/>
      <c r="D229" s="3"/>
      <c r="E229" s="2"/>
      <c r="F229" s="2"/>
      <c r="G229" s="5">
        <v>46156</v>
      </c>
      <c r="H229" s="5">
        <v>46202</v>
      </c>
      <c r="I229" s="4"/>
      <c r="J229" s="6">
        <f t="shared" si="13"/>
        <v>46</v>
      </c>
      <c r="K229" s="4" t="str">
        <f t="shared" ca="1" si="14"/>
        <v/>
      </c>
      <c r="L229" s="7">
        <f t="shared" ca="1" si="16"/>
        <v>-6</v>
      </c>
      <c r="M229" s="4" t="str">
        <f>IF($I229="Complete","Green",IF($H229="","Amber",IF($H229&lt;'[2]Read Me'!$B$4,"Red",IF($H229-'[2]Read Me'!$B$4&lt;=21,"Amber","Green"))))</f>
        <v>Amber</v>
      </c>
      <c r="N229" s="3"/>
      <c r="O229" t="str">
        <f>IF($I229&lt;&gt;"Complete",IF(COUNTIFS($A$4:$A228,$A229,$B$4:$B228,$B229,$I$4:$I228,"&lt;&gt;Complete")=0,$A229&amp;"|"&amp;$B229,""),"")</f>
        <v>Parcel 07|Tenant manual</v>
      </c>
      <c r="P229" t="str">
        <f ca="1">IF($K229="Yes",COUNTIFS($K$4:$K229,"Yes"),"")</f>
        <v/>
      </c>
      <c r="Q229">
        <f t="shared" ca="1" si="15"/>
        <v>0</v>
      </c>
      <c r="R229" t="str">
        <f ca="1">IF($Q229=1,SUM($Q$4:$Q229),"")</f>
        <v/>
      </c>
    </row>
    <row r="230" spans="1:18" ht="22.5" customHeight="1" x14ac:dyDescent="0.3">
      <c r="A230" s="2" t="s">
        <v>294</v>
      </c>
      <c r="B230" s="2" t="s">
        <v>303</v>
      </c>
      <c r="C230" s="3" t="s">
        <v>304</v>
      </c>
      <c r="D230" s="3" t="s">
        <v>305</v>
      </c>
      <c r="E230" s="2" t="s">
        <v>165</v>
      </c>
      <c r="F230" s="2" t="s">
        <v>306</v>
      </c>
      <c r="G230" s="5">
        <v>46142</v>
      </c>
      <c r="H230" s="5">
        <v>46174</v>
      </c>
      <c r="I230" s="4" t="s">
        <v>31</v>
      </c>
      <c r="J230" s="6">
        <f t="shared" si="13"/>
        <v>32</v>
      </c>
      <c r="K230" s="4" t="str">
        <f t="shared" ca="1" si="14"/>
        <v>-</v>
      </c>
      <c r="L230" s="7">
        <f t="shared" ca="1" si="16"/>
        <v>0</v>
      </c>
      <c r="M230" s="4" t="str">
        <f>IF($I230="Complete","Green",IF($H230="","Amber",IF($H230&lt;'[2]Read Me'!$B$4,"Red",IF($H230-'[2]Read Me'!$B$4&lt;=21,"Amber","Green"))))</f>
        <v>Red</v>
      </c>
      <c r="N230" s="3"/>
      <c r="O230" t="str">
        <f>IF($I230&lt;&gt;"Complete",IF(COUNTIFS($A$4:$A229,$A230,$B$4:$B229,$B230,$I$4:$I229,"&lt;&gt;Complete")=0,$A230&amp;"|"&amp;$B230,""),"")</f>
        <v/>
      </c>
      <c r="P230" t="str">
        <f ca="1">IF($K230="Yes",COUNTIFS($K$4:$K230,"Yes"),"")</f>
        <v/>
      </c>
      <c r="Q230">
        <f t="shared" ca="1" si="15"/>
        <v>0</v>
      </c>
      <c r="R230" t="str">
        <f ca="1">IF($Q230=1,SUM($Q$4:$Q230),"")</f>
        <v/>
      </c>
    </row>
    <row r="231" spans="1:18" ht="22.5" customHeight="1" x14ac:dyDescent="0.3">
      <c r="A231" s="2" t="s">
        <v>294</v>
      </c>
      <c r="B231" s="2" t="s">
        <v>303</v>
      </c>
      <c r="C231" s="3" t="s">
        <v>304</v>
      </c>
      <c r="D231" s="3" t="s">
        <v>58</v>
      </c>
      <c r="E231" s="2" t="s">
        <v>165</v>
      </c>
      <c r="F231" s="2"/>
      <c r="G231" s="5">
        <v>46149</v>
      </c>
      <c r="H231" s="5">
        <v>46202</v>
      </c>
      <c r="I231" s="4" t="s">
        <v>46</v>
      </c>
      <c r="J231" s="6">
        <f t="shared" si="13"/>
        <v>53</v>
      </c>
      <c r="K231" s="4" t="str">
        <f t="shared" ca="1" si="14"/>
        <v>Yes</v>
      </c>
      <c r="L231" s="7">
        <f t="shared" ca="1" si="16"/>
        <v>-6</v>
      </c>
      <c r="M231" s="4" t="str">
        <f>IF($I231="Complete","Green",IF($H231="","Amber",IF($H231&lt;'[2]Read Me'!$B$4,"Red",IF($H231-'[2]Read Me'!$B$4&lt;=21,"Amber","Green"))))</f>
        <v>Amber</v>
      </c>
      <c r="N231" s="3"/>
      <c r="O231" t="str">
        <f>IF($I231&lt;&gt;"Complete",IF(COUNTIFS($A$4:$A230,$A231,$B$4:$B230,$B231,$I$4:$I230,"&lt;&gt;Complete")=0,$A231&amp;"|"&amp;$B231,""),"")</f>
        <v/>
      </c>
      <c r="P231">
        <f ca="1">IF($K231="Yes",COUNTIFS($K$4:$K231,"Yes"),"")</f>
        <v>22</v>
      </c>
      <c r="Q231">
        <f t="shared" ca="1" si="15"/>
        <v>1</v>
      </c>
      <c r="R231">
        <f ca="1">IF($Q231=1,SUM($Q$4:$Q231),"")</f>
        <v>22</v>
      </c>
    </row>
    <row r="232" spans="1:18" ht="22.5" customHeight="1" x14ac:dyDescent="0.3">
      <c r="A232" s="2" t="s">
        <v>294</v>
      </c>
      <c r="B232" s="2" t="s">
        <v>303</v>
      </c>
      <c r="C232" s="3" t="s">
        <v>304</v>
      </c>
      <c r="D232" s="3" t="s">
        <v>307</v>
      </c>
      <c r="E232" s="2" t="s">
        <v>165</v>
      </c>
      <c r="F232" s="2" t="s">
        <v>306</v>
      </c>
      <c r="G232" s="5">
        <v>46149</v>
      </c>
      <c r="H232" s="5">
        <v>46174</v>
      </c>
      <c r="I232" s="4" t="s">
        <v>31</v>
      </c>
      <c r="J232" s="6">
        <f t="shared" si="13"/>
        <v>25</v>
      </c>
      <c r="K232" s="4" t="str">
        <f t="shared" ca="1" si="14"/>
        <v>-</v>
      </c>
      <c r="L232" s="7">
        <f t="shared" ca="1" si="16"/>
        <v>0</v>
      </c>
      <c r="M232" s="4" t="str">
        <f>IF($I232="Complete","Green",IF($H232="","Amber",IF($H232&lt;'[2]Read Me'!$B$4,"Red",IF($H232-'[2]Read Me'!$B$4&lt;=21,"Amber","Green"))))</f>
        <v>Red</v>
      </c>
      <c r="N232" s="3"/>
      <c r="O232" t="str">
        <f>IF($I232&lt;&gt;"Complete",IF(COUNTIFS($A$4:$A231,$A232,$B$4:$B231,$B232,$I$4:$I231,"&lt;&gt;Complete")=0,$A232&amp;"|"&amp;$B232,""),"")</f>
        <v/>
      </c>
      <c r="P232" t="str">
        <f ca="1">IF($K232="Yes",COUNTIFS($K$4:$K232,"Yes"),"")</f>
        <v/>
      </c>
      <c r="Q232">
        <f t="shared" ca="1" si="15"/>
        <v>0</v>
      </c>
      <c r="R232" t="str">
        <f ca="1">IF($Q232=1,SUM($Q$4:$Q232),"")</f>
        <v/>
      </c>
    </row>
    <row r="233" spans="1:18" ht="22.5" customHeight="1" x14ac:dyDescent="0.3">
      <c r="A233" s="2" t="s">
        <v>294</v>
      </c>
      <c r="B233" s="2" t="s">
        <v>303</v>
      </c>
      <c r="C233" s="3" t="s">
        <v>304</v>
      </c>
      <c r="D233" s="3" t="s">
        <v>58</v>
      </c>
      <c r="E233" s="2" t="s">
        <v>165</v>
      </c>
      <c r="F233" s="2"/>
      <c r="G233" s="5">
        <v>46156</v>
      </c>
      <c r="H233" s="5">
        <v>46202</v>
      </c>
      <c r="I233" s="4" t="s">
        <v>46</v>
      </c>
      <c r="J233" s="6">
        <f t="shared" si="13"/>
        <v>46</v>
      </c>
      <c r="K233" s="4" t="str">
        <f t="shared" ca="1" si="14"/>
        <v>Yes</v>
      </c>
      <c r="L233" s="7">
        <f t="shared" ca="1" si="16"/>
        <v>-6</v>
      </c>
      <c r="M233" s="4" t="str">
        <f>IF($I233="Complete","Green",IF($H233="","Amber",IF($H233&lt;'[2]Read Me'!$B$4,"Red",IF($H233-'[2]Read Me'!$B$4&lt;=21,"Amber","Green"))))</f>
        <v>Amber</v>
      </c>
      <c r="N233" s="3"/>
      <c r="O233" t="str">
        <f>IF($I233&lt;&gt;"Complete",IF(COUNTIFS($A$4:$A232,$A233,$B$4:$B232,$B233,$I$4:$I232,"&lt;&gt;Complete")=0,$A233&amp;"|"&amp;$B233,""),"")</f>
        <v/>
      </c>
      <c r="P233">
        <f ca="1">IF($K233="Yes",COUNTIFS($K$4:$K233,"Yes"),"")</f>
        <v>23</v>
      </c>
      <c r="Q233">
        <f t="shared" ca="1" si="15"/>
        <v>1</v>
      </c>
      <c r="R233">
        <f ca="1">IF($Q233=1,SUM($Q$4:$Q233),"")</f>
        <v>23</v>
      </c>
    </row>
    <row r="234" spans="1:18" ht="22.5" customHeight="1" x14ac:dyDescent="0.3">
      <c r="A234" s="2" t="s">
        <v>294</v>
      </c>
      <c r="B234" s="2" t="s">
        <v>49</v>
      </c>
      <c r="C234" s="3"/>
      <c r="D234" s="3"/>
      <c r="E234" s="2"/>
      <c r="F234" s="2"/>
      <c r="G234" s="5"/>
      <c r="H234" s="5">
        <v>46306</v>
      </c>
      <c r="I234" s="4"/>
      <c r="J234" s="6" t="str">
        <f t="shared" si="13"/>
        <v/>
      </c>
      <c r="K234" s="4" t="str">
        <f t="shared" ca="1" si="14"/>
        <v/>
      </c>
      <c r="L234" s="7">
        <f t="shared" ca="1" si="16"/>
        <v>98</v>
      </c>
      <c r="M234" s="4" t="str">
        <f>IF($I234="Complete","Green",IF($H234="","Amber",IF($H234&lt;'[2]Read Me'!$B$4,"Red",IF($H234-'[2]Read Me'!$B$4&lt;=21,"Amber","Green"))))</f>
        <v>Green</v>
      </c>
      <c r="N234" s="3"/>
      <c r="O234" t="str">
        <f>IF($I234&lt;&gt;"Complete",IF(COUNTIFS($A$4:$A233,$A234,$B$4:$B233,$B234,$I$4:$I233,"&lt;&gt;Complete")=0,$A234&amp;"|"&amp;$B234,""),"")</f>
        <v>Parcel 07|Authorities</v>
      </c>
      <c r="P234" t="str">
        <f ca="1">IF($K234="Yes",COUNTIFS($K$4:$K234,"Yes"),"")</f>
        <v/>
      </c>
      <c r="Q234">
        <f t="shared" ca="1" si="15"/>
        <v>0</v>
      </c>
      <c r="R234" t="str">
        <f ca="1">IF($Q234=1,SUM($Q$4:$Q234),"")</f>
        <v/>
      </c>
    </row>
    <row r="235" spans="1:18" ht="22.5" customHeight="1" x14ac:dyDescent="0.3">
      <c r="A235" s="2" t="s">
        <v>294</v>
      </c>
      <c r="B235" s="2" t="s">
        <v>49</v>
      </c>
      <c r="C235" s="3" t="s">
        <v>308</v>
      </c>
      <c r="D235" s="3" t="s">
        <v>309</v>
      </c>
      <c r="E235" s="2" t="s">
        <v>104</v>
      </c>
      <c r="F235" s="2"/>
      <c r="G235" s="5"/>
      <c r="H235" s="5">
        <v>46218</v>
      </c>
      <c r="I235" s="4" t="s">
        <v>46</v>
      </c>
      <c r="J235" s="6" t="str">
        <f t="shared" si="13"/>
        <v/>
      </c>
      <c r="K235" s="4" t="str">
        <f t="shared" ca="1" si="14"/>
        <v>No</v>
      </c>
      <c r="L235" s="7">
        <f t="shared" ca="1" si="16"/>
        <v>10</v>
      </c>
      <c r="M235" s="4" t="str">
        <f>IF($I235="Complete","Green",IF($H235="","Amber",IF($H235&lt;'[2]Read Me'!$B$4,"Red",IF($H235-'[2]Read Me'!$B$4&lt;=21,"Amber","Green"))))</f>
        <v>Green</v>
      </c>
      <c r="N235" s="3"/>
      <c r="O235" t="str">
        <f>IF($I235&lt;&gt;"Complete",IF(COUNTIFS($A$4:$A234,$A235,$B$4:$B234,$B235,$I$4:$I234,"&lt;&gt;Complete")=0,$A235&amp;"|"&amp;$B235,""),"")</f>
        <v/>
      </c>
      <c r="P235" t="str">
        <f ca="1">IF($K235="Yes",COUNTIFS($K$4:$K235,"Yes"),"")</f>
        <v/>
      </c>
      <c r="Q235">
        <f t="shared" ca="1" si="15"/>
        <v>0</v>
      </c>
      <c r="R235" t="str">
        <f ca="1">IF($Q235=1,SUM($Q$4:$Q235),"")</f>
        <v/>
      </c>
    </row>
    <row r="236" spans="1:18" ht="22.5" customHeight="1" x14ac:dyDescent="0.3">
      <c r="A236" s="2" t="s">
        <v>294</v>
      </c>
      <c r="B236" s="2" t="s">
        <v>49</v>
      </c>
      <c r="C236" s="3" t="s">
        <v>308</v>
      </c>
      <c r="D236" s="3" t="s">
        <v>288</v>
      </c>
      <c r="E236" s="2" t="s">
        <v>104</v>
      </c>
      <c r="F236" s="2"/>
      <c r="G236" s="5"/>
      <c r="H236" s="5">
        <v>46260</v>
      </c>
      <c r="I236" s="4" t="s">
        <v>17</v>
      </c>
      <c r="J236" s="6" t="str">
        <f t="shared" si="13"/>
        <v/>
      </c>
      <c r="K236" s="4" t="str">
        <f t="shared" ca="1" si="14"/>
        <v>No</v>
      </c>
      <c r="L236" s="7">
        <f t="shared" ca="1" si="16"/>
        <v>52</v>
      </c>
      <c r="M236" s="4" t="str">
        <f>IF($I236="Complete","Green",IF($H236="","Amber",IF($H236&lt;'[2]Read Me'!$B$4,"Red",IF($H236-'[2]Read Me'!$B$4&lt;=21,"Amber","Green"))))</f>
        <v>Green</v>
      </c>
      <c r="N236" s="3"/>
      <c r="O236" t="str">
        <f>IF($I236&lt;&gt;"Complete",IF(COUNTIFS($A$4:$A235,$A236,$B$4:$B235,$B236,$I$4:$I235,"&lt;&gt;Complete")=0,$A236&amp;"|"&amp;$B236,""),"")</f>
        <v/>
      </c>
      <c r="P236" t="str">
        <f ca="1">IF($K236="Yes",COUNTIFS($K$4:$K236,"Yes"),"")</f>
        <v/>
      </c>
      <c r="Q236">
        <f t="shared" ca="1" si="15"/>
        <v>0</v>
      </c>
      <c r="R236" t="str">
        <f ca="1">IF($Q236=1,SUM($Q$4:$Q236),"")</f>
        <v/>
      </c>
    </row>
    <row r="237" spans="1:18" ht="22.5" customHeight="1" x14ac:dyDescent="0.3">
      <c r="A237" s="2" t="s">
        <v>294</v>
      </c>
      <c r="B237" s="2" t="s">
        <v>49</v>
      </c>
      <c r="C237" s="3" t="s">
        <v>308</v>
      </c>
      <c r="D237" s="3" t="s">
        <v>289</v>
      </c>
      <c r="E237" s="2" t="s">
        <v>104</v>
      </c>
      <c r="F237" s="2"/>
      <c r="G237" s="5"/>
      <c r="H237" s="5">
        <v>46306</v>
      </c>
      <c r="I237" s="4" t="s">
        <v>17</v>
      </c>
      <c r="J237" s="6" t="str">
        <f t="shared" si="13"/>
        <v/>
      </c>
      <c r="K237" s="4" t="str">
        <f t="shared" ca="1" si="14"/>
        <v>No</v>
      </c>
      <c r="L237" s="7">
        <f t="shared" ca="1" si="16"/>
        <v>98</v>
      </c>
      <c r="M237" s="4" t="str">
        <f>IF($I237="Complete","Green",IF($H237="","Amber",IF($H237&lt;'[2]Read Me'!$B$4,"Red",IF($H237-'[2]Read Me'!$B$4&lt;=21,"Amber","Green"))))</f>
        <v>Green</v>
      </c>
      <c r="N237" s="3"/>
      <c r="O237" t="str">
        <f>IF($I237&lt;&gt;"Complete",IF(COUNTIFS($A$4:$A236,$A237,$B$4:$B236,$B237,$I$4:$I236,"&lt;&gt;Complete")=0,$A237&amp;"|"&amp;$B237,""),"")</f>
        <v/>
      </c>
      <c r="P237" t="str">
        <f ca="1">IF($K237="Yes",COUNTIFS($K$4:$K237,"Yes"),"")</f>
        <v/>
      </c>
      <c r="Q237">
        <f t="shared" ca="1" si="15"/>
        <v>0</v>
      </c>
      <c r="R237" t="str">
        <f ca="1">IF($Q237=1,SUM($Q$4:$Q237),"")</f>
        <v/>
      </c>
    </row>
    <row r="238" spans="1:18" ht="22.5" customHeight="1" x14ac:dyDescent="0.3">
      <c r="A238" s="2" t="s">
        <v>294</v>
      </c>
      <c r="B238" s="2" t="s">
        <v>21</v>
      </c>
      <c r="C238" s="3"/>
      <c r="D238" s="3"/>
      <c r="E238" s="2"/>
      <c r="F238" s="2"/>
      <c r="G238" s="5">
        <v>46055</v>
      </c>
      <c r="H238" s="5">
        <v>46055</v>
      </c>
      <c r="I238" s="4"/>
      <c r="J238" s="6">
        <f t="shared" si="13"/>
        <v>0</v>
      </c>
      <c r="K238" s="4" t="str">
        <f t="shared" ca="1" si="14"/>
        <v/>
      </c>
      <c r="L238" s="7">
        <f t="shared" ca="1" si="16"/>
        <v>-153</v>
      </c>
      <c r="M238" s="4" t="str">
        <f>IF($I238="Complete","Green",IF($H238="","Amber",IF($H238&lt;'[2]Read Me'!$B$4,"Red",IF($H238-'[2]Read Me'!$B$4&lt;=21,"Amber","Green"))))</f>
        <v>Red</v>
      </c>
      <c r="N238" s="3"/>
      <c r="O238" t="str">
        <f>IF($I238&lt;&gt;"Complete",IF(COUNTIFS($A$4:$A237,$A238,$B$4:$B237,$B238,$I$4:$I237,"&lt;&gt;Complete")=0,$A238&amp;"|"&amp;$B238,""),"")</f>
        <v>Parcel 07|Landscape</v>
      </c>
      <c r="P238" t="str">
        <f ca="1">IF($K238="Yes",COUNTIFS($K$4:$K238,"Yes"),"")</f>
        <v/>
      </c>
      <c r="Q238">
        <f t="shared" ca="1" si="15"/>
        <v>0</v>
      </c>
      <c r="R238" t="str">
        <f ca="1">IF($Q238=1,SUM($Q$4:$Q238),"")</f>
        <v/>
      </c>
    </row>
    <row r="239" spans="1:18" ht="22.5" customHeight="1" x14ac:dyDescent="0.3">
      <c r="A239" s="2" t="s">
        <v>294</v>
      </c>
      <c r="B239" s="2" t="s">
        <v>21</v>
      </c>
      <c r="C239" s="3" t="s">
        <v>21</v>
      </c>
      <c r="D239" s="3" t="s">
        <v>191</v>
      </c>
      <c r="E239" s="2"/>
      <c r="F239" s="2"/>
      <c r="G239" s="5">
        <v>46054</v>
      </c>
      <c r="H239" s="5">
        <v>46054</v>
      </c>
      <c r="I239" s="4" t="s">
        <v>31</v>
      </c>
      <c r="J239" s="6">
        <f t="shared" si="13"/>
        <v>0</v>
      </c>
      <c r="K239" s="4" t="str">
        <f t="shared" ca="1" si="14"/>
        <v>-</v>
      </c>
      <c r="L239" s="7">
        <f t="shared" ca="1" si="16"/>
        <v>0</v>
      </c>
      <c r="M239" s="4" t="str">
        <f>IF($I239="Complete","Green",IF($H239="","Amber",IF($H239&lt;'[2]Read Me'!$B$4,"Red",IF($H239-'[2]Read Me'!$B$4&lt;=21,"Amber","Green"))))</f>
        <v>Red</v>
      </c>
      <c r="N239" s="3"/>
      <c r="O239" t="str">
        <f>IF($I239&lt;&gt;"Complete",IF(COUNTIFS($A$4:$A238,$A239,$B$4:$B238,$B239,$I$4:$I238,"&lt;&gt;Complete")=0,$A239&amp;"|"&amp;$B239,""),"")</f>
        <v/>
      </c>
      <c r="P239" t="str">
        <f ca="1">IF($K239="Yes",COUNTIFS($K$4:$K239,"Yes"),"")</f>
        <v/>
      </c>
      <c r="Q239">
        <f t="shared" ca="1" si="15"/>
        <v>0</v>
      </c>
      <c r="R239" t="str">
        <f ca="1">IF($Q239=1,SUM($Q$4:$Q239),"")</f>
        <v/>
      </c>
    </row>
    <row r="240" spans="1:18" ht="22.5" customHeight="1" x14ac:dyDescent="0.3">
      <c r="A240" s="2" t="s">
        <v>294</v>
      </c>
      <c r="B240" s="2" t="s">
        <v>21</v>
      </c>
      <c r="C240" s="3" t="s">
        <v>21</v>
      </c>
      <c r="D240" s="3" t="s">
        <v>58</v>
      </c>
      <c r="E240" s="2"/>
      <c r="F240" s="2"/>
      <c r="G240" s="5">
        <v>46055</v>
      </c>
      <c r="H240" s="5">
        <v>46055</v>
      </c>
      <c r="I240" s="4" t="s">
        <v>31</v>
      </c>
      <c r="J240" s="6">
        <f t="shared" si="13"/>
        <v>0</v>
      </c>
      <c r="K240" s="4" t="str">
        <f t="shared" ca="1" si="14"/>
        <v>-</v>
      </c>
      <c r="L240" s="7">
        <f t="shared" ca="1" si="16"/>
        <v>0</v>
      </c>
      <c r="M240" s="4" t="str">
        <f>IF($I240="Complete","Green",IF($H240="","Amber",IF($H240&lt;'[2]Read Me'!$B$4,"Red",IF($H240-'[2]Read Me'!$B$4&lt;=21,"Amber","Green"))))</f>
        <v>Red</v>
      </c>
      <c r="N240" s="3"/>
      <c r="O240" t="str">
        <f>IF($I240&lt;&gt;"Complete",IF(COUNTIFS($A$4:$A239,$A240,$B$4:$B239,$B240,$I$4:$I239,"&lt;&gt;Complete")=0,$A240&amp;"|"&amp;$B240,""),"")</f>
        <v/>
      </c>
      <c r="P240" t="str">
        <f ca="1">IF($K240="Yes",COUNTIFS($K$4:$K240,"Yes"),"")</f>
        <v/>
      </c>
      <c r="Q240">
        <f t="shared" ca="1" si="15"/>
        <v>0</v>
      </c>
      <c r="R240" t="str">
        <f ca="1">IF($Q240=1,SUM($Q$4:$Q240),"")</f>
        <v/>
      </c>
    </row>
    <row r="241" spans="1:18" ht="22.5" customHeight="1" x14ac:dyDescent="0.3">
      <c r="A241" s="2" t="s">
        <v>294</v>
      </c>
      <c r="B241" s="2" t="s">
        <v>310</v>
      </c>
      <c r="C241" s="3"/>
      <c r="D241" s="3"/>
      <c r="E241" s="2"/>
      <c r="F241" s="2"/>
      <c r="G241" s="5">
        <v>46296</v>
      </c>
      <c r="H241" s="5">
        <v>46301</v>
      </c>
      <c r="I241" s="4"/>
      <c r="J241" s="6">
        <f t="shared" si="13"/>
        <v>5</v>
      </c>
      <c r="K241" s="4" t="str">
        <f t="shared" ca="1" si="14"/>
        <v/>
      </c>
      <c r="L241" s="7">
        <f t="shared" ca="1" si="16"/>
        <v>93</v>
      </c>
      <c r="M241" s="4" t="str">
        <f>IF($I241="Complete","Green",IF($H241="","Amber",IF($H241&lt;'[2]Read Me'!$B$4,"Red",IF($H241-'[2]Read Me'!$B$4&lt;=21,"Amber","Green"))))</f>
        <v>Green</v>
      </c>
      <c r="N241" s="3"/>
      <c r="O241" t="str">
        <f>IF($I241&lt;&gt;"Complete",IF(COUNTIFS($A$4:$A240,$A241,$B$4:$B240,$B241,$I$4:$I240,"&lt;&gt;Complete")=0,$A241&amp;"|"&amp;$B241,""),"")</f>
        <v>Parcel 07|LEED Certificate</v>
      </c>
      <c r="P241" t="str">
        <f ca="1">IF($K241="Yes",COUNTIFS($K$4:$K241,"Yes"),"")</f>
        <v/>
      </c>
      <c r="Q241">
        <f t="shared" ca="1" si="15"/>
        <v>0</v>
      </c>
      <c r="R241" t="str">
        <f ca="1">IF($Q241=1,SUM($Q$4:$Q241),"")</f>
        <v/>
      </c>
    </row>
    <row r="242" spans="1:18" ht="22.5" customHeight="1" x14ac:dyDescent="0.3">
      <c r="A242" s="2" t="s">
        <v>294</v>
      </c>
      <c r="B242" s="2" t="s">
        <v>310</v>
      </c>
      <c r="C242" s="3" t="s">
        <v>311</v>
      </c>
      <c r="D242" s="3" t="s">
        <v>312</v>
      </c>
      <c r="E242" s="2" t="s">
        <v>165</v>
      </c>
      <c r="F242" s="2" t="s">
        <v>313</v>
      </c>
      <c r="G242" s="5">
        <v>46197</v>
      </c>
      <c r="H242" s="5">
        <v>46187</v>
      </c>
      <c r="I242" s="4" t="s">
        <v>31</v>
      </c>
      <c r="J242" s="6">
        <f t="shared" si="13"/>
        <v>-10</v>
      </c>
      <c r="K242" s="4" t="str">
        <f t="shared" ca="1" si="14"/>
        <v>-</v>
      </c>
      <c r="L242" s="7">
        <f t="shared" ca="1" si="16"/>
        <v>0</v>
      </c>
      <c r="M242" s="4" t="str">
        <f>IF($I242="Complete","Green",IF($H242="","Amber",IF($H242&lt;'[2]Read Me'!$B$4,"Red",IF($H242-'[2]Read Me'!$B$4&lt;=21,"Amber","Green"))))</f>
        <v>Amber</v>
      </c>
      <c r="N242" s="3"/>
      <c r="O242" t="str">
        <f>IF($I242&lt;&gt;"Complete",IF(COUNTIFS($A$4:$A241,$A242,$B$4:$B241,$B242,$I$4:$I241,"&lt;&gt;Complete")=0,$A242&amp;"|"&amp;$B242,""),"")</f>
        <v/>
      </c>
      <c r="P242" t="str">
        <f ca="1">IF($K242="Yes",COUNTIFS($K$4:$K242,"Yes"),"")</f>
        <v/>
      </c>
      <c r="Q242">
        <f t="shared" ca="1" si="15"/>
        <v>0</v>
      </c>
      <c r="R242" t="str">
        <f ca="1">IF($Q242=1,SUM($Q$4:$Q242),"")</f>
        <v/>
      </c>
    </row>
    <row r="243" spans="1:18" ht="22.5" customHeight="1" x14ac:dyDescent="0.3">
      <c r="A243" s="2" t="s">
        <v>294</v>
      </c>
      <c r="B243" s="2" t="s">
        <v>310</v>
      </c>
      <c r="C243" s="3" t="s">
        <v>311</v>
      </c>
      <c r="D243" s="3" t="s">
        <v>314</v>
      </c>
      <c r="E243" s="2" t="s">
        <v>165</v>
      </c>
      <c r="F243" s="2" t="s">
        <v>265</v>
      </c>
      <c r="G243" s="5">
        <v>46198</v>
      </c>
      <c r="H243" s="5">
        <v>46203</v>
      </c>
      <c r="I243" s="4" t="s">
        <v>46</v>
      </c>
      <c r="J243" s="6">
        <f t="shared" si="13"/>
        <v>5</v>
      </c>
      <c r="K243" s="4" t="str">
        <f t="shared" ca="1" si="14"/>
        <v>Yes</v>
      </c>
      <c r="L243" s="7">
        <f t="shared" ca="1" si="16"/>
        <v>-5</v>
      </c>
      <c r="M243" s="4" t="str">
        <f>IF($I243="Complete","Green",IF($H243="","Amber",IF($H243&lt;'[2]Read Me'!$B$4,"Red",IF($H243-'[2]Read Me'!$B$4&lt;=21,"Amber","Green"))))</f>
        <v>Amber</v>
      </c>
      <c r="N243" s="3"/>
      <c r="O243" t="str">
        <f>IF($I243&lt;&gt;"Complete",IF(COUNTIFS($A$4:$A242,$A243,$B$4:$B242,$B243,$I$4:$I242,"&lt;&gt;Complete")=0,$A243&amp;"|"&amp;$B243,""),"")</f>
        <v/>
      </c>
      <c r="P243">
        <f ca="1">IF($K243="Yes",COUNTIFS($K$4:$K243,"Yes"),"")</f>
        <v>24</v>
      </c>
      <c r="Q243">
        <f t="shared" ca="1" si="15"/>
        <v>1</v>
      </c>
      <c r="R243">
        <f ca="1">IF($Q243=1,SUM($Q$4:$Q243),"")</f>
        <v>24</v>
      </c>
    </row>
    <row r="244" spans="1:18" ht="22.5" customHeight="1" x14ac:dyDescent="0.3">
      <c r="A244" s="2" t="s">
        <v>294</v>
      </c>
      <c r="B244" s="2" t="s">
        <v>310</v>
      </c>
      <c r="C244" s="3" t="s">
        <v>311</v>
      </c>
      <c r="D244" s="3" t="s">
        <v>315</v>
      </c>
      <c r="E244" s="2" t="s">
        <v>165</v>
      </c>
      <c r="F244" s="2" t="s">
        <v>316</v>
      </c>
      <c r="G244" s="5">
        <v>46233</v>
      </c>
      <c r="H244" s="5">
        <v>46238</v>
      </c>
      <c r="I244" s="4" t="s">
        <v>17</v>
      </c>
      <c r="J244" s="6">
        <f t="shared" si="13"/>
        <v>5</v>
      </c>
      <c r="K244" s="4" t="str">
        <f t="shared" ref="K244:K264" ca="1" si="17">IF($H244="","",IF($H244&gt;TODAY(),"No","Yes"))</f>
        <v>No</v>
      </c>
      <c r="L244" s="7">
        <f t="shared" ca="1" si="16"/>
        <v>30</v>
      </c>
      <c r="M244" s="4" t="str">
        <f>IF($I244="Complete","Green",IF($H244="","Amber",IF($H244&lt;'[2]Read Me'!$B$4,"Red",IF($H244-'[2]Read Me'!$B$4&lt;=21,"Amber","Green"))))</f>
        <v>Green</v>
      </c>
      <c r="N244" s="3"/>
      <c r="O244" t="str">
        <f>IF($I244&lt;&gt;"Complete",IF(COUNTIFS($A$4:$A243,$A244,$B$4:$B243,$B244,$I$4:$I243,"&lt;&gt;Complete")=0,$A244&amp;"|"&amp;$B244,""),"")</f>
        <v/>
      </c>
      <c r="P244" t="str">
        <f ca="1">IF($K244="Yes",COUNTIFS($K$4:$K244,"Yes"),"")</f>
        <v/>
      </c>
      <c r="Q244">
        <f t="shared" ca="1" si="15"/>
        <v>0</v>
      </c>
      <c r="R244" t="str">
        <f ca="1">IF($Q244=1,SUM($Q$4:$Q244),"")</f>
        <v/>
      </c>
    </row>
    <row r="245" spans="1:18" ht="22.5" customHeight="1" x14ac:dyDescent="0.3">
      <c r="A245" s="2" t="s">
        <v>294</v>
      </c>
      <c r="B245" s="2" t="s">
        <v>310</v>
      </c>
      <c r="C245" s="3" t="s">
        <v>311</v>
      </c>
      <c r="D245" s="3" t="s">
        <v>317</v>
      </c>
      <c r="E245" s="2" t="s">
        <v>165</v>
      </c>
      <c r="F245" s="2" t="s">
        <v>313</v>
      </c>
      <c r="G245" s="5">
        <v>46261</v>
      </c>
      <c r="H245" s="5">
        <v>46266</v>
      </c>
      <c r="I245" s="4" t="s">
        <v>17</v>
      </c>
      <c r="J245" s="6">
        <f t="shared" si="13"/>
        <v>5</v>
      </c>
      <c r="K245" s="4" t="str">
        <f t="shared" ca="1" si="17"/>
        <v>No</v>
      </c>
      <c r="L245" s="7">
        <f t="shared" ca="1" si="16"/>
        <v>58</v>
      </c>
      <c r="M245" s="4" t="str">
        <f>IF($I245="Complete","Green",IF($H245="","Amber",IF($H245&lt;'[2]Read Me'!$B$4,"Red",IF($H245-'[2]Read Me'!$B$4&lt;=21,"Amber","Green"))))</f>
        <v>Green</v>
      </c>
      <c r="N245" s="3"/>
      <c r="O245" t="str">
        <f>IF($I245&lt;&gt;"Complete",IF(COUNTIFS($A$4:$A244,$A245,$B$4:$B244,$B245,$I$4:$I244,"&lt;&gt;Complete")=0,$A245&amp;"|"&amp;$B245,""),"")</f>
        <v/>
      </c>
      <c r="P245" t="str">
        <f ca="1">IF($K245="Yes",COUNTIFS($K$4:$K245,"Yes"),"")</f>
        <v/>
      </c>
      <c r="Q245">
        <f t="shared" ca="1" si="15"/>
        <v>0</v>
      </c>
      <c r="R245" t="str">
        <f ca="1">IF($Q245=1,SUM($Q$4:$Q245),"")</f>
        <v/>
      </c>
    </row>
    <row r="246" spans="1:18" ht="22.5" customHeight="1" x14ac:dyDescent="0.3">
      <c r="A246" s="2" t="s">
        <v>294</v>
      </c>
      <c r="B246" s="2" t="s">
        <v>310</v>
      </c>
      <c r="C246" s="3" t="s">
        <v>311</v>
      </c>
      <c r="D246" s="3" t="s">
        <v>318</v>
      </c>
      <c r="E246" s="2" t="s">
        <v>165</v>
      </c>
      <c r="F246" s="2" t="s">
        <v>316</v>
      </c>
      <c r="G246" s="5">
        <v>46296</v>
      </c>
      <c r="H246" s="5">
        <v>46301</v>
      </c>
      <c r="I246" s="4" t="s">
        <v>17</v>
      </c>
      <c r="J246" s="6">
        <f t="shared" si="13"/>
        <v>5</v>
      </c>
      <c r="K246" s="4" t="str">
        <f t="shared" ca="1" si="17"/>
        <v>No</v>
      </c>
      <c r="L246" s="7">
        <f t="shared" ca="1" si="16"/>
        <v>93</v>
      </c>
      <c r="M246" s="4" t="str">
        <f>IF($I246="Complete","Green",IF($H246="","Amber",IF($H246&lt;'[2]Read Me'!$B$4,"Red",IF($H246-'[2]Read Me'!$B$4&lt;=21,"Amber","Green"))))</f>
        <v>Green</v>
      </c>
      <c r="N246" s="3"/>
      <c r="O246" t="str">
        <f>IF($I246&lt;&gt;"Complete",IF(COUNTIFS($A$4:$A245,$A246,$B$4:$B245,$B246,$I$4:$I245,"&lt;&gt;Complete")=0,$A246&amp;"|"&amp;$B246,""),"")</f>
        <v/>
      </c>
      <c r="P246" t="str">
        <f ca="1">IF($K246="Yes",COUNTIFS($K$4:$K246,"Yes"),"")</f>
        <v/>
      </c>
      <c r="Q246">
        <f t="shared" ca="1" si="15"/>
        <v>0</v>
      </c>
      <c r="R246" t="str">
        <f ca="1">IF($Q246=1,SUM($Q$4:$Q246),"")</f>
        <v/>
      </c>
    </row>
    <row r="247" spans="1:18" ht="22.5" customHeight="1" x14ac:dyDescent="0.3">
      <c r="A247" s="2" t="s">
        <v>294</v>
      </c>
      <c r="B247" s="2" t="s">
        <v>310</v>
      </c>
      <c r="C247" s="3" t="s">
        <v>311</v>
      </c>
      <c r="D247" s="3" t="s">
        <v>319</v>
      </c>
      <c r="E247" s="2" t="s">
        <v>165</v>
      </c>
      <c r="F247" s="2" t="s">
        <v>265</v>
      </c>
      <c r="G247" s="5"/>
      <c r="H247" s="5"/>
      <c r="I247" s="4" t="s">
        <v>17</v>
      </c>
      <c r="J247" s="6" t="str">
        <f t="shared" si="13"/>
        <v/>
      </c>
      <c r="K247" s="4" t="str">
        <f t="shared" ca="1" si="17"/>
        <v/>
      </c>
      <c r="L247" s="7" t="str">
        <f t="shared" ca="1" si="16"/>
        <v/>
      </c>
      <c r="M247" s="4" t="str">
        <f>IF($I247="Complete","Green",IF($H247="","Amber",IF($H247&lt;'[2]Read Me'!$B$4,"Red",IF($H247-'[2]Read Me'!$B$4&lt;=21,"Amber","Green"))))</f>
        <v>Amber</v>
      </c>
      <c r="N247" s="3"/>
      <c r="O247" t="str">
        <f>IF($I247&lt;&gt;"Complete",IF(COUNTIFS($A$4:$A246,$A247,$B$4:$B246,$B247,$I$4:$I246,"&lt;&gt;Complete")=0,$A247&amp;"|"&amp;$B247,""),"")</f>
        <v/>
      </c>
      <c r="P247" t="str">
        <f ca="1">IF($K247="Yes",COUNTIFS($K$4:$K247,"Yes"),"")</f>
        <v/>
      </c>
      <c r="Q247">
        <f t="shared" ca="1" si="15"/>
        <v>0</v>
      </c>
      <c r="R247" t="str">
        <f ca="1">IF($Q247=1,SUM($Q$4:$Q247),"")</f>
        <v/>
      </c>
    </row>
    <row r="248" spans="1:18" ht="22.5" customHeight="1" x14ac:dyDescent="0.3">
      <c r="A248" s="2" t="s">
        <v>320</v>
      </c>
      <c r="B248" s="2"/>
      <c r="C248" s="3" t="s">
        <v>311</v>
      </c>
      <c r="D248" s="3" t="s">
        <v>137</v>
      </c>
      <c r="E248" s="2"/>
      <c r="F248" s="2"/>
      <c r="G248" s="5">
        <v>46274</v>
      </c>
      <c r="H248" s="5">
        <v>46392</v>
      </c>
      <c r="I248" s="4" t="s">
        <v>17</v>
      </c>
      <c r="J248" s="6">
        <f t="shared" si="13"/>
        <v>118</v>
      </c>
      <c r="K248" s="4" t="str">
        <f t="shared" ca="1" si="17"/>
        <v>No</v>
      </c>
      <c r="L248" s="7">
        <f t="shared" ca="1" si="16"/>
        <v>184</v>
      </c>
      <c r="M248" s="4" t="str">
        <f>IF($I248="Complete","Green",IF($H248="","Amber",IF($H248&lt;'[2]Read Me'!$B$4,"Red",IF($H248-'[2]Read Me'!$B$4&lt;=21,"Amber","Green"))))</f>
        <v>Green</v>
      </c>
      <c r="N248" s="3"/>
      <c r="O248" t="str">
        <f>IF($I248&lt;&gt;"Complete",IF(COUNTIFS($A$4:$A247,$A248,$B$4:$B247,$B248,$I$4:$I247,"&lt;&gt;Complete")=0,$A248&amp;"|"&amp;$B248,""),"")</f>
        <v>Hotel|</v>
      </c>
      <c r="P248" t="str">
        <f ca="1">IF($K248="Yes",COUNTIFS($K$4:$K248,"Yes"),"")</f>
        <v/>
      </c>
      <c r="Q248">
        <f t="shared" ca="1" si="15"/>
        <v>0</v>
      </c>
      <c r="R248" t="str">
        <f ca="1">IF($Q248=1,SUM($Q$4:$Q248),"")</f>
        <v/>
      </c>
    </row>
    <row r="249" spans="1:18" ht="22.5" customHeight="1" x14ac:dyDescent="0.3">
      <c r="A249" s="2" t="s">
        <v>320</v>
      </c>
      <c r="B249" s="2" t="s">
        <v>62</v>
      </c>
      <c r="C249" s="3" t="s">
        <v>311</v>
      </c>
      <c r="D249" s="3" t="s">
        <v>321</v>
      </c>
      <c r="E249" s="2"/>
      <c r="F249" s="2"/>
      <c r="G249" s="5">
        <v>46343</v>
      </c>
      <c r="H249" s="5">
        <v>46393</v>
      </c>
      <c r="I249" s="4" t="s">
        <v>17</v>
      </c>
      <c r="J249" s="6">
        <f t="shared" si="13"/>
        <v>50</v>
      </c>
      <c r="K249" s="4" t="str">
        <f t="shared" ca="1" si="17"/>
        <v>No</v>
      </c>
      <c r="L249" s="7">
        <f t="shared" ca="1" si="16"/>
        <v>185</v>
      </c>
      <c r="M249" s="4" t="str">
        <f>IF($I249="Complete","Green",IF($H249="","Amber",IF($H249&lt;'[2]Read Me'!$B$4,"Red",IF($H249-'[2]Read Me'!$B$4&lt;=21,"Amber","Green"))))</f>
        <v>Green</v>
      </c>
      <c r="N249" s="3"/>
      <c r="O249" t="str">
        <f>IF($I249&lt;&gt;"Complete",IF(COUNTIFS($A$4:$A248,$A249,$B$4:$B248,$B249,$I$4:$I248,"&lt;&gt;Complete")=0,$A249&amp;"|"&amp;$B249,""),"")</f>
        <v>Hotel|Buildings</v>
      </c>
      <c r="P249" t="str">
        <f ca="1">IF($K249="Yes",COUNTIFS($K$4:$K249,"Yes"),"")</f>
        <v/>
      </c>
      <c r="Q249">
        <f t="shared" ca="1" si="15"/>
        <v>0</v>
      </c>
      <c r="R249" t="str">
        <f ca="1">IF($Q249=1,SUM($Q$4:$Q249),"")</f>
        <v/>
      </c>
    </row>
    <row r="250" spans="1:18" ht="22.5" customHeight="1" x14ac:dyDescent="0.3">
      <c r="A250" s="2" t="s">
        <v>320</v>
      </c>
      <c r="B250" s="2" t="s">
        <v>62</v>
      </c>
      <c r="C250" s="3" t="s">
        <v>311</v>
      </c>
      <c r="D250" s="3" t="s">
        <v>322</v>
      </c>
      <c r="E250" s="2"/>
      <c r="F250" s="2"/>
      <c r="G250" s="5">
        <v>45991</v>
      </c>
      <c r="H250" s="5">
        <v>45991</v>
      </c>
      <c r="I250" s="4" t="s">
        <v>31</v>
      </c>
      <c r="J250" s="6">
        <f t="shared" si="13"/>
        <v>0</v>
      </c>
      <c r="K250" s="4" t="str">
        <f t="shared" ca="1" si="17"/>
        <v>Yes</v>
      </c>
      <c r="L250" s="7">
        <f t="shared" ca="1" si="16"/>
        <v>0</v>
      </c>
      <c r="M250" s="4" t="str">
        <f>IF($I250="Complete","Green",IF($H250="","Amber",IF($H250&lt;'[2]Read Me'!$B$4,"Red",IF($H250-'[2]Read Me'!$B$4&lt;=21,"Amber","Green"))))</f>
        <v>Red</v>
      </c>
      <c r="N250" s="8"/>
      <c r="O250" t="str">
        <f>IF($I250&lt;&gt;"Complete",IF(COUNTIFS($A$4:$A249,$A250,$B$4:$B249,$B250,$I$4:$I249,"&lt;&gt;Complete")=0,$A250&amp;"|"&amp;$B250,""),"")</f>
        <v/>
      </c>
      <c r="P250">
        <f ca="1">IF($K250="Yes",COUNTIFS($K$4:$K250,"Yes"),"")</f>
        <v>25</v>
      </c>
      <c r="Q250">
        <f t="shared" ca="1" si="15"/>
        <v>1</v>
      </c>
      <c r="R250">
        <f ca="1">IF($Q250=1,SUM($Q$4:$Q250),"")</f>
        <v>25</v>
      </c>
    </row>
    <row r="251" spans="1:18" ht="22.5" customHeight="1" x14ac:dyDescent="0.3">
      <c r="A251" s="2" t="s">
        <v>320</v>
      </c>
      <c r="B251" s="2" t="s">
        <v>62</v>
      </c>
      <c r="C251" s="3" t="s">
        <v>311</v>
      </c>
      <c r="D251" s="3" t="s">
        <v>323</v>
      </c>
      <c r="E251" s="2"/>
      <c r="F251" s="2"/>
      <c r="G251" s="5">
        <v>46054</v>
      </c>
      <c r="H251" s="5">
        <v>46054</v>
      </c>
      <c r="I251" s="4" t="s">
        <v>31</v>
      </c>
      <c r="J251" s="6">
        <f t="shared" si="13"/>
        <v>0</v>
      </c>
      <c r="K251" s="4" t="str">
        <f t="shared" ca="1" si="17"/>
        <v>Yes</v>
      </c>
      <c r="L251" s="7">
        <f t="shared" ca="1" si="16"/>
        <v>0</v>
      </c>
      <c r="M251" s="4" t="str">
        <f>IF($I251="Complete","Green",IF($H251="","Amber",IF($H251&lt;'[2]Read Me'!$B$4,"Red",IF($H251-'[2]Read Me'!$B$4&lt;=21,"Amber","Green"))))</f>
        <v>Red</v>
      </c>
      <c r="N251" s="3"/>
      <c r="O251" t="str">
        <f>IF($I251&lt;&gt;"Complete",IF(COUNTIFS($A$4:$A250,$A251,$B$4:$B250,$B251,$I$4:$I250,"&lt;&gt;Complete")=0,$A251&amp;"|"&amp;$B251,""),"")</f>
        <v/>
      </c>
      <c r="P251">
        <f ca="1">IF($K251="Yes",COUNTIFS($K$4:$K251,"Yes"),"")</f>
        <v>26</v>
      </c>
      <c r="Q251">
        <f t="shared" ca="1" si="15"/>
        <v>1</v>
      </c>
      <c r="R251">
        <f ca="1">IF($Q251=1,SUM($Q$4:$Q251),"")</f>
        <v>26</v>
      </c>
    </row>
    <row r="252" spans="1:18" ht="22.5" customHeight="1" x14ac:dyDescent="0.3">
      <c r="A252" s="2" t="s">
        <v>320</v>
      </c>
      <c r="B252" s="2" t="s">
        <v>62</v>
      </c>
      <c r="C252" s="3" t="s">
        <v>311</v>
      </c>
      <c r="D252" s="3" t="s">
        <v>58</v>
      </c>
      <c r="E252" s="2"/>
      <c r="F252" s="2"/>
      <c r="G252" s="5">
        <v>46062</v>
      </c>
      <c r="H252" s="5">
        <v>46062</v>
      </c>
      <c r="I252" s="4" t="s">
        <v>31</v>
      </c>
      <c r="J252" s="6">
        <f t="shared" si="13"/>
        <v>0</v>
      </c>
      <c r="K252" s="4" t="str">
        <f t="shared" ca="1" si="17"/>
        <v>Yes</v>
      </c>
      <c r="L252" s="7">
        <f t="shared" ca="1" si="16"/>
        <v>0</v>
      </c>
      <c r="M252" s="4" t="str">
        <f>IF($I252="Complete","Green",IF($H252="","Amber",IF($H252&lt;'[2]Read Me'!$B$4,"Red",IF($H252-'[2]Read Me'!$B$4&lt;=21,"Amber","Green"))))</f>
        <v>Red</v>
      </c>
      <c r="N252" s="3"/>
      <c r="O252" t="str">
        <f>IF($I252&lt;&gt;"Complete",IF(COUNTIFS($A$4:$A251,$A252,$B$4:$B251,$B252,$I$4:$I251,"&lt;&gt;Complete")=0,$A252&amp;"|"&amp;$B252,""),"")</f>
        <v/>
      </c>
      <c r="P252">
        <f ca="1">IF($K252="Yes",COUNTIFS($K$4:$K252,"Yes"),"")</f>
        <v>27</v>
      </c>
      <c r="Q252">
        <f t="shared" ca="1" si="15"/>
        <v>1</v>
      </c>
      <c r="R252">
        <f ca="1">IF($Q252=1,SUM($Q$4:$Q252),"")</f>
        <v>27</v>
      </c>
    </row>
    <row r="253" spans="1:18" ht="22.5" customHeight="1" x14ac:dyDescent="0.3">
      <c r="A253" s="2" t="s">
        <v>320</v>
      </c>
      <c r="B253" s="2" t="s">
        <v>62</v>
      </c>
      <c r="C253" s="3" t="s">
        <v>311</v>
      </c>
      <c r="D253" s="3" t="s">
        <v>324</v>
      </c>
      <c r="E253" s="2"/>
      <c r="F253" s="2"/>
      <c r="G253" s="5">
        <v>46111</v>
      </c>
      <c r="H253" s="5">
        <v>46111</v>
      </c>
      <c r="I253" s="4" t="s">
        <v>31</v>
      </c>
      <c r="J253" s="6">
        <f t="shared" si="13"/>
        <v>0</v>
      </c>
      <c r="K253" s="4" t="str">
        <f t="shared" ca="1" si="17"/>
        <v>Yes</v>
      </c>
      <c r="L253" s="7">
        <f t="shared" ca="1" si="16"/>
        <v>0</v>
      </c>
      <c r="M253" s="4" t="str">
        <f>IF($I253="Complete","Green",IF($H253="","Amber",IF($H253&lt;'[2]Read Me'!$B$4,"Red",IF($H253-'[2]Read Me'!$B$4&lt;=21,"Amber","Green"))))</f>
        <v>Red</v>
      </c>
      <c r="N253" s="3"/>
      <c r="O253" t="str">
        <f>IF($I253&lt;&gt;"Complete",IF(COUNTIFS($A$4:$A252,$A253,$B$4:$B252,$B253,$I$4:$I252,"&lt;&gt;Complete")=0,$A253&amp;"|"&amp;$B253,""),"")</f>
        <v/>
      </c>
      <c r="P253">
        <f ca="1">IF($K253="Yes",COUNTIFS($K$4:$K253,"Yes"),"")</f>
        <v>28</v>
      </c>
      <c r="Q253">
        <f t="shared" ca="1" si="15"/>
        <v>1</v>
      </c>
      <c r="R253">
        <f ca="1">IF($Q253=1,SUM($Q$4:$Q253),"")</f>
        <v>28</v>
      </c>
    </row>
    <row r="254" spans="1:18" ht="22.5" customHeight="1" x14ac:dyDescent="0.3">
      <c r="A254" s="2" t="s">
        <v>320</v>
      </c>
      <c r="B254" s="2" t="s">
        <v>62</v>
      </c>
      <c r="C254" s="3" t="s">
        <v>311</v>
      </c>
      <c r="D254" s="3" t="s">
        <v>325</v>
      </c>
      <c r="E254" s="2"/>
      <c r="F254" s="2"/>
      <c r="G254" s="5">
        <v>46111</v>
      </c>
      <c r="H254" s="5">
        <v>46111</v>
      </c>
      <c r="I254" s="4" t="s">
        <v>31</v>
      </c>
      <c r="J254" s="6">
        <f t="shared" si="13"/>
        <v>0</v>
      </c>
      <c r="K254" s="4" t="str">
        <f t="shared" ca="1" si="17"/>
        <v>Yes</v>
      </c>
      <c r="L254" s="7">
        <f t="shared" ca="1" si="16"/>
        <v>0</v>
      </c>
      <c r="M254" s="4" t="str">
        <f>IF($I254="Complete","Green",IF($H254="","Amber",IF($H254&lt;'[2]Read Me'!$B$4,"Red",IF($H254-'[2]Read Me'!$B$4&lt;=21,"Amber","Green"))))</f>
        <v>Red</v>
      </c>
      <c r="N254" s="3"/>
      <c r="O254" t="str">
        <f>IF($I254&lt;&gt;"Complete",IF(COUNTIFS($A$4:$A253,$A254,$B$4:$B253,$B254,$I$4:$I253,"&lt;&gt;Complete")=0,$A254&amp;"|"&amp;$B254,""),"")</f>
        <v/>
      </c>
      <c r="P254">
        <f ca="1">IF($K254="Yes",COUNTIFS($K$4:$K254,"Yes"),"")</f>
        <v>29</v>
      </c>
      <c r="Q254">
        <f t="shared" ca="1" si="15"/>
        <v>1</v>
      </c>
      <c r="R254">
        <f ca="1">IF($Q254=1,SUM($Q$4:$Q254),"")</f>
        <v>29</v>
      </c>
    </row>
    <row r="255" spans="1:18" ht="22.5" customHeight="1" x14ac:dyDescent="0.3">
      <c r="A255" s="2" t="s">
        <v>320</v>
      </c>
      <c r="B255" s="2" t="s">
        <v>62</v>
      </c>
      <c r="C255" s="3" t="s">
        <v>311</v>
      </c>
      <c r="D255" s="3" t="s">
        <v>58</v>
      </c>
      <c r="E255" s="2"/>
      <c r="F255" s="2"/>
      <c r="G255" s="5">
        <v>46119</v>
      </c>
      <c r="H255" s="5">
        <v>46139</v>
      </c>
      <c r="I255" s="4" t="s">
        <v>31</v>
      </c>
      <c r="J255" s="6">
        <f t="shared" si="13"/>
        <v>20</v>
      </c>
      <c r="K255" s="4" t="str">
        <f t="shared" ca="1" si="17"/>
        <v>Yes</v>
      </c>
      <c r="L255" s="7">
        <f t="shared" ca="1" si="16"/>
        <v>0</v>
      </c>
      <c r="M255" s="4" t="str">
        <f>IF($I255="Complete","Green",IF($H255="","Amber",IF($H255&lt;'[2]Read Me'!$B$4,"Red",IF($H255-'[2]Read Me'!$B$4&lt;=21,"Amber","Green"))))</f>
        <v>Red</v>
      </c>
      <c r="N255" s="3"/>
      <c r="O255" t="str">
        <f>IF($I255&lt;&gt;"Complete",IF(COUNTIFS($A$4:$A254,$A255,$B$4:$B254,$B255,$I$4:$I254,"&lt;&gt;Complete")=0,$A255&amp;"|"&amp;$B255,""),"")</f>
        <v/>
      </c>
      <c r="P255">
        <f ca="1">IF($K255="Yes",COUNTIFS($K$4:$K255,"Yes"),"")</f>
        <v>30</v>
      </c>
      <c r="Q255">
        <f t="shared" ca="1" si="15"/>
        <v>1</v>
      </c>
      <c r="R255">
        <f ca="1">IF($Q255=1,SUM($Q$4:$Q255),"")</f>
        <v>30</v>
      </c>
    </row>
    <row r="256" spans="1:18" ht="22.5" customHeight="1" x14ac:dyDescent="0.3">
      <c r="A256" s="2" t="s">
        <v>320</v>
      </c>
      <c r="B256" s="2" t="s">
        <v>62</v>
      </c>
      <c r="C256" s="3" t="s">
        <v>311</v>
      </c>
      <c r="D256" s="3" t="s">
        <v>326</v>
      </c>
      <c r="E256" s="2"/>
      <c r="F256" s="2"/>
      <c r="G256" s="5"/>
      <c r="H256" s="5">
        <v>46160</v>
      </c>
      <c r="I256" s="4" t="s">
        <v>31</v>
      </c>
      <c r="J256" s="6" t="str">
        <f t="shared" si="13"/>
        <v/>
      </c>
      <c r="K256" s="4" t="str">
        <f t="shared" ca="1" si="17"/>
        <v>Yes</v>
      </c>
      <c r="L256" s="7">
        <f t="shared" ca="1" si="16"/>
        <v>0</v>
      </c>
      <c r="M256" s="4" t="str">
        <f>IF($I256="Complete","Green",IF($H256="","Amber",IF($H256&lt;'[2]Read Me'!$B$4,"Red",IF($H256-'[2]Read Me'!$B$4&lt;=21,"Amber","Green"))))</f>
        <v>Red</v>
      </c>
      <c r="N256" s="3"/>
      <c r="O256" t="str">
        <f>IF($I256&lt;&gt;"Complete",IF(COUNTIFS($A$4:$A255,$A256,$B$4:$B255,$B256,$I$4:$I255,"&lt;&gt;Complete")=0,$A256&amp;"|"&amp;$B256,""),"")</f>
        <v/>
      </c>
      <c r="P256">
        <f ca="1">IF($K256="Yes",COUNTIFS($K$4:$K256,"Yes"),"")</f>
        <v>31</v>
      </c>
      <c r="Q256">
        <f t="shared" ca="1" si="15"/>
        <v>1</v>
      </c>
      <c r="R256">
        <f ca="1">IF($Q256=1,SUM($Q$4:$Q256),"")</f>
        <v>31</v>
      </c>
    </row>
    <row r="257" spans="1:18" ht="22.5" customHeight="1" x14ac:dyDescent="0.3">
      <c r="A257" s="2" t="s">
        <v>320</v>
      </c>
      <c r="B257" s="2" t="s">
        <v>62</v>
      </c>
      <c r="C257" s="3" t="s">
        <v>311</v>
      </c>
      <c r="D257" s="3" t="s">
        <v>58</v>
      </c>
      <c r="E257" s="2"/>
      <c r="F257" s="2"/>
      <c r="G257" s="5"/>
      <c r="H257" s="5">
        <v>46167</v>
      </c>
      <c r="I257" s="4" t="s">
        <v>31</v>
      </c>
      <c r="J257" s="6" t="str">
        <f t="shared" si="13"/>
        <v/>
      </c>
      <c r="K257" s="4" t="str">
        <f t="shared" ca="1" si="17"/>
        <v>Yes</v>
      </c>
      <c r="L257" s="7">
        <f t="shared" ca="1" si="16"/>
        <v>0</v>
      </c>
      <c r="M257" s="4" t="str">
        <f>IF($I257="Complete","Green",IF($H257="","Amber",IF($H257&lt;'[2]Read Me'!$B$4,"Red",IF($H257-'[2]Read Me'!$B$4&lt;=21,"Amber","Green"))))</f>
        <v>Red</v>
      </c>
      <c r="N257" s="3"/>
      <c r="O257" t="str">
        <f>IF($I257&lt;&gt;"Complete",IF(COUNTIFS($A$4:$A256,$A257,$B$4:$B256,$B257,$I$4:$I256,"&lt;&gt;Complete")=0,$A257&amp;"|"&amp;$B257,""),"")</f>
        <v/>
      </c>
      <c r="P257">
        <f ca="1">IF($K257="Yes",COUNTIFS($K$4:$K257,"Yes"),"")</f>
        <v>32</v>
      </c>
      <c r="Q257">
        <f t="shared" ca="1" si="15"/>
        <v>1</v>
      </c>
      <c r="R257">
        <f ca="1">IF($Q257=1,SUM($Q$4:$Q257),"")</f>
        <v>32</v>
      </c>
    </row>
    <row r="258" spans="1:18" ht="45" customHeight="1" x14ac:dyDescent="0.3">
      <c r="A258" s="2" t="s">
        <v>320</v>
      </c>
      <c r="B258" s="2" t="s">
        <v>62</v>
      </c>
      <c r="C258" s="3" t="s">
        <v>311</v>
      </c>
      <c r="D258" s="3" t="s">
        <v>327</v>
      </c>
      <c r="E258" s="2"/>
      <c r="F258" s="2"/>
      <c r="G258" s="5">
        <v>46181</v>
      </c>
      <c r="H258" s="5">
        <v>46173</v>
      </c>
      <c r="I258" s="4" t="s">
        <v>31</v>
      </c>
      <c r="J258" s="6">
        <f t="shared" si="13"/>
        <v>-8</v>
      </c>
      <c r="K258" s="4" t="str">
        <f t="shared" ca="1" si="17"/>
        <v>Yes</v>
      </c>
      <c r="L258" s="7">
        <f t="shared" ca="1" si="16"/>
        <v>0</v>
      </c>
      <c r="M258" s="4" t="str">
        <f>IF($I258="Complete","Green",IF($H258="","Amber",IF($H258&lt;'[2]Read Me'!$B$4,"Red",IF($H258-'[2]Read Me'!$B$4&lt;=21,"Amber","Green"))))</f>
        <v>Red</v>
      </c>
      <c r="N258" s="3"/>
      <c r="O258" t="str">
        <f>IF($I258&lt;&gt;"Complete",IF(COUNTIFS($A$4:$A257,$A258,$B$4:$B257,$B258,$I$4:$I257,"&lt;&gt;Complete")=0,$A258&amp;"|"&amp;$B258,""),"")</f>
        <v/>
      </c>
      <c r="P258">
        <f ca="1">IF($K258="Yes",COUNTIFS($K$4:$K258,"Yes"),"")</f>
        <v>33</v>
      </c>
      <c r="Q258">
        <f t="shared" ca="1" si="15"/>
        <v>1</v>
      </c>
      <c r="R258">
        <f ca="1">IF($Q258=1,SUM($Q$4:$Q258),"")</f>
        <v>33</v>
      </c>
    </row>
    <row r="259" spans="1:18" ht="45" customHeight="1" x14ac:dyDescent="0.3">
      <c r="A259" s="2" t="s">
        <v>320</v>
      </c>
      <c r="B259" s="2" t="s">
        <v>62</v>
      </c>
      <c r="C259" s="3" t="s">
        <v>311</v>
      </c>
      <c r="D259" s="3" t="s">
        <v>328</v>
      </c>
      <c r="E259" s="2"/>
      <c r="F259" s="2"/>
      <c r="G259" s="5"/>
      <c r="H259" s="5">
        <v>46202</v>
      </c>
      <c r="I259" s="4" t="s">
        <v>46</v>
      </c>
      <c r="J259" s="6" t="str">
        <f t="shared" si="13"/>
        <v/>
      </c>
      <c r="K259" s="4" t="str">
        <f t="shared" ca="1" si="17"/>
        <v>Yes</v>
      </c>
      <c r="L259" s="7">
        <f t="shared" ca="1" si="16"/>
        <v>-6</v>
      </c>
      <c r="M259" s="4" t="str">
        <f>IF($I259="Complete","Green",IF($H259="","Amber",IF($H259&lt;'[2]Read Me'!$B$4,"Red",IF($H259-'[2]Read Me'!$B$4&lt;=21,"Amber","Green"))))</f>
        <v>Amber</v>
      </c>
      <c r="N259" s="3"/>
      <c r="O259" t="str">
        <f>IF($I259&lt;&gt;"Complete",IF(COUNTIFS($A$4:$A258,$A259,$B$4:$B258,$B259,$I$4:$I258,"&lt;&gt;Complete")=0,$A259&amp;"|"&amp;$B259,""),"")</f>
        <v/>
      </c>
      <c r="P259">
        <f ca="1">IF($K259="Yes",COUNTIFS($K$4:$K259,"Yes"),"")</f>
        <v>34</v>
      </c>
      <c r="Q259">
        <f t="shared" ca="1" si="15"/>
        <v>1</v>
      </c>
      <c r="R259">
        <f ca="1">IF($Q259=1,SUM($Q$4:$Q259),"")</f>
        <v>34</v>
      </c>
    </row>
    <row r="260" spans="1:18" ht="45" customHeight="1" x14ac:dyDescent="0.3">
      <c r="A260" s="2" t="s">
        <v>320</v>
      </c>
      <c r="B260" s="2" t="s">
        <v>62</v>
      </c>
      <c r="C260" s="3" t="s">
        <v>311</v>
      </c>
      <c r="D260" s="3" t="s">
        <v>58</v>
      </c>
      <c r="E260" s="2"/>
      <c r="F260" s="2"/>
      <c r="G260" s="5"/>
      <c r="H260" s="5">
        <v>46210</v>
      </c>
      <c r="I260" s="4" t="s">
        <v>17</v>
      </c>
      <c r="J260" s="6" t="str">
        <f t="shared" ref="J260:J312" si="18">IF(OR($G260="",$H260=""),"",$H260-$G260)</f>
        <v/>
      </c>
      <c r="K260" s="4" t="str">
        <f t="shared" ca="1" si="17"/>
        <v>No</v>
      </c>
      <c r="L260" s="7">
        <f t="shared" ca="1" si="16"/>
        <v>2</v>
      </c>
      <c r="M260" s="4" t="str">
        <f>IF($I260="Complete","Green",IF($H260="","Amber",IF($H260&lt;'[2]Read Me'!$B$4,"Red",IF($H260-'[2]Read Me'!$B$4&lt;=21,"Amber","Green"))))</f>
        <v>Green</v>
      </c>
      <c r="N260" s="3"/>
      <c r="O260" t="str">
        <f>IF($I260&lt;&gt;"Complete",IF(COUNTIFS($A$4:$A259,$A260,$B$4:$B259,$B260,$I$4:$I259,"&lt;&gt;Complete")=0,$A260&amp;"|"&amp;$B260,""),"")</f>
        <v/>
      </c>
      <c r="P260" t="str">
        <f ca="1">IF($K260="Yes",COUNTIFS($K$4:$K260,"Yes"),"")</f>
        <v/>
      </c>
      <c r="Q260">
        <f t="shared" ref="Q260:Q312" ca="1" si="19">IF(OR($I260="In Progress",$K260="Yes"),1,0)</f>
        <v>0</v>
      </c>
      <c r="R260" t="str">
        <f ca="1">IF($Q260=1,SUM($Q$4:$Q260),"")</f>
        <v/>
      </c>
    </row>
    <row r="261" spans="1:18" ht="45" customHeight="1" x14ac:dyDescent="0.3">
      <c r="A261" s="2" t="s">
        <v>320</v>
      </c>
      <c r="B261" s="2" t="s">
        <v>62</v>
      </c>
      <c r="C261" s="3" t="s">
        <v>311</v>
      </c>
      <c r="D261" s="3" t="s">
        <v>329</v>
      </c>
      <c r="E261" s="2"/>
      <c r="F261" s="2"/>
      <c r="G261" s="5">
        <v>46127</v>
      </c>
      <c r="H261" s="5">
        <v>46210</v>
      </c>
      <c r="I261" s="4" t="s">
        <v>17</v>
      </c>
      <c r="J261" s="6">
        <f t="shared" si="18"/>
        <v>83</v>
      </c>
      <c r="K261" s="4" t="str">
        <f t="shared" ca="1" si="17"/>
        <v>No</v>
      </c>
      <c r="L261" s="7">
        <f t="shared" ref="L261:L324" ca="1" si="20">IF(I261="Completed",0,IF(H261="","",H261-TODAY()))</f>
        <v>2</v>
      </c>
      <c r="M261" s="4" t="str">
        <f>IF($I261="Complete","Green",IF($H261="","Amber",IF($H261&lt;'[2]Read Me'!$B$4,"Red",IF($H261-'[2]Read Me'!$B$4&lt;=21,"Amber","Green"))))</f>
        <v>Green</v>
      </c>
      <c r="N261" s="3"/>
      <c r="O261" t="str">
        <f>IF($I261&lt;&gt;"Complete",IF(COUNTIFS($A$4:$A260,$A261,$B$4:$B260,$B261,$I$4:$I260,"&lt;&gt;Complete")=0,$A261&amp;"|"&amp;$B261,""),"")</f>
        <v/>
      </c>
      <c r="P261" t="str">
        <f ca="1">IF($K261="Yes",COUNTIFS($K$4:$K261,"Yes"),"")</f>
        <v/>
      </c>
      <c r="Q261">
        <f t="shared" ca="1" si="19"/>
        <v>0</v>
      </c>
      <c r="R261" t="str">
        <f ca="1">IF($Q261=1,SUM($Q$4:$Q261),"")</f>
        <v/>
      </c>
    </row>
    <row r="262" spans="1:18" ht="45" customHeight="1" x14ac:dyDescent="0.3">
      <c r="A262" s="2" t="s">
        <v>320</v>
      </c>
      <c r="B262" s="2" t="s">
        <v>62</v>
      </c>
      <c r="C262" s="3" t="s">
        <v>311</v>
      </c>
      <c r="D262" s="3" t="s">
        <v>330</v>
      </c>
      <c r="E262" s="2"/>
      <c r="F262" s="2"/>
      <c r="G262" s="5">
        <v>46162</v>
      </c>
      <c r="H262" s="5">
        <v>46246</v>
      </c>
      <c r="I262" s="4" t="s">
        <v>17</v>
      </c>
      <c r="J262" s="6">
        <f t="shared" si="18"/>
        <v>84</v>
      </c>
      <c r="K262" s="4" t="str">
        <f t="shared" ca="1" si="17"/>
        <v>No</v>
      </c>
      <c r="L262" s="7">
        <f t="shared" ca="1" si="20"/>
        <v>38</v>
      </c>
      <c r="M262" s="4" t="str">
        <f>IF($I262="Complete","Green",IF($H262="","Amber",IF($H262&lt;'[2]Read Me'!$B$4,"Red",IF($H262-'[2]Read Me'!$B$4&lt;=21,"Amber","Green"))))</f>
        <v>Green</v>
      </c>
      <c r="N262" s="3"/>
      <c r="O262" t="str">
        <f>IF($I262&lt;&gt;"Complete",IF(COUNTIFS($A$4:$A261,$A262,$B$4:$B261,$B262,$I$4:$I261,"&lt;&gt;Complete")=0,$A262&amp;"|"&amp;$B262,""),"")</f>
        <v/>
      </c>
      <c r="P262" t="str">
        <f ca="1">IF($K262="Yes",COUNTIFS($K$4:$K262,"Yes"),"")</f>
        <v/>
      </c>
      <c r="Q262">
        <f t="shared" ca="1" si="19"/>
        <v>0</v>
      </c>
      <c r="R262" t="str">
        <f ca="1">IF($Q262=1,SUM($Q$4:$Q262),"")</f>
        <v/>
      </c>
    </row>
    <row r="263" spans="1:18" ht="45" customHeight="1" x14ac:dyDescent="0.3">
      <c r="A263" s="2" t="s">
        <v>320</v>
      </c>
      <c r="B263" s="2" t="s">
        <v>62</v>
      </c>
      <c r="C263" s="3" t="s">
        <v>311</v>
      </c>
      <c r="D263" s="3" t="s">
        <v>331</v>
      </c>
      <c r="E263" s="2"/>
      <c r="F263" s="2"/>
      <c r="G263" s="5">
        <v>46162</v>
      </c>
      <c r="H263" s="5">
        <v>46246</v>
      </c>
      <c r="I263" s="4" t="s">
        <v>17</v>
      </c>
      <c r="J263" s="6">
        <f t="shared" si="18"/>
        <v>84</v>
      </c>
      <c r="K263" s="4" t="str">
        <f t="shared" ca="1" si="17"/>
        <v>No</v>
      </c>
      <c r="L263" s="7">
        <f t="shared" ca="1" si="20"/>
        <v>38</v>
      </c>
      <c r="M263" s="4" t="str">
        <f>IF($I263="Complete","Green",IF($H263="","Amber",IF($H263&lt;'[2]Read Me'!$B$4,"Red",IF($H263-'[2]Read Me'!$B$4&lt;=21,"Amber","Green"))))</f>
        <v>Green</v>
      </c>
      <c r="N263" s="3"/>
      <c r="O263" t="str">
        <f>IF($I263&lt;&gt;"Complete",IF(COUNTIFS($A$4:$A262,$A263,$B$4:$B262,$B263,$I$4:$I262,"&lt;&gt;Complete")=0,$A263&amp;"|"&amp;$B263,""),"")</f>
        <v/>
      </c>
      <c r="P263" t="str">
        <f ca="1">IF($K263="Yes",COUNTIFS($K$4:$K263,"Yes"),"")</f>
        <v/>
      </c>
      <c r="Q263">
        <f t="shared" ca="1" si="19"/>
        <v>0</v>
      </c>
      <c r="R263" t="str">
        <f ca="1">IF($Q263=1,SUM($Q$4:$Q263),"")</f>
        <v/>
      </c>
    </row>
    <row r="264" spans="1:18" ht="45" customHeight="1" x14ac:dyDescent="0.3">
      <c r="A264" s="2" t="s">
        <v>320</v>
      </c>
      <c r="B264" s="2" t="s">
        <v>62</v>
      </c>
      <c r="C264" s="3" t="s">
        <v>311</v>
      </c>
      <c r="D264" s="3" t="s">
        <v>58</v>
      </c>
      <c r="E264" s="2"/>
      <c r="F264" s="2"/>
      <c r="G264" s="5">
        <v>46173</v>
      </c>
      <c r="H264" s="5">
        <v>46254</v>
      </c>
      <c r="I264" s="4" t="s">
        <v>17</v>
      </c>
      <c r="J264" s="6">
        <f t="shared" si="18"/>
        <v>81</v>
      </c>
      <c r="K264" s="4" t="str">
        <f t="shared" ca="1" si="17"/>
        <v>No</v>
      </c>
      <c r="L264" s="7">
        <f t="shared" ca="1" si="20"/>
        <v>46</v>
      </c>
      <c r="M264" s="4" t="str">
        <f>IF($I264="Complete","Green",IF($H264="","Amber",IF($H264&lt;'[2]Read Me'!$B$4,"Red",IF($H264-'[2]Read Me'!$B$4&lt;=21,"Amber","Green"))))</f>
        <v>Green</v>
      </c>
      <c r="N264" s="3"/>
      <c r="O264" t="str">
        <f>IF($I264&lt;&gt;"Complete",IF(COUNTIFS($A$4:$A263,$A264,$B$4:$B263,$B264,$I$4:$I263,"&lt;&gt;Complete")=0,$A264&amp;"|"&amp;$B264,""),"")</f>
        <v/>
      </c>
      <c r="P264" t="str">
        <f ca="1">IF($K264="Yes",COUNTIFS($K$4:$K264,"Yes"),"")</f>
        <v/>
      </c>
      <c r="Q264">
        <f t="shared" ca="1" si="19"/>
        <v>0</v>
      </c>
      <c r="R264" t="str">
        <f ca="1">IF($Q264=1,SUM($Q$4:$Q264),"")</f>
        <v/>
      </c>
    </row>
    <row r="265" spans="1:18" ht="45" customHeight="1" x14ac:dyDescent="0.3">
      <c r="A265" s="2" t="s">
        <v>320</v>
      </c>
      <c r="B265" s="2" t="s">
        <v>62</v>
      </c>
      <c r="C265" s="3" t="s">
        <v>311</v>
      </c>
      <c r="D265" s="3" t="s">
        <v>332</v>
      </c>
      <c r="E265" s="2"/>
      <c r="F265" s="2"/>
      <c r="G265" s="5">
        <v>46189</v>
      </c>
      <c r="H265" s="5">
        <v>46254</v>
      </c>
      <c r="I265" s="4" t="s">
        <v>17</v>
      </c>
      <c r="J265" s="6">
        <f t="shared" si="18"/>
        <v>65</v>
      </c>
      <c r="K265" s="4" t="str">
        <f t="shared" ref="K265:K312" ca="1" si="21">IF($H265="","",IF($H265&lt;TODAY(),"No","Yes"))</f>
        <v>Yes</v>
      </c>
      <c r="L265" s="7">
        <f t="shared" ca="1" si="20"/>
        <v>46</v>
      </c>
      <c r="M265" s="4" t="str">
        <f>IF($I265="Complete","Green",IF($H265="","Amber",IF($H265&lt;'[2]Read Me'!$B$4,"Red",IF($H265-'[2]Read Me'!$B$4&lt;=21,"Amber","Green"))))</f>
        <v>Green</v>
      </c>
      <c r="N265" s="3"/>
      <c r="O265" t="str">
        <f>IF($I265&lt;&gt;"Complete",IF(COUNTIFS($A$4:$A264,$A265,$B$4:$B264,$B265,$I$4:$I264,"&lt;&gt;Complete")=0,$A265&amp;"|"&amp;$B265,""),"")</f>
        <v/>
      </c>
      <c r="P265">
        <f ca="1">IF($K265="Yes",COUNTIFS($K$4:$K265,"Yes"),"")</f>
        <v>35</v>
      </c>
      <c r="Q265">
        <f t="shared" ca="1" si="19"/>
        <v>1</v>
      </c>
      <c r="R265">
        <f ca="1">IF($Q265=1,SUM($Q$4:$Q265),"")</f>
        <v>35</v>
      </c>
    </row>
    <row r="266" spans="1:18" ht="45" customHeight="1" x14ac:dyDescent="0.3">
      <c r="A266" s="2" t="s">
        <v>320</v>
      </c>
      <c r="B266" s="2" t="s">
        <v>62</v>
      </c>
      <c r="C266" s="3" t="s">
        <v>311</v>
      </c>
      <c r="D266" s="3" t="s">
        <v>333</v>
      </c>
      <c r="E266" s="2"/>
      <c r="F266" s="2"/>
      <c r="G266" s="5">
        <v>46190</v>
      </c>
      <c r="H266" s="5">
        <v>46310</v>
      </c>
      <c r="I266" s="4" t="s">
        <v>17</v>
      </c>
      <c r="J266" s="6">
        <f t="shared" si="18"/>
        <v>120</v>
      </c>
      <c r="K266" s="4" t="str">
        <f t="shared" ca="1" si="21"/>
        <v>Yes</v>
      </c>
      <c r="L266" s="7">
        <f t="shared" ca="1" si="20"/>
        <v>102</v>
      </c>
      <c r="M266" s="4" t="str">
        <f>IF($I266="Complete","Green",IF($H266="","Amber",IF($H266&lt;'[2]Read Me'!$B$4,"Red",IF($H266-'[2]Read Me'!$B$4&lt;=21,"Amber","Green"))))</f>
        <v>Green</v>
      </c>
      <c r="N266" s="3"/>
      <c r="O266" t="str">
        <f>IF($I266&lt;&gt;"Complete",IF(COUNTIFS($A$4:$A265,$A266,$B$4:$B265,$B266,$I$4:$I265,"&lt;&gt;Complete")=0,$A266&amp;"|"&amp;$B266,""),"")</f>
        <v/>
      </c>
      <c r="P266">
        <f ca="1">IF($K266="Yes",COUNTIFS($K$4:$K266,"Yes"),"")</f>
        <v>36</v>
      </c>
      <c r="Q266">
        <f t="shared" ca="1" si="19"/>
        <v>1</v>
      </c>
      <c r="R266">
        <f ca="1">IF($Q266=1,SUM($Q$4:$Q266),"")</f>
        <v>36</v>
      </c>
    </row>
    <row r="267" spans="1:18" ht="45" customHeight="1" x14ac:dyDescent="0.3">
      <c r="A267" s="2" t="s">
        <v>320</v>
      </c>
      <c r="B267" s="2" t="s">
        <v>62</v>
      </c>
      <c r="C267" s="3" t="s">
        <v>311</v>
      </c>
      <c r="D267" s="3" t="s">
        <v>334</v>
      </c>
      <c r="E267" s="2"/>
      <c r="F267" s="2"/>
      <c r="G267" s="5"/>
      <c r="H267" s="5">
        <v>46310</v>
      </c>
      <c r="I267" s="4" t="s">
        <v>17</v>
      </c>
      <c r="J267" s="6" t="str">
        <f t="shared" si="18"/>
        <v/>
      </c>
      <c r="K267" s="4" t="str">
        <f t="shared" ca="1" si="21"/>
        <v>Yes</v>
      </c>
      <c r="L267" s="7">
        <f t="shared" ca="1" si="20"/>
        <v>102</v>
      </c>
      <c r="M267" s="4" t="str">
        <f>IF($I267="Complete","Green",IF($H267="","Amber",IF($H267&lt;'[2]Read Me'!$B$4,"Red",IF($H267-'[2]Read Me'!$B$4&lt;=21,"Amber","Green"))))</f>
        <v>Green</v>
      </c>
      <c r="N267" s="3"/>
      <c r="O267" t="str">
        <f>IF($I267&lt;&gt;"Complete",IF(COUNTIFS($A$4:$A266,$A267,$B$4:$B266,$B267,$I$4:$I266,"&lt;&gt;Complete")=0,$A267&amp;"|"&amp;$B267,""),"")</f>
        <v/>
      </c>
      <c r="P267">
        <f ca="1">IF($K267="Yes",COUNTIFS($K$4:$K267,"Yes"),"")</f>
        <v>37</v>
      </c>
      <c r="Q267">
        <f t="shared" ca="1" si="19"/>
        <v>1</v>
      </c>
      <c r="R267">
        <f ca="1">IF($Q267=1,SUM($Q$4:$Q267),"")</f>
        <v>37</v>
      </c>
    </row>
    <row r="268" spans="1:18" ht="14.25" customHeight="1" x14ac:dyDescent="0.3">
      <c r="A268" s="2" t="s">
        <v>320</v>
      </c>
      <c r="B268" s="2" t="s">
        <v>62</v>
      </c>
      <c r="C268" s="3" t="s">
        <v>311</v>
      </c>
      <c r="D268" s="3" t="s">
        <v>58</v>
      </c>
      <c r="E268" s="2"/>
      <c r="F268" s="2"/>
      <c r="G268" s="5">
        <v>46201</v>
      </c>
      <c r="H268" s="5">
        <v>46317</v>
      </c>
      <c r="I268" s="4" t="s">
        <v>17</v>
      </c>
      <c r="J268" s="6">
        <f t="shared" si="18"/>
        <v>116</v>
      </c>
      <c r="K268" s="4" t="str">
        <f t="shared" ca="1" si="21"/>
        <v>Yes</v>
      </c>
      <c r="L268" s="7">
        <f t="shared" ca="1" si="20"/>
        <v>109</v>
      </c>
      <c r="M268" s="4" t="str">
        <f>IF($I268="Complete","Green",IF($H268="","Amber",IF($H268&lt;'[2]Read Me'!$B$4,"Red",IF($H268-'[2]Read Me'!$B$4&lt;=21,"Amber","Green"))))</f>
        <v>Green</v>
      </c>
      <c r="N268" s="3"/>
      <c r="O268" t="str">
        <f>IF($I268&lt;&gt;"Complete",IF(COUNTIFS($A$4:$A267,$A268,$B$4:$B267,$B268,$I$4:$I267,"&lt;&gt;Complete")=0,$A268&amp;"|"&amp;$B268,""),"")</f>
        <v/>
      </c>
      <c r="P268">
        <f ca="1">IF($K268="Yes",COUNTIFS($K$4:$K268,"Yes"),"")</f>
        <v>38</v>
      </c>
      <c r="Q268">
        <f t="shared" ca="1" si="19"/>
        <v>1</v>
      </c>
      <c r="R268">
        <f ca="1">IF($Q268=1,SUM($Q$4:$Q268),"")</f>
        <v>38</v>
      </c>
    </row>
    <row r="269" spans="1:18" ht="14.25" customHeight="1" x14ac:dyDescent="0.3">
      <c r="A269" s="2" t="s">
        <v>320</v>
      </c>
      <c r="B269" s="2" t="s">
        <v>62</v>
      </c>
      <c r="C269" s="3" t="s">
        <v>311</v>
      </c>
      <c r="D269" s="3" t="s">
        <v>335</v>
      </c>
      <c r="E269" s="2"/>
      <c r="F269" s="2"/>
      <c r="G269" s="5">
        <v>46230</v>
      </c>
      <c r="H269" s="5">
        <v>46338</v>
      </c>
      <c r="I269" s="4" t="s">
        <v>17</v>
      </c>
      <c r="J269" s="6">
        <f t="shared" si="18"/>
        <v>108</v>
      </c>
      <c r="K269" s="4" t="str">
        <f t="shared" ca="1" si="21"/>
        <v>Yes</v>
      </c>
      <c r="L269" s="7">
        <f t="shared" ca="1" si="20"/>
        <v>130</v>
      </c>
      <c r="M269" s="4" t="str">
        <f>IF($I269="Complete","Green",IF($H269="","Amber",IF($H269&lt;'[2]Read Me'!$B$4,"Red",IF($H269-'[2]Read Me'!$B$4&lt;=21,"Amber","Green"))))</f>
        <v>Green</v>
      </c>
      <c r="N269" s="3"/>
      <c r="O269" t="str">
        <f>IF($I269&lt;&gt;"Complete",IF(COUNTIFS($A$4:$A268,$A269,$B$4:$B268,$B269,$I$4:$I268,"&lt;&gt;Complete")=0,$A269&amp;"|"&amp;$B269,""),"")</f>
        <v/>
      </c>
      <c r="P269">
        <f ca="1">IF($K269="Yes",COUNTIFS($K$4:$K269,"Yes"),"")</f>
        <v>39</v>
      </c>
      <c r="Q269">
        <f t="shared" ca="1" si="19"/>
        <v>1</v>
      </c>
      <c r="R269">
        <f ca="1">IF($Q269=1,SUM($Q$4:$Q269),"")</f>
        <v>39</v>
      </c>
    </row>
    <row r="270" spans="1:18" ht="14.25" customHeight="1" x14ac:dyDescent="0.3">
      <c r="A270" s="2" t="s">
        <v>320</v>
      </c>
      <c r="B270" s="2" t="s">
        <v>62</v>
      </c>
      <c r="C270" s="3" t="s">
        <v>311</v>
      </c>
      <c r="D270" s="3" t="s">
        <v>336</v>
      </c>
      <c r="E270" s="2"/>
      <c r="F270" s="2"/>
      <c r="G270" s="5">
        <v>46243</v>
      </c>
      <c r="H270" s="5">
        <v>46359</v>
      </c>
      <c r="I270" s="4" t="s">
        <v>17</v>
      </c>
      <c r="J270" s="6">
        <f t="shared" si="18"/>
        <v>116</v>
      </c>
      <c r="K270" s="4" t="str">
        <f t="shared" ca="1" si="21"/>
        <v>Yes</v>
      </c>
      <c r="L270" s="7">
        <f t="shared" ca="1" si="20"/>
        <v>151</v>
      </c>
      <c r="M270" s="4" t="str">
        <f>IF($I270="Complete","Green",IF($H270="","Amber",IF($H270&lt;'[2]Read Me'!$B$4,"Red",IF($H270-'[2]Read Me'!$B$4&lt;=21,"Amber","Green"))))</f>
        <v>Green</v>
      </c>
      <c r="N270" s="3"/>
      <c r="O270" t="str">
        <f>IF($I270&lt;&gt;"Complete",IF(COUNTIFS($A$4:$A269,$A270,$B$4:$B269,$B270,$I$4:$I269,"&lt;&gt;Complete")=0,$A270&amp;"|"&amp;$B270,""),"")</f>
        <v/>
      </c>
      <c r="P270">
        <f ca="1">IF($K270="Yes",COUNTIFS($K$4:$K270,"Yes"),"")</f>
        <v>40</v>
      </c>
      <c r="Q270">
        <f t="shared" ca="1" si="19"/>
        <v>1</v>
      </c>
      <c r="R270">
        <f ca="1">IF($Q270=1,SUM($Q$4:$Q270),"")</f>
        <v>40</v>
      </c>
    </row>
    <row r="271" spans="1:18" ht="14.25" customHeight="1" x14ac:dyDescent="0.3">
      <c r="A271" s="2" t="s">
        <v>320</v>
      </c>
      <c r="B271" s="2" t="s">
        <v>62</v>
      </c>
      <c r="C271" s="3" t="s">
        <v>311</v>
      </c>
      <c r="D271" s="3" t="s">
        <v>337</v>
      </c>
      <c r="E271" s="2"/>
      <c r="F271" s="2"/>
      <c r="G271" s="5">
        <v>46258</v>
      </c>
      <c r="H271" s="5">
        <v>46376</v>
      </c>
      <c r="I271" s="4" t="s">
        <v>17</v>
      </c>
      <c r="J271" s="6">
        <f t="shared" si="18"/>
        <v>118</v>
      </c>
      <c r="K271" s="4" t="str">
        <f t="shared" ca="1" si="21"/>
        <v>Yes</v>
      </c>
      <c r="L271" s="7">
        <f t="shared" ca="1" si="20"/>
        <v>168</v>
      </c>
      <c r="M271" s="4" t="str">
        <f>IF($I271="Complete","Green",IF($H271="","Amber",IF($H271&lt;'[2]Read Me'!$B$4,"Red",IF($H271-'[2]Read Me'!$B$4&lt;=21,"Amber","Green"))))</f>
        <v>Green</v>
      </c>
      <c r="N271" s="3"/>
      <c r="O271" t="str">
        <f>IF($I271&lt;&gt;"Complete",IF(COUNTIFS($A$4:$A270,$A271,$B$4:$B270,$B271,$I$4:$I270,"&lt;&gt;Complete")=0,$A271&amp;"|"&amp;$B271,""),"")</f>
        <v/>
      </c>
      <c r="P271">
        <f ca="1">IF($K271="Yes",COUNTIFS($K$4:$K271,"Yes"),"")</f>
        <v>41</v>
      </c>
      <c r="Q271">
        <f t="shared" ca="1" si="19"/>
        <v>1</v>
      </c>
      <c r="R271">
        <f ca="1">IF($Q271=1,SUM($Q$4:$Q271),"")</f>
        <v>41</v>
      </c>
    </row>
    <row r="272" spans="1:18" ht="14.25" customHeight="1" x14ac:dyDescent="0.3">
      <c r="A272" s="2" t="s">
        <v>320</v>
      </c>
      <c r="B272" s="2" t="s">
        <v>62</v>
      </c>
      <c r="C272" s="3" t="s">
        <v>311</v>
      </c>
      <c r="D272" s="3" t="s">
        <v>338</v>
      </c>
      <c r="E272" s="2"/>
      <c r="F272" s="2"/>
      <c r="G272" s="5">
        <v>46266</v>
      </c>
      <c r="H272" s="5">
        <v>46384</v>
      </c>
      <c r="I272" s="4" t="s">
        <v>17</v>
      </c>
      <c r="J272" s="6">
        <f t="shared" si="18"/>
        <v>118</v>
      </c>
      <c r="K272" s="4" t="str">
        <f t="shared" ca="1" si="21"/>
        <v>Yes</v>
      </c>
      <c r="L272" s="7">
        <f t="shared" ca="1" si="20"/>
        <v>176</v>
      </c>
      <c r="M272" s="4" t="str">
        <f>IF($I272="Complete","Green",IF($H272="","Amber",IF($H272&lt;'[2]Read Me'!$B$4,"Red",IF($H272-'[2]Read Me'!$B$4&lt;=21,"Amber","Green"))))</f>
        <v>Green</v>
      </c>
      <c r="N272" s="3"/>
      <c r="O272" t="str">
        <f>IF($I272&lt;&gt;"Complete",IF(COUNTIFS($A$4:$A271,$A272,$B$4:$B271,$B272,$I$4:$I271,"&lt;&gt;Complete")=0,$A272&amp;"|"&amp;$B272,""),"")</f>
        <v/>
      </c>
      <c r="P272">
        <f ca="1">IF($K272="Yes",COUNTIFS($K$4:$K272,"Yes"),"")</f>
        <v>42</v>
      </c>
      <c r="Q272">
        <f t="shared" ca="1" si="19"/>
        <v>1</v>
      </c>
      <c r="R272">
        <f ca="1">IF($Q272=1,SUM($Q$4:$Q272),"")</f>
        <v>42</v>
      </c>
    </row>
    <row r="273" spans="1:18" ht="14.25" customHeight="1" x14ac:dyDescent="0.3">
      <c r="A273" s="2" t="s">
        <v>320</v>
      </c>
      <c r="B273" s="2" t="s">
        <v>62</v>
      </c>
      <c r="C273" s="3" t="s">
        <v>311</v>
      </c>
      <c r="D273" s="3" t="s">
        <v>339</v>
      </c>
      <c r="E273" s="2"/>
      <c r="F273" s="2"/>
      <c r="G273" s="5">
        <v>46274</v>
      </c>
      <c r="H273" s="5">
        <v>46392</v>
      </c>
      <c r="I273" s="4" t="s">
        <v>17</v>
      </c>
      <c r="J273" s="6">
        <f t="shared" si="18"/>
        <v>118</v>
      </c>
      <c r="K273" s="4" t="str">
        <f t="shared" ca="1" si="21"/>
        <v>Yes</v>
      </c>
      <c r="L273" s="7">
        <f t="shared" ca="1" si="20"/>
        <v>184</v>
      </c>
      <c r="M273" s="4" t="str">
        <f>IF($I273="Complete","Green",IF($H273="","Amber",IF($H273&lt;'[2]Read Me'!$B$4,"Red",IF($H273-'[2]Read Me'!$B$4&lt;=21,"Amber","Green"))))</f>
        <v>Green</v>
      </c>
      <c r="N273" s="3"/>
      <c r="O273" t="str">
        <f>IF($I273&lt;&gt;"Complete",IF(COUNTIFS($A$4:$A272,$A273,$B$4:$B272,$B273,$I$4:$I272,"&lt;&gt;Complete")=0,$A273&amp;"|"&amp;$B273,""),"")</f>
        <v/>
      </c>
      <c r="P273">
        <f ca="1">IF($K273="Yes",COUNTIFS($K$4:$K273,"Yes"),"")</f>
        <v>43</v>
      </c>
      <c r="Q273">
        <f t="shared" ca="1" si="19"/>
        <v>1</v>
      </c>
      <c r="R273">
        <f ca="1">IF($Q273=1,SUM($Q$4:$Q273),"")</f>
        <v>43</v>
      </c>
    </row>
    <row r="274" spans="1:18" ht="14.25" customHeight="1" x14ac:dyDescent="0.3">
      <c r="A274" s="2" t="s">
        <v>320</v>
      </c>
      <c r="B274" s="2" t="s">
        <v>62</v>
      </c>
      <c r="C274" s="3" t="s">
        <v>311</v>
      </c>
      <c r="D274" s="3" t="s">
        <v>340</v>
      </c>
      <c r="E274" s="2"/>
      <c r="F274" s="2"/>
      <c r="G274" s="5">
        <v>46281</v>
      </c>
      <c r="H274" s="5">
        <v>46393</v>
      </c>
      <c r="I274" s="4" t="s">
        <v>17</v>
      </c>
      <c r="J274" s="6">
        <f t="shared" si="18"/>
        <v>112</v>
      </c>
      <c r="K274" s="4" t="str">
        <f t="shared" ca="1" si="21"/>
        <v>Yes</v>
      </c>
      <c r="L274" s="7">
        <f t="shared" ca="1" si="20"/>
        <v>185</v>
      </c>
      <c r="M274" s="4" t="str">
        <f>IF($I274="Complete","Green",IF($H274="","Amber",IF($H274&lt;'[2]Read Me'!$B$4,"Red",IF($H274-'[2]Read Me'!$B$4&lt;=21,"Amber","Green"))))</f>
        <v>Green</v>
      </c>
      <c r="N274" s="3"/>
      <c r="O274" t="str">
        <f>IF($I274&lt;&gt;"Complete",IF(COUNTIFS($A$4:$A273,$A274,$B$4:$B273,$B274,$I$4:$I273,"&lt;&gt;Complete")=0,$A274&amp;"|"&amp;$B274,""),"")</f>
        <v/>
      </c>
      <c r="P274">
        <f ca="1">IF($K274="Yes",COUNTIFS($K$4:$K274,"Yes"),"")</f>
        <v>44</v>
      </c>
      <c r="Q274">
        <f t="shared" ca="1" si="19"/>
        <v>1</v>
      </c>
      <c r="R274">
        <f ca="1">IF($Q274=1,SUM($Q$4:$Q274),"")</f>
        <v>44</v>
      </c>
    </row>
    <row r="275" spans="1:18" ht="14.25" customHeight="1" x14ac:dyDescent="0.3">
      <c r="A275" s="2" t="s">
        <v>320</v>
      </c>
      <c r="B275" s="2" t="s">
        <v>62</v>
      </c>
      <c r="C275" s="3" t="s">
        <v>311</v>
      </c>
      <c r="D275" s="3" t="s">
        <v>341</v>
      </c>
      <c r="E275" s="2"/>
      <c r="F275" s="2"/>
      <c r="G275" s="5">
        <v>46321</v>
      </c>
      <c r="H275" s="5">
        <v>46365</v>
      </c>
      <c r="I275" s="4" t="s">
        <v>17</v>
      </c>
      <c r="J275" s="6">
        <f t="shared" si="18"/>
        <v>44</v>
      </c>
      <c r="K275" s="4" t="str">
        <f t="shared" ca="1" si="21"/>
        <v>Yes</v>
      </c>
      <c r="L275" s="7">
        <f t="shared" ca="1" si="20"/>
        <v>157</v>
      </c>
      <c r="M275" s="4" t="str">
        <f>IF($I275="Complete","Green",IF($H275="","Amber",IF($H275&lt;'[2]Read Me'!$B$4,"Red",IF($H275-'[2]Read Me'!$B$4&lt;=21,"Amber","Green"))))</f>
        <v>Green</v>
      </c>
      <c r="N275" s="3"/>
      <c r="O275" t="str">
        <f>IF($I275&lt;&gt;"Complete",IF(COUNTIFS($A$4:$A274,$A275,$B$4:$B274,$B275,$I$4:$I274,"&lt;&gt;Complete")=0,$A275&amp;"|"&amp;$B275,""),"")</f>
        <v/>
      </c>
      <c r="P275">
        <f ca="1">IF($K275="Yes",COUNTIFS($K$4:$K275,"Yes"),"")</f>
        <v>45</v>
      </c>
      <c r="Q275">
        <f t="shared" ca="1" si="19"/>
        <v>1</v>
      </c>
      <c r="R275">
        <f ca="1">IF($Q275=1,SUM($Q$4:$Q275),"")</f>
        <v>45</v>
      </c>
    </row>
    <row r="276" spans="1:18" ht="14.25" customHeight="1" x14ac:dyDescent="0.3">
      <c r="A276" s="2" t="s">
        <v>320</v>
      </c>
      <c r="B276" s="2" t="s">
        <v>62</v>
      </c>
      <c r="C276" s="3" t="s">
        <v>311</v>
      </c>
      <c r="D276" s="3" t="s">
        <v>342</v>
      </c>
      <c r="E276" s="2"/>
      <c r="F276" s="2"/>
      <c r="G276" s="5">
        <v>46336</v>
      </c>
      <c r="H276" s="5">
        <v>46379</v>
      </c>
      <c r="I276" s="4" t="s">
        <v>17</v>
      </c>
      <c r="J276" s="6">
        <f t="shared" si="18"/>
        <v>43</v>
      </c>
      <c r="K276" s="4" t="str">
        <f t="shared" ca="1" si="21"/>
        <v>Yes</v>
      </c>
      <c r="L276" s="7">
        <f t="shared" ca="1" si="20"/>
        <v>171</v>
      </c>
      <c r="M276" s="4" t="str">
        <f>IF($I276="Complete","Green",IF($H276="","Amber",IF($H276&lt;'[2]Read Me'!$B$4,"Red",IF($H276-'[2]Read Me'!$B$4&lt;=21,"Amber","Green"))))</f>
        <v>Green</v>
      </c>
      <c r="N276" s="3"/>
      <c r="O276" t="str">
        <f>IF($I276&lt;&gt;"Complete",IF(COUNTIFS($A$4:$A275,$A276,$B$4:$B275,$B276,$I$4:$I275,"&lt;&gt;Complete")=0,$A276&amp;"|"&amp;$B276,""),"")</f>
        <v/>
      </c>
      <c r="P276">
        <f ca="1">IF($K276="Yes",COUNTIFS($K$4:$K276,"Yes"),"")</f>
        <v>46</v>
      </c>
      <c r="Q276">
        <f t="shared" ca="1" si="19"/>
        <v>1</v>
      </c>
      <c r="R276">
        <f ca="1">IF($Q276=1,SUM($Q$4:$Q276),"")</f>
        <v>46</v>
      </c>
    </row>
    <row r="277" spans="1:18" ht="14.25" customHeight="1" x14ac:dyDescent="0.3">
      <c r="A277" s="2" t="s">
        <v>320</v>
      </c>
      <c r="B277" s="2" t="s">
        <v>62</v>
      </c>
      <c r="C277" s="3" t="s">
        <v>311</v>
      </c>
      <c r="D277" s="3" t="s">
        <v>58</v>
      </c>
      <c r="E277" s="2"/>
      <c r="F277" s="2"/>
      <c r="G277" s="5">
        <v>46336</v>
      </c>
      <c r="H277" s="5">
        <v>46379</v>
      </c>
      <c r="I277" s="4" t="s">
        <v>17</v>
      </c>
      <c r="J277" s="6">
        <f t="shared" si="18"/>
        <v>43</v>
      </c>
      <c r="K277" s="4" t="str">
        <f t="shared" ca="1" si="21"/>
        <v>Yes</v>
      </c>
      <c r="L277" s="7">
        <f t="shared" ca="1" si="20"/>
        <v>171</v>
      </c>
      <c r="M277" s="4" t="str">
        <f>IF($I277="Complete","Green",IF($H277="","Amber",IF($H277&lt;'[2]Read Me'!$B$4,"Red",IF($H277-'[2]Read Me'!$B$4&lt;=21,"Amber","Green"))))</f>
        <v>Green</v>
      </c>
      <c r="N277" s="3"/>
      <c r="O277" t="str">
        <f>IF($I277&lt;&gt;"Complete",IF(COUNTIFS($A$4:$A276,$A277,$B$4:$B276,$B277,$I$4:$I276,"&lt;&gt;Complete")=0,$A277&amp;"|"&amp;$B277,""),"")</f>
        <v/>
      </c>
      <c r="P277">
        <f ca="1">IF($K277="Yes",COUNTIFS($K$4:$K277,"Yes"),"")</f>
        <v>47</v>
      </c>
      <c r="Q277">
        <f t="shared" ca="1" si="19"/>
        <v>1</v>
      </c>
      <c r="R277">
        <f ca="1">IF($Q277=1,SUM($Q$4:$Q277),"")</f>
        <v>47</v>
      </c>
    </row>
    <row r="278" spans="1:18" ht="14.25" customHeight="1" x14ac:dyDescent="0.3">
      <c r="A278" s="2" t="s">
        <v>320</v>
      </c>
      <c r="B278" s="2" t="s">
        <v>62</v>
      </c>
      <c r="C278" s="3" t="s">
        <v>311</v>
      </c>
      <c r="D278" s="3" t="s">
        <v>343</v>
      </c>
      <c r="E278" s="2"/>
      <c r="F278" s="2"/>
      <c r="G278" s="5">
        <v>46343</v>
      </c>
      <c r="H278" s="5">
        <v>46386</v>
      </c>
      <c r="I278" s="4" t="s">
        <v>17</v>
      </c>
      <c r="J278" s="6">
        <f t="shared" si="18"/>
        <v>43</v>
      </c>
      <c r="K278" s="4" t="str">
        <f t="shared" ca="1" si="21"/>
        <v>Yes</v>
      </c>
      <c r="L278" s="7">
        <f t="shared" ca="1" si="20"/>
        <v>178</v>
      </c>
      <c r="M278" s="4" t="str">
        <f>IF($I278="Complete","Green",IF($H278="","Amber",IF($H278&lt;'[2]Read Me'!$B$4,"Red",IF($H278-'[2]Read Me'!$B$4&lt;=21,"Amber","Green"))))</f>
        <v>Green</v>
      </c>
      <c r="N278" s="3"/>
      <c r="O278" t="str">
        <f>IF($I278&lt;&gt;"Complete",IF(COUNTIFS($A$4:$A277,$A278,$B$4:$B277,$B278,$I$4:$I277,"&lt;&gt;Complete")=0,$A278&amp;"|"&amp;$B278,""),"")</f>
        <v/>
      </c>
      <c r="P278">
        <f ca="1">IF($K278="Yes",COUNTIFS($K$4:$K278,"Yes"),"")</f>
        <v>48</v>
      </c>
      <c r="Q278">
        <f t="shared" ca="1" si="19"/>
        <v>1</v>
      </c>
      <c r="R278">
        <f ca="1">IF($Q278=1,SUM($Q$4:$Q278),"")</f>
        <v>48</v>
      </c>
    </row>
    <row r="279" spans="1:18" ht="14.25" customHeight="1" x14ac:dyDescent="0.3">
      <c r="A279" s="2" t="s">
        <v>320</v>
      </c>
      <c r="B279" s="2" t="s">
        <v>62</v>
      </c>
      <c r="C279" s="3" t="s">
        <v>311</v>
      </c>
      <c r="D279" s="3" t="s">
        <v>183</v>
      </c>
      <c r="E279" s="2"/>
      <c r="F279" s="2"/>
      <c r="G279" s="5">
        <v>46350</v>
      </c>
      <c r="H279" s="5">
        <v>46393</v>
      </c>
      <c r="I279" s="4" t="s">
        <v>17</v>
      </c>
      <c r="J279" s="6">
        <f t="shared" si="18"/>
        <v>43</v>
      </c>
      <c r="K279" s="4" t="str">
        <f t="shared" ca="1" si="21"/>
        <v>Yes</v>
      </c>
      <c r="L279" s="7">
        <f t="shared" ca="1" si="20"/>
        <v>185</v>
      </c>
      <c r="M279" s="4" t="str">
        <f>IF($I279="Complete","Green",IF($H279="","Amber",IF($H279&lt;'[2]Read Me'!$B$4,"Red",IF($H279-'[2]Read Me'!$B$4&lt;=21,"Amber","Green"))))</f>
        <v>Green</v>
      </c>
      <c r="N279" s="3"/>
      <c r="O279" t="str">
        <f>IF($I279&lt;&gt;"Complete",IF(COUNTIFS($A$4:$A278,$A279,$B$4:$B278,$B279,$I$4:$I278,"&lt;&gt;Complete")=0,$A279&amp;"|"&amp;$B279,""),"")</f>
        <v/>
      </c>
      <c r="P279">
        <f ca="1">IF($K279="Yes",COUNTIFS($K$4:$K279,"Yes"),"")</f>
        <v>49</v>
      </c>
      <c r="Q279">
        <f t="shared" ca="1" si="19"/>
        <v>1</v>
      </c>
      <c r="R279">
        <f ca="1">IF($Q279=1,SUM($Q$4:$Q279),"")</f>
        <v>49</v>
      </c>
    </row>
    <row r="280" spans="1:18" ht="14.25" customHeight="1" x14ac:dyDescent="0.3">
      <c r="A280" s="2" t="s">
        <v>320</v>
      </c>
      <c r="B280" s="2" t="s">
        <v>62</v>
      </c>
      <c r="C280" s="3" t="s">
        <v>311</v>
      </c>
      <c r="D280" s="3" t="s">
        <v>344</v>
      </c>
      <c r="E280" s="2"/>
      <c r="F280" s="2"/>
      <c r="G280" s="5"/>
      <c r="H280" s="5">
        <v>46422</v>
      </c>
      <c r="I280" s="4" t="s">
        <v>17</v>
      </c>
      <c r="J280" s="6" t="str">
        <f t="shared" si="18"/>
        <v/>
      </c>
      <c r="K280" s="4" t="str">
        <f t="shared" ca="1" si="21"/>
        <v>Yes</v>
      </c>
      <c r="L280" s="7">
        <f t="shared" ca="1" si="20"/>
        <v>214</v>
      </c>
      <c r="M280" s="4" t="str">
        <f>IF($I280="Complete","Green",IF($H280="","Amber",IF($H280&lt;'[2]Read Me'!$B$4,"Red",IF($H280-'[2]Read Me'!$B$4&lt;=21,"Amber","Green"))))</f>
        <v>Green</v>
      </c>
      <c r="N280" s="3"/>
      <c r="O280" t="str">
        <f>IF($I280&lt;&gt;"Complete",IF(COUNTIFS($A$4:$A279,$A280,$B$4:$B279,$B280,$I$4:$I279,"&lt;&gt;Complete")=0,$A280&amp;"|"&amp;$B280,""),"")</f>
        <v/>
      </c>
      <c r="P280">
        <f ca="1">IF($K280="Yes",COUNTIFS($K$4:$K280,"Yes"),"")</f>
        <v>50</v>
      </c>
      <c r="Q280">
        <f t="shared" ca="1" si="19"/>
        <v>1</v>
      </c>
      <c r="R280">
        <f ca="1">IF($Q280=1,SUM($Q$4:$Q280),"")</f>
        <v>50</v>
      </c>
    </row>
    <row r="281" spans="1:18" ht="14.25" customHeight="1" x14ac:dyDescent="0.3">
      <c r="A281" s="2" t="s">
        <v>320</v>
      </c>
      <c r="B281" s="2" t="s">
        <v>62</v>
      </c>
      <c r="C281" s="3" t="s">
        <v>311</v>
      </c>
      <c r="D281" s="3" t="s">
        <v>342</v>
      </c>
      <c r="E281" s="2"/>
      <c r="F281" s="2"/>
      <c r="G281" s="5"/>
      <c r="H281" s="5">
        <v>46436</v>
      </c>
      <c r="I281" s="4" t="s">
        <v>17</v>
      </c>
      <c r="J281" s="6" t="str">
        <f t="shared" si="18"/>
        <v/>
      </c>
      <c r="K281" s="4" t="str">
        <f t="shared" ca="1" si="21"/>
        <v>Yes</v>
      </c>
      <c r="L281" s="7">
        <f t="shared" ca="1" si="20"/>
        <v>228</v>
      </c>
      <c r="M281" s="4" t="str">
        <f>IF($I281="Complete","Green",IF($H281="","Amber",IF($H281&lt;'[2]Read Me'!$B$4,"Red",IF($H281-'[2]Read Me'!$B$4&lt;=21,"Amber","Green"))))</f>
        <v>Green</v>
      </c>
      <c r="N281" s="3"/>
      <c r="O281" t="str">
        <f>IF($I281&lt;&gt;"Complete",IF(COUNTIFS($A$4:$A280,$A281,$B$4:$B280,$B281,$I$4:$I280,"&lt;&gt;Complete")=0,$A281&amp;"|"&amp;$B281,""),"")</f>
        <v/>
      </c>
      <c r="P281">
        <f ca="1">IF($K281="Yes",COUNTIFS($K$4:$K281,"Yes"),"")</f>
        <v>51</v>
      </c>
      <c r="Q281">
        <f t="shared" ca="1" si="19"/>
        <v>1</v>
      </c>
      <c r="R281">
        <f ca="1">IF($Q281=1,SUM($Q$4:$Q281),"")</f>
        <v>51</v>
      </c>
    </row>
    <row r="282" spans="1:18" ht="14.25" customHeight="1" x14ac:dyDescent="0.3">
      <c r="A282" s="2" t="s">
        <v>320</v>
      </c>
      <c r="B282" s="2" t="s">
        <v>62</v>
      </c>
      <c r="C282" s="3" t="s">
        <v>311</v>
      </c>
      <c r="D282" s="3" t="s">
        <v>58</v>
      </c>
      <c r="E282" s="2"/>
      <c r="F282" s="2"/>
      <c r="G282" s="5"/>
      <c r="H282" s="5">
        <v>46436</v>
      </c>
      <c r="I282" s="4" t="s">
        <v>17</v>
      </c>
      <c r="J282" s="6" t="str">
        <f t="shared" si="18"/>
        <v/>
      </c>
      <c r="K282" s="4" t="str">
        <f t="shared" ca="1" si="21"/>
        <v>Yes</v>
      </c>
      <c r="L282" s="7">
        <f t="shared" ca="1" si="20"/>
        <v>228</v>
      </c>
      <c r="M282" s="4" t="str">
        <f>IF($I282="Complete","Green",IF($H282="","Amber",IF($H282&lt;'[2]Read Me'!$B$4,"Red",IF($H282-'[2]Read Me'!$B$4&lt;=21,"Amber","Green"))))</f>
        <v>Green</v>
      </c>
      <c r="N282" s="3"/>
      <c r="O282" t="str">
        <f>IF($I282&lt;&gt;"Complete",IF(COUNTIFS($A$4:$A281,$A282,$B$4:$B281,$B282,$I$4:$I281,"&lt;&gt;Complete")=0,$A282&amp;"|"&amp;$B282,""),"")</f>
        <v/>
      </c>
      <c r="P282">
        <f ca="1">IF($K282="Yes",COUNTIFS($K$4:$K282,"Yes"),"")</f>
        <v>52</v>
      </c>
      <c r="Q282">
        <f t="shared" ca="1" si="19"/>
        <v>1</v>
      </c>
      <c r="R282">
        <f ca="1">IF($Q282=1,SUM($Q$4:$Q282),"")</f>
        <v>52</v>
      </c>
    </row>
    <row r="283" spans="1:18" ht="14.25" customHeight="1" x14ac:dyDescent="0.3">
      <c r="A283" s="2" t="s">
        <v>320</v>
      </c>
      <c r="B283" s="2" t="s">
        <v>62</v>
      </c>
      <c r="C283" s="3" t="s">
        <v>311</v>
      </c>
      <c r="D283" s="3" t="s">
        <v>343</v>
      </c>
      <c r="E283" s="2"/>
      <c r="F283" s="2"/>
      <c r="G283" s="5"/>
      <c r="H283" s="5">
        <v>46443</v>
      </c>
      <c r="I283" s="4" t="s">
        <v>17</v>
      </c>
      <c r="J283" s="6" t="str">
        <f t="shared" si="18"/>
        <v/>
      </c>
      <c r="K283" s="4" t="str">
        <f t="shared" ca="1" si="21"/>
        <v>Yes</v>
      </c>
      <c r="L283" s="7">
        <f t="shared" ca="1" si="20"/>
        <v>235</v>
      </c>
      <c r="M283" s="4" t="str">
        <f>IF($I283="Complete","Green",IF($H283="","Amber",IF($H283&lt;'[2]Read Me'!$B$4,"Red",IF($H283-'[2]Read Me'!$B$4&lt;=21,"Amber","Green"))))</f>
        <v>Green</v>
      </c>
      <c r="N283" s="3"/>
      <c r="O283" t="str">
        <f>IF($I283&lt;&gt;"Complete",IF(COUNTIFS($A$4:$A282,$A283,$B$4:$B282,$B283,$I$4:$I282,"&lt;&gt;Complete")=0,$A283&amp;"|"&amp;$B283,""),"")</f>
        <v/>
      </c>
      <c r="P283">
        <f ca="1">IF($K283="Yes",COUNTIFS($K$4:$K283,"Yes"),"")</f>
        <v>53</v>
      </c>
      <c r="Q283">
        <f t="shared" ca="1" si="19"/>
        <v>1</v>
      </c>
      <c r="R283">
        <f ca="1">IF($Q283=1,SUM($Q$4:$Q283),"")</f>
        <v>53</v>
      </c>
    </row>
    <row r="284" spans="1:18" ht="14.25" customHeight="1" x14ac:dyDescent="0.3">
      <c r="A284" s="2" t="s">
        <v>320</v>
      </c>
      <c r="B284" s="2" t="s">
        <v>62</v>
      </c>
      <c r="C284" s="3" t="s">
        <v>311</v>
      </c>
      <c r="D284" s="3" t="s">
        <v>183</v>
      </c>
      <c r="E284" s="2"/>
      <c r="F284" s="2"/>
      <c r="G284" s="5"/>
      <c r="H284" s="5">
        <v>46450</v>
      </c>
      <c r="I284" s="4" t="s">
        <v>17</v>
      </c>
      <c r="J284" s="6" t="str">
        <f t="shared" si="18"/>
        <v/>
      </c>
      <c r="K284" s="4" t="str">
        <f t="shared" ca="1" si="21"/>
        <v>Yes</v>
      </c>
      <c r="L284" s="7">
        <f t="shared" ca="1" si="20"/>
        <v>242</v>
      </c>
      <c r="M284" s="4" t="str">
        <f>IF($I284="Complete","Green",IF($H284="","Amber",IF($H284&lt;'[2]Read Me'!$B$4,"Red",IF($H284-'[2]Read Me'!$B$4&lt;=21,"Amber","Green"))))</f>
        <v>Green</v>
      </c>
      <c r="N284" s="3"/>
      <c r="O284" t="str">
        <f>IF($I284&lt;&gt;"Complete",IF(COUNTIFS($A$4:$A283,$A284,$B$4:$B283,$B284,$I$4:$I283,"&lt;&gt;Complete")=0,$A284&amp;"|"&amp;$B284,""),"")</f>
        <v/>
      </c>
      <c r="P284">
        <f ca="1">IF($K284="Yes",COUNTIFS($K$4:$K284,"Yes"),"")</f>
        <v>54</v>
      </c>
      <c r="Q284">
        <f t="shared" ca="1" si="19"/>
        <v>1</v>
      </c>
      <c r="R284">
        <f ca="1">IF($Q284=1,SUM($Q$4:$Q284),"")</f>
        <v>54</v>
      </c>
    </row>
    <row r="285" spans="1:18" ht="14.25" customHeight="1" x14ac:dyDescent="0.3">
      <c r="A285" s="2" t="s">
        <v>320</v>
      </c>
      <c r="B285" s="2" t="s">
        <v>62</v>
      </c>
      <c r="C285" s="3" t="s">
        <v>311</v>
      </c>
      <c r="D285" s="3" t="s">
        <v>345</v>
      </c>
      <c r="E285" s="2"/>
      <c r="F285" s="2"/>
      <c r="G285" s="5">
        <v>46371</v>
      </c>
      <c r="H285" s="5">
        <v>46414</v>
      </c>
      <c r="I285" s="4" t="s">
        <v>17</v>
      </c>
      <c r="J285" s="6">
        <f t="shared" si="18"/>
        <v>43</v>
      </c>
      <c r="K285" s="4" t="str">
        <f t="shared" ca="1" si="21"/>
        <v>Yes</v>
      </c>
      <c r="L285" s="7">
        <f t="shared" ca="1" si="20"/>
        <v>206</v>
      </c>
      <c r="M285" s="4" t="str">
        <f>IF($I285="Complete","Green",IF($H285="","Amber",IF($H285&lt;'[2]Read Me'!$B$4,"Red",IF($H285-'[2]Read Me'!$B$4&lt;=21,"Amber","Green"))))</f>
        <v>Green</v>
      </c>
      <c r="N285" s="3"/>
      <c r="O285" t="str">
        <f>IF($I285&lt;&gt;"Complete",IF(COUNTIFS($A$4:$A284,$A285,$B$4:$B284,$B285,$I$4:$I284,"&lt;&gt;Complete")=0,$A285&amp;"|"&amp;$B285,""),"")</f>
        <v/>
      </c>
      <c r="P285">
        <f ca="1">IF($K285="Yes",COUNTIFS($K$4:$K285,"Yes"),"")</f>
        <v>55</v>
      </c>
      <c r="Q285">
        <f t="shared" ca="1" si="19"/>
        <v>1</v>
      </c>
      <c r="R285">
        <f ca="1">IF($Q285=1,SUM($Q$4:$Q285),"")</f>
        <v>55</v>
      </c>
    </row>
    <row r="286" spans="1:18" ht="14.25" customHeight="1" x14ac:dyDescent="0.3">
      <c r="A286" s="2" t="s">
        <v>320</v>
      </c>
      <c r="B286" s="2" t="s">
        <v>62</v>
      </c>
      <c r="C286" s="3" t="s">
        <v>311</v>
      </c>
      <c r="D286" s="3" t="s">
        <v>58</v>
      </c>
      <c r="E286" s="2"/>
      <c r="F286" s="2"/>
      <c r="G286" s="5">
        <v>46385</v>
      </c>
      <c r="H286" s="5">
        <v>46428</v>
      </c>
      <c r="I286" s="4" t="s">
        <v>17</v>
      </c>
      <c r="J286" s="6">
        <f t="shared" si="18"/>
        <v>43</v>
      </c>
      <c r="K286" s="4" t="str">
        <f t="shared" ca="1" si="21"/>
        <v>Yes</v>
      </c>
      <c r="L286" s="7">
        <f t="shared" ca="1" si="20"/>
        <v>220</v>
      </c>
      <c r="M286" s="4" t="str">
        <f>IF($I286="Complete","Green",IF($H286="","Amber",IF($H286&lt;'[2]Read Me'!$B$4,"Red",IF($H286-'[2]Read Me'!$B$4&lt;=21,"Amber","Green"))))</f>
        <v>Green</v>
      </c>
      <c r="N286" s="3"/>
      <c r="O286" t="str">
        <f>IF($I286&lt;&gt;"Complete",IF(COUNTIFS($A$4:$A285,$A286,$B$4:$B285,$B286,$I$4:$I285,"&lt;&gt;Complete")=0,$A286&amp;"|"&amp;$B286,""),"")</f>
        <v/>
      </c>
      <c r="P286">
        <f ca="1">IF($K286="Yes",COUNTIFS($K$4:$K286,"Yes"),"")</f>
        <v>56</v>
      </c>
      <c r="Q286">
        <f t="shared" ca="1" si="19"/>
        <v>1</v>
      </c>
      <c r="R286">
        <f ca="1">IF($Q286=1,SUM($Q$4:$Q286),"")</f>
        <v>56</v>
      </c>
    </row>
    <row r="287" spans="1:18" ht="14.25" customHeight="1" x14ac:dyDescent="0.3">
      <c r="A287" s="2" t="s">
        <v>320</v>
      </c>
      <c r="B287" s="2" t="s">
        <v>62</v>
      </c>
      <c r="C287" s="3" t="s">
        <v>311</v>
      </c>
      <c r="D287" s="3" t="s">
        <v>346</v>
      </c>
      <c r="E287" s="2"/>
      <c r="F287" s="2"/>
      <c r="G287" s="5">
        <v>46190</v>
      </c>
      <c r="H287" s="5">
        <v>46232</v>
      </c>
      <c r="I287" s="4" t="s">
        <v>17</v>
      </c>
      <c r="J287" s="6">
        <f t="shared" si="18"/>
        <v>42</v>
      </c>
      <c r="K287" s="4" t="str">
        <f t="shared" ca="1" si="21"/>
        <v>Yes</v>
      </c>
      <c r="L287" s="7">
        <f t="shared" ca="1" si="20"/>
        <v>24</v>
      </c>
      <c r="M287" s="4" t="str">
        <f>IF($I287="Complete","Green",IF($H287="","Amber",IF($H287&lt;'[2]Read Me'!$B$4,"Red",IF($H287-'[2]Read Me'!$B$4&lt;=21,"Amber","Green"))))</f>
        <v>Green</v>
      </c>
      <c r="N287" s="3"/>
      <c r="O287" t="str">
        <f>IF($I287&lt;&gt;"Complete",IF(COUNTIFS($A$4:$A286,$A287,$B$4:$B286,$B287,$I$4:$I286,"&lt;&gt;Complete")=0,$A287&amp;"|"&amp;$B287,""),"")</f>
        <v/>
      </c>
      <c r="P287">
        <f ca="1">IF($K287="Yes",COUNTIFS($K$4:$K287,"Yes"),"")</f>
        <v>57</v>
      </c>
      <c r="Q287">
        <f t="shared" ca="1" si="19"/>
        <v>1</v>
      </c>
      <c r="R287">
        <f ca="1">IF($Q287=1,SUM($Q$4:$Q287),"")</f>
        <v>57</v>
      </c>
    </row>
    <row r="288" spans="1:18" ht="14.25" customHeight="1" x14ac:dyDescent="0.3">
      <c r="A288" s="2" t="s">
        <v>320</v>
      </c>
      <c r="B288" s="2" t="s">
        <v>62</v>
      </c>
      <c r="C288" s="3" t="s">
        <v>311</v>
      </c>
      <c r="D288" s="3" t="s">
        <v>347</v>
      </c>
      <c r="E288" s="2"/>
      <c r="F288" s="2"/>
      <c r="G288" s="5">
        <v>46190</v>
      </c>
      <c r="H288" s="5">
        <v>46232</v>
      </c>
      <c r="I288" s="4" t="s">
        <v>17</v>
      </c>
      <c r="J288" s="6">
        <f t="shared" si="18"/>
        <v>42</v>
      </c>
      <c r="K288" s="4" t="str">
        <f t="shared" ca="1" si="21"/>
        <v>Yes</v>
      </c>
      <c r="L288" s="7">
        <f t="shared" ca="1" si="20"/>
        <v>24</v>
      </c>
      <c r="M288" s="4" t="str">
        <f>IF($I288="Complete","Green",IF($H288="","Amber",IF($H288&lt;'[2]Read Me'!$B$4,"Red",IF($H288-'[2]Read Me'!$B$4&lt;=21,"Amber","Green"))))</f>
        <v>Green</v>
      </c>
      <c r="N288" s="3"/>
      <c r="O288" t="str">
        <f>IF($I288&lt;&gt;"Complete",IF(COUNTIFS($A$4:$A287,$A288,$B$4:$B287,$B288,$I$4:$I287,"&lt;&gt;Complete")=0,$A288&amp;"|"&amp;$B288,""),"")</f>
        <v/>
      </c>
      <c r="P288">
        <f ca="1">IF($K288="Yes",COUNTIFS($K$4:$K288,"Yes"),"")</f>
        <v>58</v>
      </c>
      <c r="Q288">
        <f t="shared" ca="1" si="19"/>
        <v>1</v>
      </c>
      <c r="R288">
        <f ca="1">IF($Q288=1,SUM($Q$4:$Q288),"")</f>
        <v>58</v>
      </c>
    </row>
    <row r="289" spans="1:18" ht="14.25" customHeight="1" x14ac:dyDescent="0.3">
      <c r="A289" s="2" t="s">
        <v>320</v>
      </c>
      <c r="B289" s="2" t="s">
        <v>62</v>
      </c>
      <c r="C289" s="3" t="s">
        <v>311</v>
      </c>
      <c r="D289" s="3" t="s">
        <v>348</v>
      </c>
      <c r="E289" s="2"/>
      <c r="F289" s="2"/>
      <c r="G289" s="5">
        <v>46553</v>
      </c>
      <c r="H289" s="5">
        <v>46603</v>
      </c>
      <c r="I289" s="4" t="s">
        <v>17</v>
      </c>
      <c r="J289" s="6">
        <f t="shared" si="18"/>
        <v>50</v>
      </c>
      <c r="K289" s="4" t="str">
        <f t="shared" ca="1" si="21"/>
        <v>Yes</v>
      </c>
      <c r="L289" s="7">
        <f t="shared" ca="1" si="20"/>
        <v>395</v>
      </c>
      <c r="M289" s="4" t="str">
        <f>IF($I289="Complete","Green",IF($H289="","Amber",IF($H289&lt;'[2]Read Me'!$B$4,"Red",IF($H289-'[2]Read Me'!$B$4&lt;=21,"Amber","Green"))))</f>
        <v>Green</v>
      </c>
      <c r="N289" s="3"/>
      <c r="O289" t="str">
        <f>IF($I289&lt;&gt;"Complete",IF(COUNTIFS($A$4:$A288,$A289,$B$4:$B288,$B289,$I$4:$I288,"&lt;&gt;Complete")=0,$A289&amp;"|"&amp;$B289,""),"")</f>
        <v/>
      </c>
      <c r="P289">
        <f ca="1">IF($K289="Yes",COUNTIFS($K$4:$K289,"Yes"),"")</f>
        <v>59</v>
      </c>
      <c r="Q289">
        <f t="shared" ca="1" si="19"/>
        <v>1</v>
      </c>
      <c r="R289">
        <f ca="1">IF($Q289=1,SUM($Q$4:$Q289),"")</f>
        <v>59</v>
      </c>
    </row>
    <row r="290" spans="1:18" ht="14.25" customHeight="1" x14ac:dyDescent="0.3">
      <c r="A290" s="2" t="s">
        <v>320</v>
      </c>
      <c r="B290" s="2" t="s">
        <v>62</v>
      </c>
      <c r="C290" s="3" t="s">
        <v>311</v>
      </c>
      <c r="D290" s="3" t="s">
        <v>349</v>
      </c>
      <c r="E290" s="2"/>
      <c r="F290" s="2"/>
      <c r="G290" s="5">
        <v>46190</v>
      </c>
      <c r="H290" s="5">
        <v>46232</v>
      </c>
      <c r="I290" s="4" t="s">
        <v>17</v>
      </c>
      <c r="J290" s="6">
        <f t="shared" si="18"/>
        <v>42</v>
      </c>
      <c r="K290" s="4" t="str">
        <f t="shared" ca="1" si="21"/>
        <v>Yes</v>
      </c>
      <c r="L290" s="7">
        <f t="shared" ca="1" si="20"/>
        <v>24</v>
      </c>
      <c r="M290" s="4" t="str">
        <f>IF($I290="Complete","Green",IF($H290="","Amber",IF($H290&lt;'[2]Read Me'!$B$4,"Red",IF($H290-'[2]Read Me'!$B$4&lt;=21,"Amber","Green"))))</f>
        <v>Green</v>
      </c>
      <c r="N290" s="3"/>
      <c r="O290" t="str">
        <f>IF($I290&lt;&gt;"Complete",IF(COUNTIFS($A$4:$A289,$A290,$B$4:$B289,$B290,$I$4:$I289,"&lt;&gt;Complete")=0,$A290&amp;"|"&amp;$B290,""),"")</f>
        <v/>
      </c>
      <c r="P290">
        <f ca="1">IF($K290="Yes",COUNTIFS($K$4:$K290,"Yes"),"")</f>
        <v>60</v>
      </c>
      <c r="Q290">
        <f t="shared" ca="1" si="19"/>
        <v>1</v>
      </c>
      <c r="R290">
        <f ca="1">IF($Q290=1,SUM($Q$4:$Q290),"")</f>
        <v>60</v>
      </c>
    </row>
    <row r="291" spans="1:18" ht="14.25" customHeight="1" x14ac:dyDescent="0.3">
      <c r="A291" s="2" t="s">
        <v>320</v>
      </c>
      <c r="B291" s="2" t="s">
        <v>62</v>
      </c>
      <c r="C291" s="3" t="s">
        <v>311</v>
      </c>
      <c r="D291" s="3" t="s">
        <v>350</v>
      </c>
      <c r="E291" s="2"/>
      <c r="F291" s="2"/>
      <c r="G291" s="5">
        <v>46215</v>
      </c>
      <c r="H291" s="5">
        <v>46267</v>
      </c>
      <c r="I291" s="4" t="s">
        <v>17</v>
      </c>
      <c r="J291" s="6">
        <f t="shared" si="18"/>
        <v>52</v>
      </c>
      <c r="K291" s="4" t="str">
        <f t="shared" ca="1" si="21"/>
        <v>Yes</v>
      </c>
      <c r="L291" s="7">
        <f t="shared" ca="1" si="20"/>
        <v>59</v>
      </c>
      <c r="M291" s="4" t="str">
        <f>IF($I291="Complete","Green",IF($H291="","Amber",IF($H291&lt;'[2]Read Me'!$B$4,"Red",IF($H291-'[2]Read Me'!$B$4&lt;=21,"Amber","Green"))))</f>
        <v>Green</v>
      </c>
      <c r="N291" s="3"/>
      <c r="O291" t="str">
        <f>IF($I291&lt;&gt;"Complete",IF(COUNTIFS($A$4:$A290,$A291,$B$4:$B290,$B291,$I$4:$I290,"&lt;&gt;Complete")=0,$A291&amp;"|"&amp;$B291,""),"")</f>
        <v/>
      </c>
      <c r="P291">
        <f ca="1">IF($K291="Yes",COUNTIFS($K$4:$K291,"Yes"),"")</f>
        <v>61</v>
      </c>
      <c r="Q291">
        <f t="shared" ca="1" si="19"/>
        <v>1</v>
      </c>
      <c r="R291">
        <f ca="1">IF($Q291=1,SUM($Q$4:$Q291),"")</f>
        <v>61</v>
      </c>
    </row>
    <row r="292" spans="1:18" ht="14.25" customHeight="1" x14ac:dyDescent="0.3">
      <c r="A292" s="2" t="s">
        <v>320</v>
      </c>
      <c r="B292" s="2" t="s">
        <v>62</v>
      </c>
      <c r="C292" s="3" t="s">
        <v>311</v>
      </c>
      <c r="D292" s="3" t="s">
        <v>58</v>
      </c>
      <c r="E292" s="2"/>
      <c r="F292" s="2"/>
      <c r="G292" s="5"/>
      <c r="H292" s="5">
        <v>46274</v>
      </c>
      <c r="I292" s="4" t="s">
        <v>17</v>
      </c>
      <c r="J292" s="6" t="str">
        <f t="shared" si="18"/>
        <v/>
      </c>
      <c r="K292" s="4" t="str">
        <f t="shared" ca="1" si="21"/>
        <v>Yes</v>
      </c>
      <c r="L292" s="7">
        <f t="shared" ca="1" si="20"/>
        <v>66</v>
      </c>
      <c r="M292" s="4" t="str">
        <f>IF($I292="Complete","Green",IF($H292="","Amber",IF($H292&lt;'[2]Read Me'!$B$4,"Red",IF($H292-'[2]Read Me'!$B$4&lt;=21,"Amber","Green"))))</f>
        <v>Green</v>
      </c>
      <c r="N292" s="3"/>
      <c r="O292" t="str">
        <f>IF($I292&lt;&gt;"Complete",IF(COUNTIFS($A$4:$A291,$A292,$B$4:$B291,$B292,$I$4:$I291,"&lt;&gt;Complete")=0,$A292&amp;"|"&amp;$B292,""),"")</f>
        <v/>
      </c>
      <c r="P292">
        <f ca="1">IF($K292="Yes",COUNTIFS($K$4:$K292,"Yes"),"")</f>
        <v>62</v>
      </c>
      <c r="Q292">
        <f t="shared" ca="1" si="19"/>
        <v>1</v>
      </c>
      <c r="R292">
        <f ca="1">IF($Q292=1,SUM($Q$4:$Q292),"")</f>
        <v>62</v>
      </c>
    </row>
    <row r="293" spans="1:18" ht="22.5" customHeight="1" x14ac:dyDescent="0.3">
      <c r="A293" s="2" t="s">
        <v>320</v>
      </c>
      <c r="B293" s="2" t="s">
        <v>62</v>
      </c>
      <c r="C293" s="3" t="s">
        <v>311</v>
      </c>
      <c r="D293" s="3" t="s">
        <v>351</v>
      </c>
      <c r="E293" s="2"/>
      <c r="F293" s="2"/>
      <c r="G293" s="5">
        <v>46176</v>
      </c>
      <c r="H293" s="5">
        <v>46386</v>
      </c>
      <c r="I293" s="4" t="s">
        <v>17</v>
      </c>
      <c r="J293" s="6">
        <f t="shared" si="18"/>
        <v>210</v>
      </c>
      <c r="K293" s="4" t="str">
        <f t="shared" ca="1" si="21"/>
        <v>Yes</v>
      </c>
      <c r="L293" s="7">
        <f t="shared" ca="1" si="20"/>
        <v>178</v>
      </c>
      <c r="M293" s="4" t="str">
        <f>IF($I293="Complete","Green",IF($H293="","Amber",IF($H293&lt;'[2]Read Me'!$B$4,"Red",IF($H293-'[2]Read Me'!$B$4&lt;=21,"Amber","Green"))))</f>
        <v>Green</v>
      </c>
      <c r="N293" s="3"/>
      <c r="O293" t="str">
        <f>IF($I293&lt;&gt;"Complete",IF(COUNTIFS($A$4:$A292,$A293,$B$4:$B292,$B293,$I$4:$I292,"&lt;&gt;Complete")=0,$A293&amp;"|"&amp;$B293,""),"")</f>
        <v/>
      </c>
      <c r="P293">
        <f ca="1">IF($K293="Yes",COUNTIFS($K$4:$K293,"Yes"),"")</f>
        <v>63</v>
      </c>
      <c r="Q293">
        <f t="shared" ca="1" si="19"/>
        <v>1</v>
      </c>
      <c r="R293">
        <f ca="1">IF($Q293=1,SUM($Q$4:$Q293),"")</f>
        <v>63</v>
      </c>
    </row>
    <row r="294" spans="1:18" ht="22.5" customHeight="1" x14ac:dyDescent="0.3">
      <c r="A294" s="2" t="s">
        <v>320</v>
      </c>
      <c r="B294" s="2" t="s">
        <v>62</v>
      </c>
      <c r="C294" s="3" t="s">
        <v>311</v>
      </c>
      <c r="D294" s="3" t="s">
        <v>58</v>
      </c>
      <c r="E294" s="2"/>
      <c r="F294" s="2"/>
      <c r="G294" s="5">
        <v>46190</v>
      </c>
      <c r="H294" s="5">
        <v>46400</v>
      </c>
      <c r="I294" s="4" t="s">
        <v>17</v>
      </c>
      <c r="J294" s="6">
        <f t="shared" si="18"/>
        <v>210</v>
      </c>
      <c r="K294" s="4" t="str">
        <f t="shared" ca="1" si="21"/>
        <v>Yes</v>
      </c>
      <c r="L294" s="7">
        <f t="shared" ca="1" si="20"/>
        <v>192</v>
      </c>
      <c r="M294" s="4" t="str">
        <f>IF($I294="Complete","Green",IF($H294="","Amber",IF($H294&lt;'[2]Read Me'!$B$4,"Red",IF($H294-'[2]Read Me'!$B$4&lt;=21,"Amber","Green"))))</f>
        <v>Green</v>
      </c>
      <c r="N294" s="3"/>
      <c r="O294" t="str">
        <f>IF($I294&lt;&gt;"Complete",IF(COUNTIFS($A$4:$A293,$A294,$B$4:$B293,$B294,$I$4:$I293,"&lt;&gt;Complete")=0,$A294&amp;"|"&amp;$B294,""),"")</f>
        <v/>
      </c>
      <c r="P294">
        <f ca="1">IF($K294="Yes",COUNTIFS($K$4:$K294,"Yes"),"")</f>
        <v>64</v>
      </c>
      <c r="Q294">
        <f t="shared" ca="1" si="19"/>
        <v>1</v>
      </c>
      <c r="R294">
        <f ca="1">IF($Q294=1,SUM($Q$4:$Q294),"")</f>
        <v>64</v>
      </c>
    </row>
    <row r="295" spans="1:18" ht="22.5" customHeight="1" x14ac:dyDescent="0.3">
      <c r="A295" s="2" t="s">
        <v>320</v>
      </c>
      <c r="B295" s="2" t="s">
        <v>62</v>
      </c>
      <c r="C295" s="3" t="s">
        <v>311</v>
      </c>
      <c r="D295" s="3" t="s">
        <v>352</v>
      </c>
      <c r="E295" s="2"/>
      <c r="F295" s="2"/>
      <c r="G295" s="5">
        <v>46399</v>
      </c>
      <c r="H295" s="5">
        <v>46449</v>
      </c>
      <c r="I295" s="4" t="s">
        <v>17</v>
      </c>
      <c r="J295" s="6">
        <f t="shared" si="18"/>
        <v>50</v>
      </c>
      <c r="K295" s="4" t="str">
        <f t="shared" ca="1" si="21"/>
        <v>Yes</v>
      </c>
      <c r="L295" s="7">
        <f t="shared" ca="1" si="20"/>
        <v>241</v>
      </c>
      <c r="M295" s="4" t="str">
        <f>IF($I295="Complete","Green",IF($H295="","Amber",IF($H295&lt;'[2]Read Me'!$B$4,"Red",IF($H295-'[2]Read Me'!$B$4&lt;=21,"Amber","Green"))))</f>
        <v>Green</v>
      </c>
      <c r="N295" s="3"/>
      <c r="O295" t="str">
        <f>IF($I295&lt;&gt;"Complete",IF(COUNTIFS($A$4:$A294,$A295,$B$4:$B294,$B295,$I$4:$I294,"&lt;&gt;Complete")=0,$A295&amp;"|"&amp;$B295,""),"")</f>
        <v/>
      </c>
      <c r="P295">
        <f ca="1">IF($K295="Yes",COUNTIFS($K$4:$K295,"Yes"),"")</f>
        <v>65</v>
      </c>
      <c r="Q295">
        <f t="shared" ca="1" si="19"/>
        <v>1</v>
      </c>
      <c r="R295">
        <f ca="1">IF($Q295=1,SUM($Q$4:$Q295),"")</f>
        <v>65</v>
      </c>
    </row>
    <row r="296" spans="1:18" ht="22.5" customHeight="1" x14ac:dyDescent="0.3">
      <c r="A296" s="2" t="s">
        <v>320</v>
      </c>
      <c r="B296" s="2" t="s">
        <v>62</v>
      </c>
      <c r="C296" s="3" t="s">
        <v>311</v>
      </c>
      <c r="D296" s="3" t="s">
        <v>342</v>
      </c>
      <c r="E296" s="2"/>
      <c r="F296" s="2"/>
      <c r="G296" s="5">
        <v>46413</v>
      </c>
      <c r="H296" s="5">
        <v>46463</v>
      </c>
      <c r="I296" s="4" t="s">
        <v>17</v>
      </c>
      <c r="J296" s="6">
        <f t="shared" si="18"/>
        <v>50</v>
      </c>
      <c r="K296" s="4" t="str">
        <f t="shared" ca="1" si="21"/>
        <v>Yes</v>
      </c>
      <c r="L296" s="7">
        <f t="shared" ca="1" si="20"/>
        <v>255</v>
      </c>
      <c r="M296" s="4" t="str">
        <f>IF($I296="Complete","Green",IF($H296="","Amber",IF($H296&lt;'[2]Read Me'!$B$4,"Red",IF($H296-'[2]Read Me'!$B$4&lt;=21,"Amber","Green"))))</f>
        <v>Green</v>
      </c>
      <c r="N296" s="3"/>
      <c r="O296" t="str">
        <f>IF($I296&lt;&gt;"Complete",IF(COUNTIFS($A$4:$A295,$A296,$B$4:$B295,$B296,$I$4:$I295,"&lt;&gt;Complete")=0,$A296&amp;"|"&amp;$B296,""),"")</f>
        <v/>
      </c>
      <c r="P296">
        <f ca="1">IF($K296="Yes",COUNTIFS($K$4:$K296,"Yes"),"")</f>
        <v>66</v>
      </c>
      <c r="Q296">
        <f t="shared" ca="1" si="19"/>
        <v>1</v>
      </c>
      <c r="R296">
        <f ca="1">IF($Q296=1,SUM($Q$4:$Q296),"")</f>
        <v>66</v>
      </c>
    </row>
    <row r="297" spans="1:18" ht="22.5" customHeight="1" x14ac:dyDescent="0.3">
      <c r="A297" s="2" t="s">
        <v>320</v>
      </c>
      <c r="B297" s="2" t="s">
        <v>62</v>
      </c>
      <c r="C297" s="3" t="s">
        <v>311</v>
      </c>
      <c r="D297" s="3" t="s">
        <v>58</v>
      </c>
      <c r="E297" s="2"/>
      <c r="F297" s="2"/>
      <c r="G297" s="5">
        <v>46413</v>
      </c>
      <c r="H297" s="5">
        <v>46463</v>
      </c>
      <c r="I297" s="4" t="s">
        <v>17</v>
      </c>
      <c r="J297" s="6">
        <f t="shared" si="18"/>
        <v>50</v>
      </c>
      <c r="K297" s="4" t="str">
        <f t="shared" ca="1" si="21"/>
        <v>Yes</v>
      </c>
      <c r="L297" s="7">
        <f t="shared" ca="1" si="20"/>
        <v>255</v>
      </c>
      <c r="M297" s="4" t="str">
        <f>IF($I297="Complete","Green",IF($H297="","Amber",IF($H297&lt;'[2]Read Me'!$B$4,"Red",IF($H297-'[2]Read Me'!$B$4&lt;=21,"Amber","Green"))))</f>
        <v>Green</v>
      </c>
      <c r="N297" s="3"/>
      <c r="O297" t="str">
        <f>IF($I297&lt;&gt;"Complete",IF(COUNTIFS($A$4:$A296,$A297,$B$4:$B296,$B297,$I$4:$I296,"&lt;&gt;Complete")=0,$A297&amp;"|"&amp;$B297,""),"")</f>
        <v/>
      </c>
      <c r="P297">
        <f ca="1">IF($K297="Yes",COUNTIFS($K$4:$K297,"Yes"),"")</f>
        <v>67</v>
      </c>
      <c r="Q297">
        <f t="shared" ca="1" si="19"/>
        <v>1</v>
      </c>
      <c r="R297">
        <f ca="1">IF($Q297=1,SUM($Q$4:$Q297),"")</f>
        <v>67</v>
      </c>
    </row>
    <row r="298" spans="1:18" ht="22.5" customHeight="1" x14ac:dyDescent="0.3">
      <c r="A298" s="2" t="s">
        <v>320</v>
      </c>
      <c r="B298" s="2" t="s">
        <v>62</v>
      </c>
      <c r="C298" s="3" t="s">
        <v>311</v>
      </c>
      <c r="D298" s="3" t="s">
        <v>343</v>
      </c>
      <c r="E298" s="2"/>
      <c r="F298" s="2"/>
      <c r="G298" s="5">
        <v>46420</v>
      </c>
      <c r="H298" s="5">
        <v>46470</v>
      </c>
      <c r="I298" s="4" t="s">
        <v>17</v>
      </c>
      <c r="J298" s="6">
        <f t="shared" si="18"/>
        <v>50</v>
      </c>
      <c r="K298" s="4" t="str">
        <f t="shared" ca="1" si="21"/>
        <v>Yes</v>
      </c>
      <c r="L298" s="7">
        <f t="shared" ca="1" si="20"/>
        <v>262</v>
      </c>
      <c r="M298" s="4" t="str">
        <f>IF($I298="Complete","Green",IF($H298="","Amber",IF($H298&lt;'[2]Read Me'!$B$4,"Red",IF($H298-'[2]Read Me'!$B$4&lt;=21,"Amber","Green"))))</f>
        <v>Green</v>
      </c>
      <c r="N298" s="3"/>
      <c r="O298" t="str">
        <f>IF($I298&lt;&gt;"Complete",IF(COUNTIFS($A$4:$A297,$A298,$B$4:$B297,$B298,$I$4:$I297,"&lt;&gt;Complete")=0,$A298&amp;"|"&amp;$B298,""),"")</f>
        <v/>
      </c>
      <c r="P298">
        <f ca="1">IF($K298="Yes",COUNTIFS($K$4:$K298,"Yes"),"")</f>
        <v>68</v>
      </c>
      <c r="Q298">
        <f t="shared" ca="1" si="19"/>
        <v>1</v>
      </c>
      <c r="R298">
        <f ca="1">IF($Q298=1,SUM($Q$4:$Q298),"")</f>
        <v>68</v>
      </c>
    </row>
    <row r="299" spans="1:18" ht="22.5" customHeight="1" x14ac:dyDescent="0.3">
      <c r="A299" s="2" t="s">
        <v>320</v>
      </c>
      <c r="B299" s="2" t="s">
        <v>62</v>
      </c>
      <c r="C299" s="3" t="s">
        <v>311</v>
      </c>
      <c r="D299" s="3" t="s">
        <v>353</v>
      </c>
      <c r="E299" s="2"/>
      <c r="F299" s="2"/>
      <c r="G299" s="5">
        <v>46476</v>
      </c>
      <c r="H299" s="5">
        <v>46526</v>
      </c>
      <c r="I299" s="4" t="s">
        <v>17</v>
      </c>
      <c r="J299" s="6">
        <f t="shared" si="18"/>
        <v>50</v>
      </c>
      <c r="K299" s="4" t="str">
        <f t="shared" ca="1" si="21"/>
        <v>Yes</v>
      </c>
      <c r="L299" s="7">
        <f t="shared" ca="1" si="20"/>
        <v>318</v>
      </c>
      <c r="M299" s="4" t="str">
        <f>IF($I299="Complete","Green",IF($H299="","Amber",IF($H299&lt;'[2]Read Me'!$B$4,"Red",IF($H299-'[2]Read Me'!$B$4&lt;=21,"Amber","Green"))))</f>
        <v>Green</v>
      </c>
      <c r="N299" s="3"/>
      <c r="O299" t="str">
        <f>IF($I299&lt;&gt;"Complete",IF(COUNTIFS($A$4:$A298,$A299,$B$4:$B298,$B299,$I$4:$I298,"&lt;&gt;Complete")=0,$A299&amp;"|"&amp;$B299,""),"")</f>
        <v/>
      </c>
      <c r="P299">
        <f ca="1">IF($K299="Yes",COUNTIFS($K$4:$K299,"Yes"),"")</f>
        <v>69</v>
      </c>
      <c r="Q299">
        <f t="shared" ca="1" si="19"/>
        <v>1</v>
      </c>
      <c r="R299">
        <f ca="1">IF($Q299=1,SUM($Q$4:$Q299),"")</f>
        <v>69</v>
      </c>
    </row>
    <row r="300" spans="1:18" ht="22.5" customHeight="1" x14ac:dyDescent="0.3">
      <c r="A300" s="2" t="s">
        <v>320</v>
      </c>
      <c r="B300" s="2" t="s">
        <v>62</v>
      </c>
      <c r="C300" s="3" t="s">
        <v>311</v>
      </c>
      <c r="D300" s="3" t="s">
        <v>83</v>
      </c>
      <c r="E300" s="2"/>
      <c r="F300" s="2"/>
      <c r="G300" s="5">
        <v>46504</v>
      </c>
      <c r="H300" s="5">
        <v>46554</v>
      </c>
      <c r="I300" s="4" t="s">
        <v>17</v>
      </c>
      <c r="J300" s="6">
        <f t="shared" si="18"/>
        <v>50</v>
      </c>
      <c r="K300" s="4" t="str">
        <f t="shared" ca="1" si="21"/>
        <v>Yes</v>
      </c>
      <c r="L300" s="7">
        <f t="shared" ca="1" si="20"/>
        <v>346</v>
      </c>
      <c r="M300" s="4" t="str">
        <f>IF($I300="Complete","Green",IF($H300="","Amber",IF($H300&lt;'[2]Read Me'!$B$4,"Red",IF($H300-'[2]Read Me'!$B$4&lt;=21,"Amber","Green"))))</f>
        <v>Green</v>
      </c>
      <c r="N300" s="3"/>
      <c r="O300" t="str">
        <f>IF($I300&lt;&gt;"Complete",IF(COUNTIFS($A$4:$A299,$A300,$B$4:$B299,$B300,$I$4:$I299,"&lt;&gt;Complete")=0,$A300&amp;"|"&amp;$B300,""),"")</f>
        <v/>
      </c>
      <c r="P300">
        <f ca="1">IF($K300="Yes",COUNTIFS($K$4:$K300,"Yes"),"")</f>
        <v>70</v>
      </c>
      <c r="Q300">
        <f t="shared" ca="1" si="19"/>
        <v>1</v>
      </c>
      <c r="R300">
        <f ca="1">IF($Q300=1,SUM($Q$4:$Q300),"")</f>
        <v>70</v>
      </c>
    </row>
    <row r="301" spans="1:18" ht="22.5" customHeight="1" x14ac:dyDescent="0.3">
      <c r="A301" s="2" t="s">
        <v>320</v>
      </c>
      <c r="B301" s="2" t="s">
        <v>62</v>
      </c>
      <c r="C301" s="3" t="s">
        <v>311</v>
      </c>
      <c r="D301" s="3" t="s">
        <v>342</v>
      </c>
      <c r="E301" s="2"/>
      <c r="F301" s="2"/>
      <c r="G301" s="5">
        <v>46490</v>
      </c>
      <c r="H301" s="5">
        <v>46540</v>
      </c>
      <c r="I301" s="4" t="s">
        <v>17</v>
      </c>
      <c r="J301" s="6">
        <f t="shared" si="18"/>
        <v>50</v>
      </c>
      <c r="K301" s="4" t="str">
        <f t="shared" ca="1" si="21"/>
        <v>Yes</v>
      </c>
      <c r="L301" s="7">
        <f t="shared" ca="1" si="20"/>
        <v>332</v>
      </c>
      <c r="M301" s="4" t="str">
        <f>IF($I301="Complete","Green",IF($H301="","Amber",IF($H301&lt;'[2]Read Me'!$B$4,"Red",IF($H301-'[2]Read Me'!$B$4&lt;=21,"Amber","Green"))))</f>
        <v>Green</v>
      </c>
      <c r="N301" s="3"/>
      <c r="O301" t="str">
        <f>IF($I301&lt;&gt;"Complete",IF(COUNTIFS($A$4:$A300,$A301,$B$4:$B300,$B301,$I$4:$I300,"&lt;&gt;Complete")=0,$A301&amp;"|"&amp;$B301,""),"")</f>
        <v/>
      </c>
      <c r="P301">
        <f ca="1">IF($K301="Yes",COUNTIFS($K$4:$K301,"Yes"),"")</f>
        <v>71</v>
      </c>
      <c r="Q301">
        <f t="shared" ca="1" si="19"/>
        <v>1</v>
      </c>
      <c r="R301">
        <f ca="1">IF($Q301=1,SUM($Q$4:$Q301),"")</f>
        <v>71</v>
      </c>
    </row>
    <row r="302" spans="1:18" ht="22.5" customHeight="1" x14ac:dyDescent="0.3">
      <c r="A302" s="2" t="s">
        <v>320</v>
      </c>
      <c r="B302" s="2" t="s">
        <v>62</v>
      </c>
      <c r="C302" s="3" t="s">
        <v>311</v>
      </c>
      <c r="D302" s="3" t="s">
        <v>58</v>
      </c>
      <c r="E302" s="2"/>
      <c r="F302" s="2"/>
      <c r="G302" s="5">
        <v>46490</v>
      </c>
      <c r="H302" s="5">
        <v>46540</v>
      </c>
      <c r="I302" s="4" t="s">
        <v>17</v>
      </c>
      <c r="J302" s="6">
        <f t="shared" si="18"/>
        <v>50</v>
      </c>
      <c r="K302" s="4" t="str">
        <f t="shared" ca="1" si="21"/>
        <v>Yes</v>
      </c>
      <c r="L302" s="7">
        <f t="shared" ca="1" si="20"/>
        <v>332</v>
      </c>
      <c r="M302" s="4" t="str">
        <f>IF($I302="Complete","Green",IF($H302="","Amber",IF($H302&lt;'[2]Read Me'!$B$4,"Red",IF($H302-'[2]Read Me'!$B$4&lt;=21,"Amber","Green"))))</f>
        <v>Green</v>
      </c>
      <c r="N302" s="3"/>
      <c r="O302" t="str">
        <f>IF($I302&lt;&gt;"Complete",IF(COUNTIFS($A$4:$A301,$A302,$B$4:$B301,$B302,$I$4:$I301,"&lt;&gt;Complete")=0,$A302&amp;"|"&amp;$B302,""),"")</f>
        <v/>
      </c>
      <c r="P302">
        <f ca="1">IF($K302="Yes",COUNTIFS($K$4:$K302,"Yes"),"")</f>
        <v>72</v>
      </c>
      <c r="Q302">
        <f t="shared" ca="1" si="19"/>
        <v>1</v>
      </c>
      <c r="R302">
        <f ca="1">IF($Q302=1,SUM($Q$4:$Q302),"")</f>
        <v>72</v>
      </c>
    </row>
    <row r="303" spans="1:18" ht="22.5" customHeight="1" x14ac:dyDescent="0.3">
      <c r="A303" s="2" t="s">
        <v>320</v>
      </c>
      <c r="B303" s="2" t="s">
        <v>62</v>
      </c>
      <c r="C303" s="3" t="s">
        <v>311</v>
      </c>
      <c r="D303" s="3" t="s">
        <v>343</v>
      </c>
      <c r="E303" s="2"/>
      <c r="F303" s="2"/>
      <c r="G303" s="5">
        <v>46497</v>
      </c>
      <c r="H303" s="5">
        <v>46547</v>
      </c>
      <c r="I303" s="4" t="s">
        <v>17</v>
      </c>
      <c r="J303" s="6">
        <f t="shared" si="18"/>
        <v>50</v>
      </c>
      <c r="K303" s="4" t="str">
        <f t="shared" ca="1" si="21"/>
        <v>Yes</v>
      </c>
      <c r="L303" s="7">
        <f t="shared" ca="1" si="20"/>
        <v>339</v>
      </c>
      <c r="M303" s="4" t="str">
        <f>IF($I303="Complete","Green",IF($H303="","Amber",IF($H303&lt;'[2]Read Me'!$B$4,"Red",IF($H303-'[2]Read Me'!$B$4&lt;=21,"Amber","Green"))))</f>
        <v>Green</v>
      </c>
      <c r="N303" s="3"/>
      <c r="O303" t="str">
        <f>IF($I303&lt;&gt;"Complete",IF(COUNTIFS($A$4:$A302,$A303,$B$4:$B302,$B303,$I$4:$I302,"&lt;&gt;Complete")=0,$A303&amp;"|"&amp;$B303,""),"")</f>
        <v/>
      </c>
      <c r="P303">
        <f ca="1">IF($K303="Yes",COUNTIFS($K$4:$K303,"Yes"),"")</f>
        <v>73</v>
      </c>
      <c r="Q303">
        <f t="shared" ca="1" si="19"/>
        <v>1</v>
      </c>
      <c r="R303">
        <f ca="1">IF($Q303=1,SUM($Q$4:$Q303),"")</f>
        <v>73</v>
      </c>
    </row>
    <row r="304" spans="1:18" ht="22.5" customHeight="1" x14ac:dyDescent="0.3">
      <c r="A304" s="2" t="s">
        <v>320</v>
      </c>
      <c r="B304" s="2" t="s">
        <v>62</v>
      </c>
      <c r="C304" s="3" t="s">
        <v>311</v>
      </c>
      <c r="D304" s="3" t="s">
        <v>354</v>
      </c>
      <c r="E304" s="2"/>
      <c r="F304" s="2"/>
      <c r="G304" s="5">
        <v>46497</v>
      </c>
      <c r="H304" s="5">
        <v>46547</v>
      </c>
      <c r="I304" s="4" t="s">
        <v>17</v>
      </c>
      <c r="J304" s="6">
        <f t="shared" si="18"/>
        <v>50</v>
      </c>
      <c r="K304" s="4" t="str">
        <f t="shared" ca="1" si="21"/>
        <v>Yes</v>
      </c>
      <c r="L304" s="7">
        <f t="shared" ca="1" si="20"/>
        <v>339</v>
      </c>
      <c r="M304" s="4" t="str">
        <f>IF($I304="Complete","Green",IF($H304="","Amber",IF($H304&lt;'[2]Read Me'!$B$4,"Red",IF($H304-'[2]Read Me'!$B$4&lt;=21,"Amber","Green"))))</f>
        <v>Green</v>
      </c>
      <c r="N304" s="3"/>
      <c r="O304" t="str">
        <f>IF($I304&lt;&gt;"Complete",IF(COUNTIFS($A$4:$A303,$A304,$B$4:$B303,$B304,$I$4:$I303,"&lt;&gt;Complete")=0,$A304&amp;"|"&amp;$B304,""),"")</f>
        <v/>
      </c>
      <c r="P304">
        <f ca="1">IF($K304="Yes",COUNTIFS($K$4:$K304,"Yes"),"")</f>
        <v>74</v>
      </c>
      <c r="Q304">
        <f t="shared" ca="1" si="19"/>
        <v>1</v>
      </c>
      <c r="R304">
        <f ca="1">IF($Q304=1,SUM($Q$4:$Q304),"")</f>
        <v>74</v>
      </c>
    </row>
    <row r="305" spans="1:18" ht="22.5" customHeight="1" x14ac:dyDescent="0.3">
      <c r="A305" s="2" t="s">
        <v>320</v>
      </c>
      <c r="B305" s="2" t="s">
        <v>62</v>
      </c>
      <c r="C305" s="3" t="s">
        <v>311</v>
      </c>
      <c r="D305" s="3" t="s">
        <v>58</v>
      </c>
      <c r="E305" s="2"/>
      <c r="F305" s="2"/>
      <c r="G305" s="5">
        <v>46497</v>
      </c>
      <c r="H305" s="5">
        <v>46547</v>
      </c>
      <c r="I305" s="4" t="s">
        <v>17</v>
      </c>
      <c r="J305" s="6">
        <f t="shared" si="18"/>
        <v>50</v>
      </c>
      <c r="K305" s="4" t="str">
        <f t="shared" ca="1" si="21"/>
        <v>Yes</v>
      </c>
      <c r="L305" s="7">
        <f t="shared" ca="1" si="20"/>
        <v>339</v>
      </c>
      <c r="M305" s="4" t="str">
        <f>IF($I305="Complete","Green",IF($H305="","Amber",IF($H305&lt;'[2]Read Me'!$B$4,"Red",IF($H305-'[2]Read Me'!$B$4&lt;=21,"Amber","Green"))))</f>
        <v>Green</v>
      </c>
      <c r="N305" s="3"/>
      <c r="O305" t="str">
        <f>IF($I305&lt;&gt;"Complete",IF(COUNTIFS($A$4:$A304,$A305,$B$4:$B304,$B305,$I$4:$I304,"&lt;&gt;Complete")=0,$A305&amp;"|"&amp;$B305,""),"")</f>
        <v/>
      </c>
      <c r="P305">
        <f ca="1">IF($K305="Yes",COUNTIFS($K$4:$K305,"Yes"),"")</f>
        <v>75</v>
      </c>
      <c r="Q305">
        <f t="shared" ca="1" si="19"/>
        <v>1</v>
      </c>
      <c r="R305">
        <f ca="1">IF($Q305=1,SUM($Q$4:$Q305),"")</f>
        <v>75</v>
      </c>
    </row>
    <row r="306" spans="1:18" ht="22.5" customHeight="1" x14ac:dyDescent="0.3">
      <c r="A306" s="2" t="s">
        <v>320</v>
      </c>
      <c r="B306" s="2" t="s">
        <v>62</v>
      </c>
      <c r="C306" s="3" t="s">
        <v>311</v>
      </c>
      <c r="D306" s="3" t="s">
        <v>183</v>
      </c>
      <c r="E306" s="2"/>
      <c r="F306" s="2"/>
      <c r="G306" s="5">
        <v>46504</v>
      </c>
      <c r="H306" s="5">
        <v>46554</v>
      </c>
      <c r="I306" s="4" t="s">
        <v>17</v>
      </c>
      <c r="J306" s="6">
        <f t="shared" si="18"/>
        <v>50</v>
      </c>
      <c r="K306" s="4" t="str">
        <f t="shared" ca="1" si="21"/>
        <v>Yes</v>
      </c>
      <c r="L306" s="7">
        <f t="shared" ca="1" si="20"/>
        <v>346</v>
      </c>
      <c r="M306" s="4" t="str">
        <f>IF($I306="Complete","Green",IF($H306="","Amber",IF($H306&lt;'[2]Read Me'!$B$4,"Red",IF($H306-'[2]Read Me'!$B$4&lt;=21,"Amber","Green"))))</f>
        <v>Green</v>
      </c>
      <c r="N306" s="3"/>
      <c r="O306" t="str">
        <f>IF($I306&lt;&gt;"Complete",IF(COUNTIFS($A$4:$A305,$A306,$B$4:$B305,$B306,$I$4:$I305,"&lt;&gt;Complete")=0,$A306&amp;"|"&amp;$B306,""),"")</f>
        <v/>
      </c>
      <c r="P306">
        <f ca="1">IF($K306="Yes",COUNTIFS($K$4:$K306,"Yes"),"")</f>
        <v>76</v>
      </c>
      <c r="Q306">
        <f t="shared" ca="1" si="19"/>
        <v>1</v>
      </c>
      <c r="R306">
        <f ca="1">IF($Q306=1,SUM($Q$4:$Q306),"")</f>
        <v>76</v>
      </c>
    </row>
    <row r="307" spans="1:18" ht="22.5" customHeight="1" x14ac:dyDescent="0.3">
      <c r="A307" s="2" t="s">
        <v>320</v>
      </c>
      <c r="B307" s="2" t="s">
        <v>62</v>
      </c>
      <c r="C307" s="3" t="s">
        <v>311</v>
      </c>
      <c r="D307" s="3" t="s">
        <v>16</v>
      </c>
      <c r="E307" s="2"/>
      <c r="F307" s="2"/>
      <c r="G307" s="5">
        <v>46539</v>
      </c>
      <c r="H307" s="5">
        <v>46589</v>
      </c>
      <c r="I307" s="4" t="s">
        <v>17</v>
      </c>
      <c r="J307" s="6">
        <f t="shared" si="18"/>
        <v>50</v>
      </c>
      <c r="K307" s="4" t="str">
        <f t="shared" ca="1" si="21"/>
        <v>Yes</v>
      </c>
      <c r="L307" s="7">
        <f t="shared" ca="1" si="20"/>
        <v>381</v>
      </c>
      <c r="M307" s="4" t="str">
        <f>IF($I307="Complete","Green",IF($H307="","Amber",IF($H307&lt;'[2]Read Me'!$B$4,"Red",IF($H307-'[2]Read Me'!$B$4&lt;=21,"Amber","Green"))))</f>
        <v>Green</v>
      </c>
      <c r="N307" s="3"/>
      <c r="O307" t="str">
        <f>IF($I307&lt;&gt;"Complete",IF(COUNTIFS($A$4:$A306,$A307,$B$4:$B306,$B307,$I$4:$I306,"&lt;&gt;Complete")=0,$A307&amp;"|"&amp;$B307,""),"")</f>
        <v/>
      </c>
      <c r="P307">
        <f ca="1">IF($K307="Yes",COUNTIFS($K$4:$K307,"Yes"),"")</f>
        <v>77</v>
      </c>
      <c r="Q307">
        <f t="shared" ca="1" si="19"/>
        <v>1</v>
      </c>
      <c r="R307">
        <f ca="1">IF($Q307=1,SUM($Q$4:$Q307),"")</f>
        <v>77</v>
      </c>
    </row>
    <row r="308" spans="1:18" ht="22.5" customHeight="1" x14ac:dyDescent="0.3">
      <c r="A308" s="2" t="s">
        <v>320</v>
      </c>
      <c r="B308" s="2" t="s">
        <v>62</v>
      </c>
      <c r="C308" s="3" t="s">
        <v>311</v>
      </c>
      <c r="D308" s="3" t="s">
        <v>58</v>
      </c>
      <c r="E308" s="2"/>
      <c r="F308" s="2"/>
      <c r="G308" s="5">
        <v>46553</v>
      </c>
      <c r="H308" s="5">
        <v>46603</v>
      </c>
      <c r="I308" s="4" t="s">
        <v>17</v>
      </c>
      <c r="J308" s="6">
        <f t="shared" si="18"/>
        <v>50</v>
      </c>
      <c r="K308" s="4" t="str">
        <f t="shared" ca="1" si="21"/>
        <v>Yes</v>
      </c>
      <c r="L308" s="7">
        <f t="shared" ca="1" si="20"/>
        <v>395</v>
      </c>
      <c r="M308" s="4" t="str">
        <f>IF($I308="Complete","Green",IF($H308="","Amber",IF($H308&lt;'[2]Read Me'!$B$4,"Red",IF($H308-'[2]Read Me'!$B$4&lt;=21,"Amber","Green"))))</f>
        <v>Green</v>
      </c>
      <c r="N308" s="3"/>
      <c r="O308" t="str">
        <f>IF($I308&lt;&gt;"Complete",IF(COUNTIFS($A$4:$A307,$A308,$B$4:$B307,$B308,$I$4:$I307,"&lt;&gt;Complete")=0,$A308&amp;"|"&amp;$B308,""),"")</f>
        <v/>
      </c>
      <c r="P308">
        <f ca="1">IF($K308="Yes",COUNTIFS($K$4:$K308,"Yes"),"")</f>
        <v>78</v>
      </c>
      <c r="Q308">
        <f t="shared" ca="1" si="19"/>
        <v>1</v>
      </c>
      <c r="R308">
        <f ca="1">IF($Q308=1,SUM($Q$4:$Q308),"")</f>
        <v>78</v>
      </c>
    </row>
    <row r="309" spans="1:18" ht="22.5" customHeight="1" x14ac:dyDescent="0.3">
      <c r="A309" s="2" t="s">
        <v>320</v>
      </c>
      <c r="B309" s="2" t="s">
        <v>140</v>
      </c>
      <c r="C309" s="3" t="s">
        <v>311</v>
      </c>
      <c r="D309" s="3" t="s">
        <v>140</v>
      </c>
      <c r="E309" s="2"/>
      <c r="F309" s="2"/>
      <c r="G309" s="5">
        <v>46229</v>
      </c>
      <c r="H309" s="5">
        <v>46366</v>
      </c>
      <c r="I309" s="4" t="s">
        <v>17</v>
      </c>
      <c r="J309" s="6">
        <f t="shared" si="18"/>
        <v>137</v>
      </c>
      <c r="K309" s="4" t="str">
        <f t="shared" ca="1" si="21"/>
        <v>Yes</v>
      </c>
      <c r="L309" s="7">
        <f t="shared" ca="1" si="20"/>
        <v>158</v>
      </c>
      <c r="M309" s="4" t="str">
        <f>IF($I309="Complete","Green",IF($H309="","Amber",IF($H309&lt;'[2]Read Me'!$B$4,"Red",IF($H309-'[2]Read Me'!$B$4&lt;=21,"Amber","Green"))))</f>
        <v>Green</v>
      </c>
      <c r="N309" s="3"/>
      <c r="O309" t="str">
        <f>IF($I309&lt;&gt;"Complete",IF(COUNTIFS($A$4:$A308,$A309,$B$4:$B308,$B309,$I$4:$I308,"&lt;&gt;Complete")=0,$A309&amp;"|"&amp;$B309,""),"")</f>
        <v>Hotel|Masterplan</v>
      </c>
      <c r="P309">
        <f ca="1">IF($K309="Yes",COUNTIFS($K$4:$K309,"Yes"),"")</f>
        <v>79</v>
      </c>
      <c r="Q309">
        <f t="shared" ca="1" si="19"/>
        <v>1</v>
      </c>
      <c r="R309">
        <f ca="1">IF($Q309=1,SUM($Q$4:$Q309),"")</f>
        <v>79</v>
      </c>
    </row>
    <row r="310" spans="1:18" ht="14.25" customHeight="1" x14ac:dyDescent="0.3">
      <c r="A310" s="2" t="s">
        <v>320</v>
      </c>
      <c r="B310" s="2" t="s">
        <v>140</v>
      </c>
      <c r="C310" s="3" t="s">
        <v>311</v>
      </c>
      <c r="D310" s="3" t="s">
        <v>355</v>
      </c>
      <c r="E310" s="2"/>
      <c r="F310" s="2"/>
      <c r="G310" s="5">
        <v>46173</v>
      </c>
      <c r="H310" s="5">
        <v>46254</v>
      </c>
      <c r="I310" s="4" t="s">
        <v>17</v>
      </c>
      <c r="J310" s="6">
        <f t="shared" si="18"/>
        <v>81</v>
      </c>
      <c r="K310" s="4" t="str">
        <f t="shared" ca="1" si="21"/>
        <v>Yes</v>
      </c>
      <c r="L310" s="7">
        <f t="shared" ca="1" si="20"/>
        <v>46</v>
      </c>
      <c r="M310" s="4" t="str">
        <f>IF($I310="Complete","Green",IF($H310="","Amber",IF($H310&lt;'[2]Read Me'!$B$4,"Red",IF($H310-'[2]Read Me'!$B$4&lt;=21,"Amber","Green"))))</f>
        <v>Green</v>
      </c>
      <c r="N310" s="3"/>
      <c r="O310" t="str">
        <f>IF($I310&lt;&gt;"Complete",IF(COUNTIFS($A$4:$A309,$A310,$B$4:$B309,$B310,$I$4:$I309,"&lt;&gt;Complete")=0,$A310&amp;"|"&amp;$B310,""),"")</f>
        <v/>
      </c>
      <c r="P310">
        <f ca="1">IF($K310="Yes",COUNTIFS($K$4:$K310,"Yes"),"")</f>
        <v>80</v>
      </c>
      <c r="Q310">
        <f t="shared" ca="1" si="19"/>
        <v>1</v>
      </c>
      <c r="R310">
        <f ca="1">IF($Q310=1,SUM($Q$4:$Q310),"")</f>
        <v>80</v>
      </c>
    </row>
    <row r="311" spans="1:18" ht="14.25" customHeight="1" x14ac:dyDescent="0.3">
      <c r="A311" s="2" t="s">
        <v>320</v>
      </c>
      <c r="B311" s="2" t="s">
        <v>140</v>
      </c>
      <c r="C311" s="3" t="s">
        <v>311</v>
      </c>
      <c r="D311" s="3" t="s">
        <v>356</v>
      </c>
      <c r="E311" s="2"/>
      <c r="F311" s="2"/>
      <c r="G311" s="5"/>
      <c r="H311" s="5">
        <v>46282</v>
      </c>
      <c r="I311" s="4" t="s">
        <v>17</v>
      </c>
      <c r="J311" s="6" t="str">
        <f t="shared" si="18"/>
        <v/>
      </c>
      <c r="K311" s="4" t="str">
        <f t="shared" ca="1" si="21"/>
        <v>Yes</v>
      </c>
      <c r="L311" s="7">
        <f t="shared" ca="1" si="20"/>
        <v>74</v>
      </c>
      <c r="M311" s="4" t="str">
        <f>IF($I311="Complete","Green",IF($H311="","Amber",IF($H311&lt;'[2]Read Me'!$B$4,"Red",IF($H311-'[2]Read Me'!$B$4&lt;=21,"Amber","Green"))))</f>
        <v>Green</v>
      </c>
      <c r="N311" s="3"/>
      <c r="O311" t="str">
        <f>IF($I311&lt;&gt;"Complete",IF(COUNTIFS($A$4:$A310,$A311,$B$4:$B310,$B311,$I$4:$I310,"&lt;&gt;Complete")=0,$A311&amp;"|"&amp;$B311,""),"")</f>
        <v/>
      </c>
      <c r="P311">
        <f ca="1">IF($K311="Yes",COUNTIFS($K$4:$K311,"Yes"),"")</f>
        <v>81</v>
      </c>
      <c r="Q311">
        <f t="shared" ca="1" si="19"/>
        <v>1</v>
      </c>
      <c r="R311">
        <f ca="1">IF($Q311=1,SUM($Q$4:$Q311),"")</f>
        <v>81</v>
      </c>
    </row>
    <row r="312" spans="1:18" ht="14.25" customHeight="1" x14ac:dyDescent="0.3">
      <c r="A312" s="2" t="s">
        <v>320</v>
      </c>
      <c r="B312" s="2" t="s">
        <v>140</v>
      </c>
      <c r="C312" s="3" t="s">
        <v>311</v>
      </c>
      <c r="D312" s="3" t="s">
        <v>58</v>
      </c>
      <c r="E312" s="2"/>
      <c r="F312" s="2"/>
      <c r="G312" s="5"/>
      <c r="H312" s="5">
        <v>46289</v>
      </c>
      <c r="I312" s="4" t="s">
        <v>17</v>
      </c>
      <c r="J312" s="6" t="str">
        <f t="shared" si="18"/>
        <v/>
      </c>
      <c r="K312" s="4" t="str">
        <f t="shared" ca="1" si="21"/>
        <v>Yes</v>
      </c>
      <c r="L312" s="7">
        <f t="shared" ca="1" si="20"/>
        <v>81</v>
      </c>
      <c r="M312" s="4" t="str">
        <f>IF($I312="Complete","Green",IF($H312="","Amber",IF($H312&lt;'[2]Read Me'!$B$4,"Red",IF($H312-'[2]Read Me'!$B$4&lt;=21,"Amber","Green"))))</f>
        <v>Green</v>
      </c>
      <c r="N312" s="3"/>
      <c r="O312" t="str">
        <f>IF($I312&lt;&gt;"Complete",IF(COUNTIFS($A$4:$A311,$A312,$B$4:$B311,$B312,$I$4:$I311,"&lt;&gt;Complete")=0,$A312&amp;"|"&amp;$B312,""),"")</f>
        <v/>
      </c>
      <c r="P312">
        <f ca="1">IF($K312="Yes",COUNTIFS($K$4:$K312,"Yes"),"")</f>
        <v>82</v>
      </c>
      <c r="Q312">
        <f t="shared" ca="1" si="19"/>
        <v>1</v>
      </c>
      <c r="R312">
        <f ca="1">IF($Q312=1,SUM($Q$4:$Q312),"")</f>
        <v>82</v>
      </c>
    </row>
    <row r="313" spans="1:18" x14ac:dyDescent="0.3">
      <c r="A313" t="s">
        <v>320</v>
      </c>
      <c r="B313" t="s">
        <v>140</v>
      </c>
      <c r="C313" t="s">
        <v>311</v>
      </c>
      <c r="D313" t="s">
        <v>357</v>
      </c>
      <c r="G313" s="9"/>
      <c r="H313" s="9">
        <v>46303</v>
      </c>
      <c r="I313" t="s">
        <v>17</v>
      </c>
      <c r="L313" s="7">
        <f t="shared" ca="1" si="20"/>
        <v>95</v>
      </c>
    </row>
    <row r="314" spans="1:18" x14ac:dyDescent="0.3">
      <c r="A314" t="s">
        <v>320</v>
      </c>
      <c r="B314" t="s">
        <v>140</v>
      </c>
      <c r="C314" t="s">
        <v>311</v>
      </c>
      <c r="D314" t="s">
        <v>58</v>
      </c>
      <c r="G314" s="9"/>
      <c r="H314" s="9">
        <v>46310</v>
      </c>
      <c r="I314" t="s">
        <v>17</v>
      </c>
      <c r="L314" s="7">
        <f t="shared" ca="1" si="20"/>
        <v>102</v>
      </c>
    </row>
    <row r="315" spans="1:18" x14ac:dyDescent="0.3">
      <c r="A315" t="s">
        <v>320</v>
      </c>
      <c r="B315" t="s">
        <v>140</v>
      </c>
      <c r="C315" t="s">
        <v>311</v>
      </c>
      <c r="D315" t="s">
        <v>15</v>
      </c>
      <c r="G315" s="9">
        <v>46222</v>
      </c>
      <c r="H315" s="9">
        <v>46338</v>
      </c>
      <c r="I315" t="s">
        <v>17</v>
      </c>
      <c r="L315" s="7">
        <f t="shared" ca="1" si="20"/>
        <v>130</v>
      </c>
    </row>
    <row r="316" spans="1:18" x14ac:dyDescent="0.3">
      <c r="A316" t="s">
        <v>320</v>
      </c>
      <c r="B316" t="s">
        <v>140</v>
      </c>
      <c r="C316" t="s">
        <v>311</v>
      </c>
      <c r="D316" t="s">
        <v>358</v>
      </c>
      <c r="G316" s="9">
        <v>46229</v>
      </c>
      <c r="H316" s="9">
        <v>46345</v>
      </c>
      <c r="I316" t="s">
        <v>17</v>
      </c>
      <c r="L316" s="7">
        <f t="shared" ca="1" si="20"/>
        <v>137</v>
      </c>
    </row>
    <row r="317" spans="1:18" x14ac:dyDescent="0.3">
      <c r="A317" t="s">
        <v>320</v>
      </c>
      <c r="B317" t="s">
        <v>140</v>
      </c>
      <c r="C317" t="s">
        <v>311</v>
      </c>
      <c r="D317" t="s">
        <v>271</v>
      </c>
      <c r="G317" s="9">
        <v>46180</v>
      </c>
      <c r="H317" s="9">
        <v>46359</v>
      </c>
      <c r="I317" t="s">
        <v>17</v>
      </c>
      <c r="L317" s="7">
        <f t="shared" ca="1" si="20"/>
        <v>151</v>
      </c>
    </row>
    <row r="318" spans="1:18" x14ac:dyDescent="0.3">
      <c r="A318" t="s">
        <v>320</v>
      </c>
      <c r="B318" t="s">
        <v>140</v>
      </c>
      <c r="C318" t="s">
        <v>311</v>
      </c>
      <c r="D318" t="s">
        <v>358</v>
      </c>
      <c r="G318" s="9">
        <v>46187</v>
      </c>
      <c r="H318" s="9">
        <v>46366</v>
      </c>
      <c r="I318" t="s">
        <v>17</v>
      </c>
      <c r="L318" s="7">
        <f t="shared" ca="1" si="20"/>
        <v>158</v>
      </c>
    </row>
    <row r="319" spans="1:18" x14ac:dyDescent="0.3">
      <c r="A319" t="s">
        <v>320</v>
      </c>
      <c r="B319" t="s">
        <v>21</v>
      </c>
      <c r="C319" t="s">
        <v>311</v>
      </c>
      <c r="D319" t="s">
        <v>21</v>
      </c>
      <c r="G319" s="9">
        <v>46411</v>
      </c>
      <c r="H319" s="9">
        <v>46527</v>
      </c>
      <c r="I319" t="s">
        <v>17</v>
      </c>
      <c r="L319" s="7">
        <f t="shared" ca="1" si="20"/>
        <v>319</v>
      </c>
    </row>
    <row r="320" spans="1:18" x14ac:dyDescent="0.3">
      <c r="A320" t="s">
        <v>320</v>
      </c>
      <c r="B320" t="s">
        <v>21</v>
      </c>
      <c r="C320" t="s">
        <v>311</v>
      </c>
      <c r="D320" t="s">
        <v>359</v>
      </c>
      <c r="G320" s="9">
        <v>46229</v>
      </c>
      <c r="H320" s="9">
        <v>46345</v>
      </c>
      <c r="I320" t="s">
        <v>17</v>
      </c>
      <c r="L320" s="7">
        <f t="shared" ca="1" si="20"/>
        <v>137</v>
      </c>
    </row>
    <row r="321" spans="1:12" x14ac:dyDescent="0.3">
      <c r="A321" t="s">
        <v>320</v>
      </c>
      <c r="B321" t="s">
        <v>21</v>
      </c>
      <c r="C321" t="s">
        <v>311</v>
      </c>
      <c r="D321" t="s">
        <v>360</v>
      </c>
      <c r="G321" s="9">
        <v>46257</v>
      </c>
      <c r="H321" s="9">
        <v>46373</v>
      </c>
      <c r="I321" t="s">
        <v>17</v>
      </c>
      <c r="L321" s="7">
        <f t="shared" ca="1" si="20"/>
        <v>165</v>
      </c>
    </row>
    <row r="322" spans="1:12" x14ac:dyDescent="0.3">
      <c r="A322" t="s">
        <v>320</v>
      </c>
      <c r="B322" t="s">
        <v>21</v>
      </c>
      <c r="C322" t="s">
        <v>311</v>
      </c>
      <c r="D322" t="s">
        <v>58</v>
      </c>
      <c r="G322" s="9">
        <v>46271</v>
      </c>
      <c r="H322" s="9">
        <v>46387</v>
      </c>
      <c r="I322" t="s">
        <v>17</v>
      </c>
      <c r="L322" s="7">
        <f t="shared" ca="1" si="20"/>
        <v>179</v>
      </c>
    </row>
    <row r="323" spans="1:12" x14ac:dyDescent="0.3">
      <c r="A323" t="s">
        <v>320</v>
      </c>
      <c r="B323" t="s">
        <v>21</v>
      </c>
      <c r="C323" t="s">
        <v>311</v>
      </c>
      <c r="D323" t="s">
        <v>361</v>
      </c>
      <c r="G323" s="9">
        <v>46299</v>
      </c>
      <c r="H323" s="9">
        <v>46415</v>
      </c>
      <c r="I323" t="s">
        <v>17</v>
      </c>
      <c r="L323" s="7">
        <f t="shared" ca="1" si="20"/>
        <v>207</v>
      </c>
    </row>
    <row r="324" spans="1:12" x14ac:dyDescent="0.3">
      <c r="A324" t="s">
        <v>320</v>
      </c>
      <c r="B324" t="s">
        <v>21</v>
      </c>
      <c r="C324" t="s">
        <v>311</v>
      </c>
      <c r="D324" t="s">
        <v>58</v>
      </c>
      <c r="G324" s="9">
        <v>46313</v>
      </c>
      <c r="H324" s="9">
        <v>46429</v>
      </c>
      <c r="I324" t="s">
        <v>17</v>
      </c>
      <c r="L324" s="7">
        <f t="shared" ca="1" si="20"/>
        <v>221</v>
      </c>
    </row>
    <row r="325" spans="1:12" x14ac:dyDescent="0.3">
      <c r="A325" t="s">
        <v>320</v>
      </c>
      <c r="B325" t="s">
        <v>21</v>
      </c>
      <c r="C325" t="s">
        <v>311</v>
      </c>
      <c r="D325" t="s">
        <v>15</v>
      </c>
      <c r="G325" s="9">
        <v>46355</v>
      </c>
      <c r="H325" s="9">
        <v>46471</v>
      </c>
      <c r="I325" t="s">
        <v>17</v>
      </c>
      <c r="L325" s="7">
        <f t="shared" ref="L325:L388" ca="1" si="22">IF(I325="Completed",0,IF(H325="","",H325-TODAY()))</f>
        <v>263</v>
      </c>
    </row>
    <row r="326" spans="1:12" x14ac:dyDescent="0.3">
      <c r="A326" t="s">
        <v>320</v>
      </c>
      <c r="B326" t="s">
        <v>21</v>
      </c>
      <c r="C326" t="s">
        <v>311</v>
      </c>
      <c r="D326" t="s">
        <v>58</v>
      </c>
      <c r="G326" s="9">
        <v>46369</v>
      </c>
      <c r="H326" s="9">
        <v>46485</v>
      </c>
      <c r="I326" t="s">
        <v>17</v>
      </c>
      <c r="L326" s="7">
        <f t="shared" ca="1" si="22"/>
        <v>277</v>
      </c>
    </row>
    <row r="327" spans="1:12" x14ac:dyDescent="0.3">
      <c r="A327" t="s">
        <v>320</v>
      </c>
      <c r="B327" t="s">
        <v>21</v>
      </c>
      <c r="C327" t="s">
        <v>311</v>
      </c>
      <c r="D327" t="s">
        <v>183</v>
      </c>
      <c r="G327" s="9">
        <v>46369</v>
      </c>
      <c r="H327" s="9">
        <v>46485</v>
      </c>
      <c r="I327" t="s">
        <v>17</v>
      </c>
      <c r="L327" s="7">
        <f t="shared" ca="1" si="22"/>
        <v>277</v>
      </c>
    </row>
    <row r="328" spans="1:12" x14ac:dyDescent="0.3">
      <c r="A328" t="s">
        <v>320</v>
      </c>
      <c r="B328" t="s">
        <v>21</v>
      </c>
      <c r="C328" t="s">
        <v>311</v>
      </c>
      <c r="D328" t="s">
        <v>16</v>
      </c>
      <c r="G328" s="9">
        <v>46397</v>
      </c>
      <c r="H328" s="9">
        <v>46513</v>
      </c>
      <c r="I328" t="s">
        <v>17</v>
      </c>
      <c r="L328" s="7">
        <f t="shared" ca="1" si="22"/>
        <v>305</v>
      </c>
    </row>
    <row r="329" spans="1:12" x14ac:dyDescent="0.3">
      <c r="A329" t="s">
        <v>320</v>
      </c>
      <c r="B329" t="s">
        <v>21</v>
      </c>
      <c r="C329" t="s">
        <v>311</v>
      </c>
      <c r="D329" t="s">
        <v>58</v>
      </c>
      <c r="G329" s="9">
        <v>46411</v>
      </c>
      <c r="H329" s="9">
        <v>46527</v>
      </c>
      <c r="I329" t="s">
        <v>17</v>
      </c>
      <c r="L329" s="7">
        <f t="shared" ca="1" si="22"/>
        <v>319</v>
      </c>
    </row>
    <row r="330" spans="1:12" x14ac:dyDescent="0.3">
      <c r="C330" t="s">
        <v>311</v>
      </c>
      <c r="D330" t="s">
        <v>362</v>
      </c>
      <c r="G330" s="9">
        <v>46441</v>
      </c>
      <c r="H330" s="9">
        <v>46484</v>
      </c>
      <c r="I330" t="s">
        <v>17</v>
      </c>
      <c r="L330" s="7">
        <f t="shared" ca="1" si="22"/>
        <v>276</v>
      </c>
    </row>
    <row r="331" spans="1:12" x14ac:dyDescent="0.3">
      <c r="C331" t="s">
        <v>311</v>
      </c>
      <c r="D331" t="s">
        <v>144</v>
      </c>
      <c r="G331" s="9">
        <v>46427</v>
      </c>
      <c r="H331" s="9">
        <v>46470</v>
      </c>
      <c r="I331" t="s">
        <v>17</v>
      </c>
      <c r="L331" s="7">
        <f t="shared" ca="1" si="22"/>
        <v>262</v>
      </c>
    </row>
    <row r="332" spans="1:12" x14ac:dyDescent="0.3">
      <c r="C332" t="s">
        <v>311</v>
      </c>
      <c r="D332" t="s">
        <v>363</v>
      </c>
      <c r="G332" s="9">
        <v>46441</v>
      </c>
      <c r="H332" s="9">
        <v>46484</v>
      </c>
      <c r="I332" t="s">
        <v>17</v>
      </c>
      <c r="L332" s="7">
        <f t="shared" ca="1" si="22"/>
        <v>276</v>
      </c>
    </row>
    <row r="333" spans="1:12" x14ac:dyDescent="0.3">
      <c r="C333" t="s">
        <v>311</v>
      </c>
      <c r="D333" t="s">
        <v>144</v>
      </c>
      <c r="G333" s="9">
        <v>46665</v>
      </c>
      <c r="H333" s="9">
        <v>46715</v>
      </c>
      <c r="I333" t="s">
        <v>17</v>
      </c>
      <c r="L333" s="7">
        <f t="shared" ca="1" si="22"/>
        <v>507</v>
      </c>
    </row>
    <row r="334" spans="1:12" x14ac:dyDescent="0.3">
      <c r="C334" t="s">
        <v>311</v>
      </c>
      <c r="D334" t="s">
        <v>364</v>
      </c>
      <c r="G334" s="9">
        <v>46525</v>
      </c>
      <c r="H334" s="9">
        <v>46310</v>
      </c>
      <c r="I334" t="s">
        <v>17</v>
      </c>
      <c r="L334" s="7">
        <f t="shared" ca="1" si="22"/>
        <v>102</v>
      </c>
    </row>
    <row r="335" spans="1:12" x14ac:dyDescent="0.3">
      <c r="C335" t="s">
        <v>311</v>
      </c>
      <c r="D335" t="s">
        <v>365</v>
      </c>
      <c r="G335" s="9">
        <v>46581</v>
      </c>
      <c r="H335" s="9">
        <v>46631</v>
      </c>
      <c r="I335" t="s">
        <v>17</v>
      </c>
      <c r="L335" s="7">
        <f t="shared" ca="1" si="22"/>
        <v>423</v>
      </c>
    </row>
    <row r="336" spans="1:12" x14ac:dyDescent="0.3">
      <c r="C336" t="s">
        <v>311</v>
      </c>
      <c r="D336" t="s">
        <v>363</v>
      </c>
      <c r="G336" s="9">
        <v>46609</v>
      </c>
      <c r="H336" s="9">
        <v>46659</v>
      </c>
      <c r="I336" t="s">
        <v>17</v>
      </c>
      <c r="L336" s="7">
        <f t="shared" ca="1" si="22"/>
        <v>451</v>
      </c>
    </row>
    <row r="337" spans="1:12" x14ac:dyDescent="0.3">
      <c r="C337" t="s">
        <v>311</v>
      </c>
      <c r="D337" t="s">
        <v>144</v>
      </c>
      <c r="G337" s="9">
        <v>46637</v>
      </c>
      <c r="H337" s="9">
        <v>46687</v>
      </c>
      <c r="I337" t="s">
        <v>17</v>
      </c>
      <c r="L337" s="7">
        <f t="shared" ca="1" si="22"/>
        <v>479</v>
      </c>
    </row>
    <row r="338" spans="1:12" x14ac:dyDescent="0.3">
      <c r="C338" t="s">
        <v>311</v>
      </c>
      <c r="D338" t="s">
        <v>363</v>
      </c>
      <c r="G338" s="9">
        <v>46665</v>
      </c>
      <c r="H338" s="9">
        <v>46715</v>
      </c>
      <c r="I338" t="s">
        <v>17</v>
      </c>
      <c r="L338" s="7">
        <f t="shared" ca="1" si="22"/>
        <v>507</v>
      </c>
    </row>
    <row r="339" spans="1:12" x14ac:dyDescent="0.3">
      <c r="A339" t="s">
        <v>320</v>
      </c>
      <c r="B339" t="s">
        <v>49</v>
      </c>
      <c r="C339" t="s">
        <v>311</v>
      </c>
      <c r="D339" t="s">
        <v>366</v>
      </c>
      <c r="G339" s="9">
        <v>46504</v>
      </c>
      <c r="H339" s="9">
        <v>46687</v>
      </c>
      <c r="I339" t="s">
        <v>17</v>
      </c>
      <c r="L339" s="7">
        <f t="shared" ca="1" si="22"/>
        <v>479</v>
      </c>
    </row>
    <row r="340" spans="1:12" x14ac:dyDescent="0.3">
      <c r="A340" t="s">
        <v>320</v>
      </c>
      <c r="B340" t="s">
        <v>49</v>
      </c>
      <c r="C340" t="s">
        <v>311</v>
      </c>
      <c r="D340" t="s">
        <v>103</v>
      </c>
      <c r="G340" s="9">
        <v>46187</v>
      </c>
      <c r="H340" s="9">
        <v>46450</v>
      </c>
      <c r="I340" t="s">
        <v>17</v>
      </c>
      <c r="L340" s="7">
        <f t="shared" ca="1" si="22"/>
        <v>242</v>
      </c>
    </row>
    <row r="341" spans="1:12" x14ac:dyDescent="0.3">
      <c r="A341" t="s">
        <v>320</v>
      </c>
      <c r="B341" t="s">
        <v>49</v>
      </c>
      <c r="C341" t="s">
        <v>311</v>
      </c>
      <c r="D341" t="s">
        <v>367</v>
      </c>
      <c r="G341" s="9">
        <v>46497</v>
      </c>
      <c r="H341" s="9">
        <v>46575</v>
      </c>
      <c r="I341" t="s">
        <v>17</v>
      </c>
      <c r="L341" s="7">
        <f t="shared" ca="1" si="22"/>
        <v>367</v>
      </c>
    </row>
    <row r="342" spans="1:12" x14ac:dyDescent="0.3">
      <c r="A342" t="s">
        <v>320</v>
      </c>
      <c r="B342" t="s">
        <v>49</v>
      </c>
      <c r="C342" t="s">
        <v>311</v>
      </c>
      <c r="D342" t="s">
        <v>368</v>
      </c>
      <c r="G342" s="9">
        <v>46497</v>
      </c>
      <c r="H342" s="9">
        <v>46603</v>
      </c>
      <c r="I342" t="s">
        <v>17</v>
      </c>
      <c r="L342" s="7">
        <f t="shared" ca="1" si="22"/>
        <v>395</v>
      </c>
    </row>
    <row r="343" spans="1:12" x14ac:dyDescent="0.3">
      <c r="A343" t="s">
        <v>320</v>
      </c>
      <c r="B343" t="s">
        <v>49</v>
      </c>
      <c r="C343" t="s">
        <v>311</v>
      </c>
      <c r="D343" t="s">
        <v>91</v>
      </c>
      <c r="G343" s="9">
        <v>46504</v>
      </c>
      <c r="H343" s="9">
        <v>46645</v>
      </c>
      <c r="I343" t="s">
        <v>17</v>
      </c>
      <c r="L343" s="7">
        <f t="shared" ca="1" si="22"/>
        <v>437</v>
      </c>
    </row>
    <row r="344" spans="1:12" x14ac:dyDescent="0.3">
      <c r="A344" t="s">
        <v>320</v>
      </c>
      <c r="B344" t="s">
        <v>49</v>
      </c>
      <c r="C344" t="s">
        <v>311</v>
      </c>
      <c r="D344" t="s">
        <v>94</v>
      </c>
      <c r="G344" s="9">
        <v>46504</v>
      </c>
      <c r="H344" s="9">
        <v>46687</v>
      </c>
      <c r="I344" t="s">
        <v>17</v>
      </c>
      <c r="L344" s="7">
        <f t="shared" ca="1" si="22"/>
        <v>479</v>
      </c>
    </row>
    <row r="345" spans="1:12" x14ac:dyDescent="0.3">
      <c r="C345" t="s">
        <v>311</v>
      </c>
      <c r="D345" t="s">
        <v>369</v>
      </c>
      <c r="G345" s="9">
        <v>47393</v>
      </c>
      <c r="H345" s="9">
        <v>47443</v>
      </c>
      <c r="I345" t="s">
        <v>17</v>
      </c>
      <c r="L345" s="7">
        <f t="shared" ca="1" si="22"/>
        <v>1235</v>
      </c>
    </row>
    <row r="346" spans="1:12" x14ac:dyDescent="0.3">
      <c r="C346" t="s">
        <v>311</v>
      </c>
      <c r="D346" t="s">
        <v>370</v>
      </c>
      <c r="G346" s="9">
        <v>46623</v>
      </c>
      <c r="H346" s="9">
        <v>46666</v>
      </c>
      <c r="I346" t="s">
        <v>17</v>
      </c>
      <c r="L346" s="7">
        <f t="shared" ca="1" si="22"/>
        <v>458</v>
      </c>
    </row>
    <row r="347" spans="1:12" x14ac:dyDescent="0.3">
      <c r="C347" t="s">
        <v>311</v>
      </c>
      <c r="D347" t="s">
        <v>371</v>
      </c>
      <c r="G347" s="9">
        <v>46406</v>
      </c>
      <c r="H347" s="9">
        <v>46478</v>
      </c>
      <c r="I347" t="s">
        <v>17</v>
      </c>
      <c r="L347" s="7">
        <f t="shared" ca="1" si="22"/>
        <v>270</v>
      </c>
    </row>
    <row r="348" spans="1:12" x14ac:dyDescent="0.3">
      <c r="C348" t="s">
        <v>311</v>
      </c>
      <c r="D348" t="s">
        <v>372</v>
      </c>
      <c r="G348" s="9">
        <v>46637</v>
      </c>
      <c r="H348" s="9">
        <v>46687</v>
      </c>
      <c r="I348" t="s">
        <v>17</v>
      </c>
      <c r="L348" s="7">
        <f t="shared" ca="1" si="22"/>
        <v>479</v>
      </c>
    </row>
    <row r="349" spans="1:12" x14ac:dyDescent="0.3">
      <c r="C349" t="s">
        <v>311</v>
      </c>
      <c r="D349" t="s">
        <v>373</v>
      </c>
      <c r="G349" s="9">
        <v>47057</v>
      </c>
      <c r="H349" s="9">
        <v>47107</v>
      </c>
      <c r="I349" t="s">
        <v>17</v>
      </c>
      <c r="L349" s="7">
        <f t="shared" ca="1" si="22"/>
        <v>899</v>
      </c>
    </row>
    <row r="350" spans="1:12" x14ac:dyDescent="0.3">
      <c r="C350" t="s">
        <v>311</v>
      </c>
      <c r="D350" t="s">
        <v>374</v>
      </c>
      <c r="G350" s="9">
        <v>47393</v>
      </c>
      <c r="H350" s="9">
        <v>47443</v>
      </c>
      <c r="I350" t="s">
        <v>17</v>
      </c>
      <c r="L350" s="7">
        <f t="shared" ca="1" si="22"/>
        <v>1235</v>
      </c>
    </row>
    <row r="351" spans="1:12" x14ac:dyDescent="0.3">
      <c r="C351" t="s">
        <v>311</v>
      </c>
      <c r="D351" t="s">
        <v>375</v>
      </c>
      <c r="G351" s="9">
        <v>47393</v>
      </c>
      <c r="H351" s="9">
        <v>47443</v>
      </c>
      <c r="I351" t="s">
        <v>17</v>
      </c>
      <c r="L351" s="7">
        <f t="shared" ca="1" si="22"/>
        <v>1235</v>
      </c>
    </row>
    <row r="352" spans="1:12" x14ac:dyDescent="0.3">
      <c r="C352" t="s">
        <v>311</v>
      </c>
      <c r="D352" t="s">
        <v>21</v>
      </c>
      <c r="G352" s="9">
        <v>47393</v>
      </c>
      <c r="H352" s="9">
        <v>47443</v>
      </c>
      <c r="I352" t="s">
        <v>17</v>
      </c>
      <c r="L352" s="7">
        <f t="shared" ca="1" si="22"/>
        <v>1235</v>
      </c>
    </row>
    <row r="353" spans="1:12" x14ac:dyDescent="0.3">
      <c r="C353" t="s">
        <v>311</v>
      </c>
      <c r="D353" t="s">
        <v>376</v>
      </c>
      <c r="G353" s="9">
        <v>47281</v>
      </c>
      <c r="H353" s="9">
        <v>47331</v>
      </c>
      <c r="I353" t="s">
        <v>17</v>
      </c>
      <c r="L353" s="7">
        <f t="shared" ca="1" si="22"/>
        <v>1123</v>
      </c>
    </row>
    <row r="354" spans="1:12" x14ac:dyDescent="0.3">
      <c r="C354" t="s">
        <v>311</v>
      </c>
      <c r="D354" t="s">
        <v>377</v>
      </c>
      <c r="G354" s="9">
        <v>47645</v>
      </c>
      <c r="H354" s="9">
        <v>47695</v>
      </c>
      <c r="I354" t="s">
        <v>17</v>
      </c>
      <c r="L354" s="7">
        <f t="shared" ca="1" si="22"/>
        <v>1487</v>
      </c>
    </row>
    <row r="355" spans="1:12" x14ac:dyDescent="0.3">
      <c r="C355" t="s">
        <v>311</v>
      </c>
      <c r="D355" t="s">
        <v>368</v>
      </c>
      <c r="G355" s="9">
        <v>47505</v>
      </c>
      <c r="H355" s="9">
        <v>47555</v>
      </c>
      <c r="I355" t="s">
        <v>17</v>
      </c>
      <c r="L355" s="7">
        <f t="shared" ca="1" si="22"/>
        <v>1347</v>
      </c>
    </row>
    <row r="356" spans="1:12" x14ac:dyDescent="0.3">
      <c r="C356" t="s">
        <v>311</v>
      </c>
      <c r="D356" t="s">
        <v>378</v>
      </c>
      <c r="G356" s="9">
        <v>47561</v>
      </c>
      <c r="H356" s="9">
        <v>47611</v>
      </c>
      <c r="I356" t="s">
        <v>17</v>
      </c>
      <c r="L356" s="7">
        <f t="shared" ca="1" si="22"/>
        <v>1403</v>
      </c>
    </row>
    <row r="357" spans="1:12" x14ac:dyDescent="0.3">
      <c r="C357" t="s">
        <v>311</v>
      </c>
      <c r="D357" t="s">
        <v>379</v>
      </c>
      <c r="G357" s="9">
        <v>47645</v>
      </c>
      <c r="H357" s="9">
        <v>47695</v>
      </c>
      <c r="I357" t="s">
        <v>17</v>
      </c>
      <c r="L357" s="7">
        <f t="shared" ca="1" si="22"/>
        <v>1487</v>
      </c>
    </row>
    <row r="358" spans="1:12" x14ac:dyDescent="0.3">
      <c r="C358" t="s">
        <v>311</v>
      </c>
      <c r="D358" t="s">
        <v>380</v>
      </c>
      <c r="G358" s="9">
        <v>47673</v>
      </c>
      <c r="H358" s="9">
        <v>47723</v>
      </c>
      <c r="I358" t="s">
        <v>17</v>
      </c>
      <c r="L358" s="7">
        <f t="shared" ca="1" si="22"/>
        <v>1515</v>
      </c>
    </row>
    <row r="359" spans="1:12" x14ac:dyDescent="0.3">
      <c r="C359" t="s">
        <v>311</v>
      </c>
      <c r="D359" t="s">
        <v>381</v>
      </c>
      <c r="G359" s="9">
        <v>47673</v>
      </c>
      <c r="H359" s="9">
        <v>47723</v>
      </c>
      <c r="I359" t="s">
        <v>17</v>
      </c>
      <c r="L359" s="7">
        <f t="shared" ca="1" si="22"/>
        <v>1515</v>
      </c>
    </row>
    <row r="360" spans="1:12" x14ac:dyDescent="0.3">
      <c r="A360" t="s">
        <v>382</v>
      </c>
      <c r="B360" t="s">
        <v>140</v>
      </c>
      <c r="G360" s="9">
        <v>45608</v>
      </c>
      <c r="H360" s="9">
        <v>45608</v>
      </c>
      <c r="L360" s="7">
        <f t="shared" ca="1" si="22"/>
        <v>-600</v>
      </c>
    </row>
    <row r="361" spans="1:12" x14ac:dyDescent="0.3">
      <c r="A361" t="s">
        <v>382</v>
      </c>
      <c r="B361" t="s">
        <v>140</v>
      </c>
      <c r="C361" t="s">
        <v>383</v>
      </c>
      <c r="D361" t="s">
        <v>384</v>
      </c>
      <c r="G361" s="9">
        <v>45602</v>
      </c>
      <c r="H361" s="9">
        <v>45602</v>
      </c>
      <c r="I361" t="s">
        <v>31</v>
      </c>
      <c r="L361" s="7">
        <f t="shared" ca="1" si="22"/>
        <v>0</v>
      </c>
    </row>
    <row r="362" spans="1:12" x14ac:dyDescent="0.3">
      <c r="A362" t="s">
        <v>382</v>
      </c>
      <c r="B362" t="s">
        <v>140</v>
      </c>
      <c r="C362" t="s">
        <v>383</v>
      </c>
      <c r="D362" t="s">
        <v>58</v>
      </c>
      <c r="G362" s="9">
        <v>45608</v>
      </c>
      <c r="H362" s="9">
        <v>45608</v>
      </c>
      <c r="I362" t="s">
        <v>31</v>
      </c>
      <c r="L362" s="7">
        <f t="shared" ca="1" si="22"/>
        <v>0</v>
      </c>
    </row>
    <row r="363" spans="1:12" x14ac:dyDescent="0.3">
      <c r="A363" t="s">
        <v>382</v>
      </c>
      <c r="B363" t="s">
        <v>171</v>
      </c>
      <c r="G363" s="9">
        <v>45701</v>
      </c>
      <c r="H363" s="9">
        <v>45701</v>
      </c>
      <c r="L363" s="7">
        <f t="shared" ca="1" si="22"/>
        <v>-507</v>
      </c>
    </row>
    <row r="364" spans="1:12" x14ac:dyDescent="0.3">
      <c r="A364" t="s">
        <v>382</v>
      </c>
      <c r="B364" t="s">
        <v>171</v>
      </c>
      <c r="C364" t="s">
        <v>171</v>
      </c>
      <c r="D364" t="s">
        <v>384</v>
      </c>
      <c r="G364" s="9">
        <v>45666</v>
      </c>
      <c r="H364" s="9">
        <v>45666</v>
      </c>
      <c r="I364" t="s">
        <v>31</v>
      </c>
      <c r="L364" s="7">
        <f t="shared" ca="1" si="22"/>
        <v>0</v>
      </c>
    </row>
    <row r="365" spans="1:12" x14ac:dyDescent="0.3">
      <c r="A365" t="s">
        <v>382</v>
      </c>
      <c r="B365" t="s">
        <v>171</v>
      </c>
      <c r="C365" t="s">
        <v>171</v>
      </c>
      <c r="D365" t="s">
        <v>58</v>
      </c>
      <c r="G365" s="9">
        <v>45701</v>
      </c>
      <c r="H365" s="9">
        <v>45701</v>
      </c>
      <c r="I365" t="s">
        <v>31</v>
      </c>
      <c r="L365" s="7">
        <f t="shared" ca="1" si="22"/>
        <v>0</v>
      </c>
    </row>
    <row r="366" spans="1:12" x14ac:dyDescent="0.3">
      <c r="A366" t="s">
        <v>382</v>
      </c>
      <c r="B366" t="s">
        <v>21</v>
      </c>
      <c r="G366" s="9">
        <v>45818</v>
      </c>
      <c r="H366" s="9">
        <v>45818</v>
      </c>
      <c r="L366" s="7">
        <f t="shared" ca="1" si="22"/>
        <v>-390</v>
      </c>
    </row>
    <row r="367" spans="1:12" x14ac:dyDescent="0.3">
      <c r="A367" t="s">
        <v>382</v>
      </c>
      <c r="B367" t="s">
        <v>21</v>
      </c>
      <c r="C367" t="s">
        <v>21</v>
      </c>
      <c r="D367" t="s">
        <v>385</v>
      </c>
      <c r="G367" s="9">
        <v>45623</v>
      </c>
      <c r="H367" s="9">
        <v>45623</v>
      </c>
      <c r="I367" t="s">
        <v>31</v>
      </c>
      <c r="L367" s="7">
        <f t="shared" ca="1" si="22"/>
        <v>0</v>
      </c>
    </row>
    <row r="368" spans="1:12" x14ac:dyDescent="0.3">
      <c r="A368" t="s">
        <v>382</v>
      </c>
      <c r="B368" t="s">
        <v>21</v>
      </c>
      <c r="C368" t="s">
        <v>21</v>
      </c>
      <c r="D368" t="s">
        <v>58</v>
      </c>
      <c r="G368" s="9">
        <v>45638</v>
      </c>
      <c r="H368" s="9">
        <v>45638</v>
      </c>
      <c r="I368" t="s">
        <v>31</v>
      </c>
      <c r="L368" s="7">
        <f t="shared" ca="1" si="22"/>
        <v>0</v>
      </c>
    </row>
    <row r="369" spans="1:12" x14ac:dyDescent="0.3">
      <c r="A369" t="s">
        <v>382</v>
      </c>
      <c r="B369" t="s">
        <v>21</v>
      </c>
      <c r="C369" t="s">
        <v>21</v>
      </c>
      <c r="D369" t="s">
        <v>386</v>
      </c>
      <c r="G369" s="9">
        <v>45670</v>
      </c>
      <c r="H369" s="9">
        <v>45670</v>
      </c>
      <c r="I369" t="s">
        <v>31</v>
      </c>
      <c r="L369" s="7">
        <f t="shared" ca="1" si="22"/>
        <v>0</v>
      </c>
    </row>
    <row r="370" spans="1:12" x14ac:dyDescent="0.3">
      <c r="A370" t="s">
        <v>382</v>
      </c>
      <c r="B370" t="s">
        <v>21</v>
      </c>
      <c r="C370" t="s">
        <v>21</v>
      </c>
      <c r="D370" t="s">
        <v>58</v>
      </c>
      <c r="G370" s="9">
        <v>45672</v>
      </c>
      <c r="H370" s="9">
        <v>45672</v>
      </c>
      <c r="I370" t="s">
        <v>31</v>
      </c>
      <c r="L370" s="7">
        <f t="shared" ca="1" si="22"/>
        <v>0</v>
      </c>
    </row>
    <row r="371" spans="1:12" x14ac:dyDescent="0.3">
      <c r="A371" t="s">
        <v>382</v>
      </c>
      <c r="B371" t="s">
        <v>21</v>
      </c>
      <c r="C371" t="s">
        <v>21</v>
      </c>
      <c r="D371" t="s">
        <v>387</v>
      </c>
      <c r="G371" s="9">
        <v>45790</v>
      </c>
      <c r="H371" s="9">
        <v>45790</v>
      </c>
      <c r="I371" t="s">
        <v>31</v>
      </c>
      <c r="L371" s="7">
        <f t="shared" ca="1" si="22"/>
        <v>0</v>
      </c>
    </row>
    <row r="372" spans="1:12" x14ac:dyDescent="0.3">
      <c r="A372" t="s">
        <v>382</v>
      </c>
      <c r="B372" t="s">
        <v>21</v>
      </c>
      <c r="C372" t="s">
        <v>21</v>
      </c>
      <c r="D372" t="s">
        <v>58</v>
      </c>
      <c r="G372" s="9">
        <v>45797</v>
      </c>
      <c r="H372" s="9">
        <v>45797</v>
      </c>
      <c r="I372" t="s">
        <v>31</v>
      </c>
      <c r="L372" s="7">
        <f t="shared" ca="1" si="22"/>
        <v>0</v>
      </c>
    </row>
    <row r="373" spans="1:12" x14ac:dyDescent="0.3">
      <c r="C373" t="s">
        <v>21</v>
      </c>
      <c r="D373" t="s">
        <v>388</v>
      </c>
      <c r="G373" s="9">
        <v>45812</v>
      </c>
      <c r="H373" s="9">
        <v>45812</v>
      </c>
      <c r="I373" t="s">
        <v>31</v>
      </c>
      <c r="L373" s="7">
        <f t="shared" ca="1" si="22"/>
        <v>0</v>
      </c>
    </row>
    <row r="374" spans="1:12" x14ac:dyDescent="0.3">
      <c r="C374" t="s">
        <v>21</v>
      </c>
      <c r="D374" t="s">
        <v>58</v>
      </c>
      <c r="G374" s="9">
        <v>45818</v>
      </c>
      <c r="H374" s="9">
        <v>45818</v>
      </c>
      <c r="I374" t="s">
        <v>31</v>
      </c>
      <c r="L374" s="7">
        <f t="shared" ca="1" si="22"/>
        <v>0</v>
      </c>
    </row>
    <row r="375" spans="1:12" x14ac:dyDescent="0.3">
      <c r="A375" t="s">
        <v>389</v>
      </c>
      <c r="B375" t="s">
        <v>21</v>
      </c>
      <c r="G375" s="9">
        <v>45862</v>
      </c>
      <c r="H375" s="9">
        <v>45861</v>
      </c>
      <c r="L375" s="7">
        <f t="shared" ca="1" si="22"/>
        <v>-347</v>
      </c>
    </row>
    <row r="376" spans="1:12" x14ac:dyDescent="0.3">
      <c r="A376" t="s">
        <v>389</v>
      </c>
      <c r="B376" t="s">
        <v>21</v>
      </c>
      <c r="C376" t="s">
        <v>390</v>
      </c>
      <c r="D376" t="s">
        <v>173</v>
      </c>
      <c r="G376" s="9">
        <v>45701</v>
      </c>
      <c r="H376" s="9">
        <v>45701</v>
      </c>
      <c r="I376" t="s">
        <v>31</v>
      </c>
      <c r="L376" s="7">
        <f t="shared" ca="1" si="22"/>
        <v>0</v>
      </c>
    </row>
    <row r="377" spans="1:12" x14ac:dyDescent="0.3">
      <c r="A377" t="s">
        <v>389</v>
      </c>
      <c r="B377" t="s">
        <v>21</v>
      </c>
      <c r="C377" t="s">
        <v>390</v>
      </c>
      <c r="D377" t="s">
        <v>391</v>
      </c>
      <c r="G377" s="9">
        <v>45812</v>
      </c>
      <c r="H377" s="9">
        <v>45812</v>
      </c>
      <c r="I377" t="s">
        <v>31</v>
      </c>
      <c r="L377" s="7">
        <f t="shared" ca="1" si="22"/>
        <v>0</v>
      </c>
    </row>
    <row r="378" spans="1:12" x14ac:dyDescent="0.3">
      <c r="A378" t="s">
        <v>389</v>
      </c>
      <c r="B378" t="s">
        <v>21</v>
      </c>
      <c r="C378" t="s">
        <v>390</v>
      </c>
      <c r="D378" t="s">
        <v>210</v>
      </c>
      <c r="G378" s="9">
        <v>45820</v>
      </c>
      <c r="H378" s="9">
        <v>45820</v>
      </c>
      <c r="I378" t="s">
        <v>31</v>
      </c>
      <c r="L378" s="7">
        <f t="shared" ca="1" si="22"/>
        <v>0</v>
      </c>
    </row>
    <row r="379" spans="1:12" x14ac:dyDescent="0.3">
      <c r="A379" t="s">
        <v>389</v>
      </c>
      <c r="B379" t="s">
        <v>21</v>
      </c>
      <c r="C379" t="s">
        <v>390</v>
      </c>
      <c r="D379" t="s">
        <v>387</v>
      </c>
      <c r="G379" s="9">
        <v>45855</v>
      </c>
      <c r="H379" s="9">
        <v>45855</v>
      </c>
      <c r="I379" t="s">
        <v>31</v>
      </c>
      <c r="L379" s="7">
        <f t="shared" ca="1" si="22"/>
        <v>0</v>
      </c>
    </row>
    <row r="380" spans="1:12" x14ac:dyDescent="0.3">
      <c r="A380" t="s">
        <v>389</v>
      </c>
      <c r="B380" t="s">
        <v>21</v>
      </c>
      <c r="C380" t="s">
        <v>390</v>
      </c>
      <c r="D380" t="s">
        <v>210</v>
      </c>
      <c r="G380" s="9">
        <v>45862</v>
      </c>
      <c r="H380" s="9">
        <v>45861</v>
      </c>
      <c r="I380" t="s">
        <v>31</v>
      </c>
      <c r="L380" s="7">
        <f t="shared" ca="1" si="22"/>
        <v>0</v>
      </c>
    </row>
    <row r="381" spans="1:12" x14ac:dyDescent="0.3">
      <c r="A381" t="s">
        <v>392</v>
      </c>
      <c r="B381" t="s">
        <v>21</v>
      </c>
      <c r="G381" s="9">
        <v>45990</v>
      </c>
      <c r="H381" s="9">
        <v>46204</v>
      </c>
      <c r="L381" s="7">
        <f t="shared" ca="1" si="22"/>
        <v>-4</v>
      </c>
    </row>
    <row r="382" spans="1:12" x14ac:dyDescent="0.3">
      <c r="A382" t="s">
        <v>392</v>
      </c>
      <c r="B382" t="s">
        <v>21</v>
      </c>
      <c r="C382" t="s">
        <v>390</v>
      </c>
      <c r="D382" t="s">
        <v>387</v>
      </c>
      <c r="F382" t="s">
        <v>189</v>
      </c>
      <c r="G382" s="9">
        <v>45976</v>
      </c>
      <c r="H382" s="9">
        <v>45969</v>
      </c>
      <c r="I382" t="s">
        <v>31</v>
      </c>
      <c r="L382" s="7">
        <f t="shared" ca="1" si="22"/>
        <v>0</v>
      </c>
    </row>
    <row r="383" spans="1:12" x14ac:dyDescent="0.3">
      <c r="A383" t="s">
        <v>392</v>
      </c>
      <c r="B383" t="s">
        <v>21</v>
      </c>
      <c r="C383" t="s">
        <v>390</v>
      </c>
      <c r="D383" t="s">
        <v>210</v>
      </c>
      <c r="G383" s="9">
        <v>45990</v>
      </c>
      <c r="H383" s="9">
        <v>45985</v>
      </c>
      <c r="I383" t="s">
        <v>31</v>
      </c>
      <c r="L383" s="7">
        <f t="shared" ca="1" si="22"/>
        <v>0</v>
      </c>
    </row>
    <row r="384" spans="1:12" x14ac:dyDescent="0.3">
      <c r="A384" t="s">
        <v>392</v>
      </c>
      <c r="B384" t="s">
        <v>21</v>
      </c>
      <c r="C384" t="s">
        <v>390</v>
      </c>
      <c r="D384" t="s">
        <v>393</v>
      </c>
      <c r="F384" t="s">
        <v>189</v>
      </c>
      <c r="G384" s="9"/>
      <c r="H384" s="9">
        <v>46161</v>
      </c>
      <c r="I384" t="s">
        <v>31</v>
      </c>
      <c r="L384" s="7">
        <f t="shared" ca="1" si="22"/>
        <v>0</v>
      </c>
    </row>
    <row r="385" spans="1:12" x14ac:dyDescent="0.3">
      <c r="A385" t="s">
        <v>392</v>
      </c>
      <c r="B385" t="s">
        <v>21</v>
      </c>
      <c r="C385" t="s">
        <v>390</v>
      </c>
      <c r="D385" t="s">
        <v>210</v>
      </c>
      <c r="G385" s="9"/>
      <c r="H385" s="9">
        <v>46163</v>
      </c>
      <c r="I385" t="s">
        <v>31</v>
      </c>
      <c r="L385" s="7">
        <f t="shared" ca="1" si="22"/>
        <v>0</v>
      </c>
    </row>
    <row r="386" spans="1:12" x14ac:dyDescent="0.3">
      <c r="A386" t="s">
        <v>392</v>
      </c>
      <c r="B386" t="s">
        <v>21</v>
      </c>
      <c r="C386" t="s">
        <v>390</v>
      </c>
      <c r="D386" t="s">
        <v>394</v>
      </c>
      <c r="E386" t="s">
        <v>395</v>
      </c>
      <c r="F386" t="s">
        <v>189</v>
      </c>
      <c r="G386" s="9"/>
      <c r="H386" s="9">
        <v>46197</v>
      </c>
      <c r="I386" t="s">
        <v>46</v>
      </c>
      <c r="L386" s="7">
        <f t="shared" ca="1" si="22"/>
        <v>-11</v>
      </c>
    </row>
    <row r="387" spans="1:12" x14ac:dyDescent="0.3">
      <c r="A387" t="s">
        <v>392</v>
      </c>
      <c r="B387" t="s">
        <v>21</v>
      </c>
      <c r="C387" t="s">
        <v>390</v>
      </c>
      <c r="D387" t="s">
        <v>210</v>
      </c>
      <c r="E387" t="s">
        <v>395</v>
      </c>
      <c r="G387" s="9"/>
      <c r="H387" s="9">
        <v>46204</v>
      </c>
      <c r="I387" t="s">
        <v>17</v>
      </c>
      <c r="L387" s="7">
        <f t="shared" ca="1" si="22"/>
        <v>-4</v>
      </c>
    </row>
    <row r="388" spans="1:12" x14ac:dyDescent="0.3">
      <c r="A388" t="s">
        <v>396</v>
      </c>
      <c r="B388" t="s">
        <v>21</v>
      </c>
      <c r="G388" s="9">
        <v>45987</v>
      </c>
      <c r="H388" s="9">
        <v>46013</v>
      </c>
      <c r="L388" s="7">
        <f t="shared" ca="1" si="22"/>
        <v>-195</v>
      </c>
    </row>
    <row r="389" spans="1:12" x14ac:dyDescent="0.3">
      <c r="A389" t="s">
        <v>396</v>
      </c>
      <c r="B389" t="s">
        <v>21</v>
      </c>
      <c r="C389" t="s">
        <v>390</v>
      </c>
      <c r="D389" t="s">
        <v>397</v>
      </c>
      <c r="G389" s="9">
        <v>45945</v>
      </c>
      <c r="H389" s="9">
        <v>45962</v>
      </c>
      <c r="I389" t="s">
        <v>17</v>
      </c>
      <c r="L389" s="7">
        <f t="shared" ref="L389:L452" ca="1" si="23">IF(I389="Completed",0,IF(H389="","",H389-TODAY()))</f>
        <v>-246</v>
      </c>
    </row>
    <row r="390" spans="1:12" x14ac:dyDescent="0.3">
      <c r="A390" t="s">
        <v>396</v>
      </c>
      <c r="B390" t="s">
        <v>21</v>
      </c>
      <c r="C390" t="s">
        <v>390</v>
      </c>
      <c r="D390" t="s">
        <v>210</v>
      </c>
      <c r="G390" s="9">
        <v>45959</v>
      </c>
      <c r="H390" s="9">
        <v>45974</v>
      </c>
      <c r="I390" t="s">
        <v>31</v>
      </c>
      <c r="L390" s="7">
        <f t="shared" ca="1" si="23"/>
        <v>0</v>
      </c>
    </row>
    <row r="391" spans="1:12" x14ac:dyDescent="0.3">
      <c r="A391" t="s">
        <v>396</v>
      </c>
      <c r="B391" t="s">
        <v>21</v>
      </c>
      <c r="C391" t="s">
        <v>390</v>
      </c>
      <c r="D391" t="s">
        <v>387</v>
      </c>
      <c r="G391" s="9">
        <v>45973</v>
      </c>
      <c r="H391" s="9">
        <v>46013</v>
      </c>
      <c r="I391" t="s">
        <v>31</v>
      </c>
      <c r="L391" s="7">
        <f t="shared" ca="1" si="23"/>
        <v>0</v>
      </c>
    </row>
    <row r="392" spans="1:12" x14ac:dyDescent="0.3">
      <c r="A392" t="s">
        <v>396</v>
      </c>
      <c r="B392" t="s">
        <v>21</v>
      </c>
      <c r="C392" t="s">
        <v>390</v>
      </c>
      <c r="D392" t="s">
        <v>210</v>
      </c>
      <c r="G392" s="9">
        <v>45987</v>
      </c>
      <c r="H392" s="9">
        <v>46013</v>
      </c>
      <c r="I392" t="s">
        <v>31</v>
      </c>
      <c r="L392" s="7">
        <f t="shared" ca="1" si="23"/>
        <v>0</v>
      </c>
    </row>
    <row r="393" spans="1:12" x14ac:dyDescent="0.3">
      <c r="A393" t="s">
        <v>398</v>
      </c>
      <c r="B393" t="s">
        <v>21</v>
      </c>
      <c r="G393" s="9"/>
      <c r="H393" s="9">
        <v>46205</v>
      </c>
      <c r="L393" s="7">
        <f t="shared" ca="1" si="23"/>
        <v>-3</v>
      </c>
    </row>
    <row r="394" spans="1:12" x14ac:dyDescent="0.3">
      <c r="A394" t="s">
        <v>398</v>
      </c>
      <c r="B394" t="s">
        <v>21</v>
      </c>
      <c r="C394" t="s">
        <v>21</v>
      </c>
      <c r="D394" t="s">
        <v>188</v>
      </c>
      <c r="E394" t="s">
        <v>181</v>
      </c>
      <c r="F394" t="s">
        <v>189</v>
      </c>
      <c r="G394" s="9"/>
      <c r="H394" s="9">
        <v>45831</v>
      </c>
      <c r="I394" t="s">
        <v>17</v>
      </c>
      <c r="L394" s="7">
        <f t="shared" ca="1" si="23"/>
        <v>-377</v>
      </c>
    </row>
    <row r="395" spans="1:12" x14ac:dyDescent="0.3">
      <c r="A395" t="s">
        <v>398</v>
      </c>
      <c r="B395" t="s">
        <v>21</v>
      </c>
      <c r="C395" t="s">
        <v>21</v>
      </c>
      <c r="D395" t="s">
        <v>58</v>
      </c>
      <c r="E395" t="s">
        <v>181</v>
      </c>
      <c r="G395" s="9"/>
      <c r="H395" s="9">
        <v>46058</v>
      </c>
      <c r="I395" t="s">
        <v>17</v>
      </c>
      <c r="L395" s="7">
        <f t="shared" ca="1" si="23"/>
        <v>-150</v>
      </c>
    </row>
    <row r="396" spans="1:12" x14ac:dyDescent="0.3">
      <c r="A396" t="s">
        <v>398</v>
      </c>
      <c r="B396" t="s">
        <v>21</v>
      </c>
      <c r="C396" t="s">
        <v>21</v>
      </c>
      <c r="D396" t="s">
        <v>399</v>
      </c>
      <c r="E396" t="s">
        <v>181</v>
      </c>
      <c r="F396" t="s">
        <v>189</v>
      </c>
      <c r="G396" s="9"/>
      <c r="H396" s="9">
        <v>46176</v>
      </c>
      <c r="I396" t="s">
        <v>31</v>
      </c>
      <c r="L396" s="7">
        <f t="shared" ca="1" si="23"/>
        <v>0</v>
      </c>
    </row>
    <row r="397" spans="1:12" x14ac:dyDescent="0.3">
      <c r="A397" t="s">
        <v>398</v>
      </c>
      <c r="B397" t="s">
        <v>21</v>
      </c>
      <c r="C397" t="s">
        <v>21</v>
      </c>
      <c r="D397" t="s">
        <v>58</v>
      </c>
      <c r="E397" t="s">
        <v>181</v>
      </c>
      <c r="G397" s="9"/>
      <c r="H397" s="9">
        <v>46205</v>
      </c>
      <c r="I397" t="s">
        <v>46</v>
      </c>
      <c r="L397" s="7">
        <f t="shared" ca="1" si="23"/>
        <v>-3</v>
      </c>
    </row>
    <row r="398" spans="1:12" x14ac:dyDescent="0.3">
      <c r="A398" t="s">
        <v>400</v>
      </c>
      <c r="B398" t="s">
        <v>21</v>
      </c>
      <c r="G398" s="9"/>
      <c r="H398" s="9">
        <v>46205</v>
      </c>
      <c r="L398" s="7">
        <f t="shared" ca="1" si="23"/>
        <v>-3</v>
      </c>
    </row>
    <row r="399" spans="1:12" x14ac:dyDescent="0.3">
      <c r="A399" t="s">
        <v>400</v>
      </c>
      <c r="B399" t="s">
        <v>21</v>
      </c>
      <c r="C399" t="s">
        <v>401</v>
      </c>
      <c r="D399" t="s">
        <v>191</v>
      </c>
      <c r="E399" t="s">
        <v>181</v>
      </c>
      <c r="F399" t="s">
        <v>189</v>
      </c>
      <c r="G399" s="9"/>
      <c r="H399" s="9">
        <v>46198</v>
      </c>
      <c r="I399" t="s">
        <v>46</v>
      </c>
      <c r="L399" s="7">
        <f t="shared" ca="1" si="23"/>
        <v>-10</v>
      </c>
    </row>
    <row r="400" spans="1:12" x14ac:dyDescent="0.3">
      <c r="A400" t="s">
        <v>400</v>
      </c>
      <c r="B400" t="s">
        <v>21</v>
      </c>
      <c r="C400" t="s">
        <v>401</v>
      </c>
      <c r="D400" t="s">
        <v>58</v>
      </c>
      <c r="E400" t="s">
        <v>181</v>
      </c>
      <c r="G400" s="9"/>
      <c r="H400" s="9">
        <v>46205</v>
      </c>
      <c r="I400" t="s">
        <v>17</v>
      </c>
      <c r="L400" s="7">
        <f t="shared" ca="1" si="23"/>
        <v>-3</v>
      </c>
    </row>
    <row r="401" spans="1:12" x14ac:dyDescent="0.3">
      <c r="A401" t="s">
        <v>400</v>
      </c>
      <c r="B401" t="s">
        <v>21</v>
      </c>
      <c r="G401" s="9">
        <v>46232</v>
      </c>
      <c r="H401" s="9">
        <v>46246</v>
      </c>
      <c r="L401" s="7">
        <f t="shared" ca="1" si="23"/>
        <v>38</v>
      </c>
    </row>
    <row r="402" spans="1:12" x14ac:dyDescent="0.3">
      <c r="A402" t="s">
        <v>400</v>
      </c>
      <c r="B402" t="s">
        <v>21</v>
      </c>
      <c r="C402" t="s">
        <v>21</v>
      </c>
      <c r="D402" t="s">
        <v>188</v>
      </c>
      <c r="E402" t="s">
        <v>215</v>
      </c>
      <c r="F402" t="s">
        <v>189</v>
      </c>
      <c r="G402" s="9"/>
      <c r="H402" s="9">
        <v>45547</v>
      </c>
      <c r="I402" t="s">
        <v>17</v>
      </c>
      <c r="L402" s="7">
        <f t="shared" ca="1" si="23"/>
        <v>-661</v>
      </c>
    </row>
    <row r="403" spans="1:12" x14ac:dyDescent="0.3">
      <c r="A403" t="s">
        <v>400</v>
      </c>
      <c r="B403" t="s">
        <v>21</v>
      </c>
      <c r="C403" t="s">
        <v>21</v>
      </c>
      <c r="D403" t="s">
        <v>58</v>
      </c>
      <c r="E403" t="s">
        <v>215</v>
      </c>
      <c r="G403" s="9"/>
      <c r="H403" s="9">
        <v>46204</v>
      </c>
      <c r="I403" t="s">
        <v>17</v>
      </c>
      <c r="L403" s="7">
        <f t="shared" ca="1" si="23"/>
        <v>-4</v>
      </c>
    </row>
    <row r="404" spans="1:12" x14ac:dyDescent="0.3">
      <c r="A404" t="s">
        <v>400</v>
      </c>
      <c r="B404" t="s">
        <v>21</v>
      </c>
      <c r="C404" t="s">
        <v>21</v>
      </c>
      <c r="D404" t="s">
        <v>399</v>
      </c>
      <c r="E404" t="s">
        <v>215</v>
      </c>
      <c r="F404" t="s">
        <v>189</v>
      </c>
      <c r="G404" s="9">
        <v>46232</v>
      </c>
      <c r="H404" s="9">
        <v>46232</v>
      </c>
      <c r="I404" t="s">
        <v>17</v>
      </c>
      <c r="L404" s="7">
        <f t="shared" ca="1" si="23"/>
        <v>24</v>
      </c>
    </row>
    <row r="405" spans="1:12" x14ac:dyDescent="0.3">
      <c r="A405" t="s">
        <v>400</v>
      </c>
      <c r="B405" t="s">
        <v>21</v>
      </c>
      <c r="C405" t="s">
        <v>21</v>
      </c>
      <c r="D405" t="s">
        <v>58</v>
      </c>
      <c r="E405" t="s">
        <v>215</v>
      </c>
      <c r="G405" s="9"/>
      <c r="H405" s="9">
        <v>46246</v>
      </c>
      <c r="I405" t="s">
        <v>17</v>
      </c>
      <c r="L405" s="7">
        <f t="shared" ca="1" si="23"/>
        <v>38</v>
      </c>
    </row>
    <row r="406" spans="1:12" x14ac:dyDescent="0.3">
      <c r="A406" t="s">
        <v>402</v>
      </c>
      <c r="B406" t="s">
        <v>21</v>
      </c>
      <c r="G406" s="9">
        <v>46065</v>
      </c>
      <c r="H406" s="9">
        <v>46147</v>
      </c>
      <c r="L406" s="7">
        <f t="shared" ca="1" si="23"/>
        <v>-61</v>
      </c>
    </row>
    <row r="407" spans="1:12" x14ac:dyDescent="0.3">
      <c r="A407" t="s">
        <v>402</v>
      </c>
      <c r="B407" t="s">
        <v>21</v>
      </c>
      <c r="C407" t="s">
        <v>21</v>
      </c>
      <c r="D407" t="s">
        <v>191</v>
      </c>
      <c r="F407" t="s">
        <v>306</v>
      </c>
      <c r="G407" s="9">
        <v>46065</v>
      </c>
      <c r="H407" s="9">
        <v>46065</v>
      </c>
      <c r="I407" t="s">
        <v>31</v>
      </c>
      <c r="L407" s="7">
        <f t="shared" ca="1" si="23"/>
        <v>0</v>
      </c>
    </row>
    <row r="408" spans="1:12" x14ac:dyDescent="0.3">
      <c r="A408" t="s">
        <v>402</v>
      </c>
      <c r="B408" t="s">
        <v>21</v>
      </c>
      <c r="C408" t="s">
        <v>21</v>
      </c>
      <c r="D408" t="s">
        <v>58</v>
      </c>
      <c r="G408" s="9"/>
      <c r="H408" s="9">
        <v>46147</v>
      </c>
      <c r="I408" t="s">
        <v>31</v>
      </c>
      <c r="L408" s="7">
        <f t="shared" ca="1" si="23"/>
        <v>0</v>
      </c>
    </row>
    <row r="409" spans="1:12" x14ac:dyDescent="0.3">
      <c r="G409" s="9"/>
      <c r="H409" s="9"/>
      <c r="L409" s="7" t="str">
        <f t="shared" ca="1" si="23"/>
        <v/>
      </c>
    </row>
    <row r="410" spans="1:12" x14ac:dyDescent="0.3">
      <c r="L410" s="7" t="str">
        <f t="shared" ca="1" si="23"/>
        <v/>
      </c>
    </row>
    <row r="411" spans="1:12" x14ac:dyDescent="0.3">
      <c r="L411" s="7" t="str">
        <f t="shared" ca="1" si="23"/>
        <v/>
      </c>
    </row>
    <row r="412" spans="1:12" x14ac:dyDescent="0.3">
      <c r="L412" s="7" t="str">
        <f t="shared" ca="1" si="23"/>
        <v/>
      </c>
    </row>
    <row r="413" spans="1:12" x14ac:dyDescent="0.3">
      <c r="L413" s="7" t="str">
        <f t="shared" ca="1" si="23"/>
        <v/>
      </c>
    </row>
    <row r="414" spans="1:12" x14ac:dyDescent="0.3">
      <c r="L414" s="7" t="str">
        <f t="shared" ca="1" si="23"/>
        <v/>
      </c>
    </row>
    <row r="415" spans="1:12" x14ac:dyDescent="0.3">
      <c r="L415" s="7" t="str">
        <f t="shared" ca="1" si="23"/>
        <v/>
      </c>
    </row>
    <row r="416" spans="1:12" x14ac:dyDescent="0.3">
      <c r="L416" s="7" t="str">
        <f t="shared" ca="1" si="23"/>
        <v/>
      </c>
    </row>
    <row r="417" spans="12:12" x14ac:dyDescent="0.3">
      <c r="L417" s="7" t="str">
        <f t="shared" ca="1" si="23"/>
        <v/>
      </c>
    </row>
    <row r="418" spans="12:12" x14ac:dyDescent="0.3">
      <c r="L418" s="7" t="str">
        <f t="shared" ca="1" si="23"/>
        <v/>
      </c>
    </row>
    <row r="419" spans="12:12" x14ac:dyDescent="0.3">
      <c r="L419" s="7" t="str">
        <f t="shared" ca="1" si="23"/>
        <v/>
      </c>
    </row>
    <row r="420" spans="12:12" x14ac:dyDescent="0.3">
      <c r="L420" s="7" t="str">
        <f t="shared" ca="1" si="23"/>
        <v/>
      </c>
    </row>
    <row r="421" spans="12:12" x14ac:dyDescent="0.3">
      <c r="L421" s="7" t="str">
        <f t="shared" ca="1" si="23"/>
        <v/>
      </c>
    </row>
    <row r="422" spans="12:12" x14ac:dyDescent="0.3">
      <c r="L422" s="7" t="str">
        <f t="shared" ca="1" si="23"/>
        <v/>
      </c>
    </row>
    <row r="423" spans="12:12" x14ac:dyDescent="0.3">
      <c r="L423" s="7" t="str">
        <f t="shared" ca="1" si="23"/>
        <v/>
      </c>
    </row>
    <row r="424" spans="12:12" x14ac:dyDescent="0.3">
      <c r="L424" s="7" t="str">
        <f t="shared" ca="1" si="23"/>
        <v/>
      </c>
    </row>
    <row r="425" spans="12:12" x14ac:dyDescent="0.3">
      <c r="L425" s="7" t="str">
        <f t="shared" ca="1" si="23"/>
        <v/>
      </c>
    </row>
    <row r="426" spans="12:12" x14ac:dyDescent="0.3">
      <c r="L426" s="7" t="str">
        <f t="shared" ca="1" si="23"/>
        <v/>
      </c>
    </row>
    <row r="427" spans="12:12" x14ac:dyDescent="0.3">
      <c r="L427" s="7" t="str">
        <f t="shared" ca="1" si="23"/>
        <v/>
      </c>
    </row>
    <row r="428" spans="12:12" x14ac:dyDescent="0.3">
      <c r="L428" s="7" t="str">
        <f t="shared" ca="1" si="23"/>
        <v/>
      </c>
    </row>
    <row r="429" spans="12:12" x14ac:dyDescent="0.3">
      <c r="L429" s="7" t="str">
        <f t="shared" ca="1" si="23"/>
        <v/>
      </c>
    </row>
    <row r="430" spans="12:12" x14ac:dyDescent="0.3">
      <c r="L430" s="7" t="str">
        <f t="shared" ca="1" si="23"/>
        <v/>
      </c>
    </row>
    <row r="431" spans="12:12" x14ac:dyDescent="0.3">
      <c r="L431" s="7" t="str">
        <f t="shared" ca="1" si="23"/>
        <v/>
      </c>
    </row>
    <row r="432" spans="12:12" x14ac:dyDescent="0.3">
      <c r="L432" s="7" t="str">
        <f t="shared" ca="1" si="23"/>
        <v/>
      </c>
    </row>
    <row r="433" spans="12:12" x14ac:dyDescent="0.3">
      <c r="L433" s="7" t="str">
        <f t="shared" ca="1" si="23"/>
        <v/>
      </c>
    </row>
    <row r="434" spans="12:12" x14ac:dyDescent="0.3">
      <c r="L434" s="7" t="str">
        <f t="shared" ca="1" si="23"/>
        <v/>
      </c>
    </row>
    <row r="435" spans="12:12" x14ac:dyDescent="0.3">
      <c r="L435" s="7" t="str">
        <f t="shared" ca="1" si="23"/>
        <v/>
      </c>
    </row>
    <row r="436" spans="12:12" x14ac:dyDescent="0.3">
      <c r="L436" s="7" t="str">
        <f t="shared" ca="1" si="23"/>
        <v/>
      </c>
    </row>
    <row r="437" spans="12:12" x14ac:dyDescent="0.3">
      <c r="L437" s="7" t="str">
        <f t="shared" ca="1" si="23"/>
        <v/>
      </c>
    </row>
    <row r="438" spans="12:12" x14ac:dyDescent="0.3">
      <c r="L438" s="7" t="str">
        <f t="shared" ca="1" si="23"/>
        <v/>
      </c>
    </row>
    <row r="439" spans="12:12" x14ac:dyDescent="0.3">
      <c r="L439" s="7" t="str">
        <f t="shared" ca="1" si="23"/>
        <v/>
      </c>
    </row>
    <row r="440" spans="12:12" x14ac:dyDescent="0.3">
      <c r="L440" s="7" t="str">
        <f t="shared" ca="1" si="23"/>
        <v/>
      </c>
    </row>
    <row r="441" spans="12:12" x14ac:dyDescent="0.3">
      <c r="L441" s="7" t="str">
        <f t="shared" ca="1" si="23"/>
        <v/>
      </c>
    </row>
    <row r="442" spans="12:12" x14ac:dyDescent="0.3">
      <c r="L442" s="7" t="str">
        <f t="shared" ca="1" si="23"/>
        <v/>
      </c>
    </row>
    <row r="443" spans="12:12" x14ac:dyDescent="0.3">
      <c r="L443" s="7" t="str">
        <f t="shared" ca="1" si="23"/>
        <v/>
      </c>
    </row>
    <row r="444" spans="12:12" x14ac:dyDescent="0.3">
      <c r="L444" s="7" t="str">
        <f t="shared" ca="1" si="23"/>
        <v/>
      </c>
    </row>
    <row r="445" spans="12:12" x14ac:dyDescent="0.3">
      <c r="L445" s="7" t="str">
        <f t="shared" ca="1" si="23"/>
        <v/>
      </c>
    </row>
    <row r="446" spans="12:12" x14ac:dyDescent="0.3">
      <c r="L446" s="7" t="str">
        <f t="shared" ca="1" si="23"/>
        <v/>
      </c>
    </row>
    <row r="447" spans="12:12" x14ac:dyDescent="0.3">
      <c r="L447" s="7" t="str">
        <f t="shared" ca="1" si="23"/>
        <v/>
      </c>
    </row>
    <row r="448" spans="12:12" x14ac:dyDescent="0.3">
      <c r="L448" s="7" t="str">
        <f t="shared" ca="1" si="23"/>
        <v/>
      </c>
    </row>
    <row r="449" spans="12:12" x14ac:dyDescent="0.3">
      <c r="L449" s="7" t="str">
        <f t="shared" ca="1" si="23"/>
        <v/>
      </c>
    </row>
    <row r="450" spans="12:12" x14ac:dyDescent="0.3">
      <c r="L450" s="7" t="str">
        <f t="shared" ca="1" si="23"/>
        <v/>
      </c>
    </row>
    <row r="451" spans="12:12" x14ac:dyDescent="0.3">
      <c r="L451" s="7" t="str">
        <f t="shared" ca="1" si="23"/>
        <v/>
      </c>
    </row>
    <row r="452" spans="12:12" x14ac:dyDescent="0.3">
      <c r="L452" s="7" t="str">
        <f t="shared" ca="1" si="23"/>
        <v/>
      </c>
    </row>
    <row r="453" spans="12:12" x14ac:dyDescent="0.3">
      <c r="L453" s="7" t="str">
        <f t="shared" ref="L453:L516" ca="1" si="24">IF(I453="Completed",0,IF(H453="","",H453-TODAY()))</f>
        <v/>
      </c>
    </row>
    <row r="454" spans="12:12" x14ac:dyDescent="0.3">
      <c r="L454" s="7" t="str">
        <f t="shared" ca="1" si="24"/>
        <v/>
      </c>
    </row>
    <row r="455" spans="12:12" x14ac:dyDescent="0.3">
      <c r="L455" s="7" t="str">
        <f t="shared" ca="1" si="24"/>
        <v/>
      </c>
    </row>
    <row r="456" spans="12:12" x14ac:dyDescent="0.3">
      <c r="L456" s="7" t="str">
        <f t="shared" ca="1" si="24"/>
        <v/>
      </c>
    </row>
    <row r="457" spans="12:12" x14ac:dyDescent="0.3">
      <c r="L457" s="7" t="str">
        <f t="shared" ca="1" si="24"/>
        <v/>
      </c>
    </row>
    <row r="458" spans="12:12" x14ac:dyDescent="0.3">
      <c r="L458" s="7" t="str">
        <f t="shared" ca="1" si="24"/>
        <v/>
      </c>
    </row>
    <row r="459" spans="12:12" x14ac:dyDescent="0.3">
      <c r="L459" s="7" t="str">
        <f t="shared" ca="1" si="24"/>
        <v/>
      </c>
    </row>
    <row r="460" spans="12:12" x14ac:dyDescent="0.3">
      <c r="L460" s="7" t="str">
        <f t="shared" ca="1" si="24"/>
        <v/>
      </c>
    </row>
    <row r="461" spans="12:12" x14ac:dyDescent="0.3">
      <c r="L461" s="7" t="str">
        <f t="shared" ca="1" si="24"/>
        <v/>
      </c>
    </row>
    <row r="462" spans="12:12" x14ac:dyDescent="0.3">
      <c r="L462" s="7" t="str">
        <f t="shared" ca="1" si="24"/>
        <v/>
      </c>
    </row>
    <row r="463" spans="12:12" x14ac:dyDescent="0.3">
      <c r="L463" s="7" t="str">
        <f t="shared" ca="1" si="24"/>
        <v/>
      </c>
    </row>
    <row r="464" spans="12:12" x14ac:dyDescent="0.3">
      <c r="L464" s="7" t="str">
        <f t="shared" ca="1" si="24"/>
        <v/>
      </c>
    </row>
    <row r="465" spans="12:12" x14ac:dyDescent="0.3">
      <c r="L465" s="7" t="str">
        <f t="shared" ca="1" si="24"/>
        <v/>
      </c>
    </row>
    <row r="466" spans="12:12" x14ac:dyDescent="0.3">
      <c r="L466" s="7" t="str">
        <f t="shared" ca="1" si="24"/>
        <v/>
      </c>
    </row>
    <row r="467" spans="12:12" x14ac:dyDescent="0.3">
      <c r="L467" s="7" t="str">
        <f t="shared" ca="1" si="24"/>
        <v/>
      </c>
    </row>
    <row r="468" spans="12:12" x14ac:dyDescent="0.3">
      <c r="L468" s="7" t="str">
        <f t="shared" ca="1" si="24"/>
        <v/>
      </c>
    </row>
    <row r="469" spans="12:12" x14ac:dyDescent="0.3">
      <c r="L469" s="7" t="str">
        <f t="shared" ca="1" si="24"/>
        <v/>
      </c>
    </row>
    <row r="470" spans="12:12" x14ac:dyDescent="0.3">
      <c r="L470" s="7" t="str">
        <f t="shared" ca="1" si="24"/>
        <v/>
      </c>
    </row>
    <row r="471" spans="12:12" x14ac:dyDescent="0.3">
      <c r="L471" s="7" t="str">
        <f t="shared" ca="1" si="24"/>
        <v/>
      </c>
    </row>
    <row r="472" spans="12:12" x14ac:dyDescent="0.3">
      <c r="L472" s="7" t="str">
        <f t="shared" ca="1" si="24"/>
        <v/>
      </c>
    </row>
    <row r="473" spans="12:12" x14ac:dyDescent="0.3">
      <c r="L473" s="7" t="str">
        <f t="shared" ca="1" si="24"/>
        <v/>
      </c>
    </row>
    <row r="474" spans="12:12" x14ac:dyDescent="0.3">
      <c r="L474" s="7" t="str">
        <f t="shared" ca="1" si="24"/>
        <v/>
      </c>
    </row>
    <row r="475" spans="12:12" x14ac:dyDescent="0.3">
      <c r="L475" s="7" t="str">
        <f t="shared" ca="1" si="24"/>
        <v/>
      </c>
    </row>
    <row r="476" spans="12:12" x14ac:dyDescent="0.3">
      <c r="L476" s="7" t="str">
        <f t="shared" ca="1" si="24"/>
        <v/>
      </c>
    </row>
    <row r="477" spans="12:12" x14ac:dyDescent="0.3">
      <c r="L477" s="7" t="str">
        <f t="shared" ca="1" si="24"/>
        <v/>
      </c>
    </row>
    <row r="478" spans="12:12" x14ac:dyDescent="0.3">
      <c r="L478" s="7" t="str">
        <f t="shared" ca="1" si="24"/>
        <v/>
      </c>
    </row>
    <row r="479" spans="12:12" x14ac:dyDescent="0.3">
      <c r="L479" s="7" t="str">
        <f t="shared" ca="1" si="24"/>
        <v/>
      </c>
    </row>
    <row r="480" spans="12:12" x14ac:dyDescent="0.3">
      <c r="L480" s="7" t="str">
        <f t="shared" ca="1" si="24"/>
        <v/>
      </c>
    </row>
    <row r="481" spans="12:12" x14ac:dyDescent="0.3">
      <c r="L481" s="7" t="str">
        <f t="shared" ca="1" si="24"/>
        <v/>
      </c>
    </row>
    <row r="482" spans="12:12" x14ac:dyDescent="0.3">
      <c r="L482" s="7" t="str">
        <f t="shared" ca="1" si="24"/>
        <v/>
      </c>
    </row>
    <row r="483" spans="12:12" x14ac:dyDescent="0.3">
      <c r="L483" s="7" t="str">
        <f t="shared" ca="1" si="24"/>
        <v/>
      </c>
    </row>
    <row r="484" spans="12:12" x14ac:dyDescent="0.3">
      <c r="L484" s="7" t="str">
        <f t="shared" ca="1" si="24"/>
        <v/>
      </c>
    </row>
    <row r="485" spans="12:12" x14ac:dyDescent="0.3">
      <c r="L485" s="7" t="str">
        <f t="shared" ca="1" si="24"/>
        <v/>
      </c>
    </row>
    <row r="486" spans="12:12" x14ac:dyDescent="0.3">
      <c r="L486" s="7" t="str">
        <f t="shared" ca="1" si="24"/>
        <v/>
      </c>
    </row>
    <row r="487" spans="12:12" x14ac:dyDescent="0.3">
      <c r="L487" s="7" t="str">
        <f t="shared" ca="1" si="24"/>
        <v/>
      </c>
    </row>
    <row r="488" spans="12:12" x14ac:dyDescent="0.3">
      <c r="L488" s="7" t="str">
        <f t="shared" ca="1" si="24"/>
        <v/>
      </c>
    </row>
    <row r="489" spans="12:12" x14ac:dyDescent="0.3">
      <c r="L489" s="7" t="str">
        <f t="shared" ca="1" si="24"/>
        <v/>
      </c>
    </row>
    <row r="490" spans="12:12" x14ac:dyDescent="0.3">
      <c r="L490" s="7" t="str">
        <f t="shared" ca="1" si="24"/>
        <v/>
      </c>
    </row>
    <row r="491" spans="12:12" x14ac:dyDescent="0.3">
      <c r="L491" s="7" t="str">
        <f t="shared" ca="1" si="24"/>
        <v/>
      </c>
    </row>
    <row r="492" spans="12:12" x14ac:dyDescent="0.3">
      <c r="L492" s="7" t="str">
        <f t="shared" ca="1" si="24"/>
        <v/>
      </c>
    </row>
    <row r="493" spans="12:12" x14ac:dyDescent="0.3">
      <c r="L493" s="7" t="str">
        <f t="shared" ca="1" si="24"/>
        <v/>
      </c>
    </row>
    <row r="494" spans="12:12" x14ac:dyDescent="0.3">
      <c r="L494" s="7" t="str">
        <f t="shared" ca="1" si="24"/>
        <v/>
      </c>
    </row>
    <row r="495" spans="12:12" x14ac:dyDescent="0.3">
      <c r="L495" s="7" t="str">
        <f t="shared" ca="1" si="24"/>
        <v/>
      </c>
    </row>
    <row r="496" spans="12:12" x14ac:dyDescent="0.3">
      <c r="L496" s="7" t="str">
        <f t="shared" ca="1" si="24"/>
        <v/>
      </c>
    </row>
    <row r="497" spans="12:12" x14ac:dyDescent="0.3">
      <c r="L497" s="7" t="str">
        <f t="shared" ca="1" si="24"/>
        <v/>
      </c>
    </row>
    <row r="498" spans="12:12" x14ac:dyDescent="0.3">
      <c r="L498" s="7" t="str">
        <f t="shared" ca="1" si="24"/>
        <v/>
      </c>
    </row>
    <row r="499" spans="12:12" x14ac:dyDescent="0.3">
      <c r="L499" s="7" t="str">
        <f t="shared" ca="1" si="24"/>
        <v/>
      </c>
    </row>
    <row r="500" spans="12:12" x14ac:dyDescent="0.3">
      <c r="L500" s="7" t="str">
        <f t="shared" ca="1" si="24"/>
        <v/>
      </c>
    </row>
    <row r="501" spans="12:12" x14ac:dyDescent="0.3">
      <c r="L501" s="7" t="str">
        <f t="shared" ca="1" si="24"/>
        <v/>
      </c>
    </row>
    <row r="502" spans="12:12" x14ac:dyDescent="0.3">
      <c r="L502" s="7" t="str">
        <f t="shared" ca="1" si="24"/>
        <v/>
      </c>
    </row>
    <row r="503" spans="12:12" x14ac:dyDescent="0.3">
      <c r="L503" s="7" t="str">
        <f t="shared" ca="1" si="24"/>
        <v/>
      </c>
    </row>
    <row r="504" spans="12:12" x14ac:dyDescent="0.3">
      <c r="L504" s="7" t="str">
        <f t="shared" ca="1" si="24"/>
        <v/>
      </c>
    </row>
    <row r="505" spans="12:12" x14ac:dyDescent="0.3">
      <c r="L505" s="7" t="str">
        <f t="shared" ca="1" si="24"/>
        <v/>
      </c>
    </row>
    <row r="506" spans="12:12" x14ac:dyDescent="0.3">
      <c r="L506" s="7" t="str">
        <f t="shared" ca="1" si="24"/>
        <v/>
      </c>
    </row>
    <row r="507" spans="12:12" x14ac:dyDescent="0.3">
      <c r="L507" s="7" t="str">
        <f t="shared" ca="1" si="24"/>
        <v/>
      </c>
    </row>
    <row r="508" spans="12:12" x14ac:dyDescent="0.3">
      <c r="L508" s="7" t="str">
        <f t="shared" ca="1" si="24"/>
        <v/>
      </c>
    </row>
    <row r="509" spans="12:12" x14ac:dyDescent="0.3">
      <c r="L509" s="7" t="str">
        <f t="shared" ca="1" si="24"/>
        <v/>
      </c>
    </row>
    <row r="510" spans="12:12" x14ac:dyDescent="0.3">
      <c r="L510" s="7" t="str">
        <f t="shared" ca="1" si="24"/>
        <v/>
      </c>
    </row>
    <row r="511" spans="12:12" x14ac:dyDescent="0.3">
      <c r="L511" s="7" t="str">
        <f t="shared" ca="1" si="24"/>
        <v/>
      </c>
    </row>
    <row r="512" spans="12:12" x14ac:dyDescent="0.3">
      <c r="L512" s="7" t="str">
        <f t="shared" ca="1" si="24"/>
        <v/>
      </c>
    </row>
    <row r="513" spans="12:12" x14ac:dyDescent="0.3">
      <c r="L513" s="7" t="str">
        <f t="shared" ca="1" si="24"/>
        <v/>
      </c>
    </row>
    <row r="514" spans="12:12" x14ac:dyDescent="0.3">
      <c r="L514" s="7" t="str">
        <f t="shared" ca="1" si="24"/>
        <v/>
      </c>
    </row>
    <row r="515" spans="12:12" x14ac:dyDescent="0.3">
      <c r="L515" s="7" t="str">
        <f t="shared" ca="1" si="24"/>
        <v/>
      </c>
    </row>
    <row r="516" spans="12:12" x14ac:dyDescent="0.3">
      <c r="L516" s="7" t="str">
        <f t="shared" ca="1" si="24"/>
        <v/>
      </c>
    </row>
    <row r="517" spans="12:12" x14ac:dyDescent="0.3">
      <c r="L517" s="7" t="str">
        <f t="shared" ref="L517:L580" ca="1" si="25">IF(I517="Completed",0,IF(H517="","",H517-TODAY()))</f>
        <v/>
      </c>
    </row>
    <row r="518" spans="12:12" x14ac:dyDescent="0.3">
      <c r="L518" s="7" t="str">
        <f t="shared" ca="1" si="25"/>
        <v/>
      </c>
    </row>
    <row r="519" spans="12:12" x14ac:dyDescent="0.3">
      <c r="L519" s="7" t="str">
        <f t="shared" ca="1" si="25"/>
        <v/>
      </c>
    </row>
    <row r="520" spans="12:12" x14ac:dyDescent="0.3">
      <c r="L520" s="7" t="str">
        <f t="shared" ca="1" si="25"/>
        <v/>
      </c>
    </row>
    <row r="521" spans="12:12" x14ac:dyDescent="0.3">
      <c r="L521" s="7" t="str">
        <f t="shared" ca="1" si="25"/>
        <v/>
      </c>
    </row>
    <row r="522" spans="12:12" x14ac:dyDescent="0.3">
      <c r="L522" s="7" t="str">
        <f t="shared" ca="1" si="25"/>
        <v/>
      </c>
    </row>
    <row r="523" spans="12:12" x14ac:dyDescent="0.3">
      <c r="L523" s="7" t="str">
        <f t="shared" ca="1" si="25"/>
        <v/>
      </c>
    </row>
    <row r="524" spans="12:12" x14ac:dyDescent="0.3">
      <c r="L524" s="7" t="str">
        <f t="shared" ca="1" si="25"/>
        <v/>
      </c>
    </row>
    <row r="525" spans="12:12" x14ac:dyDescent="0.3">
      <c r="L525" s="7" t="str">
        <f t="shared" ca="1" si="25"/>
        <v/>
      </c>
    </row>
    <row r="526" spans="12:12" x14ac:dyDescent="0.3">
      <c r="L526" s="7" t="str">
        <f t="shared" ca="1" si="25"/>
        <v/>
      </c>
    </row>
    <row r="527" spans="12:12" x14ac:dyDescent="0.3">
      <c r="L527" s="7" t="str">
        <f t="shared" ca="1" si="25"/>
        <v/>
      </c>
    </row>
    <row r="528" spans="12:12" x14ac:dyDescent="0.3">
      <c r="L528" s="7" t="str">
        <f t="shared" ca="1" si="25"/>
        <v/>
      </c>
    </row>
    <row r="529" spans="12:12" x14ac:dyDescent="0.3">
      <c r="L529" s="7" t="str">
        <f t="shared" ca="1" si="25"/>
        <v/>
      </c>
    </row>
    <row r="530" spans="12:12" x14ac:dyDescent="0.3">
      <c r="L530" s="7" t="str">
        <f t="shared" ca="1" si="25"/>
        <v/>
      </c>
    </row>
    <row r="531" spans="12:12" x14ac:dyDescent="0.3">
      <c r="L531" s="7" t="str">
        <f t="shared" ca="1" si="25"/>
        <v/>
      </c>
    </row>
    <row r="532" spans="12:12" x14ac:dyDescent="0.3">
      <c r="L532" s="7" t="str">
        <f t="shared" ca="1" si="25"/>
        <v/>
      </c>
    </row>
    <row r="533" spans="12:12" x14ac:dyDescent="0.3">
      <c r="L533" s="7" t="str">
        <f t="shared" ca="1" si="25"/>
        <v/>
      </c>
    </row>
    <row r="534" spans="12:12" x14ac:dyDescent="0.3">
      <c r="L534" s="7" t="str">
        <f t="shared" ca="1" si="25"/>
        <v/>
      </c>
    </row>
    <row r="535" spans="12:12" x14ac:dyDescent="0.3">
      <c r="L535" s="7" t="str">
        <f t="shared" ca="1" si="25"/>
        <v/>
      </c>
    </row>
    <row r="536" spans="12:12" x14ac:dyDescent="0.3">
      <c r="L536" s="7" t="str">
        <f t="shared" ca="1" si="25"/>
        <v/>
      </c>
    </row>
    <row r="537" spans="12:12" x14ac:dyDescent="0.3">
      <c r="L537" s="7" t="str">
        <f t="shared" ca="1" si="25"/>
        <v/>
      </c>
    </row>
    <row r="538" spans="12:12" x14ac:dyDescent="0.3">
      <c r="L538" s="7" t="str">
        <f t="shared" ca="1" si="25"/>
        <v/>
      </c>
    </row>
    <row r="539" spans="12:12" x14ac:dyDescent="0.3">
      <c r="L539" s="7" t="str">
        <f t="shared" ca="1" si="25"/>
        <v/>
      </c>
    </row>
    <row r="540" spans="12:12" x14ac:dyDescent="0.3">
      <c r="L540" s="7" t="str">
        <f t="shared" ca="1" si="25"/>
        <v/>
      </c>
    </row>
    <row r="541" spans="12:12" x14ac:dyDescent="0.3">
      <c r="L541" s="7" t="str">
        <f t="shared" ca="1" si="25"/>
        <v/>
      </c>
    </row>
    <row r="542" spans="12:12" x14ac:dyDescent="0.3">
      <c r="L542" s="7" t="str">
        <f t="shared" ca="1" si="25"/>
        <v/>
      </c>
    </row>
    <row r="543" spans="12:12" x14ac:dyDescent="0.3">
      <c r="L543" s="7" t="str">
        <f t="shared" ca="1" si="25"/>
        <v/>
      </c>
    </row>
    <row r="544" spans="12:12" x14ac:dyDescent="0.3">
      <c r="L544" s="7" t="str">
        <f t="shared" ca="1" si="25"/>
        <v/>
      </c>
    </row>
    <row r="545" spans="12:12" x14ac:dyDescent="0.3">
      <c r="L545" s="7" t="str">
        <f t="shared" ca="1" si="25"/>
        <v/>
      </c>
    </row>
    <row r="546" spans="12:12" x14ac:dyDescent="0.3">
      <c r="L546" s="7" t="str">
        <f t="shared" ca="1" si="25"/>
        <v/>
      </c>
    </row>
    <row r="547" spans="12:12" x14ac:dyDescent="0.3">
      <c r="L547" s="7" t="str">
        <f t="shared" ca="1" si="25"/>
        <v/>
      </c>
    </row>
    <row r="548" spans="12:12" x14ac:dyDescent="0.3">
      <c r="L548" s="7" t="str">
        <f t="shared" ca="1" si="25"/>
        <v/>
      </c>
    </row>
    <row r="549" spans="12:12" x14ac:dyDescent="0.3">
      <c r="L549" s="7" t="str">
        <f t="shared" ca="1" si="25"/>
        <v/>
      </c>
    </row>
    <row r="550" spans="12:12" x14ac:dyDescent="0.3">
      <c r="L550" s="7" t="str">
        <f t="shared" ca="1" si="25"/>
        <v/>
      </c>
    </row>
    <row r="551" spans="12:12" x14ac:dyDescent="0.3">
      <c r="L551" s="7" t="str">
        <f t="shared" ca="1" si="25"/>
        <v/>
      </c>
    </row>
    <row r="552" spans="12:12" x14ac:dyDescent="0.3">
      <c r="L552" s="7" t="str">
        <f t="shared" ca="1" si="25"/>
        <v/>
      </c>
    </row>
    <row r="553" spans="12:12" x14ac:dyDescent="0.3">
      <c r="L553" s="7" t="str">
        <f t="shared" ca="1" si="25"/>
        <v/>
      </c>
    </row>
    <row r="554" spans="12:12" x14ac:dyDescent="0.3">
      <c r="L554" s="7" t="str">
        <f t="shared" ca="1" si="25"/>
        <v/>
      </c>
    </row>
    <row r="555" spans="12:12" x14ac:dyDescent="0.3">
      <c r="L555" s="7" t="str">
        <f t="shared" ca="1" si="25"/>
        <v/>
      </c>
    </row>
    <row r="556" spans="12:12" x14ac:dyDescent="0.3">
      <c r="L556" s="7" t="str">
        <f t="shared" ca="1" si="25"/>
        <v/>
      </c>
    </row>
    <row r="557" spans="12:12" x14ac:dyDescent="0.3">
      <c r="L557" s="7" t="str">
        <f t="shared" ca="1" si="25"/>
        <v/>
      </c>
    </row>
    <row r="558" spans="12:12" x14ac:dyDescent="0.3">
      <c r="L558" s="7" t="str">
        <f t="shared" ca="1" si="25"/>
        <v/>
      </c>
    </row>
    <row r="559" spans="12:12" x14ac:dyDescent="0.3">
      <c r="L559" s="7" t="str">
        <f t="shared" ca="1" si="25"/>
        <v/>
      </c>
    </row>
    <row r="560" spans="12:12" x14ac:dyDescent="0.3">
      <c r="L560" s="7" t="str">
        <f t="shared" ca="1" si="25"/>
        <v/>
      </c>
    </row>
    <row r="561" spans="12:12" x14ac:dyDescent="0.3">
      <c r="L561" s="7" t="str">
        <f t="shared" ca="1" si="25"/>
        <v/>
      </c>
    </row>
    <row r="562" spans="12:12" x14ac:dyDescent="0.3">
      <c r="L562" s="7" t="str">
        <f t="shared" ca="1" si="25"/>
        <v/>
      </c>
    </row>
    <row r="563" spans="12:12" x14ac:dyDescent="0.3">
      <c r="L563" s="7" t="str">
        <f t="shared" ca="1" si="25"/>
        <v/>
      </c>
    </row>
    <row r="564" spans="12:12" x14ac:dyDescent="0.3">
      <c r="L564" s="7" t="str">
        <f t="shared" ca="1" si="25"/>
        <v/>
      </c>
    </row>
    <row r="565" spans="12:12" x14ac:dyDescent="0.3">
      <c r="L565" s="7" t="str">
        <f t="shared" ca="1" si="25"/>
        <v/>
      </c>
    </row>
    <row r="566" spans="12:12" x14ac:dyDescent="0.3">
      <c r="L566" s="7" t="str">
        <f t="shared" ca="1" si="25"/>
        <v/>
      </c>
    </row>
    <row r="567" spans="12:12" x14ac:dyDescent="0.3">
      <c r="L567" s="7" t="str">
        <f t="shared" ca="1" si="25"/>
        <v/>
      </c>
    </row>
    <row r="568" spans="12:12" x14ac:dyDescent="0.3">
      <c r="L568" s="7" t="str">
        <f t="shared" ca="1" si="25"/>
        <v/>
      </c>
    </row>
    <row r="569" spans="12:12" x14ac:dyDescent="0.3">
      <c r="L569" s="7" t="str">
        <f t="shared" ca="1" si="25"/>
        <v/>
      </c>
    </row>
    <row r="570" spans="12:12" x14ac:dyDescent="0.3">
      <c r="L570" s="7" t="str">
        <f t="shared" ca="1" si="25"/>
        <v/>
      </c>
    </row>
    <row r="571" spans="12:12" x14ac:dyDescent="0.3">
      <c r="L571" s="7" t="str">
        <f t="shared" ca="1" si="25"/>
        <v/>
      </c>
    </row>
    <row r="572" spans="12:12" x14ac:dyDescent="0.3">
      <c r="L572" s="7" t="str">
        <f t="shared" ca="1" si="25"/>
        <v/>
      </c>
    </row>
    <row r="573" spans="12:12" x14ac:dyDescent="0.3">
      <c r="L573" s="7" t="str">
        <f t="shared" ca="1" si="25"/>
        <v/>
      </c>
    </row>
    <row r="574" spans="12:12" x14ac:dyDescent="0.3">
      <c r="L574" s="7" t="str">
        <f t="shared" ca="1" si="25"/>
        <v/>
      </c>
    </row>
    <row r="575" spans="12:12" x14ac:dyDescent="0.3">
      <c r="L575" s="7" t="str">
        <f t="shared" ca="1" si="25"/>
        <v/>
      </c>
    </row>
    <row r="576" spans="12:12" x14ac:dyDescent="0.3">
      <c r="L576" s="7" t="str">
        <f t="shared" ca="1" si="25"/>
        <v/>
      </c>
    </row>
    <row r="577" spans="12:12" x14ac:dyDescent="0.3">
      <c r="L577" s="7" t="str">
        <f t="shared" ca="1" si="25"/>
        <v/>
      </c>
    </row>
    <row r="578" spans="12:12" x14ac:dyDescent="0.3">
      <c r="L578" s="7" t="str">
        <f t="shared" ca="1" si="25"/>
        <v/>
      </c>
    </row>
    <row r="579" spans="12:12" x14ac:dyDescent="0.3">
      <c r="L579" s="7" t="str">
        <f t="shared" ca="1" si="25"/>
        <v/>
      </c>
    </row>
    <row r="580" spans="12:12" x14ac:dyDescent="0.3">
      <c r="L580" s="7" t="str">
        <f t="shared" ca="1" si="25"/>
        <v/>
      </c>
    </row>
    <row r="581" spans="12:12" x14ac:dyDescent="0.3">
      <c r="L581" s="7" t="str">
        <f t="shared" ref="L581:L644" ca="1" si="26">IF(I581="Completed",0,IF(H581="","",H581-TODAY()))</f>
        <v/>
      </c>
    </row>
    <row r="582" spans="12:12" x14ac:dyDescent="0.3">
      <c r="L582" s="7" t="str">
        <f t="shared" ca="1" si="26"/>
        <v/>
      </c>
    </row>
    <row r="583" spans="12:12" x14ac:dyDescent="0.3">
      <c r="L583" s="7" t="str">
        <f t="shared" ca="1" si="26"/>
        <v/>
      </c>
    </row>
    <row r="584" spans="12:12" x14ac:dyDescent="0.3">
      <c r="L584" s="7" t="str">
        <f t="shared" ca="1" si="26"/>
        <v/>
      </c>
    </row>
    <row r="585" spans="12:12" x14ac:dyDescent="0.3">
      <c r="L585" s="7" t="str">
        <f t="shared" ca="1" si="26"/>
        <v/>
      </c>
    </row>
    <row r="586" spans="12:12" x14ac:dyDescent="0.3">
      <c r="L586" s="7" t="str">
        <f t="shared" ca="1" si="26"/>
        <v/>
      </c>
    </row>
    <row r="587" spans="12:12" x14ac:dyDescent="0.3">
      <c r="L587" s="7" t="str">
        <f t="shared" ca="1" si="26"/>
        <v/>
      </c>
    </row>
    <row r="588" spans="12:12" x14ac:dyDescent="0.3">
      <c r="L588" s="7" t="str">
        <f t="shared" ca="1" si="26"/>
        <v/>
      </c>
    </row>
    <row r="589" spans="12:12" x14ac:dyDescent="0.3">
      <c r="L589" s="7" t="str">
        <f t="shared" ca="1" si="26"/>
        <v/>
      </c>
    </row>
    <row r="590" spans="12:12" x14ac:dyDescent="0.3">
      <c r="L590" s="7" t="str">
        <f t="shared" ca="1" si="26"/>
        <v/>
      </c>
    </row>
    <row r="591" spans="12:12" x14ac:dyDescent="0.3">
      <c r="L591" s="7" t="str">
        <f t="shared" ca="1" si="26"/>
        <v/>
      </c>
    </row>
    <row r="592" spans="12:12" x14ac:dyDescent="0.3">
      <c r="L592" s="7" t="str">
        <f t="shared" ca="1" si="26"/>
        <v/>
      </c>
    </row>
    <row r="593" spans="12:12" x14ac:dyDescent="0.3">
      <c r="L593" s="7" t="str">
        <f t="shared" ca="1" si="26"/>
        <v/>
      </c>
    </row>
    <row r="594" spans="12:12" x14ac:dyDescent="0.3">
      <c r="L594" s="7" t="str">
        <f t="shared" ca="1" si="26"/>
        <v/>
      </c>
    </row>
    <row r="595" spans="12:12" x14ac:dyDescent="0.3">
      <c r="L595" s="7" t="str">
        <f t="shared" ca="1" si="26"/>
        <v/>
      </c>
    </row>
    <row r="596" spans="12:12" x14ac:dyDescent="0.3">
      <c r="L596" s="7" t="str">
        <f t="shared" ca="1" si="26"/>
        <v/>
      </c>
    </row>
    <row r="597" spans="12:12" x14ac:dyDescent="0.3">
      <c r="L597" s="7" t="str">
        <f t="shared" ca="1" si="26"/>
        <v/>
      </c>
    </row>
    <row r="598" spans="12:12" x14ac:dyDescent="0.3">
      <c r="L598" s="7" t="str">
        <f t="shared" ca="1" si="26"/>
        <v/>
      </c>
    </row>
    <row r="599" spans="12:12" x14ac:dyDescent="0.3">
      <c r="L599" s="7" t="str">
        <f t="shared" ca="1" si="26"/>
        <v/>
      </c>
    </row>
    <row r="600" spans="12:12" x14ac:dyDescent="0.3">
      <c r="L600" s="7" t="str">
        <f t="shared" ca="1" si="26"/>
        <v/>
      </c>
    </row>
    <row r="601" spans="12:12" x14ac:dyDescent="0.3">
      <c r="L601" s="7" t="str">
        <f t="shared" ca="1" si="26"/>
        <v/>
      </c>
    </row>
    <row r="602" spans="12:12" x14ac:dyDescent="0.3">
      <c r="L602" s="7" t="str">
        <f t="shared" ca="1" si="26"/>
        <v/>
      </c>
    </row>
    <row r="603" spans="12:12" x14ac:dyDescent="0.3">
      <c r="L603" s="7" t="str">
        <f t="shared" ca="1" si="26"/>
        <v/>
      </c>
    </row>
    <row r="604" spans="12:12" x14ac:dyDescent="0.3">
      <c r="L604" s="7" t="str">
        <f t="shared" ca="1" si="26"/>
        <v/>
      </c>
    </row>
    <row r="605" spans="12:12" x14ac:dyDescent="0.3">
      <c r="L605" s="7" t="str">
        <f t="shared" ca="1" si="26"/>
        <v/>
      </c>
    </row>
    <row r="606" spans="12:12" x14ac:dyDescent="0.3">
      <c r="L606" s="7" t="str">
        <f t="shared" ca="1" si="26"/>
        <v/>
      </c>
    </row>
    <row r="607" spans="12:12" x14ac:dyDescent="0.3">
      <c r="L607" s="7" t="str">
        <f t="shared" ca="1" si="26"/>
        <v/>
      </c>
    </row>
    <row r="608" spans="12:12" x14ac:dyDescent="0.3">
      <c r="L608" s="7" t="str">
        <f t="shared" ca="1" si="26"/>
        <v/>
      </c>
    </row>
    <row r="609" spans="12:12" x14ac:dyDescent="0.3">
      <c r="L609" s="7" t="str">
        <f t="shared" ca="1" si="26"/>
        <v/>
      </c>
    </row>
    <row r="610" spans="12:12" x14ac:dyDescent="0.3">
      <c r="L610" s="7" t="str">
        <f t="shared" ca="1" si="26"/>
        <v/>
      </c>
    </row>
    <row r="611" spans="12:12" x14ac:dyDescent="0.3">
      <c r="L611" s="7" t="str">
        <f t="shared" ca="1" si="26"/>
        <v/>
      </c>
    </row>
    <row r="612" spans="12:12" x14ac:dyDescent="0.3">
      <c r="L612" s="7" t="str">
        <f t="shared" ca="1" si="26"/>
        <v/>
      </c>
    </row>
    <row r="613" spans="12:12" x14ac:dyDescent="0.3">
      <c r="L613" s="7" t="str">
        <f t="shared" ca="1" si="26"/>
        <v/>
      </c>
    </row>
    <row r="614" spans="12:12" x14ac:dyDescent="0.3">
      <c r="L614" s="7" t="str">
        <f t="shared" ca="1" si="26"/>
        <v/>
      </c>
    </row>
    <row r="615" spans="12:12" x14ac:dyDescent="0.3">
      <c r="L615" s="7" t="str">
        <f t="shared" ca="1" si="26"/>
        <v/>
      </c>
    </row>
    <row r="616" spans="12:12" x14ac:dyDescent="0.3">
      <c r="L616" s="7" t="str">
        <f t="shared" ca="1" si="26"/>
        <v/>
      </c>
    </row>
    <row r="617" spans="12:12" x14ac:dyDescent="0.3">
      <c r="L617" s="7" t="str">
        <f t="shared" ca="1" si="26"/>
        <v/>
      </c>
    </row>
    <row r="618" spans="12:12" x14ac:dyDescent="0.3">
      <c r="L618" s="7" t="str">
        <f t="shared" ca="1" si="26"/>
        <v/>
      </c>
    </row>
    <row r="619" spans="12:12" x14ac:dyDescent="0.3">
      <c r="L619" s="7" t="str">
        <f t="shared" ca="1" si="26"/>
        <v/>
      </c>
    </row>
    <row r="620" spans="12:12" x14ac:dyDescent="0.3">
      <c r="L620" s="7" t="str">
        <f t="shared" ca="1" si="26"/>
        <v/>
      </c>
    </row>
    <row r="621" spans="12:12" x14ac:dyDescent="0.3">
      <c r="L621" s="7" t="str">
        <f t="shared" ca="1" si="26"/>
        <v/>
      </c>
    </row>
    <row r="622" spans="12:12" x14ac:dyDescent="0.3">
      <c r="L622" s="7" t="str">
        <f t="shared" ca="1" si="26"/>
        <v/>
      </c>
    </row>
    <row r="623" spans="12:12" x14ac:dyDescent="0.3">
      <c r="L623" s="7" t="str">
        <f t="shared" ca="1" si="26"/>
        <v/>
      </c>
    </row>
    <row r="624" spans="12:12" x14ac:dyDescent="0.3">
      <c r="L624" s="7" t="str">
        <f t="shared" ca="1" si="26"/>
        <v/>
      </c>
    </row>
    <row r="625" spans="12:12" x14ac:dyDescent="0.3">
      <c r="L625" s="7" t="str">
        <f t="shared" ca="1" si="26"/>
        <v/>
      </c>
    </row>
    <row r="626" spans="12:12" x14ac:dyDescent="0.3">
      <c r="L626" s="7" t="str">
        <f t="shared" ca="1" si="26"/>
        <v/>
      </c>
    </row>
    <row r="627" spans="12:12" x14ac:dyDescent="0.3">
      <c r="L627" s="7" t="str">
        <f t="shared" ca="1" si="26"/>
        <v/>
      </c>
    </row>
    <row r="628" spans="12:12" x14ac:dyDescent="0.3">
      <c r="L628" s="7" t="str">
        <f t="shared" ca="1" si="26"/>
        <v/>
      </c>
    </row>
    <row r="629" spans="12:12" x14ac:dyDescent="0.3">
      <c r="L629" s="7" t="str">
        <f t="shared" ca="1" si="26"/>
        <v/>
      </c>
    </row>
    <row r="630" spans="12:12" x14ac:dyDescent="0.3">
      <c r="L630" s="7" t="str">
        <f t="shared" ca="1" si="26"/>
        <v/>
      </c>
    </row>
    <row r="631" spans="12:12" x14ac:dyDescent="0.3">
      <c r="L631" s="7" t="str">
        <f t="shared" ca="1" si="26"/>
        <v/>
      </c>
    </row>
    <row r="632" spans="12:12" x14ac:dyDescent="0.3">
      <c r="L632" s="7" t="str">
        <f t="shared" ca="1" si="26"/>
        <v/>
      </c>
    </row>
    <row r="633" spans="12:12" x14ac:dyDescent="0.3">
      <c r="L633" s="7" t="str">
        <f t="shared" ca="1" si="26"/>
        <v/>
      </c>
    </row>
    <row r="634" spans="12:12" x14ac:dyDescent="0.3">
      <c r="L634" s="7" t="str">
        <f t="shared" ca="1" si="26"/>
        <v/>
      </c>
    </row>
    <row r="635" spans="12:12" x14ac:dyDescent="0.3">
      <c r="L635" s="7" t="str">
        <f t="shared" ca="1" si="26"/>
        <v/>
      </c>
    </row>
    <row r="636" spans="12:12" x14ac:dyDescent="0.3">
      <c r="L636" s="7" t="str">
        <f t="shared" ca="1" si="26"/>
        <v/>
      </c>
    </row>
    <row r="637" spans="12:12" x14ac:dyDescent="0.3">
      <c r="L637" s="7" t="str">
        <f t="shared" ca="1" si="26"/>
        <v/>
      </c>
    </row>
    <row r="638" spans="12:12" x14ac:dyDescent="0.3">
      <c r="L638" s="7" t="str">
        <f t="shared" ca="1" si="26"/>
        <v/>
      </c>
    </row>
    <row r="639" spans="12:12" x14ac:dyDescent="0.3">
      <c r="L639" s="7" t="str">
        <f t="shared" ca="1" si="26"/>
        <v/>
      </c>
    </row>
    <row r="640" spans="12:12" x14ac:dyDescent="0.3">
      <c r="L640" s="7" t="str">
        <f t="shared" ca="1" si="26"/>
        <v/>
      </c>
    </row>
    <row r="641" spans="12:12" x14ac:dyDescent="0.3">
      <c r="L641" s="7" t="str">
        <f t="shared" ca="1" si="26"/>
        <v/>
      </c>
    </row>
    <row r="642" spans="12:12" x14ac:dyDescent="0.3">
      <c r="L642" s="7" t="str">
        <f t="shared" ca="1" si="26"/>
        <v/>
      </c>
    </row>
    <row r="643" spans="12:12" x14ac:dyDescent="0.3">
      <c r="L643" s="7" t="str">
        <f t="shared" ca="1" si="26"/>
        <v/>
      </c>
    </row>
    <row r="644" spans="12:12" x14ac:dyDescent="0.3">
      <c r="L644" s="7" t="str">
        <f t="shared" ca="1" si="26"/>
        <v/>
      </c>
    </row>
    <row r="645" spans="12:12" x14ac:dyDescent="0.3">
      <c r="L645" s="7" t="str">
        <f t="shared" ref="L645:L708" ca="1" si="27">IF(I645="Completed",0,IF(H645="","",H645-TODAY()))</f>
        <v/>
      </c>
    </row>
    <row r="646" spans="12:12" x14ac:dyDescent="0.3">
      <c r="L646" s="7" t="str">
        <f t="shared" ca="1" si="27"/>
        <v/>
      </c>
    </row>
    <row r="647" spans="12:12" x14ac:dyDescent="0.3">
      <c r="L647" s="7" t="str">
        <f t="shared" ca="1" si="27"/>
        <v/>
      </c>
    </row>
    <row r="648" spans="12:12" x14ac:dyDescent="0.3">
      <c r="L648" s="7" t="str">
        <f t="shared" ca="1" si="27"/>
        <v/>
      </c>
    </row>
    <row r="649" spans="12:12" x14ac:dyDescent="0.3">
      <c r="L649" s="7" t="str">
        <f t="shared" ca="1" si="27"/>
        <v/>
      </c>
    </row>
    <row r="650" spans="12:12" x14ac:dyDescent="0.3">
      <c r="L650" s="7" t="str">
        <f t="shared" ca="1" si="27"/>
        <v/>
      </c>
    </row>
    <row r="651" spans="12:12" x14ac:dyDescent="0.3">
      <c r="L651" s="7" t="str">
        <f t="shared" ca="1" si="27"/>
        <v/>
      </c>
    </row>
    <row r="652" spans="12:12" x14ac:dyDescent="0.3">
      <c r="L652" s="7" t="str">
        <f t="shared" ca="1" si="27"/>
        <v/>
      </c>
    </row>
    <row r="653" spans="12:12" x14ac:dyDescent="0.3">
      <c r="L653" s="7" t="str">
        <f t="shared" ca="1" si="27"/>
        <v/>
      </c>
    </row>
    <row r="654" spans="12:12" x14ac:dyDescent="0.3">
      <c r="L654" s="7" t="str">
        <f t="shared" ca="1" si="27"/>
        <v/>
      </c>
    </row>
    <row r="655" spans="12:12" x14ac:dyDescent="0.3">
      <c r="L655" s="7" t="str">
        <f t="shared" ca="1" si="27"/>
        <v/>
      </c>
    </row>
    <row r="656" spans="12:12" x14ac:dyDescent="0.3">
      <c r="L656" s="7" t="str">
        <f t="shared" ca="1" si="27"/>
        <v/>
      </c>
    </row>
    <row r="657" spans="12:12" x14ac:dyDescent="0.3">
      <c r="L657" s="7" t="str">
        <f t="shared" ca="1" si="27"/>
        <v/>
      </c>
    </row>
    <row r="658" spans="12:12" x14ac:dyDescent="0.3">
      <c r="L658" s="7" t="str">
        <f t="shared" ca="1" si="27"/>
        <v/>
      </c>
    </row>
    <row r="659" spans="12:12" x14ac:dyDescent="0.3">
      <c r="L659" s="7" t="str">
        <f t="shared" ca="1" si="27"/>
        <v/>
      </c>
    </row>
    <row r="660" spans="12:12" x14ac:dyDescent="0.3">
      <c r="L660" s="7" t="str">
        <f t="shared" ca="1" si="27"/>
        <v/>
      </c>
    </row>
    <row r="661" spans="12:12" x14ac:dyDescent="0.3">
      <c r="L661" s="7" t="str">
        <f t="shared" ca="1" si="27"/>
        <v/>
      </c>
    </row>
    <row r="662" spans="12:12" x14ac:dyDescent="0.3">
      <c r="L662" s="7" t="str">
        <f t="shared" ca="1" si="27"/>
        <v/>
      </c>
    </row>
    <row r="663" spans="12:12" x14ac:dyDescent="0.3">
      <c r="L663" s="7" t="str">
        <f t="shared" ca="1" si="27"/>
        <v/>
      </c>
    </row>
    <row r="664" spans="12:12" x14ac:dyDescent="0.3">
      <c r="L664" s="7" t="str">
        <f t="shared" ca="1" si="27"/>
        <v/>
      </c>
    </row>
    <row r="665" spans="12:12" x14ac:dyDescent="0.3">
      <c r="L665" s="7" t="str">
        <f t="shared" ca="1" si="27"/>
        <v/>
      </c>
    </row>
    <row r="666" spans="12:12" x14ac:dyDescent="0.3">
      <c r="L666" s="7" t="str">
        <f t="shared" ca="1" si="27"/>
        <v/>
      </c>
    </row>
    <row r="667" spans="12:12" x14ac:dyDescent="0.3">
      <c r="L667" s="7" t="str">
        <f t="shared" ca="1" si="27"/>
        <v/>
      </c>
    </row>
    <row r="668" spans="12:12" x14ac:dyDescent="0.3">
      <c r="L668" s="7" t="str">
        <f t="shared" ca="1" si="27"/>
        <v/>
      </c>
    </row>
    <row r="669" spans="12:12" x14ac:dyDescent="0.3">
      <c r="L669" s="7" t="str">
        <f t="shared" ca="1" si="27"/>
        <v/>
      </c>
    </row>
    <row r="670" spans="12:12" x14ac:dyDescent="0.3">
      <c r="L670" s="7" t="str">
        <f t="shared" ca="1" si="27"/>
        <v/>
      </c>
    </row>
    <row r="671" spans="12:12" x14ac:dyDescent="0.3">
      <c r="L671" s="7" t="str">
        <f t="shared" ca="1" si="27"/>
        <v/>
      </c>
    </row>
    <row r="672" spans="12:12" x14ac:dyDescent="0.3">
      <c r="L672" s="7" t="str">
        <f t="shared" ca="1" si="27"/>
        <v/>
      </c>
    </row>
    <row r="673" spans="12:12" x14ac:dyDescent="0.3">
      <c r="L673" s="7" t="str">
        <f t="shared" ca="1" si="27"/>
        <v/>
      </c>
    </row>
    <row r="674" spans="12:12" x14ac:dyDescent="0.3">
      <c r="L674" s="7" t="str">
        <f t="shared" ca="1" si="27"/>
        <v/>
      </c>
    </row>
    <row r="675" spans="12:12" x14ac:dyDescent="0.3">
      <c r="L675" s="7" t="str">
        <f t="shared" ca="1" si="27"/>
        <v/>
      </c>
    </row>
    <row r="676" spans="12:12" x14ac:dyDescent="0.3">
      <c r="L676" s="7" t="str">
        <f t="shared" ca="1" si="27"/>
        <v/>
      </c>
    </row>
    <row r="677" spans="12:12" x14ac:dyDescent="0.3">
      <c r="L677" s="7" t="str">
        <f t="shared" ca="1" si="27"/>
        <v/>
      </c>
    </row>
    <row r="678" spans="12:12" x14ac:dyDescent="0.3">
      <c r="L678" s="7" t="str">
        <f t="shared" ca="1" si="27"/>
        <v/>
      </c>
    </row>
    <row r="679" spans="12:12" x14ac:dyDescent="0.3">
      <c r="L679" s="7" t="str">
        <f t="shared" ca="1" si="27"/>
        <v/>
      </c>
    </row>
    <row r="680" spans="12:12" x14ac:dyDescent="0.3">
      <c r="L680" s="7" t="str">
        <f t="shared" ca="1" si="27"/>
        <v/>
      </c>
    </row>
    <row r="681" spans="12:12" x14ac:dyDescent="0.3">
      <c r="L681" s="7" t="str">
        <f t="shared" ca="1" si="27"/>
        <v/>
      </c>
    </row>
    <row r="682" spans="12:12" x14ac:dyDescent="0.3">
      <c r="L682" s="7" t="str">
        <f t="shared" ca="1" si="27"/>
        <v/>
      </c>
    </row>
    <row r="683" spans="12:12" x14ac:dyDescent="0.3">
      <c r="L683" s="7" t="str">
        <f t="shared" ca="1" si="27"/>
        <v/>
      </c>
    </row>
    <row r="684" spans="12:12" x14ac:dyDescent="0.3">
      <c r="L684" s="7" t="str">
        <f t="shared" ca="1" si="27"/>
        <v/>
      </c>
    </row>
    <row r="685" spans="12:12" x14ac:dyDescent="0.3">
      <c r="L685" s="7" t="str">
        <f t="shared" ca="1" si="27"/>
        <v/>
      </c>
    </row>
    <row r="686" spans="12:12" x14ac:dyDescent="0.3">
      <c r="L686" s="7" t="str">
        <f t="shared" ca="1" si="27"/>
        <v/>
      </c>
    </row>
    <row r="687" spans="12:12" x14ac:dyDescent="0.3">
      <c r="L687" s="7" t="str">
        <f t="shared" ca="1" si="27"/>
        <v/>
      </c>
    </row>
    <row r="688" spans="12:12" x14ac:dyDescent="0.3">
      <c r="L688" s="7" t="str">
        <f t="shared" ca="1" si="27"/>
        <v/>
      </c>
    </row>
    <row r="689" spans="12:12" x14ac:dyDescent="0.3">
      <c r="L689" s="7" t="str">
        <f t="shared" ca="1" si="27"/>
        <v/>
      </c>
    </row>
    <row r="690" spans="12:12" x14ac:dyDescent="0.3">
      <c r="L690" s="7" t="str">
        <f t="shared" ca="1" si="27"/>
        <v/>
      </c>
    </row>
    <row r="691" spans="12:12" x14ac:dyDescent="0.3">
      <c r="L691" s="7" t="str">
        <f t="shared" ca="1" si="27"/>
        <v/>
      </c>
    </row>
    <row r="692" spans="12:12" x14ac:dyDescent="0.3">
      <c r="L692" s="7" t="str">
        <f t="shared" ca="1" si="27"/>
        <v/>
      </c>
    </row>
    <row r="693" spans="12:12" x14ac:dyDescent="0.3">
      <c r="L693" s="7" t="str">
        <f t="shared" ca="1" si="27"/>
        <v/>
      </c>
    </row>
    <row r="694" spans="12:12" x14ac:dyDescent="0.3">
      <c r="L694" s="7" t="str">
        <f t="shared" ca="1" si="27"/>
        <v/>
      </c>
    </row>
    <row r="695" spans="12:12" x14ac:dyDescent="0.3">
      <c r="L695" s="7" t="str">
        <f t="shared" ca="1" si="27"/>
        <v/>
      </c>
    </row>
    <row r="696" spans="12:12" x14ac:dyDescent="0.3">
      <c r="L696" s="7" t="str">
        <f t="shared" ca="1" si="27"/>
        <v/>
      </c>
    </row>
    <row r="697" spans="12:12" x14ac:dyDescent="0.3">
      <c r="L697" s="7" t="str">
        <f t="shared" ca="1" si="27"/>
        <v/>
      </c>
    </row>
    <row r="698" spans="12:12" x14ac:dyDescent="0.3">
      <c r="L698" s="7" t="str">
        <f t="shared" ca="1" si="27"/>
        <v/>
      </c>
    </row>
    <row r="699" spans="12:12" x14ac:dyDescent="0.3">
      <c r="L699" s="7" t="str">
        <f t="shared" ca="1" si="27"/>
        <v/>
      </c>
    </row>
    <row r="700" spans="12:12" x14ac:dyDescent="0.3">
      <c r="L700" s="7" t="str">
        <f t="shared" ca="1" si="27"/>
        <v/>
      </c>
    </row>
    <row r="701" spans="12:12" x14ac:dyDescent="0.3">
      <c r="L701" s="7" t="str">
        <f t="shared" ca="1" si="27"/>
        <v/>
      </c>
    </row>
    <row r="702" spans="12:12" x14ac:dyDescent="0.3">
      <c r="L702" s="7" t="str">
        <f t="shared" ca="1" si="27"/>
        <v/>
      </c>
    </row>
    <row r="703" spans="12:12" x14ac:dyDescent="0.3">
      <c r="L703" s="7" t="str">
        <f t="shared" ca="1" si="27"/>
        <v/>
      </c>
    </row>
    <row r="704" spans="12:12" x14ac:dyDescent="0.3">
      <c r="L704" s="7" t="str">
        <f t="shared" ca="1" si="27"/>
        <v/>
      </c>
    </row>
    <row r="705" spans="12:12" x14ac:dyDescent="0.3">
      <c r="L705" s="7" t="str">
        <f t="shared" ca="1" si="27"/>
        <v/>
      </c>
    </row>
    <row r="706" spans="12:12" x14ac:dyDescent="0.3">
      <c r="L706" s="7" t="str">
        <f t="shared" ca="1" si="27"/>
        <v/>
      </c>
    </row>
    <row r="707" spans="12:12" x14ac:dyDescent="0.3">
      <c r="L707" s="7" t="str">
        <f t="shared" ca="1" si="27"/>
        <v/>
      </c>
    </row>
    <row r="708" spans="12:12" x14ac:dyDescent="0.3">
      <c r="L708" s="7" t="str">
        <f t="shared" ca="1" si="27"/>
        <v/>
      </c>
    </row>
    <row r="709" spans="12:12" x14ac:dyDescent="0.3">
      <c r="L709" s="7" t="str">
        <f t="shared" ref="L709:L772" ca="1" si="28">IF(I709="Completed",0,IF(H709="","",H709-TODAY()))</f>
        <v/>
      </c>
    </row>
    <row r="710" spans="12:12" x14ac:dyDescent="0.3">
      <c r="L710" s="7" t="str">
        <f t="shared" ca="1" si="28"/>
        <v/>
      </c>
    </row>
    <row r="711" spans="12:12" x14ac:dyDescent="0.3">
      <c r="L711" s="7" t="str">
        <f t="shared" ca="1" si="28"/>
        <v/>
      </c>
    </row>
    <row r="712" spans="12:12" x14ac:dyDescent="0.3">
      <c r="L712" s="7" t="str">
        <f t="shared" ca="1" si="28"/>
        <v/>
      </c>
    </row>
    <row r="713" spans="12:12" x14ac:dyDescent="0.3">
      <c r="L713" s="7" t="str">
        <f t="shared" ca="1" si="28"/>
        <v/>
      </c>
    </row>
    <row r="714" spans="12:12" x14ac:dyDescent="0.3">
      <c r="L714" s="7" t="str">
        <f t="shared" ca="1" si="28"/>
        <v/>
      </c>
    </row>
    <row r="715" spans="12:12" x14ac:dyDescent="0.3">
      <c r="L715" s="7" t="str">
        <f t="shared" ca="1" si="28"/>
        <v/>
      </c>
    </row>
    <row r="716" spans="12:12" x14ac:dyDescent="0.3">
      <c r="L716" s="7" t="str">
        <f t="shared" ca="1" si="28"/>
        <v/>
      </c>
    </row>
    <row r="717" spans="12:12" x14ac:dyDescent="0.3">
      <c r="L717" s="7" t="str">
        <f t="shared" ca="1" si="28"/>
        <v/>
      </c>
    </row>
    <row r="718" spans="12:12" x14ac:dyDescent="0.3">
      <c r="L718" s="7" t="str">
        <f t="shared" ca="1" si="28"/>
        <v/>
      </c>
    </row>
    <row r="719" spans="12:12" x14ac:dyDescent="0.3">
      <c r="L719" s="7" t="str">
        <f t="shared" ca="1" si="28"/>
        <v/>
      </c>
    </row>
    <row r="720" spans="12:12" x14ac:dyDescent="0.3">
      <c r="L720" s="7" t="str">
        <f t="shared" ca="1" si="28"/>
        <v/>
      </c>
    </row>
    <row r="721" spans="12:12" x14ac:dyDescent="0.3">
      <c r="L721" s="7" t="str">
        <f t="shared" ca="1" si="28"/>
        <v/>
      </c>
    </row>
    <row r="722" spans="12:12" x14ac:dyDescent="0.3">
      <c r="L722" s="7" t="str">
        <f t="shared" ca="1" si="28"/>
        <v/>
      </c>
    </row>
    <row r="723" spans="12:12" x14ac:dyDescent="0.3">
      <c r="L723" s="7" t="str">
        <f t="shared" ca="1" si="28"/>
        <v/>
      </c>
    </row>
    <row r="724" spans="12:12" x14ac:dyDescent="0.3">
      <c r="L724" s="7" t="str">
        <f t="shared" ca="1" si="28"/>
        <v/>
      </c>
    </row>
    <row r="725" spans="12:12" x14ac:dyDescent="0.3">
      <c r="L725" s="7" t="str">
        <f t="shared" ca="1" si="28"/>
        <v/>
      </c>
    </row>
    <row r="726" spans="12:12" x14ac:dyDescent="0.3">
      <c r="L726" s="7" t="str">
        <f t="shared" ca="1" si="28"/>
        <v/>
      </c>
    </row>
    <row r="727" spans="12:12" x14ac:dyDescent="0.3">
      <c r="L727" s="7" t="str">
        <f t="shared" ca="1" si="28"/>
        <v/>
      </c>
    </row>
    <row r="728" spans="12:12" x14ac:dyDescent="0.3">
      <c r="L728" s="7" t="str">
        <f t="shared" ca="1" si="28"/>
        <v/>
      </c>
    </row>
    <row r="729" spans="12:12" x14ac:dyDescent="0.3">
      <c r="L729" s="7" t="str">
        <f t="shared" ca="1" si="28"/>
        <v/>
      </c>
    </row>
    <row r="730" spans="12:12" x14ac:dyDescent="0.3">
      <c r="L730" s="7" t="str">
        <f t="shared" ca="1" si="28"/>
        <v/>
      </c>
    </row>
    <row r="731" spans="12:12" x14ac:dyDescent="0.3">
      <c r="L731" s="7" t="str">
        <f t="shared" ca="1" si="28"/>
        <v/>
      </c>
    </row>
    <row r="732" spans="12:12" x14ac:dyDescent="0.3">
      <c r="L732" s="7" t="str">
        <f t="shared" ca="1" si="28"/>
        <v/>
      </c>
    </row>
    <row r="733" spans="12:12" x14ac:dyDescent="0.3">
      <c r="L733" s="7" t="str">
        <f t="shared" ca="1" si="28"/>
        <v/>
      </c>
    </row>
    <row r="734" spans="12:12" x14ac:dyDescent="0.3">
      <c r="L734" s="7" t="str">
        <f t="shared" ca="1" si="28"/>
        <v/>
      </c>
    </row>
    <row r="735" spans="12:12" x14ac:dyDescent="0.3">
      <c r="L735" s="7" t="str">
        <f t="shared" ca="1" si="28"/>
        <v/>
      </c>
    </row>
    <row r="736" spans="12:12" x14ac:dyDescent="0.3">
      <c r="L736" s="7" t="str">
        <f t="shared" ca="1" si="28"/>
        <v/>
      </c>
    </row>
    <row r="737" spans="12:12" x14ac:dyDescent="0.3">
      <c r="L737" s="7" t="str">
        <f t="shared" ca="1" si="28"/>
        <v/>
      </c>
    </row>
    <row r="738" spans="12:12" x14ac:dyDescent="0.3">
      <c r="L738" s="7" t="str">
        <f t="shared" ca="1" si="28"/>
        <v/>
      </c>
    </row>
    <row r="739" spans="12:12" x14ac:dyDescent="0.3">
      <c r="L739" s="7" t="str">
        <f t="shared" ca="1" si="28"/>
        <v/>
      </c>
    </row>
    <row r="740" spans="12:12" x14ac:dyDescent="0.3">
      <c r="L740" s="7" t="str">
        <f t="shared" ca="1" si="28"/>
        <v/>
      </c>
    </row>
    <row r="741" spans="12:12" x14ac:dyDescent="0.3">
      <c r="L741" s="7" t="str">
        <f t="shared" ca="1" si="28"/>
        <v/>
      </c>
    </row>
    <row r="742" spans="12:12" x14ac:dyDescent="0.3">
      <c r="L742" s="7" t="str">
        <f t="shared" ca="1" si="28"/>
        <v/>
      </c>
    </row>
    <row r="743" spans="12:12" x14ac:dyDescent="0.3">
      <c r="L743" s="7" t="str">
        <f t="shared" ca="1" si="28"/>
        <v/>
      </c>
    </row>
    <row r="744" spans="12:12" x14ac:dyDescent="0.3">
      <c r="L744" s="7" t="str">
        <f t="shared" ca="1" si="28"/>
        <v/>
      </c>
    </row>
    <row r="745" spans="12:12" x14ac:dyDescent="0.3">
      <c r="L745" s="7" t="str">
        <f t="shared" ca="1" si="28"/>
        <v/>
      </c>
    </row>
    <row r="746" spans="12:12" x14ac:dyDescent="0.3">
      <c r="L746" s="7" t="str">
        <f t="shared" ca="1" si="28"/>
        <v/>
      </c>
    </row>
    <row r="747" spans="12:12" x14ac:dyDescent="0.3">
      <c r="L747" s="7" t="str">
        <f t="shared" ca="1" si="28"/>
        <v/>
      </c>
    </row>
    <row r="748" spans="12:12" x14ac:dyDescent="0.3">
      <c r="L748" s="7" t="str">
        <f t="shared" ca="1" si="28"/>
        <v/>
      </c>
    </row>
    <row r="749" spans="12:12" x14ac:dyDescent="0.3">
      <c r="L749" s="7" t="str">
        <f t="shared" ca="1" si="28"/>
        <v/>
      </c>
    </row>
    <row r="750" spans="12:12" x14ac:dyDescent="0.3">
      <c r="L750" s="7" t="str">
        <f t="shared" ca="1" si="28"/>
        <v/>
      </c>
    </row>
    <row r="751" spans="12:12" x14ac:dyDescent="0.3">
      <c r="L751" s="7" t="str">
        <f t="shared" ca="1" si="28"/>
        <v/>
      </c>
    </row>
    <row r="752" spans="12:12" x14ac:dyDescent="0.3">
      <c r="L752" s="7" t="str">
        <f t="shared" ca="1" si="28"/>
        <v/>
      </c>
    </row>
    <row r="753" spans="12:12" x14ac:dyDescent="0.3">
      <c r="L753" s="7" t="str">
        <f t="shared" ca="1" si="28"/>
        <v/>
      </c>
    </row>
    <row r="754" spans="12:12" x14ac:dyDescent="0.3">
      <c r="L754" s="7" t="str">
        <f t="shared" ca="1" si="28"/>
        <v/>
      </c>
    </row>
    <row r="755" spans="12:12" x14ac:dyDescent="0.3">
      <c r="L755" s="7" t="str">
        <f t="shared" ca="1" si="28"/>
        <v/>
      </c>
    </row>
    <row r="756" spans="12:12" x14ac:dyDescent="0.3">
      <c r="L756" s="7" t="str">
        <f t="shared" ca="1" si="28"/>
        <v/>
      </c>
    </row>
    <row r="757" spans="12:12" x14ac:dyDescent="0.3">
      <c r="L757" s="7" t="str">
        <f t="shared" ca="1" si="28"/>
        <v/>
      </c>
    </row>
    <row r="758" spans="12:12" x14ac:dyDescent="0.3">
      <c r="L758" s="7" t="str">
        <f t="shared" ca="1" si="28"/>
        <v/>
      </c>
    </row>
    <row r="759" spans="12:12" x14ac:dyDescent="0.3">
      <c r="L759" s="7" t="str">
        <f t="shared" ca="1" si="28"/>
        <v/>
      </c>
    </row>
    <row r="760" spans="12:12" x14ac:dyDescent="0.3">
      <c r="L760" s="7" t="str">
        <f t="shared" ca="1" si="28"/>
        <v/>
      </c>
    </row>
    <row r="761" spans="12:12" x14ac:dyDescent="0.3">
      <c r="L761" s="7" t="str">
        <f t="shared" ca="1" si="28"/>
        <v/>
      </c>
    </row>
    <row r="762" spans="12:12" x14ac:dyDescent="0.3">
      <c r="L762" s="7" t="str">
        <f t="shared" ca="1" si="28"/>
        <v/>
      </c>
    </row>
    <row r="763" spans="12:12" x14ac:dyDescent="0.3">
      <c r="L763" s="7" t="str">
        <f t="shared" ca="1" si="28"/>
        <v/>
      </c>
    </row>
    <row r="764" spans="12:12" x14ac:dyDescent="0.3">
      <c r="L764" s="7" t="str">
        <f t="shared" ca="1" si="28"/>
        <v/>
      </c>
    </row>
    <row r="765" spans="12:12" x14ac:dyDescent="0.3">
      <c r="L765" s="7" t="str">
        <f t="shared" ca="1" si="28"/>
        <v/>
      </c>
    </row>
    <row r="766" spans="12:12" x14ac:dyDescent="0.3">
      <c r="L766" s="7" t="str">
        <f t="shared" ca="1" si="28"/>
        <v/>
      </c>
    </row>
    <row r="767" spans="12:12" x14ac:dyDescent="0.3">
      <c r="L767" s="7" t="str">
        <f t="shared" ca="1" si="28"/>
        <v/>
      </c>
    </row>
    <row r="768" spans="12:12" x14ac:dyDescent="0.3">
      <c r="L768" s="7" t="str">
        <f t="shared" ca="1" si="28"/>
        <v/>
      </c>
    </row>
    <row r="769" spans="12:12" x14ac:dyDescent="0.3">
      <c r="L769" s="7" t="str">
        <f t="shared" ca="1" si="28"/>
        <v/>
      </c>
    </row>
    <row r="770" spans="12:12" x14ac:dyDescent="0.3">
      <c r="L770" s="7" t="str">
        <f t="shared" ca="1" si="28"/>
        <v/>
      </c>
    </row>
    <row r="771" spans="12:12" x14ac:dyDescent="0.3">
      <c r="L771" s="7" t="str">
        <f t="shared" ca="1" si="28"/>
        <v/>
      </c>
    </row>
    <row r="772" spans="12:12" x14ac:dyDescent="0.3">
      <c r="L772" s="7" t="str">
        <f t="shared" ca="1" si="28"/>
        <v/>
      </c>
    </row>
    <row r="773" spans="12:12" x14ac:dyDescent="0.3">
      <c r="L773" s="7" t="str">
        <f t="shared" ref="L773:L836" ca="1" si="29">IF(I773="Completed",0,IF(H773="","",H773-TODAY()))</f>
        <v/>
      </c>
    </row>
    <row r="774" spans="12:12" x14ac:dyDescent="0.3">
      <c r="L774" s="7" t="str">
        <f t="shared" ca="1" si="29"/>
        <v/>
      </c>
    </row>
    <row r="775" spans="12:12" x14ac:dyDescent="0.3">
      <c r="L775" s="7" t="str">
        <f t="shared" ca="1" si="29"/>
        <v/>
      </c>
    </row>
    <row r="776" spans="12:12" x14ac:dyDescent="0.3">
      <c r="L776" s="7" t="str">
        <f t="shared" ca="1" si="29"/>
        <v/>
      </c>
    </row>
    <row r="777" spans="12:12" x14ac:dyDescent="0.3">
      <c r="L777" s="7" t="str">
        <f t="shared" ca="1" si="29"/>
        <v/>
      </c>
    </row>
    <row r="778" spans="12:12" x14ac:dyDescent="0.3">
      <c r="L778" s="7" t="str">
        <f t="shared" ca="1" si="29"/>
        <v/>
      </c>
    </row>
    <row r="779" spans="12:12" x14ac:dyDescent="0.3">
      <c r="L779" s="7" t="str">
        <f t="shared" ca="1" si="29"/>
        <v/>
      </c>
    </row>
    <row r="780" spans="12:12" x14ac:dyDescent="0.3">
      <c r="L780" s="7" t="str">
        <f t="shared" ca="1" si="29"/>
        <v/>
      </c>
    </row>
    <row r="781" spans="12:12" x14ac:dyDescent="0.3">
      <c r="L781" s="7" t="str">
        <f t="shared" ca="1" si="29"/>
        <v/>
      </c>
    </row>
    <row r="782" spans="12:12" x14ac:dyDescent="0.3">
      <c r="L782" s="7" t="str">
        <f t="shared" ca="1" si="29"/>
        <v/>
      </c>
    </row>
    <row r="783" spans="12:12" x14ac:dyDescent="0.3">
      <c r="L783" s="7" t="str">
        <f t="shared" ca="1" si="29"/>
        <v/>
      </c>
    </row>
    <row r="784" spans="12:12" x14ac:dyDescent="0.3">
      <c r="L784" s="7" t="str">
        <f t="shared" ca="1" si="29"/>
        <v/>
      </c>
    </row>
    <row r="785" spans="12:12" x14ac:dyDescent="0.3">
      <c r="L785" s="7" t="str">
        <f t="shared" ca="1" si="29"/>
        <v/>
      </c>
    </row>
    <row r="786" spans="12:12" x14ac:dyDescent="0.3">
      <c r="L786" s="7" t="str">
        <f t="shared" ca="1" si="29"/>
        <v/>
      </c>
    </row>
    <row r="787" spans="12:12" x14ac:dyDescent="0.3">
      <c r="L787" s="7" t="str">
        <f t="shared" ca="1" si="29"/>
        <v/>
      </c>
    </row>
    <row r="788" spans="12:12" x14ac:dyDescent="0.3">
      <c r="L788" s="7" t="str">
        <f t="shared" ca="1" si="29"/>
        <v/>
      </c>
    </row>
    <row r="789" spans="12:12" x14ac:dyDescent="0.3">
      <c r="L789" s="7" t="str">
        <f t="shared" ca="1" si="29"/>
        <v/>
      </c>
    </row>
    <row r="790" spans="12:12" x14ac:dyDescent="0.3">
      <c r="L790" s="7" t="str">
        <f t="shared" ca="1" si="29"/>
        <v/>
      </c>
    </row>
    <row r="791" spans="12:12" x14ac:dyDescent="0.3">
      <c r="L791" s="7" t="str">
        <f t="shared" ca="1" si="29"/>
        <v/>
      </c>
    </row>
    <row r="792" spans="12:12" x14ac:dyDescent="0.3">
      <c r="L792" s="7" t="str">
        <f t="shared" ca="1" si="29"/>
        <v/>
      </c>
    </row>
    <row r="793" spans="12:12" x14ac:dyDescent="0.3">
      <c r="L793" s="7" t="str">
        <f t="shared" ca="1" si="29"/>
        <v/>
      </c>
    </row>
    <row r="794" spans="12:12" x14ac:dyDescent="0.3">
      <c r="L794" s="7" t="str">
        <f t="shared" ca="1" si="29"/>
        <v/>
      </c>
    </row>
    <row r="795" spans="12:12" x14ac:dyDescent="0.3">
      <c r="L795" s="7" t="str">
        <f t="shared" ca="1" si="29"/>
        <v/>
      </c>
    </row>
    <row r="796" spans="12:12" x14ac:dyDescent="0.3">
      <c r="L796" s="7" t="str">
        <f t="shared" ca="1" si="29"/>
        <v/>
      </c>
    </row>
    <row r="797" spans="12:12" x14ac:dyDescent="0.3">
      <c r="L797" s="7" t="str">
        <f t="shared" ca="1" si="29"/>
        <v/>
      </c>
    </row>
    <row r="798" spans="12:12" x14ac:dyDescent="0.3">
      <c r="L798" s="7" t="str">
        <f t="shared" ca="1" si="29"/>
        <v/>
      </c>
    </row>
    <row r="799" spans="12:12" x14ac:dyDescent="0.3">
      <c r="L799" s="7" t="str">
        <f t="shared" ca="1" si="29"/>
        <v/>
      </c>
    </row>
    <row r="800" spans="12:12" x14ac:dyDescent="0.3">
      <c r="L800" s="7" t="str">
        <f t="shared" ca="1" si="29"/>
        <v/>
      </c>
    </row>
    <row r="801" spans="12:12" x14ac:dyDescent="0.3">
      <c r="L801" s="7" t="str">
        <f t="shared" ca="1" si="29"/>
        <v/>
      </c>
    </row>
    <row r="802" spans="12:12" x14ac:dyDescent="0.3">
      <c r="L802" s="7" t="str">
        <f t="shared" ca="1" si="29"/>
        <v/>
      </c>
    </row>
    <row r="803" spans="12:12" x14ac:dyDescent="0.3">
      <c r="L803" s="7" t="str">
        <f t="shared" ca="1" si="29"/>
        <v/>
      </c>
    </row>
    <row r="804" spans="12:12" x14ac:dyDescent="0.3">
      <c r="L804" s="7" t="str">
        <f t="shared" ca="1" si="29"/>
        <v/>
      </c>
    </row>
    <row r="805" spans="12:12" x14ac:dyDescent="0.3">
      <c r="L805" s="7" t="str">
        <f t="shared" ca="1" si="29"/>
        <v/>
      </c>
    </row>
    <row r="806" spans="12:12" x14ac:dyDescent="0.3">
      <c r="L806" s="7" t="str">
        <f t="shared" ca="1" si="29"/>
        <v/>
      </c>
    </row>
    <row r="807" spans="12:12" x14ac:dyDescent="0.3">
      <c r="L807" s="7" t="str">
        <f t="shared" ca="1" si="29"/>
        <v/>
      </c>
    </row>
    <row r="808" spans="12:12" x14ac:dyDescent="0.3">
      <c r="L808" s="7" t="str">
        <f t="shared" ca="1" si="29"/>
        <v/>
      </c>
    </row>
    <row r="809" spans="12:12" x14ac:dyDescent="0.3">
      <c r="L809" s="7" t="str">
        <f t="shared" ca="1" si="29"/>
        <v/>
      </c>
    </row>
    <row r="810" spans="12:12" x14ac:dyDescent="0.3">
      <c r="L810" s="7" t="str">
        <f t="shared" ca="1" si="29"/>
        <v/>
      </c>
    </row>
    <row r="811" spans="12:12" x14ac:dyDescent="0.3">
      <c r="L811" s="7" t="str">
        <f t="shared" ca="1" si="29"/>
        <v/>
      </c>
    </row>
    <row r="812" spans="12:12" x14ac:dyDescent="0.3">
      <c r="L812" s="7" t="str">
        <f t="shared" ca="1" si="29"/>
        <v/>
      </c>
    </row>
    <row r="813" spans="12:12" x14ac:dyDescent="0.3">
      <c r="L813" s="7" t="str">
        <f t="shared" ca="1" si="29"/>
        <v/>
      </c>
    </row>
    <row r="814" spans="12:12" x14ac:dyDescent="0.3">
      <c r="L814" s="7" t="str">
        <f t="shared" ca="1" si="29"/>
        <v/>
      </c>
    </row>
    <row r="815" spans="12:12" x14ac:dyDescent="0.3">
      <c r="L815" s="7" t="str">
        <f t="shared" ca="1" si="29"/>
        <v/>
      </c>
    </row>
    <row r="816" spans="12:12" x14ac:dyDescent="0.3">
      <c r="L816" s="7" t="str">
        <f t="shared" ca="1" si="29"/>
        <v/>
      </c>
    </row>
    <row r="817" spans="12:12" x14ac:dyDescent="0.3">
      <c r="L817" s="7" t="str">
        <f t="shared" ca="1" si="29"/>
        <v/>
      </c>
    </row>
    <row r="818" spans="12:12" x14ac:dyDescent="0.3">
      <c r="L818" s="7" t="str">
        <f t="shared" ca="1" si="29"/>
        <v/>
      </c>
    </row>
    <row r="819" spans="12:12" x14ac:dyDescent="0.3">
      <c r="L819" s="7" t="str">
        <f t="shared" ca="1" si="29"/>
        <v/>
      </c>
    </row>
    <row r="820" spans="12:12" x14ac:dyDescent="0.3">
      <c r="L820" s="7" t="str">
        <f t="shared" ca="1" si="29"/>
        <v/>
      </c>
    </row>
    <row r="821" spans="12:12" x14ac:dyDescent="0.3">
      <c r="L821" s="7" t="str">
        <f t="shared" ca="1" si="29"/>
        <v/>
      </c>
    </row>
    <row r="822" spans="12:12" x14ac:dyDescent="0.3">
      <c r="L822" s="7" t="str">
        <f t="shared" ca="1" si="29"/>
        <v/>
      </c>
    </row>
    <row r="823" spans="12:12" x14ac:dyDescent="0.3">
      <c r="L823" s="7" t="str">
        <f t="shared" ca="1" si="29"/>
        <v/>
      </c>
    </row>
    <row r="824" spans="12:12" x14ac:dyDescent="0.3">
      <c r="L824" s="7" t="str">
        <f t="shared" ca="1" si="29"/>
        <v/>
      </c>
    </row>
    <row r="825" spans="12:12" x14ac:dyDescent="0.3">
      <c r="L825" s="7" t="str">
        <f t="shared" ca="1" si="29"/>
        <v/>
      </c>
    </row>
    <row r="826" spans="12:12" x14ac:dyDescent="0.3">
      <c r="L826" s="7" t="str">
        <f t="shared" ca="1" si="29"/>
        <v/>
      </c>
    </row>
    <row r="827" spans="12:12" x14ac:dyDescent="0.3">
      <c r="L827" s="7" t="str">
        <f t="shared" ca="1" si="29"/>
        <v/>
      </c>
    </row>
    <row r="828" spans="12:12" x14ac:dyDescent="0.3">
      <c r="L828" s="7" t="str">
        <f t="shared" ca="1" si="29"/>
        <v/>
      </c>
    </row>
    <row r="829" spans="12:12" x14ac:dyDescent="0.3">
      <c r="L829" s="7" t="str">
        <f t="shared" ca="1" si="29"/>
        <v/>
      </c>
    </row>
    <row r="830" spans="12:12" x14ac:dyDescent="0.3">
      <c r="L830" s="7" t="str">
        <f t="shared" ca="1" si="29"/>
        <v/>
      </c>
    </row>
    <row r="831" spans="12:12" x14ac:dyDescent="0.3">
      <c r="L831" s="7" t="str">
        <f t="shared" ca="1" si="29"/>
        <v/>
      </c>
    </row>
    <row r="832" spans="12:12" x14ac:dyDescent="0.3">
      <c r="L832" s="7" t="str">
        <f t="shared" ca="1" si="29"/>
        <v/>
      </c>
    </row>
    <row r="833" spans="12:12" x14ac:dyDescent="0.3">
      <c r="L833" s="7" t="str">
        <f t="shared" ca="1" si="29"/>
        <v/>
      </c>
    </row>
    <row r="834" spans="12:12" x14ac:dyDescent="0.3">
      <c r="L834" s="7" t="str">
        <f t="shared" ca="1" si="29"/>
        <v/>
      </c>
    </row>
    <row r="835" spans="12:12" x14ac:dyDescent="0.3">
      <c r="L835" s="7" t="str">
        <f t="shared" ca="1" si="29"/>
        <v/>
      </c>
    </row>
    <row r="836" spans="12:12" x14ac:dyDescent="0.3">
      <c r="L836" s="7" t="str">
        <f t="shared" ca="1" si="29"/>
        <v/>
      </c>
    </row>
    <row r="837" spans="12:12" x14ac:dyDescent="0.3">
      <c r="L837" s="7" t="str">
        <f t="shared" ref="L837:L900" ca="1" si="30">IF(I837="Completed",0,IF(H837="","",H837-TODAY()))</f>
        <v/>
      </c>
    </row>
    <row r="838" spans="12:12" x14ac:dyDescent="0.3">
      <c r="L838" s="7" t="str">
        <f t="shared" ca="1" si="30"/>
        <v/>
      </c>
    </row>
    <row r="839" spans="12:12" x14ac:dyDescent="0.3">
      <c r="L839" s="7" t="str">
        <f t="shared" ca="1" si="30"/>
        <v/>
      </c>
    </row>
    <row r="840" spans="12:12" x14ac:dyDescent="0.3">
      <c r="L840" s="7" t="str">
        <f t="shared" ca="1" si="30"/>
        <v/>
      </c>
    </row>
    <row r="841" spans="12:12" x14ac:dyDescent="0.3">
      <c r="L841" s="7" t="str">
        <f t="shared" ca="1" si="30"/>
        <v/>
      </c>
    </row>
    <row r="842" spans="12:12" x14ac:dyDescent="0.3">
      <c r="L842" s="7" t="str">
        <f t="shared" ca="1" si="30"/>
        <v/>
      </c>
    </row>
    <row r="843" spans="12:12" x14ac:dyDescent="0.3">
      <c r="L843" s="7" t="str">
        <f t="shared" ca="1" si="30"/>
        <v/>
      </c>
    </row>
    <row r="844" spans="12:12" x14ac:dyDescent="0.3">
      <c r="L844" s="7" t="str">
        <f t="shared" ca="1" si="30"/>
        <v/>
      </c>
    </row>
    <row r="845" spans="12:12" x14ac:dyDescent="0.3">
      <c r="L845" s="7" t="str">
        <f t="shared" ca="1" si="30"/>
        <v/>
      </c>
    </row>
    <row r="846" spans="12:12" x14ac:dyDescent="0.3">
      <c r="L846" s="7" t="str">
        <f t="shared" ca="1" si="30"/>
        <v/>
      </c>
    </row>
    <row r="847" spans="12:12" x14ac:dyDescent="0.3">
      <c r="L847" s="7" t="str">
        <f t="shared" ca="1" si="30"/>
        <v/>
      </c>
    </row>
    <row r="848" spans="12:12" x14ac:dyDescent="0.3">
      <c r="L848" s="7" t="str">
        <f t="shared" ca="1" si="30"/>
        <v/>
      </c>
    </row>
    <row r="849" spans="12:12" x14ac:dyDescent="0.3">
      <c r="L849" s="7" t="str">
        <f t="shared" ca="1" si="30"/>
        <v/>
      </c>
    </row>
    <row r="850" spans="12:12" x14ac:dyDescent="0.3">
      <c r="L850" s="7" t="str">
        <f t="shared" ca="1" si="30"/>
        <v/>
      </c>
    </row>
    <row r="851" spans="12:12" x14ac:dyDescent="0.3">
      <c r="L851" s="7" t="str">
        <f t="shared" ca="1" si="30"/>
        <v/>
      </c>
    </row>
    <row r="852" spans="12:12" x14ac:dyDescent="0.3">
      <c r="L852" s="7" t="str">
        <f t="shared" ca="1" si="30"/>
        <v/>
      </c>
    </row>
    <row r="853" spans="12:12" x14ac:dyDescent="0.3">
      <c r="L853" s="7" t="str">
        <f t="shared" ca="1" si="30"/>
        <v/>
      </c>
    </row>
    <row r="854" spans="12:12" x14ac:dyDescent="0.3">
      <c r="L854" s="7" t="str">
        <f t="shared" ca="1" si="30"/>
        <v/>
      </c>
    </row>
    <row r="855" spans="12:12" x14ac:dyDescent="0.3">
      <c r="L855" s="7" t="str">
        <f t="shared" ca="1" si="30"/>
        <v/>
      </c>
    </row>
    <row r="856" spans="12:12" x14ac:dyDescent="0.3">
      <c r="L856" s="7" t="str">
        <f t="shared" ca="1" si="30"/>
        <v/>
      </c>
    </row>
    <row r="857" spans="12:12" x14ac:dyDescent="0.3">
      <c r="L857" s="7" t="str">
        <f t="shared" ca="1" si="30"/>
        <v/>
      </c>
    </row>
    <row r="858" spans="12:12" x14ac:dyDescent="0.3">
      <c r="L858" s="7" t="str">
        <f t="shared" ca="1" si="30"/>
        <v/>
      </c>
    </row>
    <row r="859" spans="12:12" x14ac:dyDescent="0.3">
      <c r="L859" s="7" t="str">
        <f t="shared" ca="1" si="30"/>
        <v/>
      </c>
    </row>
    <row r="860" spans="12:12" x14ac:dyDescent="0.3">
      <c r="L860" s="7" t="str">
        <f t="shared" ca="1" si="30"/>
        <v/>
      </c>
    </row>
    <row r="861" spans="12:12" x14ac:dyDescent="0.3">
      <c r="L861" s="7" t="str">
        <f t="shared" ca="1" si="30"/>
        <v/>
      </c>
    </row>
    <row r="862" spans="12:12" x14ac:dyDescent="0.3">
      <c r="L862" s="7" t="str">
        <f t="shared" ca="1" si="30"/>
        <v/>
      </c>
    </row>
    <row r="863" spans="12:12" x14ac:dyDescent="0.3">
      <c r="L863" s="7" t="str">
        <f t="shared" ca="1" si="30"/>
        <v/>
      </c>
    </row>
    <row r="864" spans="12:12" x14ac:dyDescent="0.3">
      <c r="L864" s="7" t="str">
        <f t="shared" ca="1" si="30"/>
        <v/>
      </c>
    </row>
    <row r="865" spans="12:12" x14ac:dyDescent="0.3">
      <c r="L865" s="7" t="str">
        <f t="shared" ca="1" si="30"/>
        <v/>
      </c>
    </row>
    <row r="866" spans="12:12" x14ac:dyDescent="0.3">
      <c r="L866" s="7" t="str">
        <f t="shared" ca="1" si="30"/>
        <v/>
      </c>
    </row>
    <row r="867" spans="12:12" x14ac:dyDescent="0.3">
      <c r="L867" s="7" t="str">
        <f t="shared" ca="1" si="30"/>
        <v/>
      </c>
    </row>
    <row r="868" spans="12:12" x14ac:dyDescent="0.3">
      <c r="L868" s="7" t="str">
        <f t="shared" ca="1" si="30"/>
        <v/>
      </c>
    </row>
    <row r="869" spans="12:12" x14ac:dyDescent="0.3">
      <c r="L869" s="7" t="str">
        <f t="shared" ca="1" si="30"/>
        <v/>
      </c>
    </row>
    <row r="870" spans="12:12" x14ac:dyDescent="0.3">
      <c r="L870" s="7" t="str">
        <f t="shared" ca="1" si="30"/>
        <v/>
      </c>
    </row>
    <row r="871" spans="12:12" x14ac:dyDescent="0.3">
      <c r="L871" s="7" t="str">
        <f t="shared" ca="1" si="30"/>
        <v/>
      </c>
    </row>
    <row r="872" spans="12:12" x14ac:dyDescent="0.3">
      <c r="L872" s="7" t="str">
        <f t="shared" ca="1" si="30"/>
        <v/>
      </c>
    </row>
    <row r="873" spans="12:12" x14ac:dyDescent="0.3">
      <c r="L873" s="7" t="str">
        <f t="shared" ca="1" si="30"/>
        <v/>
      </c>
    </row>
    <row r="874" spans="12:12" x14ac:dyDescent="0.3">
      <c r="L874" s="7" t="str">
        <f t="shared" ca="1" si="30"/>
        <v/>
      </c>
    </row>
    <row r="875" spans="12:12" x14ac:dyDescent="0.3">
      <c r="L875" s="7" t="str">
        <f t="shared" ca="1" si="30"/>
        <v/>
      </c>
    </row>
    <row r="876" spans="12:12" x14ac:dyDescent="0.3">
      <c r="L876" s="7" t="str">
        <f t="shared" ca="1" si="30"/>
        <v/>
      </c>
    </row>
    <row r="877" spans="12:12" x14ac:dyDescent="0.3">
      <c r="L877" s="7" t="str">
        <f t="shared" ca="1" si="30"/>
        <v/>
      </c>
    </row>
    <row r="878" spans="12:12" x14ac:dyDescent="0.3">
      <c r="L878" s="7" t="str">
        <f t="shared" ca="1" si="30"/>
        <v/>
      </c>
    </row>
    <row r="879" spans="12:12" x14ac:dyDescent="0.3">
      <c r="L879" s="7" t="str">
        <f t="shared" ca="1" si="30"/>
        <v/>
      </c>
    </row>
    <row r="880" spans="12:12" x14ac:dyDescent="0.3">
      <c r="L880" s="7" t="str">
        <f t="shared" ca="1" si="30"/>
        <v/>
      </c>
    </row>
    <row r="881" spans="12:12" x14ac:dyDescent="0.3">
      <c r="L881" s="7" t="str">
        <f t="shared" ca="1" si="30"/>
        <v/>
      </c>
    </row>
    <row r="882" spans="12:12" x14ac:dyDescent="0.3">
      <c r="L882" s="7" t="str">
        <f t="shared" ca="1" si="30"/>
        <v/>
      </c>
    </row>
    <row r="883" spans="12:12" x14ac:dyDescent="0.3">
      <c r="L883" s="7" t="str">
        <f t="shared" ca="1" si="30"/>
        <v/>
      </c>
    </row>
    <row r="884" spans="12:12" x14ac:dyDescent="0.3">
      <c r="L884" s="7" t="str">
        <f t="shared" ca="1" si="30"/>
        <v/>
      </c>
    </row>
    <row r="885" spans="12:12" x14ac:dyDescent="0.3">
      <c r="L885" s="7" t="str">
        <f t="shared" ca="1" si="30"/>
        <v/>
      </c>
    </row>
    <row r="886" spans="12:12" x14ac:dyDescent="0.3">
      <c r="L886" s="7" t="str">
        <f t="shared" ca="1" si="30"/>
        <v/>
      </c>
    </row>
    <row r="887" spans="12:12" x14ac:dyDescent="0.3">
      <c r="L887" s="7" t="str">
        <f t="shared" ca="1" si="30"/>
        <v/>
      </c>
    </row>
    <row r="888" spans="12:12" x14ac:dyDescent="0.3">
      <c r="L888" s="7" t="str">
        <f t="shared" ca="1" si="30"/>
        <v/>
      </c>
    </row>
    <row r="889" spans="12:12" x14ac:dyDescent="0.3">
      <c r="L889" s="7" t="str">
        <f t="shared" ca="1" si="30"/>
        <v/>
      </c>
    </row>
    <row r="890" spans="12:12" x14ac:dyDescent="0.3">
      <c r="L890" s="7" t="str">
        <f t="shared" ca="1" si="30"/>
        <v/>
      </c>
    </row>
    <row r="891" spans="12:12" x14ac:dyDescent="0.3">
      <c r="L891" s="7" t="str">
        <f t="shared" ca="1" si="30"/>
        <v/>
      </c>
    </row>
    <row r="892" spans="12:12" x14ac:dyDescent="0.3">
      <c r="L892" s="7" t="str">
        <f t="shared" ca="1" si="30"/>
        <v/>
      </c>
    </row>
    <row r="893" spans="12:12" x14ac:dyDescent="0.3">
      <c r="L893" s="7" t="str">
        <f t="shared" ca="1" si="30"/>
        <v/>
      </c>
    </row>
    <row r="894" spans="12:12" x14ac:dyDescent="0.3">
      <c r="L894" s="7" t="str">
        <f t="shared" ca="1" si="30"/>
        <v/>
      </c>
    </row>
    <row r="895" spans="12:12" x14ac:dyDescent="0.3">
      <c r="L895" s="7" t="str">
        <f t="shared" ca="1" si="30"/>
        <v/>
      </c>
    </row>
    <row r="896" spans="12:12" x14ac:dyDescent="0.3">
      <c r="L896" s="7" t="str">
        <f t="shared" ca="1" si="30"/>
        <v/>
      </c>
    </row>
    <row r="897" spans="12:12" x14ac:dyDescent="0.3">
      <c r="L897" s="7" t="str">
        <f t="shared" ca="1" si="30"/>
        <v/>
      </c>
    </row>
    <row r="898" spans="12:12" x14ac:dyDescent="0.3">
      <c r="L898" s="7" t="str">
        <f t="shared" ca="1" si="30"/>
        <v/>
      </c>
    </row>
    <row r="899" spans="12:12" x14ac:dyDescent="0.3">
      <c r="L899" s="7" t="str">
        <f t="shared" ca="1" si="30"/>
        <v/>
      </c>
    </row>
    <row r="900" spans="12:12" x14ac:dyDescent="0.3">
      <c r="L900" s="7" t="str">
        <f t="shared" ca="1" si="30"/>
        <v/>
      </c>
    </row>
    <row r="901" spans="12:12" x14ac:dyDescent="0.3">
      <c r="L901" s="7" t="str">
        <f t="shared" ref="L901:L964" ca="1" si="31">IF(I901="Completed",0,IF(H901="","",H901-TODAY()))</f>
        <v/>
      </c>
    </row>
    <row r="902" spans="12:12" x14ac:dyDescent="0.3">
      <c r="L902" s="7" t="str">
        <f t="shared" ca="1" si="31"/>
        <v/>
      </c>
    </row>
    <row r="903" spans="12:12" x14ac:dyDescent="0.3">
      <c r="L903" s="7" t="str">
        <f t="shared" ca="1" si="31"/>
        <v/>
      </c>
    </row>
    <row r="904" spans="12:12" x14ac:dyDescent="0.3">
      <c r="L904" s="7" t="str">
        <f t="shared" ca="1" si="31"/>
        <v/>
      </c>
    </row>
    <row r="905" spans="12:12" x14ac:dyDescent="0.3">
      <c r="L905" s="7" t="str">
        <f t="shared" ca="1" si="31"/>
        <v/>
      </c>
    </row>
    <row r="906" spans="12:12" x14ac:dyDescent="0.3">
      <c r="L906" s="7" t="str">
        <f t="shared" ca="1" si="31"/>
        <v/>
      </c>
    </row>
    <row r="907" spans="12:12" x14ac:dyDescent="0.3">
      <c r="L907" s="7" t="str">
        <f t="shared" ca="1" si="31"/>
        <v/>
      </c>
    </row>
    <row r="908" spans="12:12" x14ac:dyDescent="0.3">
      <c r="L908" s="7" t="str">
        <f t="shared" ca="1" si="31"/>
        <v/>
      </c>
    </row>
    <row r="909" spans="12:12" x14ac:dyDescent="0.3">
      <c r="L909" s="7" t="str">
        <f t="shared" ca="1" si="31"/>
        <v/>
      </c>
    </row>
    <row r="910" spans="12:12" x14ac:dyDescent="0.3">
      <c r="L910" s="7" t="str">
        <f t="shared" ca="1" si="31"/>
        <v/>
      </c>
    </row>
    <row r="911" spans="12:12" x14ac:dyDescent="0.3">
      <c r="L911" s="7" t="str">
        <f t="shared" ca="1" si="31"/>
        <v/>
      </c>
    </row>
    <row r="912" spans="12:12" x14ac:dyDescent="0.3">
      <c r="L912" s="7" t="str">
        <f t="shared" ca="1" si="31"/>
        <v/>
      </c>
    </row>
    <row r="913" spans="12:12" x14ac:dyDescent="0.3">
      <c r="L913" s="7" t="str">
        <f t="shared" ca="1" si="31"/>
        <v/>
      </c>
    </row>
    <row r="914" spans="12:12" x14ac:dyDescent="0.3">
      <c r="L914" s="7" t="str">
        <f t="shared" ca="1" si="31"/>
        <v/>
      </c>
    </row>
    <row r="915" spans="12:12" x14ac:dyDescent="0.3">
      <c r="L915" s="7" t="str">
        <f t="shared" ca="1" si="31"/>
        <v/>
      </c>
    </row>
    <row r="916" spans="12:12" x14ac:dyDescent="0.3">
      <c r="L916" s="7" t="str">
        <f t="shared" ca="1" si="31"/>
        <v/>
      </c>
    </row>
    <row r="917" spans="12:12" x14ac:dyDescent="0.3">
      <c r="L917" s="7" t="str">
        <f t="shared" ca="1" si="31"/>
        <v/>
      </c>
    </row>
    <row r="918" spans="12:12" x14ac:dyDescent="0.3">
      <c r="L918" s="7" t="str">
        <f t="shared" ca="1" si="31"/>
        <v/>
      </c>
    </row>
    <row r="919" spans="12:12" x14ac:dyDescent="0.3">
      <c r="L919" s="7" t="str">
        <f t="shared" ca="1" si="31"/>
        <v/>
      </c>
    </row>
    <row r="920" spans="12:12" x14ac:dyDescent="0.3">
      <c r="L920" s="7" t="str">
        <f t="shared" ca="1" si="31"/>
        <v/>
      </c>
    </row>
    <row r="921" spans="12:12" x14ac:dyDescent="0.3">
      <c r="L921" s="7" t="str">
        <f t="shared" ca="1" si="31"/>
        <v/>
      </c>
    </row>
    <row r="922" spans="12:12" x14ac:dyDescent="0.3">
      <c r="L922" s="7" t="str">
        <f t="shared" ca="1" si="31"/>
        <v/>
      </c>
    </row>
    <row r="923" spans="12:12" x14ac:dyDescent="0.3">
      <c r="L923" s="7" t="str">
        <f t="shared" ca="1" si="31"/>
        <v/>
      </c>
    </row>
    <row r="924" spans="12:12" x14ac:dyDescent="0.3">
      <c r="L924" s="7" t="str">
        <f t="shared" ca="1" si="31"/>
        <v/>
      </c>
    </row>
    <row r="925" spans="12:12" x14ac:dyDescent="0.3">
      <c r="L925" s="7" t="str">
        <f t="shared" ca="1" si="31"/>
        <v/>
      </c>
    </row>
    <row r="926" spans="12:12" x14ac:dyDescent="0.3">
      <c r="L926" s="7" t="str">
        <f t="shared" ca="1" si="31"/>
        <v/>
      </c>
    </row>
    <row r="927" spans="12:12" x14ac:dyDescent="0.3">
      <c r="L927" s="7" t="str">
        <f t="shared" ca="1" si="31"/>
        <v/>
      </c>
    </row>
    <row r="928" spans="12:12" x14ac:dyDescent="0.3">
      <c r="L928" s="7" t="str">
        <f t="shared" ca="1" si="31"/>
        <v/>
      </c>
    </row>
    <row r="929" spans="12:12" x14ac:dyDescent="0.3">
      <c r="L929" s="7" t="str">
        <f t="shared" ca="1" si="31"/>
        <v/>
      </c>
    </row>
    <row r="930" spans="12:12" x14ac:dyDescent="0.3">
      <c r="L930" s="7" t="str">
        <f t="shared" ca="1" si="31"/>
        <v/>
      </c>
    </row>
    <row r="931" spans="12:12" x14ac:dyDescent="0.3">
      <c r="L931" s="7" t="str">
        <f t="shared" ca="1" si="31"/>
        <v/>
      </c>
    </row>
    <row r="932" spans="12:12" x14ac:dyDescent="0.3">
      <c r="L932" s="7" t="str">
        <f t="shared" ca="1" si="31"/>
        <v/>
      </c>
    </row>
    <row r="933" spans="12:12" x14ac:dyDescent="0.3">
      <c r="L933" s="7" t="str">
        <f t="shared" ca="1" si="31"/>
        <v/>
      </c>
    </row>
    <row r="934" spans="12:12" x14ac:dyDescent="0.3">
      <c r="L934" s="7" t="str">
        <f t="shared" ca="1" si="31"/>
        <v/>
      </c>
    </row>
    <row r="935" spans="12:12" x14ac:dyDescent="0.3">
      <c r="L935" s="7" t="str">
        <f t="shared" ca="1" si="31"/>
        <v/>
      </c>
    </row>
    <row r="936" spans="12:12" x14ac:dyDescent="0.3">
      <c r="L936" s="7" t="str">
        <f t="shared" ca="1" si="31"/>
        <v/>
      </c>
    </row>
    <row r="937" spans="12:12" x14ac:dyDescent="0.3">
      <c r="L937" s="7" t="str">
        <f t="shared" ca="1" si="31"/>
        <v/>
      </c>
    </row>
    <row r="938" spans="12:12" x14ac:dyDescent="0.3">
      <c r="L938" s="7" t="str">
        <f t="shared" ca="1" si="31"/>
        <v/>
      </c>
    </row>
    <row r="939" spans="12:12" x14ac:dyDescent="0.3">
      <c r="L939" s="7" t="str">
        <f t="shared" ca="1" si="31"/>
        <v/>
      </c>
    </row>
    <row r="940" spans="12:12" x14ac:dyDescent="0.3">
      <c r="L940" s="7" t="str">
        <f t="shared" ca="1" si="31"/>
        <v/>
      </c>
    </row>
    <row r="941" spans="12:12" x14ac:dyDescent="0.3">
      <c r="L941" s="7" t="str">
        <f t="shared" ca="1" si="31"/>
        <v/>
      </c>
    </row>
    <row r="942" spans="12:12" x14ac:dyDescent="0.3">
      <c r="L942" s="7" t="str">
        <f t="shared" ca="1" si="31"/>
        <v/>
      </c>
    </row>
    <row r="943" spans="12:12" x14ac:dyDescent="0.3">
      <c r="L943" s="7" t="str">
        <f t="shared" ca="1" si="31"/>
        <v/>
      </c>
    </row>
    <row r="944" spans="12:12" x14ac:dyDescent="0.3">
      <c r="L944" s="7" t="str">
        <f t="shared" ca="1" si="31"/>
        <v/>
      </c>
    </row>
    <row r="945" spans="12:12" x14ac:dyDescent="0.3">
      <c r="L945" s="7" t="str">
        <f t="shared" ca="1" si="31"/>
        <v/>
      </c>
    </row>
    <row r="946" spans="12:12" x14ac:dyDescent="0.3">
      <c r="L946" s="7" t="str">
        <f t="shared" ca="1" si="31"/>
        <v/>
      </c>
    </row>
    <row r="947" spans="12:12" x14ac:dyDescent="0.3">
      <c r="L947" s="7" t="str">
        <f t="shared" ca="1" si="31"/>
        <v/>
      </c>
    </row>
    <row r="948" spans="12:12" x14ac:dyDescent="0.3">
      <c r="L948" s="7" t="str">
        <f t="shared" ca="1" si="31"/>
        <v/>
      </c>
    </row>
    <row r="949" spans="12:12" x14ac:dyDescent="0.3">
      <c r="L949" s="7" t="str">
        <f t="shared" ca="1" si="31"/>
        <v/>
      </c>
    </row>
    <row r="950" spans="12:12" x14ac:dyDescent="0.3">
      <c r="L950" s="7" t="str">
        <f t="shared" ca="1" si="31"/>
        <v/>
      </c>
    </row>
    <row r="951" spans="12:12" x14ac:dyDescent="0.3">
      <c r="L951" s="7" t="str">
        <f t="shared" ca="1" si="31"/>
        <v/>
      </c>
    </row>
    <row r="952" spans="12:12" x14ac:dyDescent="0.3">
      <c r="L952" s="7" t="str">
        <f t="shared" ca="1" si="31"/>
        <v/>
      </c>
    </row>
    <row r="953" spans="12:12" x14ac:dyDescent="0.3">
      <c r="L953" s="7" t="str">
        <f t="shared" ca="1" si="31"/>
        <v/>
      </c>
    </row>
    <row r="954" spans="12:12" x14ac:dyDescent="0.3">
      <c r="L954" s="7" t="str">
        <f t="shared" ca="1" si="31"/>
        <v/>
      </c>
    </row>
    <row r="955" spans="12:12" x14ac:dyDescent="0.3">
      <c r="L955" s="7" t="str">
        <f t="shared" ca="1" si="31"/>
        <v/>
      </c>
    </row>
    <row r="956" spans="12:12" x14ac:dyDescent="0.3">
      <c r="L956" s="7" t="str">
        <f t="shared" ca="1" si="31"/>
        <v/>
      </c>
    </row>
    <row r="957" spans="12:12" x14ac:dyDescent="0.3">
      <c r="L957" s="7" t="str">
        <f t="shared" ca="1" si="31"/>
        <v/>
      </c>
    </row>
    <row r="958" spans="12:12" x14ac:dyDescent="0.3">
      <c r="L958" s="7" t="str">
        <f t="shared" ca="1" si="31"/>
        <v/>
      </c>
    </row>
    <row r="959" spans="12:12" x14ac:dyDescent="0.3">
      <c r="L959" s="7" t="str">
        <f t="shared" ca="1" si="31"/>
        <v/>
      </c>
    </row>
    <row r="960" spans="12:12" x14ac:dyDescent="0.3">
      <c r="L960" s="7" t="str">
        <f t="shared" ca="1" si="31"/>
        <v/>
      </c>
    </row>
    <row r="961" spans="12:12" x14ac:dyDescent="0.3">
      <c r="L961" s="7" t="str">
        <f t="shared" ca="1" si="31"/>
        <v/>
      </c>
    </row>
    <row r="962" spans="12:12" x14ac:dyDescent="0.3">
      <c r="L962" s="7" t="str">
        <f t="shared" ca="1" si="31"/>
        <v/>
      </c>
    </row>
    <row r="963" spans="12:12" x14ac:dyDescent="0.3">
      <c r="L963" s="7" t="str">
        <f t="shared" ca="1" si="31"/>
        <v/>
      </c>
    </row>
    <row r="964" spans="12:12" x14ac:dyDescent="0.3">
      <c r="L964" s="7" t="str">
        <f t="shared" ca="1" si="31"/>
        <v/>
      </c>
    </row>
    <row r="965" spans="12:12" x14ac:dyDescent="0.3">
      <c r="L965" s="7" t="str">
        <f t="shared" ref="L965:L1028" ca="1" si="32">IF(I965="Completed",0,IF(H965="","",H965-TODAY()))</f>
        <v/>
      </c>
    </row>
    <row r="966" spans="12:12" x14ac:dyDescent="0.3">
      <c r="L966" s="7" t="str">
        <f t="shared" ca="1" si="32"/>
        <v/>
      </c>
    </row>
    <row r="967" spans="12:12" x14ac:dyDescent="0.3">
      <c r="L967" s="7" t="str">
        <f t="shared" ca="1" si="32"/>
        <v/>
      </c>
    </row>
    <row r="968" spans="12:12" x14ac:dyDescent="0.3">
      <c r="L968" s="7" t="str">
        <f t="shared" ca="1" si="32"/>
        <v/>
      </c>
    </row>
    <row r="969" spans="12:12" x14ac:dyDescent="0.3">
      <c r="L969" s="7" t="str">
        <f t="shared" ca="1" si="32"/>
        <v/>
      </c>
    </row>
    <row r="970" spans="12:12" x14ac:dyDescent="0.3">
      <c r="L970" s="7" t="str">
        <f t="shared" ca="1" si="32"/>
        <v/>
      </c>
    </row>
    <row r="971" spans="12:12" x14ac:dyDescent="0.3">
      <c r="L971" s="7" t="str">
        <f t="shared" ca="1" si="32"/>
        <v/>
      </c>
    </row>
    <row r="972" spans="12:12" x14ac:dyDescent="0.3">
      <c r="L972" s="7" t="str">
        <f t="shared" ca="1" si="32"/>
        <v/>
      </c>
    </row>
    <row r="973" spans="12:12" x14ac:dyDescent="0.3">
      <c r="L973" s="7" t="str">
        <f t="shared" ca="1" si="32"/>
        <v/>
      </c>
    </row>
    <row r="974" spans="12:12" x14ac:dyDescent="0.3">
      <c r="L974" s="7" t="str">
        <f t="shared" ca="1" si="32"/>
        <v/>
      </c>
    </row>
    <row r="975" spans="12:12" x14ac:dyDescent="0.3">
      <c r="L975" s="7" t="str">
        <f t="shared" ca="1" si="32"/>
        <v/>
      </c>
    </row>
    <row r="976" spans="12:12" x14ac:dyDescent="0.3">
      <c r="L976" s="7" t="str">
        <f t="shared" ca="1" si="32"/>
        <v/>
      </c>
    </row>
    <row r="977" spans="12:12" x14ac:dyDescent="0.3">
      <c r="L977" s="7" t="str">
        <f t="shared" ca="1" si="32"/>
        <v/>
      </c>
    </row>
    <row r="978" spans="12:12" x14ac:dyDescent="0.3">
      <c r="L978" s="7" t="str">
        <f t="shared" ca="1" si="32"/>
        <v/>
      </c>
    </row>
    <row r="979" spans="12:12" x14ac:dyDescent="0.3">
      <c r="L979" s="7" t="str">
        <f t="shared" ca="1" si="32"/>
        <v/>
      </c>
    </row>
    <row r="980" spans="12:12" x14ac:dyDescent="0.3">
      <c r="L980" s="7" t="str">
        <f t="shared" ca="1" si="32"/>
        <v/>
      </c>
    </row>
    <row r="981" spans="12:12" x14ac:dyDescent="0.3">
      <c r="L981" s="7" t="str">
        <f t="shared" ca="1" si="32"/>
        <v/>
      </c>
    </row>
    <row r="982" spans="12:12" x14ac:dyDescent="0.3">
      <c r="L982" s="7" t="str">
        <f t="shared" ca="1" si="32"/>
        <v/>
      </c>
    </row>
    <row r="983" spans="12:12" x14ac:dyDescent="0.3">
      <c r="L983" s="7" t="str">
        <f t="shared" ca="1" si="32"/>
        <v/>
      </c>
    </row>
    <row r="984" spans="12:12" x14ac:dyDescent="0.3">
      <c r="L984" s="7" t="str">
        <f t="shared" ca="1" si="32"/>
        <v/>
      </c>
    </row>
    <row r="985" spans="12:12" x14ac:dyDescent="0.3">
      <c r="L985" s="7" t="str">
        <f t="shared" ca="1" si="32"/>
        <v/>
      </c>
    </row>
    <row r="986" spans="12:12" x14ac:dyDescent="0.3">
      <c r="L986" s="7" t="str">
        <f t="shared" ca="1" si="32"/>
        <v/>
      </c>
    </row>
    <row r="987" spans="12:12" x14ac:dyDescent="0.3">
      <c r="L987" s="7" t="str">
        <f t="shared" ca="1" si="32"/>
        <v/>
      </c>
    </row>
    <row r="988" spans="12:12" x14ac:dyDescent="0.3">
      <c r="L988" s="7" t="str">
        <f t="shared" ca="1" si="32"/>
        <v/>
      </c>
    </row>
    <row r="989" spans="12:12" x14ac:dyDescent="0.3">
      <c r="L989" s="7" t="str">
        <f t="shared" ca="1" si="32"/>
        <v/>
      </c>
    </row>
    <row r="990" spans="12:12" x14ac:dyDescent="0.3">
      <c r="L990" s="7" t="str">
        <f t="shared" ca="1" si="32"/>
        <v/>
      </c>
    </row>
    <row r="991" spans="12:12" x14ac:dyDescent="0.3">
      <c r="L991" s="7" t="str">
        <f t="shared" ca="1" si="32"/>
        <v/>
      </c>
    </row>
    <row r="992" spans="12:12" x14ac:dyDescent="0.3">
      <c r="L992" s="7" t="str">
        <f t="shared" ca="1" si="32"/>
        <v/>
      </c>
    </row>
    <row r="993" spans="12:12" x14ac:dyDescent="0.3">
      <c r="L993" s="7" t="str">
        <f t="shared" ca="1" si="32"/>
        <v/>
      </c>
    </row>
    <row r="994" spans="12:12" x14ac:dyDescent="0.3">
      <c r="L994" s="7" t="str">
        <f t="shared" ca="1" si="32"/>
        <v/>
      </c>
    </row>
    <row r="995" spans="12:12" x14ac:dyDescent="0.3">
      <c r="L995" s="7" t="str">
        <f t="shared" ca="1" si="32"/>
        <v/>
      </c>
    </row>
    <row r="996" spans="12:12" x14ac:dyDescent="0.3">
      <c r="L996" s="7" t="str">
        <f t="shared" ca="1" si="32"/>
        <v/>
      </c>
    </row>
    <row r="997" spans="12:12" x14ac:dyDescent="0.3">
      <c r="L997" s="7" t="str">
        <f t="shared" ca="1" si="32"/>
        <v/>
      </c>
    </row>
    <row r="998" spans="12:12" x14ac:dyDescent="0.3">
      <c r="L998" s="7" t="str">
        <f t="shared" ca="1" si="32"/>
        <v/>
      </c>
    </row>
    <row r="999" spans="12:12" x14ac:dyDescent="0.3">
      <c r="L999" s="7" t="str">
        <f t="shared" ca="1" si="32"/>
        <v/>
      </c>
    </row>
    <row r="1000" spans="12:12" x14ac:dyDescent="0.3">
      <c r="L1000" s="7" t="str">
        <f t="shared" ca="1" si="32"/>
        <v/>
      </c>
    </row>
    <row r="1001" spans="12:12" x14ac:dyDescent="0.3">
      <c r="L1001" s="7" t="str">
        <f t="shared" ca="1" si="32"/>
        <v/>
      </c>
    </row>
    <row r="1002" spans="12:12" x14ac:dyDescent="0.3">
      <c r="L1002" s="7" t="str">
        <f t="shared" ca="1" si="32"/>
        <v/>
      </c>
    </row>
    <row r="1003" spans="12:12" x14ac:dyDescent="0.3">
      <c r="L1003" s="7" t="str">
        <f t="shared" ca="1" si="32"/>
        <v/>
      </c>
    </row>
    <row r="1004" spans="12:12" x14ac:dyDescent="0.3">
      <c r="L1004" s="7" t="str">
        <f t="shared" ca="1" si="32"/>
        <v/>
      </c>
    </row>
    <row r="1005" spans="12:12" x14ac:dyDescent="0.3">
      <c r="L1005" s="7" t="str">
        <f t="shared" ca="1" si="32"/>
        <v/>
      </c>
    </row>
    <row r="1006" spans="12:12" x14ac:dyDescent="0.3">
      <c r="L1006" s="7" t="str">
        <f t="shared" ca="1" si="32"/>
        <v/>
      </c>
    </row>
    <row r="1007" spans="12:12" x14ac:dyDescent="0.3">
      <c r="L1007" s="7" t="str">
        <f t="shared" ca="1" si="32"/>
        <v/>
      </c>
    </row>
    <row r="1008" spans="12:12" x14ac:dyDescent="0.3">
      <c r="L1008" s="7" t="str">
        <f t="shared" ca="1" si="32"/>
        <v/>
      </c>
    </row>
    <row r="1009" spans="12:12" x14ac:dyDescent="0.3">
      <c r="L1009" s="7" t="str">
        <f t="shared" ca="1" si="32"/>
        <v/>
      </c>
    </row>
    <row r="1010" spans="12:12" x14ac:dyDescent="0.3">
      <c r="L1010" s="7" t="str">
        <f t="shared" ca="1" si="32"/>
        <v/>
      </c>
    </row>
    <row r="1011" spans="12:12" x14ac:dyDescent="0.3">
      <c r="L1011" s="7" t="str">
        <f t="shared" ca="1" si="32"/>
        <v/>
      </c>
    </row>
    <row r="1012" spans="12:12" x14ac:dyDescent="0.3">
      <c r="L1012" s="7" t="str">
        <f t="shared" ca="1" si="32"/>
        <v/>
      </c>
    </row>
    <row r="1013" spans="12:12" x14ac:dyDescent="0.3">
      <c r="L1013" s="7" t="str">
        <f t="shared" ca="1" si="32"/>
        <v/>
      </c>
    </row>
    <row r="1014" spans="12:12" x14ac:dyDescent="0.3">
      <c r="L1014" s="7" t="str">
        <f t="shared" ca="1" si="32"/>
        <v/>
      </c>
    </row>
    <row r="1015" spans="12:12" x14ac:dyDescent="0.3">
      <c r="L1015" s="7" t="str">
        <f t="shared" ca="1" si="32"/>
        <v/>
      </c>
    </row>
    <row r="1016" spans="12:12" x14ac:dyDescent="0.3">
      <c r="L1016" s="7" t="str">
        <f t="shared" ca="1" si="32"/>
        <v/>
      </c>
    </row>
    <row r="1017" spans="12:12" x14ac:dyDescent="0.3">
      <c r="L1017" s="7" t="str">
        <f t="shared" ca="1" si="32"/>
        <v/>
      </c>
    </row>
    <row r="1018" spans="12:12" x14ac:dyDescent="0.3">
      <c r="L1018" s="7" t="str">
        <f t="shared" ca="1" si="32"/>
        <v/>
      </c>
    </row>
    <row r="1019" spans="12:12" x14ac:dyDescent="0.3">
      <c r="L1019" s="7" t="str">
        <f t="shared" ca="1" si="32"/>
        <v/>
      </c>
    </row>
    <row r="1020" spans="12:12" x14ac:dyDescent="0.3">
      <c r="L1020" s="7" t="str">
        <f t="shared" ca="1" si="32"/>
        <v/>
      </c>
    </row>
    <row r="1021" spans="12:12" x14ac:dyDescent="0.3">
      <c r="L1021" s="7" t="str">
        <f t="shared" ca="1" si="32"/>
        <v/>
      </c>
    </row>
    <row r="1022" spans="12:12" x14ac:dyDescent="0.3">
      <c r="L1022" s="7" t="str">
        <f t="shared" ca="1" si="32"/>
        <v/>
      </c>
    </row>
    <row r="1023" spans="12:12" x14ac:dyDescent="0.3">
      <c r="L1023" s="7" t="str">
        <f t="shared" ca="1" si="32"/>
        <v/>
      </c>
    </row>
    <row r="1024" spans="12:12" x14ac:dyDescent="0.3">
      <c r="L1024" s="7" t="str">
        <f t="shared" ca="1" si="32"/>
        <v/>
      </c>
    </row>
    <row r="1025" spans="12:12" x14ac:dyDescent="0.3">
      <c r="L1025" s="7" t="str">
        <f t="shared" ca="1" si="32"/>
        <v/>
      </c>
    </row>
    <row r="1026" spans="12:12" x14ac:dyDescent="0.3">
      <c r="L1026" s="7" t="str">
        <f t="shared" ca="1" si="32"/>
        <v/>
      </c>
    </row>
    <row r="1027" spans="12:12" x14ac:dyDescent="0.3">
      <c r="L1027" s="7" t="str">
        <f t="shared" ca="1" si="32"/>
        <v/>
      </c>
    </row>
    <row r="1028" spans="12:12" x14ac:dyDescent="0.3">
      <c r="L1028" s="7" t="str">
        <f t="shared" ca="1" si="32"/>
        <v/>
      </c>
    </row>
    <row r="1029" spans="12:12" x14ac:dyDescent="0.3">
      <c r="L1029" s="7" t="str">
        <f t="shared" ref="L1029:L1092" ca="1" si="33">IF(I1029="Completed",0,IF(H1029="","",H1029-TODAY()))</f>
        <v/>
      </c>
    </row>
    <row r="1030" spans="12:12" x14ac:dyDescent="0.3">
      <c r="L1030" s="7" t="str">
        <f t="shared" ca="1" si="33"/>
        <v/>
      </c>
    </row>
    <row r="1031" spans="12:12" x14ac:dyDescent="0.3">
      <c r="L1031" s="7" t="str">
        <f t="shared" ca="1" si="33"/>
        <v/>
      </c>
    </row>
    <row r="1032" spans="12:12" x14ac:dyDescent="0.3">
      <c r="L1032" s="7" t="str">
        <f t="shared" ca="1" si="33"/>
        <v/>
      </c>
    </row>
    <row r="1033" spans="12:12" x14ac:dyDescent="0.3">
      <c r="L1033" s="7" t="str">
        <f t="shared" ca="1" si="33"/>
        <v/>
      </c>
    </row>
    <row r="1034" spans="12:12" x14ac:dyDescent="0.3">
      <c r="L1034" s="7" t="str">
        <f t="shared" ca="1" si="33"/>
        <v/>
      </c>
    </row>
    <row r="1035" spans="12:12" x14ac:dyDescent="0.3">
      <c r="L1035" s="7" t="str">
        <f t="shared" ca="1" si="33"/>
        <v/>
      </c>
    </row>
    <row r="1036" spans="12:12" x14ac:dyDescent="0.3">
      <c r="L1036" s="7" t="str">
        <f t="shared" ca="1" si="33"/>
        <v/>
      </c>
    </row>
    <row r="1037" spans="12:12" x14ac:dyDescent="0.3">
      <c r="L1037" s="7" t="str">
        <f t="shared" ca="1" si="33"/>
        <v/>
      </c>
    </row>
    <row r="1038" spans="12:12" x14ac:dyDescent="0.3">
      <c r="L1038" s="7" t="str">
        <f t="shared" ca="1" si="33"/>
        <v/>
      </c>
    </row>
    <row r="1039" spans="12:12" x14ac:dyDescent="0.3">
      <c r="L1039" s="7" t="str">
        <f t="shared" ca="1" si="33"/>
        <v/>
      </c>
    </row>
    <row r="1040" spans="12:12" x14ac:dyDescent="0.3">
      <c r="L1040" s="7" t="str">
        <f t="shared" ca="1" si="33"/>
        <v/>
      </c>
    </row>
    <row r="1041" spans="12:12" x14ac:dyDescent="0.3">
      <c r="L1041" s="7" t="str">
        <f t="shared" ca="1" si="33"/>
        <v/>
      </c>
    </row>
    <row r="1042" spans="12:12" x14ac:dyDescent="0.3">
      <c r="L1042" s="7" t="str">
        <f t="shared" ca="1" si="33"/>
        <v/>
      </c>
    </row>
    <row r="1043" spans="12:12" x14ac:dyDescent="0.3">
      <c r="L1043" s="7" t="str">
        <f t="shared" ca="1" si="33"/>
        <v/>
      </c>
    </row>
    <row r="1044" spans="12:12" x14ac:dyDescent="0.3">
      <c r="L1044" s="7" t="str">
        <f t="shared" ca="1" si="33"/>
        <v/>
      </c>
    </row>
    <row r="1045" spans="12:12" x14ac:dyDescent="0.3">
      <c r="L1045" s="7" t="str">
        <f t="shared" ca="1" si="33"/>
        <v/>
      </c>
    </row>
    <row r="1046" spans="12:12" x14ac:dyDescent="0.3">
      <c r="L1046" s="7" t="str">
        <f t="shared" ca="1" si="33"/>
        <v/>
      </c>
    </row>
    <row r="1047" spans="12:12" x14ac:dyDescent="0.3">
      <c r="L1047" s="7" t="str">
        <f t="shared" ca="1" si="33"/>
        <v/>
      </c>
    </row>
    <row r="1048" spans="12:12" x14ac:dyDescent="0.3">
      <c r="L1048" s="7" t="str">
        <f t="shared" ca="1" si="33"/>
        <v/>
      </c>
    </row>
    <row r="1049" spans="12:12" x14ac:dyDescent="0.3">
      <c r="L1049" s="7" t="str">
        <f t="shared" ca="1" si="33"/>
        <v/>
      </c>
    </row>
    <row r="1050" spans="12:12" x14ac:dyDescent="0.3">
      <c r="L1050" s="7" t="str">
        <f t="shared" ca="1" si="33"/>
        <v/>
      </c>
    </row>
    <row r="1051" spans="12:12" x14ac:dyDescent="0.3">
      <c r="L1051" s="7" t="str">
        <f t="shared" ca="1" si="33"/>
        <v/>
      </c>
    </row>
    <row r="1052" spans="12:12" x14ac:dyDescent="0.3">
      <c r="L1052" s="7" t="str">
        <f t="shared" ca="1" si="33"/>
        <v/>
      </c>
    </row>
    <row r="1053" spans="12:12" x14ac:dyDescent="0.3">
      <c r="L1053" s="7" t="str">
        <f t="shared" ca="1" si="33"/>
        <v/>
      </c>
    </row>
    <row r="1054" spans="12:12" x14ac:dyDescent="0.3">
      <c r="L1054" s="7" t="str">
        <f t="shared" ca="1" si="33"/>
        <v/>
      </c>
    </row>
    <row r="1055" spans="12:12" x14ac:dyDescent="0.3">
      <c r="L1055" s="7" t="str">
        <f t="shared" ca="1" si="33"/>
        <v/>
      </c>
    </row>
    <row r="1056" spans="12:12" x14ac:dyDescent="0.3">
      <c r="L1056" s="7" t="str">
        <f t="shared" ca="1" si="33"/>
        <v/>
      </c>
    </row>
    <row r="1057" spans="12:12" x14ac:dyDescent="0.3">
      <c r="L1057" s="7" t="str">
        <f t="shared" ca="1" si="33"/>
        <v/>
      </c>
    </row>
    <row r="1058" spans="12:12" x14ac:dyDescent="0.3">
      <c r="L1058" s="7" t="str">
        <f t="shared" ca="1" si="33"/>
        <v/>
      </c>
    </row>
    <row r="1059" spans="12:12" x14ac:dyDescent="0.3">
      <c r="L1059" s="7" t="str">
        <f t="shared" ca="1" si="33"/>
        <v/>
      </c>
    </row>
    <row r="1060" spans="12:12" x14ac:dyDescent="0.3">
      <c r="L1060" s="7" t="str">
        <f t="shared" ca="1" si="33"/>
        <v/>
      </c>
    </row>
    <row r="1061" spans="12:12" x14ac:dyDescent="0.3">
      <c r="L1061" s="7" t="str">
        <f t="shared" ca="1" si="33"/>
        <v/>
      </c>
    </row>
    <row r="1062" spans="12:12" x14ac:dyDescent="0.3">
      <c r="L1062" s="7" t="str">
        <f t="shared" ca="1" si="33"/>
        <v/>
      </c>
    </row>
    <row r="1063" spans="12:12" x14ac:dyDescent="0.3">
      <c r="L1063" s="7" t="str">
        <f t="shared" ca="1" si="33"/>
        <v/>
      </c>
    </row>
    <row r="1064" spans="12:12" x14ac:dyDescent="0.3">
      <c r="L1064" s="7" t="str">
        <f t="shared" ca="1" si="33"/>
        <v/>
      </c>
    </row>
    <row r="1065" spans="12:12" x14ac:dyDescent="0.3">
      <c r="L1065" s="7" t="str">
        <f t="shared" ca="1" si="33"/>
        <v/>
      </c>
    </row>
    <row r="1066" spans="12:12" x14ac:dyDescent="0.3">
      <c r="L1066" s="7" t="str">
        <f t="shared" ca="1" si="33"/>
        <v/>
      </c>
    </row>
    <row r="1067" spans="12:12" x14ac:dyDescent="0.3">
      <c r="L1067" s="7" t="str">
        <f t="shared" ca="1" si="33"/>
        <v/>
      </c>
    </row>
    <row r="1068" spans="12:12" x14ac:dyDescent="0.3">
      <c r="L1068" s="7" t="str">
        <f t="shared" ca="1" si="33"/>
        <v/>
      </c>
    </row>
    <row r="1069" spans="12:12" x14ac:dyDescent="0.3">
      <c r="L1069" s="7" t="str">
        <f t="shared" ca="1" si="33"/>
        <v/>
      </c>
    </row>
    <row r="1070" spans="12:12" x14ac:dyDescent="0.3">
      <c r="L1070" s="7" t="str">
        <f t="shared" ca="1" si="33"/>
        <v/>
      </c>
    </row>
    <row r="1071" spans="12:12" x14ac:dyDescent="0.3">
      <c r="L1071" s="7" t="str">
        <f t="shared" ca="1" si="33"/>
        <v/>
      </c>
    </row>
    <row r="1072" spans="12:12" x14ac:dyDescent="0.3">
      <c r="L1072" s="7" t="str">
        <f t="shared" ca="1" si="33"/>
        <v/>
      </c>
    </row>
    <row r="1073" spans="12:12" x14ac:dyDescent="0.3">
      <c r="L1073" s="7" t="str">
        <f t="shared" ca="1" si="33"/>
        <v/>
      </c>
    </row>
    <row r="1074" spans="12:12" x14ac:dyDescent="0.3">
      <c r="L1074" s="7" t="str">
        <f t="shared" ca="1" si="33"/>
        <v/>
      </c>
    </row>
    <row r="1075" spans="12:12" x14ac:dyDescent="0.3">
      <c r="L1075" s="7" t="str">
        <f t="shared" ca="1" si="33"/>
        <v/>
      </c>
    </row>
    <row r="1076" spans="12:12" x14ac:dyDescent="0.3">
      <c r="L1076" s="7" t="str">
        <f t="shared" ca="1" si="33"/>
        <v/>
      </c>
    </row>
    <row r="1077" spans="12:12" x14ac:dyDescent="0.3">
      <c r="L1077" s="7" t="str">
        <f t="shared" ca="1" si="33"/>
        <v/>
      </c>
    </row>
    <row r="1078" spans="12:12" x14ac:dyDescent="0.3">
      <c r="L1078" s="7" t="str">
        <f t="shared" ca="1" si="33"/>
        <v/>
      </c>
    </row>
    <row r="1079" spans="12:12" x14ac:dyDescent="0.3">
      <c r="L1079" s="7" t="str">
        <f t="shared" ca="1" si="33"/>
        <v/>
      </c>
    </row>
    <row r="1080" spans="12:12" x14ac:dyDescent="0.3">
      <c r="L1080" s="7" t="str">
        <f t="shared" ca="1" si="33"/>
        <v/>
      </c>
    </row>
    <row r="1081" spans="12:12" x14ac:dyDescent="0.3">
      <c r="L1081" s="7" t="str">
        <f t="shared" ca="1" si="33"/>
        <v/>
      </c>
    </row>
    <row r="1082" spans="12:12" x14ac:dyDescent="0.3">
      <c r="L1082" s="7" t="str">
        <f t="shared" ca="1" si="33"/>
        <v/>
      </c>
    </row>
    <row r="1083" spans="12:12" x14ac:dyDescent="0.3">
      <c r="L1083" s="7" t="str">
        <f t="shared" ca="1" si="33"/>
        <v/>
      </c>
    </row>
    <row r="1084" spans="12:12" x14ac:dyDescent="0.3">
      <c r="L1084" s="7" t="str">
        <f t="shared" ca="1" si="33"/>
        <v/>
      </c>
    </row>
    <row r="1085" spans="12:12" x14ac:dyDescent="0.3">
      <c r="L1085" s="7" t="str">
        <f t="shared" ca="1" si="33"/>
        <v/>
      </c>
    </row>
    <row r="1086" spans="12:12" x14ac:dyDescent="0.3">
      <c r="L1086" s="7" t="str">
        <f t="shared" ca="1" si="33"/>
        <v/>
      </c>
    </row>
    <row r="1087" spans="12:12" x14ac:dyDescent="0.3">
      <c r="L1087" s="7" t="str">
        <f t="shared" ca="1" si="33"/>
        <v/>
      </c>
    </row>
    <row r="1088" spans="12:12" x14ac:dyDescent="0.3">
      <c r="L1088" s="7" t="str">
        <f t="shared" ca="1" si="33"/>
        <v/>
      </c>
    </row>
    <row r="1089" spans="12:12" x14ac:dyDescent="0.3">
      <c r="L1089" s="7" t="str">
        <f t="shared" ca="1" si="33"/>
        <v/>
      </c>
    </row>
    <row r="1090" spans="12:12" x14ac:dyDescent="0.3">
      <c r="L1090" s="7" t="str">
        <f t="shared" ca="1" si="33"/>
        <v/>
      </c>
    </row>
    <row r="1091" spans="12:12" x14ac:dyDescent="0.3">
      <c r="L1091" s="7" t="str">
        <f t="shared" ca="1" si="33"/>
        <v/>
      </c>
    </row>
    <row r="1092" spans="12:12" x14ac:dyDescent="0.3">
      <c r="L1092" s="7" t="str">
        <f t="shared" ca="1" si="33"/>
        <v/>
      </c>
    </row>
    <row r="1093" spans="12:12" x14ac:dyDescent="0.3">
      <c r="L1093" s="7" t="str">
        <f t="shared" ref="L1093:L1109" ca="1" si="34">IF(I1093="Completed",0,IF(H1093="","",H1093-TODAY()))</f>
        <v/>
      </c>
    </row>
    <row r="1094" spans="12:12" x14ac:dyDescent="0.3">
      <c r="L1094" s="7" t="str">
        <f t="shared" ca="1" si="34"/>
        <v/>
      </c>
    </row>
    <row r="1095" spans="12:12" x14ac:dyDescent="0.3">
      <c r="L1095" s="7" t="str">
        <f t="shared" ca="1" si="34"/>
        <v/>
      </c>
    </row>
    <row r="1096" spans="12:12" x14ac:dyDescent="0.3">
      <c r="L1096" s="7" t="str">
        <f t="shared" ca="1" si="34"/>
        <v/>
      </c>
    </row>
    <row r="1097" spans="12:12" x14ac:dyDescent="0.3">
      <c r="L1097" s="7" t="str">
        <f t="shared" ca="1" si="34"/>
        <v/>
      </c>
    </row>
    <row r="1098" spans="12:12" x14ac:dyDescent="0.3">
      <c r="L1098" s="7" t="str">
        <f t="shared" ca="1" si="34"/>
        <v/>
      </c>
    </row>
    <row r="1099" spans="12:12" x14ac:dyDescent="0.3">
      <c r="L1099" s="7" t="str">
        <f t="shared" ca="1" si="34"/>
        <v/>
      </c>
    </row>
    <row r="1100" spans="12:12" x14ac:dyDescent="0.3">
      <c r="L1100" s="7" t="str">
        <f t="shared" ca="1" si="34"/>
        <v/>
      </c>
    </row>
    <row r="1101" spans="12:12" x14ac:dyDescent="0.3">
      <c r="L1101" s="7" t="str">
        <f t="shared" ca="1" si="34"/>
        <v/>
      </c>
    </row>
    <row r="1102" spans="12:12" x14ac:dyDescent="0.3">
      <c r="L1102" s="7" t="str">
        <f t="shared" ca="1" si="34"/>
        <v/>
      </c>
    </row>
    <row r="1103" spans="12:12" x14ac:dyDescent="0.3">
      <c r="L1103" s="7" t="str">
        <f t="shared" ca="1" si="34"/>
        <v/>
      </c>
    </row>
    <row r="1104" spans="12:12" x14ac:dyDescent="0.3">
      <c r="L1104" s="7" t="str">
        <f t="shared" ca="1" si="34"/>
        <v/>
      </c>
    </row>
    <row r="1105" spans="12:12" x14ac:dyDescent="0.3">
      <c r="L1105" s="7" t="str">
        <f t="shared" ca="1" si="34"/>
        <v/>
      </c>
    </row>
    <row r="1106" spans="12:12" x14ac:dyDescent="0.3">
      <c r="L1106" s="7" t="str">
        <f t="shared" ca="1" si="34"/>
        <v/>
      </c>
    </row>
    <row r="1107" spans="12:12" x14ac:dyDescent="0.3">
      <c r="L1107" s="7" t="str">
        <f t="shared" ca="1" si="34"/>
        <v/>
      </c>
    </row>
    <row r="1108" spans="12:12" x14ac:dyDescent="0.3">
      <c r="L1108" s="7" t="str">
        <f t="shared" ca="1" si="34"/>
        <v/>
      </c>
    </row>
    <row r="1109" spans="12:12" x14ac:dyDescent="0.3">
      <c r="L1109" s="7" t="str">
        <f t="shared" ca="1" si="34"/>
        <v/>
      </c>
    </row>
    <row r="1110" spans="12:12" x14ac:dyDescent="0.3">
      <c r="L1110" s="7" t="str">
        <f t="shared" ref="L1110:L1155" ca="1" si="35">IF(I1110="Completed",0,IF(H1110="","",H1110-TODAY()))</f>
        <v/>
      </c>
    </row>
    <row r="1111" spans="12:12" x14ac:dyDescent="0.3">
      <c r="L1111" s="7" t="str">
        <f t="shared" ca="1" si="35"/>
        <v/>
      </c>
    </row>
    <row r="1112" spans="12:12" x14ac:dyDescent="0.3">
      <c r="L1112" s="7" t="str">
        <f t="shared" ca="1" si="35"/>
        <v/>
      </c>
    </row>
    <row r="1113" spans="12:12" x14ac:dyDescent="0.3">
      <c r="L1113" s="7" t="str">
        <f t="shared" ca="1" si="35"/>
        <v/>
      </c>
    </row>
    <row r="1114" spans="12:12" x14ac:dyDescent="0.3">
      <c r="L1114" s="7" t="str">
        <f t="shared" ca="1" si="35"/>
        <v/>
      </c>
    </row>
    <row r="1115" spans="12:12" x14ac:dyDescent="0.3">
      <c r="L1115" s="7" t="str">
        <f t="shared" ca="1" si="35"/>
        <v/>
      </c>
    </row>
    <row r="1116" spans="12:12" x14ac:dyDescent="0.3">
      <c r="L1116" s="7" t="str">
        <f t="shared" ca="1" si="35"/>
        <v/>
      </c>
    </row>
    <row r="1117" spans="12:12" x14ac:dyDescent="0.3">
      <c r="L1117" s="7" t="str">
        <f t="shared" ca="1" si="35"/>
        <v/>
      </c>
    </row>
    <row r="1118" spans="12:12" x14ac:dyDescent="0.3">
      <c r="L1118" s="7" t="str">
        <f t="shared" ca="1" si="35"/>
        <v/>
      </c>
    </row>
    <row r="1119" spans="12:12" x14ac:dyDescent="0.3">
      <c r="L1119" s="7" t="str">
        <f t="shared" ca="1" si="35"/>
        <v/>
      </c>
    </row>
    <row r="1120" spans="12:12" x14ac:dyDescent="0.3">
      <c r="L1120" s="7" t="str">
        <f t="shared" ca="1" si="35"/>
        <v/>
      </c>
    </row>
    <row r="1121" spans="12:12" x14ac:dyDescent="0.3">
      <c r="L1121" s="7" t="str">
        <f t="shared" ca="1" si="35"/>
        <v/>
      </c>
    </row>
    <row r="1122" spans="12:12" x14ac:dyDescent="0.3">
      <c r="L1122" s="7" t="str">
        <f t="shared" ca="1" si="35"/>
        <v/>
      </c>
    </row>
    <row r="1123" spans="12:12" x14ac:dyDescent="0.3">
      <c r="L1123" s="7" t="str">
        <f t="shared" ca="1" si="35"/>
        <v/>
      </c>
    </row>
    <row r="1124" spans="12:12" x14ac:dyDescent="0.3">
      <c r="L1124" s="7" t="str">
        <f t="shared" ca="1" si="35"/>
        <v/>
      </c>
    </row>
    <row r="1125" spans="12:12" x14ac:dyDescent="0.3">
      <c r="L1125" s="7" t="str">
        <f t="shared" ca="1" si="35"/>
        <v/>
      </c>
    </row>
    <row r="1126" spans="12:12" x14ac:dyDescent="0.3">
      <c r="L1126" s="7" t="str">
        <f t="shared" ca="1" si="35"/>
        <v/>
      </c>
    </row>
    <row r="1127" spans="12:12" x14ac:dyDescent="0.3">
      <c r="L1127" s="7" t="str">
        <f t="shared" ca="1" si="35"/>
        <v/>
      </c>
    </row>
    <row r="1128" spans="12:12" x14ac:dyDescent="0.3">
      <c r="L1128" s="7" t="str">
        <f t="shared" ca="1" si="35"/>
        <v/>
      </c>
    </row>
    <row r="1129" spans="12:12" x14ac:dyDescent="0.3">
      <c r="L1129" s="7" t="str">
        <f t="shared" ca="1" si="35"/>
        <v/>
      </c>
    </row>
    <row r="1130" spans="12:12" x14ac:dyDescent="0.3">
      <c r="L1130" s="7" t="str">
        <f t="shared" ca="1" si="35"/>
        <v/>
      </c>
    </row>
    <row r="1131" spans="12:12" x14ac:dyDescent="0.3">
      <c r="L1131" s="7" t="str">
        <f t="shared" ca="1" si="35"/>
        <v/>
      </c>
    </row>
    <row r="1132" spans="12:12" x14ac:dyDescent="0.3">
      <c r="L1132" s="7" t="str">
        <f t="shared" ca="1" si="35"/>
        <v/>
      </c>
    </row>
    <row r="1133" spans="12:12" x14ac:dyDescent="0.3">
      <c r="L1133" s="7" t="str">
        <f t="shared" ca="1" si="35"/>
        <v/>
      </c>
    </row>
    <row r="1134" spans="12:12" x14ac:dyDescent="0.3">
      <c r="L1134" s="7" t="str">
        <f t="shared" ca="1" si="35"/>
        <v/>
      </c>
    </row>
    <row r="1135" spans="12:12" x14ac:dyDescent="0.3">
      <c r="L1135" s="7" t="str">
        <f t="shared" ca="1" si="35"/>
        <v/>
      </c>
    </row>
    <row r="1136" spans="12:12" x14ac:dyDescent="0.3">
      <c r="L1136" s="7" t="str">
        <f t="shared" ca="1" si="35"/>
        <v/>
      </c>
    </row>
    <row r="1137" spans="12:12" x14ac:dyDescent="0.3">
      <c r="L1137" s="7" t="str">
        <f t="shared" ca="1" si="35"/>
        <v/>
      </c>
    </row>
    <row r="1138" spans="12:12" x14ac:dyDescent="0.3">
      <c r="L1138" s="7" t="str">
        <f t="shared" ca="1" si="35"/>
        <v/>
      </c>
    </row>
    <row r="1139" spans="12:12" x14ac:dyDescent="0.3">
      <c r="L1139" s="7" t="str">
        <f t="shared" ca="1" si="35"/>
        <v/>
      </c>
    </row>
    <row r="1140" spans="12:12" x14ac:dyDescent="0.3">
      <c r="L1140" s="7" t="str">
        <f t="shared" ca="1" si="35"/>
        <v/>
      </c>
    </row>
    <row r="1141" spans="12:12" x14ac:dyDescent="0.3">
      <c r="L1141" s="7" t="str">
        <f t="shared" ca="1" si="35"/>
        <v/>
      </c>
    </row>
    <row r="1142" spans="12:12" x14ac:dyDescent="0.3">
      <c r="L1142" s="7" t="str">
        <f t="shared" ca="1" si="35"/>
        <v/>
      </c>
    </row>
    <row r="1143" spans="12:12" x14ac:dyDescent="0.3">
      <c r="L1143" s="7" t="str">
        <f t="shared" ca="1" si="35"/>
        <v/>
      </c>
    </row>
    <row r="1144" spans="12:12" x14ac:dyDescent="0.3">
      <c r="L1144" s="7" t="str">
        <f t="shared" ca="1" si="35"/>
        <v/>
      </c>
    </row>
    <row r="1145" spans="12:12" x14ac:dyDescent="0.3">
      <c r="L1145" s="7" t="str">
        <f t="shared" ca="1" si="35"/>
        <v/>
      </c>
    </row>
    <row r="1146" spans="12:12" x14ac:dyDescent="0.3">
      <c r="L1146" s="7" t="str">
        <f t="shared" ca="1" si="35"/>
        <v/>
      </c>
    </row>
    <row r="1147" spans="12:12" x14ac:dyDescent="0.3">
      <c r="L1147" s="7" t="str">
        <f t="shared" ca="1" si="35"/>
        <v/>
      </c>
    </row>
    <row r="1148" spans="12:12" x14ac:dyDescent="0.3">
      <c r="L1148" s="7" t="str">
        <f t="shared" ca="1" si="35"/>
        <v/>
      </c>
    </row>
    <row r="1149" spans="12:12" x14ac:dyDescent="0.3">
      <c r="L1149" s="7" t="str">
        <f t="shared" ca="1" si="35"/>
        <v/>
      </c>
    </row>
    <row r="1150" spans="12:12" x14ac:dyDescent="0.3">
      <c r="L1150" s="7" t="str">
        <f t="shared" ca="1" si="35"/>
        <v/>
      </c>
    </row>
    <row r="1151" spans="12:12" x14ac:dyDescent="0.3">
      <c r="L1151" s="7" t="str">
        <f t="shared" ca="1" si="35"/>
        <v/>
      </c>
    </row>
    <row r="1152" spans="12:12" x14ac:dyDescent="0.3">
      <c r="L1152" s="7" t="str">
        <f t="shared" ca="1" si="35"/>
        <v/>
      </c>
    </row>
    <row r="1153" spans="12:12" x14ac:dyDescent="0.3">
      <c r="L1153" s="7" t="str">
        <f t="shared" ca="1" si="35"/>
        <v/>
      </c>
    </row>
    <row r="1154" spans="12:12" x14ac:dyDescent="0.3">
      <c r="L1154" s="7" t="str">
        <f t="shared" ca="1" si="35"/>
        <v/>
      </c>
    </row>
    <row r="1155" spans="12:12" x14ac:dyDescent="0.3">
      <c r="L1155" s="7" t="str">
        <f t="shared" ca="1" si="35"/>
        <v/>
      </c>
    </row>
    <row r="1156" spans="12:12" x14ac:dyDescent="0.3">
      <c r="L1156" s="7" t="str">
        <f t="shared" ref="L1156:L1219" ca="1" si="36">IF(I1156="Completed",0,IF(H1156="","",H1156-TODAY()))</f>
        <v/>
      </c>
    </row>
    <row r="1157" spans="12:12" x14ac:dyDescent="0.3">
      <c r="L1157" s="7" t="str">
        <f t="shared" ca="1" si="36"/>
        <v/>
      </c>
    </row>
    <row r="1158" spans="12:12" x14ac:dyDescent="0.3">
      <c r="L1158" s="7" t="str">
        <f t="shared" ca="1" si="36"/>
        <v/>
      </c>
    </row>
    <row r="1159" spans="12:12" x14ac:dyDescent="0.3">
      <c r="L1159" s="7" t="str">
        <f t="shared" ca="1" si="36"/>
        <v/>
      </c>
    </row>
    <row r="1160" spans="12:12" x14ac:dyDescent="0.3">
      <c r="L1160" s="7" t="str">
        <f t="shared" ca="1" si="36"/>
        <v/>
      </c>
    </row>
    <row r="1161" spans="12:12" x14ac:dyDescent="0.3">
      <c r="L1161" s="7" t="str">
        <f t="shared" ca="1" si="36"/>
        <v/>
      </c>
    </row>
    <row r="1162" spans="12:12" x14ac:dyDescent="0.3">
      <c r="L1162" s="7" t="str">
        <f t="shared" ca="1" si="36"/>
        <v/>
      </c>
    </row>
    <row r="1163" spans="12:12" x14ac:dyDescent="0.3">
      <c r="L1163" s="7" t="str">
        <f t="shared" ca="1" si="36"/>
        <v/>
      </c>
    </row>
    <row r="1164" spans="12:12" x14ac:dyDescent="0.3">
      <c r="L1164" s="7" t="str">
        <f t="shared" ca="1" si="36"/>
        <v/>
      </c>
    </row>
    <row r="1165" spans="12:12" x14ac:dyDescent="0.3">
      <c r="L1165" s="7" t="str">
        <f t="shared" ca="1" si="36"/>
        <v/>
      </c>
    </row>
    <row r="1166" spans="12:12" x14ac:dyDescent="0.3">
      <c r="L1166" s="7" t="str">
        <f t="shared" ca="1" si="36"/>
        <v/>
      </c>
    </row>
    <row r="1167" spans="12:12" x14ac:dyDescent="0.3">
      <c r="L1167" s="7" t="str">
        <f t="shared" ca="1" si="36"/>
        <v/>
      </c>
    </row>
    <row r="1168" spans="12:12" x14ac:dyDescent="0.3">
      <c r="L1168" s="7" t="str">
        <f t="shared" ca="1" si="36"/>
        <v/>
      </c>
    </row>
    <row r="1169" spans="12:12" x14ac:dyDescent="0.3">
      <c r="L1169" s="7" t="str">
        <f t="shared" ca="1" si="36"/>
        <v/>
      </c>
    </row>
    <row r="1170" spans="12:12" x14ac:dyDescent="0.3">
      <c r="L1170" s="7" t="str">
        <f t="shared" ca="1" si="36"/>
        <v/>
      </c>
    </row>
    <row r="1171" spans="12:12" x14ac:dyDescent="0.3">
      <c r="L1171" s="7" t="str">
        <f t="shared" ca="1" si="36"/>
        <v/>
      </c>
    </row>
    <row r="1172" spans="12:12" x14ac:dyDescent="0.3">
      <c r="L1172" s="7" t="str">
        <f t="shared" ca="1" si="36"/>
        <v/>
      </c>
    </row>
    <row r="1173" spans="12:12" x14ac:dyDescent="0.3">
      <c r="L1173" s="7" t="str">
        <f t="shared" ca="1" si="36"/>
        <v/>
      </c>
    </row>
    <row r="1174" spans="12:12" x14ac:dyDescent="0.3">
      <c r="L1174" s="7" t="str">
        <f t="shared" ca="1" si="36"/>
        <v/>
      </c>
    </row>
    <row r="1175" spans="12:12" x14ac:dyDescent="0.3">
      <c r="L1175" s="7" t="str">
        <f t="shared" ca="1" si="36"/>
        <v/>
      </c>
    </row>
    <row r="1176" spans="12:12" x14ac:dyDescent="0.3">
      <c r="L1176" s="7" t="str">
        <f t="shared" ca="1" si="36"/>
        <v/>
      </c>
    </row>
    <row r="1177" spans="12:12" x14ac:dyDescent="0.3">
      <c r="L1177" s="7" t="str">
        <f t="shared" ca="1" si="36"/>
        <v/>
      </c>
    </row>
    <row r="1178" spans="12:12" x14ac:dyDescent="0.3">
      <c r="L1178" s="7" t="str">
        <f t="shared" ca="1" si="36"/>
        <v/>
      </c>
    </row>
    <row r="1179" spans="12:12" x14ac:dyDescent="0.3">
      <c r="L1179" s="7" t="str">
        <f t="shared" ca="1" si="36"/>
        <v/>
      </c>
    </row>
    <row r="1180" spans="12:12" x14ac:dyDescent="0.3">
      <c r="L1180" s="7" t="str">
        <f t="shared" ca="1" si="36"/>
        <v/>
      </c>
    </row>
    <row r="1181" spans="12:12" x14ac:dyDescent="0.3">
      <c r="L1181" s="7" t="str">
        <f t="shared" ca="1" si="36"/>
        <v/>
      </c>
    </row>
    <row r="1182" spans="12:12" x14ac:dyDescent="0.3">
      <c r="L1182" s="7" t="str">
        <f t="shared" ca="1" si="36"/>
        <v/>
      </c>
    </row>
    <row r="1183" spans="12:12" x14ac:dyDescent="0.3">
      <c r="L1183" s="7" t="str">
        <f t="shared" ca="1" si="36"/>
        <v/>
      </c>
    </row>
    <row r="1184" spans="12:12" x14ac:dyDescent="0.3">
      <c r="L1184" s="7" t="str">
        <f t="shared" ca="1" si="36"/>
        <v/>
      </c>
    </row>
    <row r="1185" spans="12:12" x14ac:dyDescent="0.3">
      <c r="L1185" s="7" t="str">
        <f t="shared" ca="1" si="36"/>
        <v/>
      </c>
    </row>
    <row r="1186" spans="12:12" x14ac:dyDescent="0.3">
      <c r="L1186" s="7" t="str">
        <f t="shared" ca="1" si="36"/>
        <v/>
      </c>
    </row>
    <row r="1187" spans="12:12" x14ac:dyDescent="0.3">
      <c r="L1187" s="7" t="str">
        <f t="shared" ca="1" si="36"/>
        <v/>
      </c>
    </row>
    <row r="1188" spans="12:12" x14ac:dyDescent="0.3">
      <c r="L1188" s="7" t="str">
        <f t="shared" ca="1" si="36"/>
        <v/>
      </c>
    </row>
    <row r="1189" spans="12:12" x14ac:dyDescent="0.3">
      <c r="L1189" s="7" t="str">
        <f t="shared" ca="1" si="36"/>
        <v/>
      </c>
    </row>
    <row r="1190" spans="12:12" x14ac:dyDescent="0.3">
      <c r="L1190" s="7" t="str">
        <f t="shared" ca="1" si="36"/>
        <v/>
      </c>
    </row>
    <row r="1191" spans="12:12" x14ac:dyDescent="0.3">
      <c r="L1191" s="7" t="str">
        <f t="shared" ca="1" si="36"/>
        <v/>
      </c>
    </row>
    <row r="1192" spans="12:12" x14ac:dyDescent="0.3">
      <c r="L1192" s="7" t="str">
        <f t="shared" ca="1" si="36"/>
        <v/>
      </c>
    </row>
    <row r="1193" spans="12:12" x14ac:dyDescent="0.3">
      <c r="L1193" s="7" t="str">
        <f t="shared" ca="1" si="36"/>
        <v/>
      </c>
    </row>
    <row r="1194" spans="12:12" x14ac:dyDescent="0.3">
      <c r="L1194" s="7" t="str">
        <f t="shared" ca="1" si="36"/>
        <v/>
      </c>
    </row>
    <row r="1195" spans="12:12" x14ac:dyDescent="0.3">
      <c r="L1195" s="7" t="str">
        <f t="shared" ca="1" si="36"/>
        <v/>
      </c>
    </row>
    <row r="1196" spans="12:12" x14ac:dyDescent="0.3">
      <c r="L1196" s="7" t="str">
        <f t="shared" ca="1" si="36"/>
        <v/>
      </c>
    </row>
    <row r="1197" spans="12:12" x14ac:dyDescent="0.3">
      <c r="L1197" s="7" t="str">
        <f t="shared" ca="1" si="36"/>
        <v/>
      </c>
    </row>
    <row r="1198" spans="12:12" x14ac:dyDescent="0.3">
      <c r="L1198" s="7" t="str">
        <f t="shared" ca="1" si="36"/>
        <v/>
      </c>
    </row>
    <row r="1199" spans="12:12" x14ac:dyDescent="0.3">
      <c r="L1199" s="7" t="str">
        <f t="shared" ca="1" si="36"/>
        <v/>
      </c>
    </row>
    <row r="1200" spans="12:12" x14ac:dyDescent="0.3">
      <c r="L1200" s="7" t="str">
        <f t="shared" ca="1" si="36"/>
        <v/>
      </c>
    </row>
    <row r="1201" spans="12:12" x14ac:dyDescent="0.3">
      <c r="L1201" s="7" t="str">
        <f t="shared" ca="1" si="36"/>
        <v/>
      </c>
    </row>
    <row r="1202" spans="12:12" x14ac:dyDescent="0.3">
      <c r="L1202" s="7" t="str">
        <f t="shared" ca="1" si="36"/>
        <v/>
      </c>
    </row>
    <row r="1203" spans="12:12" x14ac:dyDescent="0.3">
      <c r="L1203" s="7" t="str">
        <f t="shared" ca="1" si="36"/>
        <v/>
      </c>
    </row>
    <row r="1204" spans="12:12" x14ac:dyDescent="0.3">
      <c r="L1204" s="7" t="str">
        <f t="shared" ca="1" si="36"/>
        <v/>
      </c>
    </row>
    <row r="1205" spans="12:12" x14ac:dyDescent="0.3">
      <c r="L1205" s="7" t="str">
        <f t="shared" ca="1" si="36"/>
        <v/>
      </c>
    </row>
    <row r="1206" spans="12:12" x14ac:dyDescent="0.3">
      <c r="L1206" s="7" t="str">
        <f t="shared" ca="1" si="36"/>
        <v/>
      </c>
    </row>
    <row r="1207" spans="12:12" x14ac:dyDescent="0.3">
      <c r="L1207" s="7" t="str">
        <f t="shared" ca="1" si="36"/>
        <v/>
      </c>
    </row>
    <row r="1208" spans="12:12" x14ac:dyDescent="0.3">
      <c r="L1208" s="7" t="str">
        <f t="shared" ca="1" si="36"/>
        <v/>
      </c>
    </row>
    <row r="1209" spans="12:12" x14ac:dyDescent="0.3">
      <c r="L1209" s="7" t="str">
        <f t="shared" ca="1" si="36"/>
        <v/>
      </c>
    </row>
    <row r="1210" spans="12:12" x14ac:dyDescent="0.3">
      <c r="L1210" s="7" t="str">
        <f t="shared" ca="1" si="36"/>
        <v/>
      </c>
    </row>
    <row r="1211" spans="12:12" x14ac:dyDescent="0.3">
      <c r="L1211" s="7" t="str">
        <f t="shared" ca="1" si="36"/>
        <v/>
      </c>
    </row>
    <row r="1212" spans="12:12" x14ac:dyDescent="0.3">
      <c r="L1212" s="7" t="str">
        <f t="shared" ca="1" si="36"/>
        <v/>
      </c>
    </row>
    <row r="1213" spans="12:12" x14ac:dyDescent="0.3">
      <c r="L1213" s="7" t="str">
        <f t="shared" ca="1" si="36"/>
        <v/>
      </c>
    </row>
    <row r="1214" spans="12:12" x14ac:dyDescent="0.3">
      <c r="L1214" s="7" t="str">
        <f t="shared" ca="1" si="36"/>
        <v/>
      </c>
    </row>
    <row r="1215" spans="12:12" x14ac:dyDescent="0.3">
      <c r="L1215" s="7" t="str">
        <f t="shared" ca="1" si="36"/>
        <v/>
      </c>
    </row>
    <row r="1216" spans="12:12" x14ac:dyDescent="0.3">
      <c r="L1216" s="7" t="str">
        <f t="shared" ca="1" si="36"/>
        <v/>
      </c>
    </row>
    <row r="1217" spans="12:12" x14ac:dyDescent="0.3">
      <c r="L1217" s="7" t="str">
        <f t="shared" ca="1" si="36"/>
        <v/>
      </c>
    </row>
    <row r="1218" spans="12:12" x14ac:dyDescent="0.3">
      <c r="L1218" s="7" t="str">
        <f t="shared" ca="1" si="36"/>
        <v/>
      </c>
    </row>
    <row r="1219" spans="12:12" x14ac:dyDescent="0.3">
      <c r="L1219" s="7" t="str">
        <f t="shared" ca="1" si="36"/>
        <v/>
      </c>
    </row>
    <row r="1220" spans="12:12" x14ac:dyDescent="0.3">
      <c r="L1220" s="7" t="str">
        <f t="shared" ref="L1220:L1283" ca="1" si="37">IF(I1220="Completed",0,IF(H1220="","",H1220-TODAY()))</f>
        <v/>
      </c>
    </row>
    <row r="1221" spans="12:12" x14ac:dyDescent="0.3">
      <c r="L1221" s="7" t="str">
        <f t="shared" ca="1" si="37"/>
        <v/>
      </c>
    </row>
    <row r="1222" spans="12:12" x14ac:dyDescent="0.3">
      <c r="L1222" s="7" t="str">
        <f t="shared" ca="1" si="37"/>
        <v/>
      </c>
    </row>
    <row r="1223" spans="12:12" x14ac:dyDescent="0.3">
      <c r="L1223" s="7" t="str">
        <f t="shared" ca="1" si="37"/>
        <v/>
      </c>
    </row>
    <row r="1224" spans="12:12" x14ac:dyDescent="0.3">
      <c r="L1224" s="7" t="str">
        <f t="shared" ca="1" si="37"/>
        <v/>
      </c>
    </row>
    <row r="1225" spans="12:12" x14ac:dyDescent="0.3">
      <c r="L1225" s="7" t="str">
        <f t="shared" ca="1" si="37"/>
        <v/>
      </c>
    </row>
    <row r="1226" spans="12:12" x14ac:dyDescent="0.3">
      <c r="L1226" s="7" t="str">
        <f t="shared" ca="1" si="37"/>
        <v/>
      </c>
    </row>
    <row r="1227" spans="12:12" x14ac:dyDescent="0.3">
      <c r="L1227" s="7" t="str">
        <f t="shared" ca="1" si="37"/>
        <v/>
      </c>
    </row>
    <row r="1228" spans="12:12" x14ac:dyDescent="0.3">
      <c r="L1228" s="7" t="str">
        <f t="shared" ca="1" si="37"/>
        <v/>
      </c>
    </row>
    <row r="1229" spans="12:12" x14ac:dyDescent="0.3">
      <c r="L1229" s="7" t="str">
        <f t="shared" ca="1" si="37"/>
        <v/>
      </c>
    </row>
    <row r="1230" spans="12:12" x14ac:dyDescent="0.3">
      <c r="L1230" s="7" t="str">
        <f t="shared" ca="1" si="37"/>
        <v/>
      </c>
    </row>
    <row r="1231" spans="12:12" x14ac:dyDescent="0.3">
      <c r="L1231" s="7" t="str">
        <f t="shared" ca="1" si="37"/>
        <v/>
      </c>
    </row>
    <row r="1232" spans="12:12" x14ac:dyDescent="0.3">
      <c r="L1232" s="7" t="str">
        <f t="shared" ca="1" si="37"/>
        <v/>
      </c>
    </row>
    <row r="1233" spans="12:12" x14ac:dyDescent="0.3">
      <c r="L1233" s="7" t="str">
        <f t="shared" ca="1" si="37"/>
        <v/>
      </c>
    </row>
    <row r="1234" spans="12:12" x14ac:dyDescent="0.3">
      <c r="L1234" s="7" t="str">
        <f t="shared" ca="1" si="37"/>
        <v/>
      </c>
    </row>
    <row r="1235" spans="12:12" x14ac:dyDescent="0.3">
      <c r="L1235" s="7" t="str">
        <f t="shared" ca="1" si="37"/>
        <v/>
      </c>
    </row>
    <row r="1236" spans="12:12" x14ac:dyDescent="0.3">
      <c r="L1236" s="7" t="str">
        <f t="shared" ca="1" si="37"/>
        <v/>
      </c>
    </row>
    <row r="1237" spans="12:12" x14ac:dyDescent="0.3">
      <c r="L1237" s="7" t="str">
        <f t="shared" ca="1" si="37"/>
        <v/>
      </c>
    </row>
    <row r="1238" spans="12:12" x14ac:dyDescent="0.3">
      <c r="L1238" s="7" t="str">
        <f t="shared" ca="1" si="37"/>
        <v/>
      </c>
    </row>
    <row r="1239" spans="12:12" x14ac:dyDescent="0.3">
      <c r="L1239" s="7" t="str">
        <f t="shared" ca="1" si="37"/>
        <v/>
      </c>
    </row>
    <row r="1240" spans="12:12" x14ac:dyDescent="0.3">
      <c r="L1240" s="7" t="str">
        <f t="shared" ca="1" si="37"/>
        <v/>
      </c>
    </row>
    <row r="1241" spans="12:12" x14ac:dyDescent="0.3">
      <c r="L1241" s="7" t="str">
        <f t="shared" ca="1" si="37"/>
        <v/>
      </c>
    </row>
    <row r="1242" spans="12:12" x14ac:dyDescent="0.3">
      <c r="L1242" s="7" t="str">
        <f t="shared" ca="1" si="37"/>
        <v/>
      </c>
    </row>
    <row r="1243" spans="12:12" x14ac:dyDescent="0.3">
      <c r="L1243" s="7" t="str">
        <f t="shared" ca="1" si="37"/>
        <v/>
      </c>
    </row>
    <row r="1244" spans="12:12" x14ac:dyDescent="0.3">
      <c r="L1244" s="7" t="str">
        <f t="shared" ca="1" si="37"/>
        <v/>
      </c>
    </row>
    <row r="1245" spans="12:12" x14ac:dyDescent="0.3">
      <c r="L1245" s="7" t="str">
        <f t="shared" ca="1" si="37"/>
        <v/>
      </c>
    </row>
    <row r="1246" spans="12:12" x14ac:dyDescent="0.3">
      <c r="L1246" s="7" t="str">
        <f t="shared" ca="1" si="37"/>
        <v/>
      </c>
    </row>
    <row r="1247" spans="12:12" x14ac:dyDescent="0.3">
      <c r="L1247" s="7" t="str">
        <f t="shared" ca="1" si="37"/>
        <v/>
      </c>
    </row>
    <row r="1248" spans="12:12" x14ac:dyDescent="0.3">
      <c r="L1248" s="7" t="str">
        <f t="shared" ca="1" si="37"/>
        <v/>
      </c>
    </row>
    <row r="1249" spans="12:12" x14ac:dyDescent="0.3">
      <c r="L1249" s="7" t="str">
        <f t="shared" ca="1" si="37"/>
        <v/>
      </c>
    </row>
    <row r="1250" spans="12:12" x14ac:dyDescent="0.3">
      <c r="L1250" s="7" t="str">
        <f t="shared" ca="1" si="37"/>
        <v/>
      </c>
    </row>
    <row r="1251" spans="12:12" x14ac:dyDescent="0.3">
      <c r="L1251" s="7" t="str">
        <f t="shared" ca="1" si="37"/>
        <v/>
      </c>
    </row>
    <row r="1252" spans="12:12" x14ac:dyDescent="0.3">
      <c r="L1252" s="7" t="str">
        <f t="shared" ca="1" si="37"/>
        <v/>
      </c>
    </row>
    <row r="1253" spans="12:12" x14ac:dyDescent="0.3">
      <c r="L1253" s="7" t="str">
        <f t="shared" ca="1" si="37"/>
        <v/>
      </c>
    </row>
    <row r="1254" spans="12:12" x14ac:dyDescent="0.3">
      <c r="L1254" s="7" t="str">
        <f t="shared" ca="1" si="37"/>
        <v/>
      </c>
    </row>
    <row r="1255" spans="12:12" x14ac:dyDescent="0.3">
      <c r="L1255" s="7" t="str">
        <f t="shared" ca="1" si="37"/>
        <v/>
      </c>
    </row>
    <row r="1256" spans="12:12" x14ac:dyDescent="0.3">
      <c r="L1256" s="7" t="str">
        <f t="shared" ca="1" si="37"/>
        <v/>
      </c>
    </row>
    <row r="1257" spans="12:12" x14ac:dyDescent="0.3">
      <c r="L1257" s="7" t="str">
        <f t="shared" ca="1" si="37"/>
        <v/>
      </c>
    </row>
    <row r="1258" spans="12:12" x14ac:dyDescent="0.3">
      <c r="L1258" s="7" t="str">
        <f t="shared" ca="1" si="37"/>
        <v/>
      </c>
    </row>
    <row r="1259" spans="12:12" x14ac:dyDescent="0.3">
      <c r="L1259" s="7" t="str">
        <f t="shared" ca="1" si="37"/>
        <v/>
      </c>
    </row>
    <row r="1260" spans="12:12" x14ac:dyDescent="0.3">
      <c r="L1260" s="7" t="str">
        <f t="shared" ca="1" si="37"/>
        <v/>
      </c>
    </row>
    <row r="1261" spans="12:12" x14ac:dyDescent="0.3">
      <c r="L1261" s="7" t="str">
        <f t="shared" ca="1" si="37"/>
        <v/>
      </c>
    </row>
    <row r="1262" spans="12:12" x14ac:dyDescent="0.3">
      <c r="L1262" s="7" t="str">
        <f t="shared" ca="1" si="37"/>
        <v/>
      </c>
    </row>
    <row r="1263" spans="12:12" x14ac:dyDescent="0.3">
      <c r="L1263" s="7" t="str">
        <f t="shared" ca="1" si="37"/>
        <v/>
      </c>
    </row>
    <row r="1264" spans="12:12" x14ac:dyDescent="0.3">
      <c r="L1264" s="7" t="str">
        <f t="shared" ca="1" si="37"/>
        <v/>
      </c>
    </row>
    <row r="1265" spans="12:12" x14ac:dyDescent="0.3">
      <c r="L1265" s="7" t="str">
        <f t="shared" ca="1" si="37"/>
        <v/>
      </c>
    </row>
    <row r="1266" spans="12:12" x14ac:dyDescent="0.3">
      <c r="L1266" s="7" t="str">
        <f t="shared" ca="1" si="37"/>
        <v/>
      </c>
    </row>
    <row r="1267" spans="12:12" x14ac:dyDescent="0.3">
      <c r="L1267" s="7" t="str">
        <f t="shared" ca="1" si="37"/>
        <v/>
      </c>
    </row>
    <row r="1268" spans="12:12" x14ac:dyDescent="0.3">
      <c r="L1268" s="7" t="str">
        <f t="shared" ca="1" si="37"/>
        <v/>
      </c>
    </row>
    <row r="1269" spans="12:12" x14ac:dyDescent="0.3">
      <c r="L1269" s="7" t="str">
        <f t="shared" ca="1" si="37"/>
        <v/>
      </c>
    </row>
    <row r="1270" spans="12:12" x14ac:dyDescent="0.3">
      <c r="L1270" s="7" t="str">
        <f t="shared" ca="1" si="37"/>
        <v/>
      </c>
    </row>
    <row r="1271" spans="12:12" x14ac:dyDescent="0.3">
      <c r="L1271" s="7" t="str">
        <f t="shared" ca="1" si="37"/>
        <v/>
      </c>
    </row>
    <row r="1272" spans="12:12" x14ac:dyDescent="0.3">
      <c r="L1272" s="7" t="str">
        <f t="shared" ca="1" si="37"/>
        <v/>
      </c>
    </row>
    <row r="1273" spans="12:12" x14ac:dyDescent="0.3">
      <c r="L1273" s="7" t="str">
        <f t="shared" ca="1" si="37"/>
        <v/>
      </c>
    </row>
    <row r="1274" spans="12:12" x14ac:dyDescent="0.3">
      <c r="L1274" s="7" t="str">
        <f t="shared" ca="1" si="37"/>
        <v/>
      </c>
    </row>
    <row r="1275" spans="12:12" x14ac:dyDescent="0.3">
      <c r="L1275" s="7" t="str">
        <f t="shared" ca="1" si="37"/>
        <v/>
      </c>
    </row>
    <row r="1276" spans="12:12" x14ac:dyDescent="0.3">
      <c r="L1276" s="7" t="str">
        <f t="shared" ca="1" si="37"/>
        <v/>
      </c>
    </row>
    <row r="1277" spans="12:12" x14ac:dyDescent="0.3">
      <c r="L1277" s="7" t="str">
        <f t="shared" ca="1" si="37"/>
        <v/>
      </c>
    </row>
    <row r="1278" spans="12:12" x14ac:dyDescent="0.3">
      <c r="L1278" s="7" t="str">
        <f t="shared" ca="1" si="37"/>
        <v/>
      </c>
    </row>
    <row r="1279" spans="12:12" x14ac:dyDescent="0.3">
      <c r="L1279" s="7" t="str">
        <f t="shared" ca="1" si="37"/>
        <v/>
      </c>
    </row>
    <row r="1280" spans="12:12" x14ac:dyDescent="0.3">
      <c r="L1280" s="7" t="str">
        <f t="shared" ca="1" si="37"/>
        <v/>
      </c>
    </row>
    <row r="1281" spans="12:12" x14ac:dyDescent="0.3">
      <c r="L1281" s="7" t="str">
        <f t="shared" ca="1" si="37"/>
        <v/>
      </c>
    </row>
    <row r="1282" spans="12:12" x14ac:dyDescent="0.3">
      <c r="L1282" s="7" t="str">
        <f t="shared" ca="1" si="37"/>
        <v/>
      </c>
    </row>
    <row r="1283" spans="12:12" x14ac:dyDescent="0.3">
      <c r="L1283" s="7" t="str">
        <f t="shared" ca="1" si="37"/>
        <v/>
      </c>
    </row>
    <row r="1284" spans="12:12" x14ac:dyDescent="0.3">
      <c r="L1284" s="7" t="str">
        <f t="shared" ref="L1284:L1347" ca="1" si="38">IF(I1284="Completed",0,IF(H1284="","",H1284-TODAY()))</f>
        <v/>
      </c>
    </row>
    <row r="1285" spans="12:12" x14ac:dyDescent="0.3">
      <c r="L1285" s="7" t="str">
        <f t="shared" ca="1" si="38"/>
        <v/>
      </c>
    </row>
    <row r="1286" spans="12:12" x14ac:dyDescent="0.3">
      <c r="L1286" s="7" t="str">
        <f t="shared" ca="1" si="38"/>
        <v/>
      </c>
    </row>
    <row r="1287" spans="12:12" x14ac:dyDescent="0.3">
      <c r="L1287" s="7" t="str">
        <f t="shared" ca="1" si="38"/>
        <v/>
      </c>
    </row>
    <row r="1288" spans="12:12" x14ac:dyDescent="0.3">
      <c r="L1288" s="7" t="str">
        <f t="shared" ca="1" si="38"/>
        <v/>
      </c>
    </row>
    <row r="1289" spans="12:12" x14ac:dyDescent="0.3">
      <c r="L1289" s="7" t="str">
        <f t="shared" ca="1" si="38"/>
        <v/>
      </c>
    </row>
    <row r="1290" spans="12:12" x14ac:dyDescent="0.3">
      <c r="L1290" s="7" t="str">
        <f t="shared" ca="1" si="38"/>
        <v/>
      </c>
    </row>
    <row r="1291" spans="12:12" x14ac:dyDescent="0.3">
      <c r="L1291" s="7" t="str">
        <f t="shared" ca="1" si="38"/>
        <v/>
      </c>
    </row>
    <row r="1292" spans="12:12" x14ac:dyDescent="0.3">
      <c r="L1292" s="7" t="str">
        <f t="shared" ca="1" si="38"/>
        <v/>
      </c>
    </row>
    <row r="1293" spans="12:12" x14ac:dyDescent="0.3">
      <c r="L1293" s="7" t="str">
        <f t="shared" ca="1" si="38"/>
        <v/>
      </c>
    </row>
    <row r="1294" spans="12:12" x14ac:dyDescent="0.3">
      <c r="L1294" s="7" t="str">
        <f t="shared" ca="1" si="38"/>
        <v/>
      </c>
    </row>
    <row r="1295" spans="12:12" x14ac:dyDescent="0.3">
      <c r="L1295" s="7" t="str">
        <f t="shared" ca="1" si="38"/>
        <v/>
      </c>
    </row>
    <row r="1296" spans="12:12" x14ac:dyDescent="0.3">
      <c r="L1296" s="7" t="str">
        <f t="shared" ca="1" si="38"/>
        <v/>
      </c>
    </row>
    <row r="1297" spans="12:12" x14ac:dyDescent="0.3">
      <c r="L1297" s="7" t="str">
        <f t="shared" ca="1" si="38"/>
        <v/>
      </c>
    </row>
    <row r="1298" spans="12:12" x14ac:dyDescent="0.3">
      <c r="L1298" s="7" t="str">
        <f t="shared" ca="1" si="38"/>
        <v/>
      </c>
    </row>
    <row r="1299" spans="12:12" x14ac:dyDescent="0.3">
      <c r="L1299" s="7" t="str">
        <f t="shared" ca="1" si="38"/>
        <v/>
      </c>
    </row>
    <row r="1300" spans="12:12" x14ac:dyDescent="0.3">
      <c r="L1300" s="7" t="str">
        <f t="shared" ca="1" si="38"/>
        <v/>
      </c>
    </row>
    <row r="1301" spans="12:12" x14ac:dyDescent="0.3">
      <c r="L1301" s="7" t="str">
        <f t="shared" ca="1" si="38"/>
        <v/>
      </c>
    </row>
    <row r="1302" spans="12:12" x14ac:dyDescent="0.3">
      <c r="L1302" s="7" t="str">
        <f t="shared" ca="1" si="38"/>
        <v/>
      </c>
    </row>
    <row r="1303" spans="12:12" x14ac:dyDescent="0.3">
      <c r="L1303" s="7" t="str">
        <f t="shared" ca="1" si="38"/>
        <v/>
      </c>
    </row>
    <row r="1304" spans="12:12" x14ac:dyDescent="0.3">
      <c r="L1304" s="7" t="str">
        <f t="shared" ca="1" si="38"/>
        <v/>
      </c>
    </row>
    <row r="1305" spans="12:12" x14ac:dyDescent="0.3">
      <c r="L1305" s="7" t="str">
        <f t="shared" ca="1" si="38"/>
        <v/>
      </c>
    </row>
    <row r="1306" spans="12:12" x14ac:dyDescent="0.3">
      <c r="L1306" s="7" t="str">
        <f t="shared" ca="1" si="38"/>
        <v/>
      </c>
    </row>
    <row r="1307" spans="12:12" x14ac:dyDescent="0.3">
      <c r="L1307" s="7" t="str">
        <f t="shared" ca="1" si="38"/>
        <v/>
      </c>
    </row>
    <row r="1308" spans="12:12" x14ac:dyDescent="0.3">
      <c r="L1308" s="7" t="str">
        <f t="shared" ca="1" si="38"/>
        <v/>
      </c>
    </row>
    <row r="1309" spans="12:12" x14ac:dyDescent="0.3">
      <c r="L1309" s="7" t="str">
        <f t="shared" ca="1" si="38"/>
        <v/>
      </c>
    </row>
    <row r="1310" spans="12:12" x14ac:dyDescent="0.3">
      <c r="L1310" s="7" t="str">
        <f t="shared" ca="1" si="38"/>
        <v/>
      </c>
    </row>
    <row r="1311" spans="12:12" x14ac:dyDescent="0.3">
      <c r="L1311" s="7" t="str">
        <f t="shared" ca="1" si="38"/>
        <v/>
      </c>
    </row>
    <row r="1312" spans="12:12" x14ac:dyDescent="0.3">
      <c r="L1312" s="7" t="str">
        <f t="shared" ca="1" si="38"/>
        <v/>
      </c>
    </row>
    <row r="1313" spans="12:12" x14ac:dyDescent="0.3">
      <c r="L1313" s="7" t="str">
        <f t="shared" ca="1" si="38"/>
        <v/>
      </c>
    </row>
    <row r="1314" spans="12:12" x14ac:dyDescent="0.3">
      <c r="L1314" s="7" t="str">
        <f t="shared" ca="1" si="38"/>
        <v/>
      </c>
    </row>
    <row r="1315" spans="12:12" x14ac:dyDescent="0.3">
      <c r="L1315" s="7" t="str">
        <f t="shared" ca="1" si="38"/>
        <v/>
      </c>
    </row>
    <row r="1316" spans="12:12" x14ac:dyDescent="0.3">
      <c r="L1316" s="7" t="str">
        <f t="shared" ca="1" si="38"/>
        <v/>
      </c>
    </row>
    <row r="1317" spans="12:12" x14ac:dyDescent="0.3">
      <c r="L1317" s="7" t="str">
        <f t="shared" ca="1" si="38"/>
        <v/>
      </c>
    </row>
    <row r="1318" spans="12:12" x14ac:dyDescent="0.3">
      <c r="L1318" s="7" t="str">
        <f t="shared" ca="1" si="38"/>
        <v/>
      </c>
    </row>
    <row r="1319" spans="12:12" x14ac:dyDescent="0.3">
      <c r="L1319" s="7" t="str">
        <f t="shared" ca="1" si="38"/>
        <v/>
      </c>
    </row>
    <row r="1320" spans="12:12" x14ac:dyDescent="0.3">
      <c r="L1320" s="7" t="str">
        <f t="shared" ca="1" si="38"/>
        <v/>
      </c>
    </row>
    <row r="1321" spans="12:12" x14ac:dyDescent="0.3">
      <c r="L1321" s="7" t="str">
        <f t="shared" ca="1" si="38"/>
        <v/>
      </c>
    </row>
    <row r="1322" spans="12:12" x14ac:dyDescent="0.3">
      <c r="L1322" s="7" t="str">
        <f t="shared" ca="1" si="38"/>
        <v/>
      </c>
    </row>
    <row r="1323" spans="12:12" x14ac:dyDescent="0.3">
      <c r="L1323" s="7" t="str">
        <f t="shared" ca="1" si="38"/>
        <v/>
      </c>
    </row>
    <row r="1324" spans="12:12" x14ac:dyDescent="0.3">
      <c r="L1324" s="7" t="str">
        <f t="shared" ca="1" si="38"/>
        <v/>
      </c>
    </row>
    <row r="1325" spans="12:12" x14ac:dyDescent="0.3">
      <c r="L1325" s="7" t="str">
        <f t="shared" ca="1" si="38"/>
        <v/>
      </c>
    </row>
    <row r="1326" spans="12:12" x14ac:dyDescent="0.3">
      <c r="L1326" s="7" t="str">
        <f t="shared" ca="1" si="38"/>
        <v/>
      </c>
    </row>
    <row r="1327" spans="12:12" x14ac:dyDescent="0.3">
      <c r="L1327" s="7" t="str">
        <f t="shared" ca="1" si="38"/>
        <v/>
      </c>
    </row>
    <row r="1328" spans="12:12" x14ac:dyDescent="0.3">
      <c r="L1328" s="7" t="str">
        <f t="shared" ca="1" si="38"/>
        <v/>
      </c>
    </row>
    <row r="1329" spans="12:12" x14ac:dyDescent="0.3">
      <c r="L1329" s="7" t="str">
        <f t="shared" ca="1" si="38"/>
        <v/>
      </c>
    </row>
    <row r="1330" spans="12:12" x14ac:dyDescent="0.3">
      <c r="L1330" s="7" t="str">
        <f t="shared" ca="1" si="38"/>
        <v/>
      </c>
    </row>
    <row r="1331" spans="12:12" x14ac:dyDescent="0.3">
      <c r="L1331" s="7" t="str">
        <f t="shared" ca="1" si="38"/>
        <v/>
      </c>
    </row>
    <row r="1332" spans="12:12" x14ac:dyDescent="0.3">
      <c r="L1332" s="7" t="str">
        <f t="shared" ca="1" si="38"/>
        <v/>
      </c>
    </row>
    <row r="1333" spans="12:12" x14ac:dyDescent="0.3">
      <c r="L1333" s="7" t="str">
        <f t="shared" ca="1" si="38"/>
        <v/>
      </c>
    </row>
    <row r="1334" spans="12:12" x14ac:dyDescent="0.3">
      <c r="L1334" s="7" t="str">
        <f t="shared" ca="1" si="38"/>
        <v/>
      </c>
    </row>
    <row r="1335" spans="12:12" x14ac:dyDescent="0.3">
      <c r="L1335" s="7" t="str">
        <f t="shared" ca="1" si="38"/>
        <v/>
      </c>
    </row>
    <row r="1336" spans="12:12" x14ac:dyDescent="0.3">
      <c r="L1336" s="7" t="str">
        <f t="shared" ca="1" si="38"/>
        <v/>
      </c>
    </row>
    <row r="1337" spans="12:12" x14ac:dyDescent="0.3">
      <c r="L1337" s="7" t="str">
        <f t="shared" ca="1" si="38"/>
        <v/>
      </c>
    </row>
    <row r="1338" spans="12:12" x14ac:dyDescent="0.3">
      <c r="L1338" s="7" t="str">
        <f t="shared" ca="1" si="38"/>
        <v/>
      </c>
    </row>
    <row r="1339" spans="12:12" x14ac:dyDescent="0.3">
      <c r="L1339" s="7" t="str">
        <f t="shared" ca="1" si="38"/>
        <v/>
      </c>
    </row>
    <row r="1340" spans="12:12" x14ac:dyDescent="0.3">
      <c r="L1340" s="7" t="str">
        <f t="shared" ca="1" si="38"/>
        <v/>
      </c>
    </row>
    <row r="1341" spans="12:12" x14ac:dyDescent="0.3">
      <c r="L1341" s="7" t="str">
        <f t="shared" ca="1" si="38"/>
        <v/>
      </c>
    </row>
    <row r="1342" spans="12:12" x14ac:dyDescent="0.3">
      <c r="L1342" s="7" t="str">
        <f t="shared" ca="1" si="38"/>
        <v/>
      </c>
    </row>
    <row r="1343" spans="12:12" x14ac:dyDescent="0.3">
      <c r="L1343" s="7" t="str">
        <f t="shared" ca="1" si="38"/>
        <v/>
      </c>
    </row>
    <row r="1344" spans="12:12" x14ac:dyDescent="0.3">
      <c r="L1344" s="7" t="str">
        <f t="shared" ca="1" si="38"/>
        <v/>
      </c>
    </row>
    <row r="1345" spans="12:12" x14ac:dyDescent="0.3">
      <c r="L1345" s="7" t="str">
        <f t="shared" ca="1" si="38"/>
        <v/>
      </c>
    </row>
    <row r="1346" spans="12:12" x14ac:dyDescent="0.3">
      <c r="L1346" s="7" t="str">
        <f t="shared" ca="1" si="38"/>
        <v/>
      </c>
    </row>
    <row r="1347" spans="12:12" x14ac:dyDescent="0.3">
      <c r="L1347" s="7" t="str">
        <f t="shared" ca="1" si="38"/>
        <v/>
      </c>
    </row>
    <row r="1348" spans="12:12" x14ac:dyDescent="0.3">
      <c r="L1348" s="7" t="str">
        <f t="shared" ref="L1348:L1411" ca="1" si="39">IF(I1348="Completed",0,IF(H1348="","",H1348-TODAY()))</f>
        <v/>
      </c>
    </row>
    <row r="1349" spans="12:12" x14ac:dyDescent="0.3">
      <c r="L1349" s="7" t="str">
        <f t="shared" ca="1" si="39"/>
        <v/>
      </c>
    </row>
    <row r="1350" spans="12:12" x14ac:dyDescent="0.3">
      <c r="L1350" s="7" t="str">
        <f t="shared" ca="1" si="39"/>
        <v/>
      </c>
    </row>
    <row r="1351" spans="12:12" x14ac:dyDescent="0.3">
      <c r="L1351" s="7" t="str">
        <f t="shared" ca="1" si="39"/>
        <v/>
      </c>
    </row>
    <row r="1352" spans="12:12" x14ac:dyDescent="0.3">
      <c r="L1352" s="7" t="str">
        <f t="shared" ca="1" si="39"/>
        <v/>
      </c>
    </row>
    <row r="1353" spans="12:12" x14ac:dyDescent="0.3">
      <c r="L1353" s="7" t="str">
        <f t="shared" ca="1" si="39"/>
        <v/>
      </c>
    </row>
    <row r="1354" spans="12:12" x14ac:dyDescent="0.3">
      <c r="L1354" s="7" t="str">
        <f t="shared" ca="1" si="39"/>
        <v/>
      </c>
    </row>
    <row r="1355" spans="12:12" x14ac:dyDescent="0.3">
      <c r="L1355" s="7" t="str">
        <f t="shared" ca="1" si="39"/>
        <v/>
      </c>
    </row>
    <row r="1356" spans="12:12" x14ac:dyDescent="0.3">
      <c r="L1356" s="7" t="str">
        <f t="shared" ca="1" si="39"/>
        <v/>
      </c>
    </row>
    <row r="1357" spans="12:12" x14ac:dyDescent="0.3">
      <c r="L1357" s="7" t="str">
        <f t="shared" ca="1" si="39"/>
        <v/>
      </c>
    </row>
    <row r="1358" spans="12:12" x14ac:dyDescent="0.3">
      <c r="L1358" s="7" t="str">
        <f t="shared" ca="1" si="39"/>
        <v/>
      </c>
    </row>
    <row r="1359" spans="12:12" x14ac:dyDescent="0.3">
      <c r="L1359" s="7" t="str">
        <f t="shared" ca="1" si="39"/>
        <v/>
      </c>
    </row>
    <row r="1360" spans="12:12" x14ac:dyDescent="0.3">
      <c r="L1360" s="7" t="str">
        <f t="shared" ca="1" si="39"/>
        <v/>
      </c>
    </row>
    <row r="1361" spans="12:12" x14ac:dyDescent="0.3">
      <c r="L1361" s="7" t="str">
        <f t="shared" ca="1" si="39"/>
        <v/>
      </c>
    </row>
    <row r="1362" spans="12:12" x14ac:dyDescent="0.3">
      <c r="L1362" s="7" t="str">
        <f t="shared" ca="1" si="39"/>
        <v/>
      </c>
    </row>
    <row r="1363" spans="12:12" x14ac:dyDescent="0.3">
      <c r="L1363" s="7" t="str">
        <f t="shared" ca="1" si="39"/>
        <v/>
      </c>
    </row>
    <row r="1364" spans="12:12" x14ac:dyDescent="0.3">
      <c r="L1364" s="7" t="str">
        <f t="shared" ca="1" si="39"/>
        <v/>
      </c>
    </row>
    <row r="1365" spans="12:12" x14ac:dyDescent="0.3">
      <c r="L1365" s="7" t="str">
        <f t="shared" ca="1" si="39"/>
        <v/>
      </c>
    </row>
    <row r="1366" spans="12:12" x14ac:dyDescent="0.3">
      <c r="L1366" s="7" t="str">
        <f t="shared" ca="1" si="39"/>
        <v/>
      </c>
    </row>
    <row r="1367" spans="12:12" x14ac:dyDescent="0.3">
      <c r="L1367" s="7" t="str">
        <f t="shared" ca="1" si="39"/>
        <v/>
      </c>
    </row>
    <row r="1368" spans="12:12" x14ac:dyDescent="0.3">
      <c r="L1368" s="7" t="str">
        <f t="shared" ca="1" si="39"/>
        <v/>
      </c>
    </row>
    <row r="1369" spans="12:12" x14ac:dyDescent="0.3">
      <c r="L1369" s="7" t="str">
        <f t="shared" ca="1" si="39"/>
        <v/>
      </c>
    </row>
    <row r="1370" spans="12:12" x14ac:dyDescent="0.3">
      <c r="L1370" s="7" t="str">
        <f t="shared" ca="1" si="39"/>
        <v/>
      </c>
    </row>
    <row r="1371" spans="12:12" x14ac:dyDescent="0.3">
      <c r="L1371" s="7" t="str">
        <f t="shared" ca="1" si="39"/>
        <v/>
      </c>
    </row>
    <row r="1372" spans="12:12" x14ac:dyDescent="0.3">
      <c r="L1372" s="7" t="str">
        <f t="shared" ca="1" si="39"/>
        <v/>
      </c>
    </row>
    <row r="1373" spans="12:12" x14ac:dyDescent="0.3">
      <c r="L1373" s="7" t="str">
        <f t="shared" ca="1" si="39"/>
        <v/>
      </c>
    </row>
    <row r="1374" spans="12:12" x14ac:dyDescent="0.3">
      <c r="L1374" s="7" t="str">
        <f t="shared" ca="1" si="39"/>
        <v/>
      </c>
    </row>
    <row r="1375" spans="12:12" x14ac:dyDescent="0.3">
      <c r="L1375" s="7" t="str">
        <f t="shared" ca="1" si="39"/>
        <v/>
      </c>
    </row>
    <row r="1376" spans="12:12" x14ac:dyDescent="0.3">
      <c r="L1376" s="7" t="str">
        <f t="shared" ca="1" si="39"/>
        <v/>
      </c>
    </row>
    <row r="1377" spans="12:12" x14ac:dyDescent="0.3">
      <c r="L1377" s="7" t="str">
        <f t="shared" ca="1" si="39"/>
        <v/>
      </c>
    </row>
    <row r="1378" spans="12:12" x14ac:dyDescent="0.3">
      <c r="L1378" s="7" t="str">
        <f t="shared" ca="1" si="39"/>
        <v/>
      </c>
    </row>
    <row r="1379" spans="12:12" x14ac:dyDescent="0.3">
      <c r="L1379" s="7" t="str">
        <f t="shared" ca="1" si="39"/>
        <v/>
      </c>
    </row>
    <row r="1380" spans="12:12" x14ac:dyDescent="0.3">
      <c r="L1380" s="7" t="str">
        <f t="shared" ca="1" si="39"/>
        <v/>
      </c>
    </row>
    <row r="1381" spans="12:12" x14ac:dyDescent="0.3">
      <c r="L1381" s="7" t="str">
        <f t="shared" ca="1" si="39"/>
        <v/>
      </c>
    </row>
    <row r="1382" spans="12:12" x14ac:dyDescent="0.3">
      <c r="L1382" s="7" t="str">
        <f t="shared" ca="1" si="39"/>
        <v/>
      </c>
    </row>
    <row r="1383" spans="12:12" x14ac:dyDescent="0.3">
      <c r="L1383" s="7" t="str">
        <f t="shared" ca="1" si="39"/>
        <v/>
      </c>
    </row>
    <row r="1384" spans="12:12" x14ac:dyDescent="0.3">
      <c r="L1384" s="7" t="str">
        <f t="shared" ca="1" si="39"/>
        <v/>
      </c>
    </row>
    <row r="1385" spans="12:12" x14ac:dyDescent="0.3">
      <c r="L1385" s="7" t="str">
        <f t="shared" ca="1" si="39"/>
        <v/>
      </c>
    </row>
    <row r="1386" spans="12:12" x14ac:dyDescent="0.3">
      <c r="L1386" s="7" t="str">
        <f t="shared" ca="1" si="39"/>
        <v/>
      </c>
    </row>
    <row r="1387" spans="12:12" x14ac:dyDescent="0.3">
      <c r="L1387" s="7" t="str">
        <f t="shared" ca="1" si="39"/>
        <v/>
      </c>
    </row>
    <row r="1388" spans="12:12" x14ac:dyDescent="0.3">
      <c r="L1388" s="7" t="str">
        <f t="shared" ca="1" si="39"/>
        <v/>
      </c>
    </row>
    <row r="1389" spans="12:12" x14ac:dyDescent="0.3">
      <c r="L1389" s="7" t="str">
        <f t="shared" ca="1" si="39"/>
        <v/>
      </c>
    </row>
    <row r="1390" spans="12:12" x14ac:dyDescent="0.3">
      <c r="L1390" s="7" t="str">
        <f t="shared" ca="1" si="39"/>
        <v/>
      </c>
    </row>
    <row r="1391" spans="12:12" x14ac:dyDescent="0.3">
      <c r="L1391" s="7" t="str">
        <f t="shared" ca="1" si="39"/>
        <v/>
      </c>
    </row>
    <row r="1392" spans="12:12" x14ac:dyDescent="0.3">
      <c r="L1392" s="7" t="str">
        <f t="shared" ca="1" si="39"/>
        <v/>
      </c>
    </row>
    <row r="1393" spans="12:12" x14ac:dyDescent="0.3">
      <c r="L1393" s="7" t="str">
        <f t="shared" ca="1" si="39"/>
        <v/>
      </c>
    </row>
    <row r="1394" spans="12:12" x14ac:dyDescent="0.3">
      <c r="L1394" s="7" t="str">
        <f t="shared" ca="1" si="39"/>
        <v/>
      </c>
    </row>
    <row r="1395" spans="12:12" x14ac:dyDescent="0.3">
      <c r="L1395" s="7" t="str">
        <f t="shared" ca="1" si="39"/>
        <v/>
      </c>
    </row>
    <row r="1396" spans="12:12" x14ac:dyDescent="0.3">
      <c r="L1396" s="7" t="str">
        <f t="shared" ca="1" si="39"/>
        <v/>
      </c>
    </row>
    <row r="1397" spans="12:12" x14ac:dyDescent="0.3">
      <c r="L1397" s="7" t="str">
        <f t="shared" ca="1" si="39"/>
        <v/>
      </c>
    </row>
    <row r="1398" spans="12:12" x14ac:dyDescent="0.3">
      <c r="L1398" s="7" t="str">
        <f t="shared" ca="1" si="39"/>
        <v/>
      </c>
    </row>
    <row r="1399" spans="12:12" x14ac:dyDescent="0.3">
      <c r="L1399" s="7" t="str">
        <f t="shared" ca="1" si="39"/>
        <v/>
      </c>
    </row>
    <row r="1400" spans="12:12" x14ac:dyDescent="0.3">
      <c r="L1400" s="7" t="str">
        <f t="shared" ca="1" si="39"/>
        <v/>
      </c>
    </row>
    <row r="1401" spans="12:12" x14ac:dyDescent="0.3">
      <c r="L1401" s="7" t="str">
        <f t="shared" ca="1" si="39"/>
        <v/>
      </c>
    </row>
    <row r="1402" spans="12:12" x14ac:dyDescent="0.3">
      <c r="L1402" s="7" t="str">
        <f t="shared" ca="1" si="39"/>
        <v/>
      </c>
    </row>
    <row r="1403" spans="12:12" x14ac:dyDescent="0.3">
      <c r="L1403" s="7" t="str">
        <f t="shared" ca="1" si="39"/>
        <v/>
      </c>
    </row>
    <row r="1404" spans="12:12" x14ac:dyDescent="0.3">
      <c r="L1404" s="7" t="str">
        <f t="shared" ca="1" si="39"/>
        <v/>
      </c>
    </row>
    <row r="1405" spans="12:12" x14ac:dyDescent="0.3">
      <c r="L1405" s="7" t="str">
        <f t="shared" ca="1" si="39"/>
        <v/>
      </c>
    </row>
    <row r="1406" spans="12:12" x14ac:dyDescent="0.3">
      <c r="L1406" s="7" t="str">
        <f t="shared" ca="1" si="39"/>
        <v/>
      </c>
    </row>
    <row r="1407" spans="12:12" x14ac:dyDescent="0.3">
      <c r="L1407" s="7" t="str">
        <f t="shared" ca="1" si="39"/>
        <v/>
      </c>
    </row>
    <row r="1408" spans="12:12" x14ac:dyDescent="0.3">
      <c r="L1408" s="7" t="str">
        <f t="shared" ca="1" si="39"/>
        <v/>
      </c>
    </row>
    <row r="1409" spans="12:12" x14ac:dyDescent="0.3">
      <c r="L1409" s="7" t="str">
        <f t="shared" ca="1" si="39"/>
        <v/>
      </c>
    </row>
    <row r="1410" spans="12:12" x14ac:dyDescent="0.3">
      <c r="L1410" s="7" t="str">
        <f t="shared" ca="1" si="39"/>
        <v/>
      </c>
    </row>
    <row r="1411" spans="12:12" x14ac:dyDescent="0.3">
      <c r="L1411" s="7" t="str">
        <f t="shared" ca="1" si="39"/>
        <v/>
      </c>
    </row>
    <row r="1412" spans="12:12" x14ac:dyDescent="0.3">
      <c r="L1412" s="7" t="str">
        <f t="shared" ref="L1412:L1475" ca="1" si="40">IF(I1412="Completed",0,IF(H1412="","",H1412-TODAY()))</f>
        <v/>
      </c>
    </row>
    <row r="1413" spans="12:12" x14ac:dyDescent="0.3">
      <c r="L1413" s="7" t="str">
        <f t="shared" ca="1" si="40"/>
        <v/>
      </c>
    </row>
    <row r="1414" spans="12:12" x14ac:dyDescent="0.3">
      <c r="L1414" s="7" t="str">
        <f t="shared" ca="1" si="40"/>
        <v/>
      </c>
    </row>
    <row r="1415" spans="12:12" x14ac:dyDescent="0.3">
      <c r="L1415" s="7" t="str">
        <f t="shared" ca="1" si="40"/>
        <v/>
      </c>
    </row>
    <row r="1416" spans="12:12" x14ac:dyDescent="0.3">
      <c r="L1416" s="7" t="str">
        <f t="shared" ca="1" si="40"/>
        <v/>
      </c>
    </row>
    <row r="1417" spans="12:12" x14ac:dyDescent="0.3">
      <c r="L1417" s="7" t="str">
        <f t="shared" ca="1" si="40"/>
        <v/>
      </c>
    </row>
    <row r="1418" spans="12:12" x14ac:dyDescent="0.3">
      <c r="L1418" s="7" t="str">
        <f t="shared" ca="1" si="40"/>
        <v/>
      </c>
    </row>
    <row r="1419" spans="12:12" x14ac:dyDescent="0.3">
      <c r="L1419" s="7" t="str">
        <f t="shared" ca="1" si="40"/>
        <v/>
      </c>
    </row>
    <row r="1420" spans="12:12" x14ac:dyDescent="0.3">
      <c r="L1420" s="7" t="str">
        <f t="shared" ca="1" si="40"/>
        <v/>
      </c>
    </row>
    <row r="1421" spans="12:12" x14ac:dyDescent="0.3">
      <c r="L1421" s="7" t="str">
        <f t="shared" ca="1" si="40"/>
        <v/>
      </c>
    </row>
    <row r="1422" spans="12:12" x14ac:dyDescent="0.3">
      <c r="L1422" s="7" t="str">
        <f t="shared" ca="1" si="40"/>
        <v/>
      </c>
    </row>
    <row r="1423" spans="12:12" x14ac:dyDescent="0.3">
      <c r="L1423" s="7" t="str">
        <f t="shared" ca="1" si="40"/>
        <v/>
      </c>
    </row>
    <row r="1424" spans="12:12" x14ac:dyDescent="0.3">
      <c r="L1424" s="7" t="str">
        <f t="shared" ca="1" si="40"/>
        <v/>
      </c>
    </row>
    <row r="1425" spans="12:12" x14ac:dyDescent="0.3">
      <c r="L1425" s="7" t="str">
        <f t="shared" ca="1" si="40"/>
        <v/>
      </c>
    </row>
    <row r="1426" spans="12:12" x14ac:dyDescent="0.3">
      <c r="L1426" s="7" t="str">
        <f t="shared" ca="1" si="40"/>
        <v/>
      </c>
    </row>
    <row r="1427" spans="12:12" x14ac:dyDescent="0.3">
      <c r="L1427" s="7" t="str">
        <f t="shared" ca="1" si="40"/>
        <v/>
      </c>
    </row>
    <row r="1428" spans="12:12" x14ac:dyDescent="0.3">
      <c r="L1428" s="7" t="str">
        <f t="shared" ca="1" si="40"/>
        <v/>
      </c>
    </row>
    <row r="1429" spans="12:12" x14ac:dyDescent="0.3">
      <c r="L1429" s="7" t="str">
        <f t="shared" ca="1" si="40"/>
        <v/>
      </c>
    </row>
    <row r="1430" spans="12:12" x14ac:dyDescent="0.3">
      <c r="L1430" s="7" t="str">
        <f t="shared" ca="1" si="40"/>
        <v/>
      </c>
    </row>
    <row r="1431" spans="12:12" x14ac:dyDescent="0.3">
      <c r="L1431" s="7" t="str">
        <f t="shared" ca="1" si="40"/>
        <v/>
      </c>
    </row>
    <row r="1432" spans="12:12" x14ac:dyDescent="0.3">
      <c r="L1432" s="7" t="str">
        <f t="shared" ca="1" si="40"/>
        <v/>
      </c>
    </row>
    <row r="1433" spans="12:12" x14ac:dyDescent="0.3">
      <c r="L1433" s="7" t="str">
        <f t="shared" ca="1" si="40"/>
        <v/>
      </c>
    </row>
    <row r="1434" spans="12:12" x14ac:dyDescent="0.3">
      <c r="L1434" s="7" t="str">
        <f t="shared" ca="1" si="40"/>
        <v/>
      </c>
    </row>
    <row r="1435" spans="12:12" x14ac:dyDescent="0.3">
      <c r="L1435" s="7" t="str">
        <f t="shared" ca="1" si="40"/>
        <v/>
      </c>
    </row>
    <row r="1436" spans="12:12" x14ac:dyDescent="0.3">
      <c r="L1436" s="7" t="str">
        <f t="shared" ca="1" si="40"/>
        <v/>
      </c>
    </row>
    <row r="1437" spans="12:12" x14ac:dyDescent="0.3">
      <c r="L1437" s="7" t="str">
        <f t="shared" ca="1" si="40"/>
        <v/>
      </c>
    </row>
    <row r="1438" spans="12:12" x14ac:dyDescent="0.3">
      <c r="L1438" s="7" t="str">
        <f t="shared" ca="1" si="40"/>
        <v/>
      </c>
    </row>
    <row r="1439" spans="12:12" x14ac:dyDescent="0.3">
      <c r="L1439" s="7" t="str">
        <f t="shared" ca="1" si="40"/>
        <v/>
      </c>
    </row>
    <row r="1440" spans="12:12" x14ac:dyDescent="0.3">
      <c r="L1440" s="7" t="str">
        <f t="shared" ca="1" si="40"/>
        <v/>
      </c>
    </row>
    <row r="1441" spans="12:12" x14ac:dyDescent="0.3">
      <c r="L1441" s="7" t="str">
        <f t="shared" ca="1" si="40"/>
        <v/>
      </c>
    </row>
    <row r="1442" spans="12:12" x14ac:dyDescent="0.3">
      <c r="L1442" s="7" t="str">
        <f t="shared" ca="1" si="40"/>
        <v/>
      </c>
    </row>
    <row r="1443" spans="12:12" x14ac:dyDescent="0.3">
      <c r="L1443" s="7" t="str">
        <f t="shared" ca="1" si="40"/>
        <v/>
      </c>
    </row>
    <row r="1444" spans="12:12" x14ac:dyDescent="0.3">
      <c r="L1444" s="7" t="str">
        <f t="shared" ca="1" si="40"/>
        <v/>
      </c>
    </row>
    <row r="1445" spans="12:12" x14ac:dyDescent="0.3">
      <c r="L1445" s="7" t="str">
        <f t="shared" ca="1" si="40"/>
        <v/>
      </c>
    </row>
    <row r="1446" spans="12:12" x14ac:dyDescent="0.3">
      <c r="L1446" s="7" t="str">
        <f t="shared" ca="1" si="40"/>
        <v/>
      </c>
    </row>
    <row r="1447" spans="12:12" x14ac:dyDescent="0.3">
      <c r="L1447" s="7" t="str">
        <f t="shared" ca="1" si="40"/>
        <v/>
      </c>
    </row>
    <row r="1448" spans="12:12" x14ac:dyDescent="0.3">
      <c r="L1448" s="7" t="str">
        <f t="shared" ca="1" si="40"/>
        <v/>
      </c>
    </row>
    <row r="1449" spans="12:12" x14ac:dyDescent="0.3">
      <c r="L1449" s="7" t="str">
        <f t="shared" ca="1" si="40"/>
        <v/>
      </c>
    </row>
    <row r="1450" spans="12:12" x14ac:dyDescent="0.3">
      <c r="L1450" s="7" t="str">
        <f t="shared" ca="1" si="40"/>
        <v/>
      </c>
    </row>
    <row r="1451" spans="12:12" x14ac:dyDescent="0.3">
      <c r="L1451" s="7" t="str">
        <f t="shared" ca="1" si="40"/>
        <v/>
      </c>
    </row>
    <row r="1452" spans="12:12" x14ac:dyDescent="0.3">
      <c r="L1452" s="7" t="str">
        <f t="shared" ca="1" si="40"/>
        <v/>
      </c>
    </row>
    <row r="1453" spans="12:12" x14ac:dyDescent="0.3">
      <c r="L1453" s="7" t="str">
        <f t="shared" ca="1" si="40"/>
        <v/>
      </c>
    </row>
    <row r="1454" spans="12:12" x14ac:dyDescent="0.3">
      <c r="L1454" s="7" t="str">
        <f t="shared" ca="1" si="40"/>
        <v/>
      </c>
    </row>
    <row r="1455" spans="12:12" x14ac:dyDescent="0.3">
      <c r="L1455" s="7" t="str">
        <f t="shared" ca="1" si="40"/>
        <v/>
      </c>
    </row>
    <row r="1456" spans="12:12" x14ac:dyDescent="0.3">
      <c r="L1456" s="7" t="str">
        <f t="shared" ca="1" si="40"/>
        <v/>
      </c>
    </row>
    <row r="1457" spans="12:12" x14ac:dyDescent="0.3">
      <c r="L1457" s="7" t="str">
        <f t="shared" ca="1" si="40"/>
        <v/>
      </c>
    </row>
    <row r="1458" spans="12:12" x14ac:dyDescent="0.3">
      <c r="L1458" s="7" t="str">
        <f t="shared" ca="1" si="40"/>
        <v/>
      </c>
    </row>
    <row r="1459" spans="12:12" x14ac:dyDescent="0.3">
      <c r="L1459" s="7" t="str">
        <f t="shared" ca="1" si="40"/>
        <v/>
      </c>
    </row>
    <row r="1460" spans="12:12" x14ac:dyDescent="0.3">
      <c r="L1460" s="7" t="str">
        <f t="shared" ca="1" si="40"/>
        <v/>
      </c>
    </row>
    <row r="1461" spans="12:12" x14ac:dyDescent="0.3">
      <c r="L1461" s="7" t="str">
        <f t="shared" ca="1" si="40"/>
        <v/>
      </c>
    </row>
    <row r="1462" spans="12:12" x14ac:dyDescent="0.3">
      <c r="L1462" s="7" t="str">
        <f t="shared" ca="1" si="40"/>
        <v/>
      </c>
    </row>
    <row r="1463" spans="12:12" x14ac:dyDescent="0.3">
      <c r="L1463" s="7" t="str">
        <f t="shared" ca="1" si="40"/>
        <v/>
      </c>
    </row>
    <row r="1464" spans="12:12" x14ac:dyDescent="0.3">
      <c r="L1464" s="7" t="str">
        <f t="shared" ca="1" si="40"/>
        <v/>
      </c>
    </row>
    <row r="1465" spans="12:12" x14ac:dyDescent="0.3">
      <c r="L1465" s="7" t="str">
        <f t="shared" ca="1" si="40"/>
        <v/>
      </c>
    </row>
    <row r="1466" spans="12:12" x14ac:dyDescent="0.3">
      <c r="L1466" s="7" t="str">
        <f t="shared" ca="1" si="40"/>
        <v/>
      </c>
    </row>
    <row r="1467" spans="12:12" x14ac:dyDescent="0.3">
      <c r="L1467" s="7" t="str">
        <f t="shared" ca="1" si="40"/>
        <v/>
      </c>
    </row>
    <row r="1468" spans="12:12" x14ac:dyDescent="0.3">
      <c r="L1468" s="7" t="str">
        <f t="shared" ca="1" si="40"/>
        <v/>
      </c>
    </row>
    <row r="1469" spans="12:12" x14ac:dyDescent="0.3">
      <c r="L1469" s="7" t="str">
        <f t="shared" ca="1" si="40"/>
        <v/>
      </c>
    </row>
    <row r="1470" spans="12:12" x14ac:dyDescent="0.3">
      <c r="L1470" s="7" t="str">
        <f t="shared" ca="1" si="40"/>
        <v/>
      </c>
    </row>
    <row r="1471" spans="12:12" x14ac:dyDescent="0.3">
      <c r="L1471" s="7" t="str">
        <f t="shared" ca="1" si="40"/>
        <v/>
      </c>
    </row>
    <row r="1472" spans="12:12" x14ac:dyDescent="0.3">
      <c r="L1472" s="7" t="str">
        <f t="shared" ca="1" si="40"/>
        <v/>
      </c>
    </row>
    <row r="1473" spans="12:12" x14ac:dyDescent="0.3">
      <c r="L1473" s="7" t="str">
        <f t="shared" ca="1" si="40"/>
        <v/>
      </c>
    </row>
    <row r="1474" spans="12:12" x14ac:dyDescent="0.3">
      <c r="L1474" s="7" t="str">
        <f t="shared" ca="1" si="40"/>
        <v/>
      </c>
    </row>
    <row r="1475" spans="12:12" x14ac:dyDescent="0.3">
      <c r="L1475" s="7" t="str">
        <f t="shared" ca="1" si="40"/>
        <v/>
      </c>
    </row>
    <row r="1476" spans="12:12" x14ac:dyDescent="0.3">
      <c r="L1476" s="7" t="str">
        <f t="shared" ref="L1476:L1539" ca="1" si="41">IF(I1476="Completed",0,IF(H1476="","",H1476-TODAY()))</f>
        <v/>
      </c>
    </row>
    <row r="1477" spans="12:12" x14ac:dyDescent="0.3">
      <c r="L1477" s="7" t="str">
        <f t="shared" ca="1" si="41"/>
        <v/>
      </c>
    </row>
    <row r="1478" spans="12:12" x14ac:dyDescent="0.3">
      <c r="L1478" s="7" t="str">
        <f t="shared" ca="1" si="41"/>
        <v/>
      </c>
    </row>
    <row r="1479" spans="12:12" x14ac:dyDescent="0.3">
      <c r="L1479" s="7" t="str">
        <f t="shared" ca="1" si="41"/>
        <v/>
      </c>
    </row>
    <row r="1480" spans="12:12" x14ac:dyDescent="0.3">
      <c r="L1480" s="7" t="str">
        <f t="shared" ca="1" si="41"/>
        <v/>
      </c>
    </row>
    <row r="1481" spans="12:12" x14ac:dyDescent="0.3">
      <c r="L1481" s="7" t="str">
        <f t="shared" ca="1" si="41"/>
        <v/>
      </c>
    </row>
    <row r="1482" spans="12:12" x14ac:dyDescent="0.3">
      <c r="L1482" s="7" t="str">
        <f t="shared" ca="1" si="41"/>
        <v/>
      </c>
    </row>
    <row r="1483" spans="12:12" x14ac:dyDescent="0.3">
      <c r="L1483" s="7" t="str">
        <f t="shared" ca="1" si="41"/>
        <v/>
      </c>
    </row>
    <row r="1484" spans="12:12" x14ac:dyDescent="0.3">
      <c r="L1484" s="7" t="str">
        <f t="shared" ca="1" si="41"/>
        <v/>
      </c>
    </row>
    <row r="1485" spans="12:12" x14ac:dyDescent="0.3">
      <c r="L1485" s="7" t="str">
        <f t="shared" ca="1" si="41"/>
        <v/>
      </c>
    </row>
    <row r="1486" spans="12:12" x14ac:dyDescent="0.3">
      <c r="L1486" s="7" t="str">
        <f t="shared" ca="1" si="41"/>
        <v/>
      </c>
    </row>
    <row r="1487" spans="12:12" x14ac:dyDescent="0.3">
      <c r="L1487" s="7" t="str">
        <f t="shared" ca="1" si="41"/>
        <v/>
      </c>
    </row>
    <row r="1488" spans="12:12" x14ac:dyDescent="0.3">
      <c r="L1488" s="7" t="str">
        <f t="shared" ca="1" si="41"/>
        <v/>
      </c>
    </row>
    <row r="1489" spans="12:12" x14ac:dyDescent="0.3">
      <c r="L1489" s="7" t="str">
        <f t="shared" ca="1" si="41"/>
        <v/>
      </c>
    </row>
    <row r="1490" spans="12:12" x14ac:dyDescent="0.3">
      <c r="L1490" s="7" t="str">
        <f t="shared" ca="1" si="41"/>
        <v/>
      </c>
    </row>
    <row r="1491" spans="12:12" x14ac:dyDescent="0.3">
      <c r="L1491" s="7" t="str">
        <f t="shared" ca="1" si="41"/>
        <v/>
      </c>
    </row>
    <row r="1492" spans="12:12" x14ac:dyDescent="0.3">
      <c r="L1492" s="7" t="str">
        <f t="shared" ca="1" si="41"/>
        <v/>
      </c>
    </row>
    <row r="1493" spans="12:12" x14ac:dyDescent="0.3">
      <c r="L1493" s="7" t="str">
        <f t="shared" ca="1" si="41"/>
        <v/>
      </c>
    </row>
    <row r="1494" spans="12:12" x14ac:dyDescent="0.3">
      <c r="L1494" s="7" t="str">
        <f t="shared" ca="1" si="41"/>
        <v/>
      </c>
    </row>
    <row r="1495" spans="12:12" x14ac:dyDescent="0.3">
      <c r="L1495" s="7" t="str">
        <f t="shared" ca="1" si="41"/>
        <v/>
      </c>
    </row>
    <row r="1496" spans="12:12" x14ac:dyDescent="0.3">
      <c r="L1496" s="7" t="str">
        <f t="shared" ca="1" si="41"/>
        <v/>
      </c>
    </row>
    <row r="1497" spans="12:12" x14ac:dyDescent="0.3">
      <c r="L1497" s="7" t="str">
        <f t="shared" ca="1" si="41"/>
        <v/>
      </c>
    </row>
    <row r="1498" spans="12:12" x14ac:dyDescent="0.3">
      <c r="L1498" s="7" t="str">
        <f t="shared" ca="1" si="41"/>
        <v/>
      </c>
    </row>
    <row r="1499" spans="12:12" x14ac:dyDescent="0.3">
      <c r="L1499" s="7" t="str">
        <f t="shared" ca="1" si="41"/>
        <v/>
      </c>
    </row>
    <row r="1500" spans="12:12" x14ac:dyDescent="0.3">
      <c r="L1500" s="7" t="str">
        <f t="shared" ca="1" si="41"/>
        <v/>
      </c>
    </row>
    <row r="1501" spans="12:12" x14ac:dyDescent="0.3">
      <c r="L1501" s="7" t="str">
        <f t="shared" ca="1" si="41"/>
        <v/>
      </c>
    </row>
    <row r="1502" spans="12:12" x14ac:dyDescent="0.3">
      <c r="L1502" s="7" t="str">
        <f t="shared" ca="1" si="41"/>
        <v/>
      </c>
    </row>
    <row r="1503" spans="12:12" x14ac:dyDescent="0.3">
      <c r="L1503" s="7" t="str">
        <f t="shared" ca="1" si="41"/>
        <v/>
      </c>
    </row>
    <row r="1504" spans="12:12" x14ac:dyDescent="0.3">
      <c r="L1504" s="7" t="str">
        <f t="shared" ca="1" si="41"/>
        <v/>
      </c>
    </row>
    <row r="1505" spans="12:12" x14ac:dyDescent="0.3">
      <c r="L1505" s="7" t="str">
        <f t="shared" ca="1" si="41"/>
        <v/>
      </c>
    </row>
    <row r="1506" spans="12:12" x14ac:dyDescent="0.3">
      <c r="L1506" s="7" t="str">
        <f t="shared" ca="1" si="41"/>
        <v/>
      </c>
    </row>
    <row r="1507" spans="12:12" x14ac:dyDescent="0.3">
      <c r="L1507" s="7" t="str">
        <f t="shared" ca="1" si="41"/>
        <v/>
      </c>
    </row>
    <row r="1508" spans="12:12" x14ac:dyDescent="0.3">
      <c r="L1508" s="7" t="str">
        <f t="shared" ca="1" si="41"/>
        <v/>
      </c>
    </row>
    <row r="1509" spans="12:12" x14ac:dyDescent="0.3">
      <c r="L1509" s="7" t="str">
        <f t="shared" ca="1" si="41"/>
        <v/>
      </c>
    </row>
    <row r="1510" spans="12:12" x14ac:dyDescent="0.3">
      <c r="L1510" s="7" t="str">
        <f t="shared" ca="1" si="41"/>
        <v/>
      </c>
    </row>
    <row r="1511" spans="12:12" x14ac:dyDescent="0.3">
      <c r="L1511" s="7" t="str">
        <f t="shared" ca="1" si="41"/>
        <v/>
      </c>
    </row>
    <row r="1512" spans="12:12" x14ac:dyDescent="0.3">
      <c r="L1512" s="7" t="str">
        <f t="shared" ca="1" si="41"/>
        <v/>
      </c>
    </row>
    <row r="1513" spans="12:12" x14ac:dyDescent="0.3">
      <c r="L1513" s="7" t="str">
        <f t="shared" ca="1" si="41"/>
        <v/>
      </c>
    </row>
    <row r="1514" spans="12:12" x14ac:dyDescent="0.3">
      <c r="L1514" s="7" t="str">
        <f t="shared" ca="1" si="41"/>
        <v/>
      </c>
    </row>
    <row r="1515" spans="12:12" x14ac:dyDescent="0.3">
      <c r="L1515" s="7" t="str">
        <f t="shared" ca="1" si="41"/>
        <v/>
      </c>
    </row>
    <row r="1516" spans="12:12" x14ac:dyDescent="0.3">
      <c r="L1516" s="7" t="str">
        <f t="shared" ca="1" si="41"/>
        <v/>
      </c>
    </row>
    <row r="1517" spans="12:12" x14ac:dyDescent="0.3">
      <c r="L1517" s="7" t="str">
        <f t="shared" ca="1" si="41"/>
        <v/>
      </c>
    </row>
    <row r="1518" spans="12:12" x14ac:dyDescent="0.3">
      <c r="L1518" s="7" t="str">
        <f t="shared" ca="1" si="41"/>
        <v/>
      </c>
    </row>
    <row r="1519" spans="12:12" x14ac:dyDescent="0.3">
      <c r="L1519" s="7" t="str">
        <f t="shared" ca="1" si="41"/>
        <v/>
      </c>
    </row>
    <row r="1520" spans="12:12" x14ac:dyDescent="0.3">
      <c r="L1520" s="7" t="str">
        <f t="shared" ca="1" si="41"/>
        <v/>
      </c>
    </row>
    <row r="1521" spans="12:12" x14ac:dyDescent="0.3">
      <c r="L1521" s="7" t="str">
        <f t="shared" ca="1" si="41"/>
        <v/>
      </c>
    </row>
    <row r="1522" spans="12:12" x14ac:dyDescent="0.3">
      <c r="L1522" s="7" t="str">
        <f t="shared" ca="1" si="41"/>
        <v/>
      </c>
    </row>
    <row r="1523" spans="12:12" x14ac:dyDescent="0.3">
      <c r="L1523" s="7" t="str">
        <f t="shared" ca="1" si="41"/>
        <v/>
      </c>
    </row>
    <row r="1524" spans="12:12" x14ac:dyDescent="0.3">
      <c r="L1524" s="7" t="str">
        <f t="shared" ca="1" si="41"/>
        <v/>
      </c>
    </row>
    <row r="1525" spans="12:12" x14ac:dyDescent="0.3">
      <c r="L1525" s="7" t="str">
        <f t="shared" ca="1" si="41"/>
        <v/>
      </c>
    </row>
    <row r="1526" spans="12:12" x14ac:dyDescent="0.3">
      <c r="L1526" s="7" t="str">
        <f t="shared" ca="1" si="41"/>
        <v/>
      </c>
    </row>
    <row r="1527" spans="12:12" x14ac:dyDescent="0.3">
      <c r="L1527" s="7" t="str">
        <f t="shared" ca="1" si="41"/>
        <v/>
      </c>
    </row>
    <row r="1528" spans="12:12" x14ac:dyDescent="0.3">
      <c r="L1528" s="7" t="str">
        <f t="shared" ca="1" si="41"/>
        <v/>
      </c>
    </row>
    <row r="1529" spans="12:12" x14ac:dyDescent="0.3">
      <c r="L1529" s="7" t="str">
        <f t="shared" ca="1" si="41"/>
        <v/>
      </c>
    </row>
    <row r="1530" spans="12:12" x14ac:dyDescent="0.3">
      <c r="L1530" s="7" t="str">
        <f t="shared" ca="1" si="41"/>
        <v/>
      </c>
    </row>
    <row r="1531" spans="12:12" x14ac:dyDescent="0.3">
      <c r="L1531" s="7" t="str">
        <f t="shared" ca="1" si="41"/>
        <v/>
      </c>
    </row>
    <row r="1532" spans="12:12" x14ac:dyDescent="0.3">
      <c r="L1532" s="7" t="str">
        <f t="shared" ca="1" si="41"/>
        <v/>
      </c>
    </row>
    <row r="1533" spans="12:12" x14ac:dyDescent="0.3">
      <c r="L1533" s="7" t="str">
        <f t="shared" ca="1" si="41"/>
        <v/>
      </c>
    </row>
    <row r="1534" spans="12:12" x14ac:dyDescent="0.3">
      <c r="L1534" s="7" t="str">
        <f t="shared" ca="1" si="41"/>
        <v/>
      </c>
    </row>
    <row r="1535" spans="12:12" x14ac:dyDescent="0.3">
      <c r="L1535" s="7" t="str">
        <f t="shared" ca="1" si="41"/>
        <v/>
      </c>
    </row>
    <row r="1536" spans="12:12" x14ac:dyDescent="0.3">
      <c r="L1536" s="7" t="str">
        <f t="shared" ca="1" si="41"/>
        <v/>
      </c>
    </row>
    <row r="1537" spans="12:12" x14ac:dyDescent="0.3">
      <c r="L1537" s="7" t="str">
        <f t="shared" ca="1" si="41"/>
        <v/>
      </c>
    </row>
    <row r="1538" spans="12:12" x14ac:dyDescent="0.3">
      <c r="L1538" s="7" t="str">
        <f t="shared" ca="1" si="41"/>
        <v/>
      </c>
    </row>
    <row r="1539" spans="12:12" x14ac:dyDescent="0.3">
      <c r="L1539" s="7" t="str">
        <f t="shared" ca="1" si="41"/>
        <v/>
      </c>
    </row>
    <row r="1540" spans="12:12" x14ac:dyDescent="0.3">
      <c r="L1540" s="7" t="str">
        <f t="shared" ref="L1540:L1603" ca="1" si="42">IF(I1540="Completed",0,IF(H1540="","",H1540-TODAY()))</f>
        <v/>
      </c>
    </row>
    <row r="1541" spans="12:12" x14ac:dyDescent="0.3">
      <c r="L1541" s="7" t="str">
        <f t="shared" ca="1" si="42"/>
        <v/>
      </c>
    </row>
    <row r="1542" spans="12:12" x14ac:dyDescent="0.3">
      <c r="L1542" s="7" t="str">
        <f t="shared" ca="1" si="42"/>
        <v/>
      </c>
    </row>
    <row r="1543" spans="12:12" x14ac:dyDescent="0.3">
      <c r="L1543" s="7" t="str">
        <f t="shared" ca="1" si="42"/>
        <v/>
      </c>
    </row>
    <row r="1544" spans="12:12" x14ac:dyDescent="0.3">
      <c r="L1544" s="7" t="str">
        <f t="shared" ca="1" si="42"/>
        <v/>
      </c>
    </row>
    <row r="1545" spans="12:12" x14ac:dyDescent="0.3">
      <c r="L1545" s="7" t="str">
        <f t="shared" ca="1" si="42"/>
        <v/>
      </c>
    </row>
    <row r="1546" spans="12:12" x14ac:dyDescent="0.3">
      <c r="L1546" s="7" t="str">
        <f t="shared" ca="1" si="42"/>
        <v/>
      </c>
    </row>
    <row r="1547" spans="12:12" x14ac:dyDescent="0.3">
      <c r="L1547" s="7" t="str">
        <f t="shared" ca="1" si="42"/>
        <v/>
      </c>
    </row>
    <row r="1548" spans="12:12" x14ac:dyDescent="0.3">
      <c r="L1548" s="7" t="str">
        <f t="shared" ca="1" si="42"/>
        <v/>
      </c>
    </row>
    <row r="1549" spans="12:12" x14ac:dyDescent="0.3">
      <c r="L1549" s="7" t="str">
        <f t="shared" ca="1" si="42"/>
        <v/>
      </c>
    </row>
    <row r="1550" spans="12:12" x14ac:dyDescent="0.3">
      <c r="L1550" s="7" t="str">
        <f t="shared" ca="1" si="42"/>
        <v/>
      </c>
    </row>
    <row r="1551" spans="12:12" x14ac:dyDescent="0.3">
      <c r="L1551" s="7" t="str">
        <f t="shared" ca="1" si="42"/>
        <v/>
      </c>
    </row>
    <row r="1552" spans="12:12" x14ac:dyDescent="0.3">
      <c r="L1552" s="7" t="str">
        <f t="shared" ca="1" si="42"/>
        <v/>
      </c>
    </row>
    <row r="1553" spans="12:12" x14ac:dyDescent="0.3">
      <c r="L1553" s="7" t="str">
        <f t="shared" ca="1" si="42"/>
        <v/>
      </c>
    </row>
    <row r="1554" spans="12:12" x14ac:dyDescent="0.3">
      <c r="L1554" s="7" t="str">
        <f t="shared" ca="1" si="42"/>
        <v/>
      </c>
    </row>
    <row r="1555" spans="12:12" x14ac:dyDescent="0.3">
      <c r="L1555" s="7" t="str">
        <f t="shared" ca="1" si="42"/>
        <v/>
      </c>
    </row>
    <row r="1556" spans="12:12" x14ac:dyDescent="0.3">
      <c r="L1556" s="7" t="str">
        <f t="shared" ca="1" si="42"/>
        <v/>
      </c>
    </row>
    <row r="1557" spans="12:12" x14ac:dyDescent="0.3">
      <c r="L1557" s="7" t="str">
        <f t="shared" ca="1" si="42"/>
        <v/>
      </c>
    </row>
    <row r="1558" spans="12:12" x14ac:dyDescent="0.3">
      <c r="L1558" s="7" t="str">
        <f t="shared" ca="1" si="42"/>
        <v/>
      </c>
    </row>
    <row r="1559" spans="12:12" x14ac:dyDescent="0.3">
      <c r="L1559" s="7" t="str">
        <f t="shared" ca="1" si="42"/>
        <v/>
      </c>
    </row>
    <row r="1560" spans="12:12" x14ac:dyDescent="0.3">
      <c r="L1560" s="7" t="str">
        <f t="shared" ca="1" si="42"/>
        <v/>
      </c>
    </row>
    <row r="1561" spans="12:12" x14ac:dyDescent="0.3">
      <c r="L1561" s="7" t="str">
        <f t="shared" ca="1" si="42"/>
        <v/>
      </c>
    </row>
    <row r="1562" spans="12:12" x14ac:dyDescent="0.3">
      <c r="L1562" s="7" t="str">
        <f t="shared" ca="1" si="42"/>
        <v/>
      </c>
    </row>
    <row r="1563" spans="12:12" x14ac:dyDescent="0.3">
      <c r="L1563" s="7" t="str">
        <f t="shared" ca="1" si="42"/>
        <v/>
      </c>
    </row>
    <row r="1564" spans="12:12" x14ac:dyDescent="0.3">
      <c r="L1564" s="7" t="str">
        <f t="shared" ca="1" si="42"/>
        <v/>
      </c>
    </row>
    <row r="1565" spans="12:12" x14ac:dyDescent="0.3">
      <c r="L1565" s="7" t="str">
        <f t="shared" ca="1" si="42"/>
        <v/>
      </c>
    </row>
    <row r="1566" spans="12:12" x14ac:dyDescent="0.3">
      <c r="L1566" s="7" t="str">
        <f t="shared" ca="1" si="42"/>
        <v/>
      </c>
    </row>
    <row r="1567" spans="12:12" x14ac:dyDescent="0.3">
      <c r="L1567" s="7" t="str">
        <f t="shared" ca="1" si="42"/>
        <v/>
      </c>
    </row>
    <row r="1568" spans="12:12" x14ac:dyDescent="0.3">
      <c r="L1568" s="7" t="str">
        <f t="shared" ca="1" si="42"/>
        <v/>
      </c>
    </row>
    <row r="1569" spans="12:12" x14ac:dyDescent="0.3">
      <c r="L1569" s="7" t="str">
        <f t="shared" ca="1" si="42"/>
        <v/>
      </c>
    </row>
    <row r="1570" spans="12:12" x14ac:dyDescent="0.3">
      <c r="L1570" s="7" t="str">
        <f t="shared" ca="1" si="42"/>
        <v/>
      </c>
    </row>
    <row r="1571" spans="12:12" x14ac:dyDescent="0.3">
      <c r="L1571" s="7" t="str">
        <f t="shared" ca="1" si="42"/>
        <v/>
      </c>
    </row>
    <row r="1572" spans="12:12" x14ac:dyDescent="0.3">
      <c r="L1572" s="7" t="str">
        <f t="shared" ca="1" si="42"/>
        <v/>
      </c>
    </row>
    <row r="1573" spans="12:12" x14ac:dyDescent="0.3">
      <c r="L1573" s="7" t="str">
        <f t="shared" ca="1" si="42"/>
        <v/>
      </c>
    </row>
    <row r="1574" spans="12:12" x14ac:dyDescent="0.3">
      <c r="L1574" s="7" t="str">
        <f t="shared" ca="1" si="42"/>
        <v/>
      </c>
    </row>
    <row r="1575" spans="12:12" x14ac:dyDescent="0.3">
      <c r="L1575" s="7" t="str">
        <f t="shared" ca="1" si="42"/>
        <v/>
      </c>
    </row>
    <row r="1576" spans="12:12" x14ac:dyDescent="0.3">
      <c r="L1576" s="7" t="str">
        <f t="shared" ca="1" si="42"/>
        <v/>
      </c>
    </row>
    <row r="1577" spans="12:12" x14ac:dyDescent="0.3">
      <c r="L1577" s="7" t="str">
        <f t="shared" ca="1" si="42"/>
        <v/>
      </c>
    </row>
    <row r="1578" spans="12:12" x14ac:dyDescent="0.3">
      <c r="L1578" s="7" t="str">
        <f t="shared" ca="1" si="42"/>
        <v/>
      </c>
    </row>
    <row r="1579" spans="12:12" x14ac:dyDescent="0.3">
      <c r="L1579" s="7" t="str">
        <f t="shared" ca="1" si="42"/>
        <v/>
      </c>
    </row>
    <row r="1580" spans="12:12" x14ac:dyDescent="0.3">
      <c r="L1580" s="7" t="str">
        <f t="shared" ca="1" si="42"/>
        <v/>
      </c>
    </row>
    <row r="1581" spans="12:12" x14ac:dyDescent="0.3">
      <c r="L1581" s="7" t="str">
        <f t="shared" ca="1" si="42"/>
        <v/>
      </c>
    </row>
    <row r="1582" spans="12:12" x14ac:dyDescent="0.3">
      <c r="L1582" s="7" t="str">
        <f t="shared" ca="1" si="42"/>
        <v/>
      </c>
    </row>
    <row r="1583" spans="12:12" x14ac:dyDescent="0.3">
      <c r="L1583" s="7" t="str">
        <f t="shared" ca="1" si="42"/>
        <v/>
      </c>
    </row>
    <row r="1584" spans="12:12" x14ac:dyDescent="0.3">
      <c r="L1584" s="7" t="str">
        <f t="shared" ca="1" si="42"/>
        <v/>
      </c>
    </row>
    <row r="1585" spans="12:12" x14ac:dyDescent="0.3">
      <c r="L1585" s="7" t="str">
        <f t="shared" ca="1" si="42"/>
        <v/>
      </c>
    </row>
    <row r="1586" spans="12:12" x14ac:dyDescent="0.3">
      <c r="L1586" s="7" t="str">
        <f t="shared" ca="1" si="42"/>
        <v/>
      </c>
    </row>
    <row r="1587" spans="12:12" x14ac:dyDescent="0.3">
      <c r="L1587" s="7" t="str">
        <f t="shared" ca="1" si="42"/>
        <v/>
      </c>
    </row>
    <row r="1588" spans="12:12" x14ac:dyDescent="0.3">
      <c r="L1588" s="7" t="str">
        <f t="shared" ca="1" si="42"/>
        <v/>
      </c>
    </row>
    <row r="1589" spans="12:12" x14ac:dyDescent="0.3">
      <c r="L1589" s="7" t="str">
        <f t="shared" ca="1" si="42"/>
        <v/>
      </c>
    </row>
    <row r="1590" spans="12:12" x14ac:dyDescent="0.3">
      <c r="L1590" s="7" t="str">
        <f t="shared" ca="1" si="42"/>
        <v/>
      </c>
    </row>
    <row r="1591" spans="12:12" x14ac:dyDescent="0.3">
      <c r="L1591" s="7" t="str">
        <f t="shared" ca="1" si="42"/>
        <v/>
      </c>
    </row>
    <row r="1592" spans="12:12" x14ac:dyDescent="0.3">
      <c r="L1592" s="7" t="str">
        <f t="shared" ca="1" si="42"/>
        <v/>
      </c>
    </row>
    <row r="1593" spans="12:12" x14ac:dyDescent="0.3">
      <c r="L1593" s="7" t="str">
        <f t="shared" ca="1" si="42"/>
        <v/>
      </c>
    </row>
    <row r="1594" spans="12:12" x14ac:dyDescent="0.3">
      <c r="L1594" s="7" t="str">
        <f t="shared" ca="1" si="42"/>
        <v/>
      </c>
    </row>
    <row r="1595" spans="12:12" x14ac:dyDescent="0.3">
      <c r="L1595" s="7" t="str">
        <f t="shared" ca="1" si="42"/>
        <v/>
      </c>
    </row>
    <row r="1596" spans="12:12" x14ac:dyDescent="0.3">
      <c r="L1596" s="7" t="str">
        <f t="shared" ca="1" si="42"/>
        <v/>
      </c>
    </row>
    <row r="1597" spans="12:12" x14ac:dyDescent="0.3">
      <c r="L1597" s="7" t="str">
        <f t="shared" ca="1" si="42"/>
        <v/>
      </c>
    </row>
    <row r="1598" spans="12:12" x14ac:dyDescent="0.3">
      <c r="L1598" s="7" t="str">
        <f t="shared" ca="1" si="42"/>
        <v/>
      </c>
    </row>
    <row r="1599" spans="12:12" x14ac:dyDescent="0.3">
      <c r="L1599" s="7" t="str">
        <f t="shared" ca="1" si="42"/>
        <v/>
      </c>
    </row>
    <row r="1600" spans="12:12" x14ac:dyDescent="0.3">
      <c r="L1600" s="7" t="str">
        <f t="shared" ca="1" si="42"/>
        <v/>
      </c>
    </row>
    <row r="1601" spans="12:12" x14ac:dyDescent="0.3">
      <c r="L1601" s="7" t="str">
        <f t="shared" ca="1" si="42"/>
        <v/>
      </c>
    </row>
    <row r="1602" spans="12:12" x14ac:dyDescent="0.3">
      <c r="L1602" s="7" t="str">
        <f t="shared" ca="1" si="42"/>
        <v/>
      </c>
    </row>
    <row r="1603" spans="12:12" x14ac:dyDescent="0.3">
      <c r="L1603" s="7" t="str">
        <f t="shared" ca="1" si="42"/>
        <v/>
      </c>
    </row>
    <row r="1604" spans="12:12" x14ac:dyDescent="0.3">
      <c r="L1604" s="7" t="str">
        <f t="shared" ref="L1604:L1606" ca="1" si="43">IF(I1604="Completed",0,IF(H1604="","",H1604-TODAY()))</f>
        <v/>
      </c>
    </row>
    <row r="1605" spans="12:12" x14ac:dyDescent="0.3">
      <c r="L1605" s="7" t="str">
        <f t="shared" ca="1" si="43"/>
        <v/>
      </c>
    </row>
    <row r="1606" spans="12:12" x14ac:dyDescent="0.3">
      <c r="L1606" s="7" t="str">
        <f t="shared" ca="1" si="43"/>
        <v/>
      </c>
    </row>
  </sheetData>
  <autoFilter ref="A3:N312" xr:uid="{00000000-0001-0000-0700-000000000000}"/>
  <mergeCells count="1">
    <mergeCell ref="A2:N2"/>
  </mergeCells>
  <conditionalFormatting sqref="M4:M312">
    <cfRule type="cellIs" dxfId="187" priority="29" operator="equal">
      <formula>"Green"</formula>
    </cfRule>
    <cfRule type="cellIs" dxfId="186" priority="30" operator="equal">
      <formula>"Amber"</formula>
    </cfRule>
    <cfRule type="cellIs" dxfId="185" priority="31" operator="equal">
      <formula>"Red"</formula>
    </cfRule>
  </conditionalFormatting>
  <conditionalFormatting sqref="I4:I142">
    <cfRule type="expression" dxfId="184" priority="11">
      <formula>EXACT($I4,"Completed")</formula>
    </cfRule>
  </conditionalFormatting>
  <conditionalFormatting sqref="I4:I142">
    <cfRule type="expression" dxfId="183" priority="12">
      <formula>EXACT($I4,"Inprogress")</formula>
    </cfRule>
  </conditionalFormatting>
  <conditionalFormatting sqref="I4:I142">
    <cfRule type="expression" dxfId="182" priority="32">
      <formula>EXACT($I4,"Not Started")</formula>
    </cfRule>
  </conditionalFormatting>
  <conditionalFormatting sqref="I4:I142">
    <cfRule type="expression" dxfId="181" priority="33">
      <formula>EXACT($I4,"Overdue")</formula>
    </cfRule>
  </conditionalFormatting>
  <conditionalFormatting sqref="K4:K243">
    <cfRule type="expression" dxfId="180" priority="7">
      <formula>EXACT($K4,"No")</formula>
    </cfRule>
  </conditionalFormatting>
  <conditionalFormatting sqref="K4:K243">
    <cfRule type="expression" dxfId="179" priority="8">
      <formula>EXACT($K4,"Yes")</formula>
    </cfRule>
  </conditionalFormatting>
  <conditionalFormatting sqref="K4:K243">
    <cfRule type="expression" dxfId="178" priority="36">
      <formula>EXACT($K4,"-")</formula>
    </cfRule>
  </conditionalFormatting>
  <conditionalFormatting sqref="A4:A2000">
    <cfRule type="expression" dxfId="177" priority="26" stopIfTrue="1">
      <formula>A4=""</formula>
    </cfRule>
    <cfRule type="expression" dxfId="176" priority="28">
      <formula>C4=""</formula>
    </cfRule>
  </conditionalFormatting>
  <conditionalFormatting sqref="B4:B2000">
    <cfRule type="expression" dxfId="175" priority="23" stopIfTrue="1">
      <formula>$A4=""</formula>
    </cfRule>
    <cfRule type="expression" dxfId="174" priority="24">
      <formula>$C4=""</formula>
    </cfRule>
  </conditionalFormatting>
  <conditionalFormatting sqref="C4:C2000">
    <cfRule type="expression" dxfId="173" priority="25" stopIfTrue="1">
      <formula>$A4=""</formula>
    </cfRule>
    <cfRule type="expression" dxfId="172" priority="27">
      <formula>$C4=""</formula>
    </cfRule>
  </conditionalFormatting>
  <conditionalFormatting sqref="D4:D2000">
    <cfRule type="expression" dxfId="171" priority="21" stopIfTrue="1">
      <formula>$A4=""</formula>
    </cfRule>
    <cfRule type="expression" dxfId="170" priority="22">
      <formula>$C4=""</formula>
    </cfRule>
  </conditionalFormatting>
  <conditionalFormatting sqref="E4:E2000">
    <cfRule type="expression" dxfId="169" priority="19" stopIfTrue="1">
      <formula>$A4=""</formula>
    </cfRule>
    <cfRule type="expression" dxfId="168" priority="20">
      <formula>$C4=""</formula>
    </cfRule>
  </conditionalFormatting>
  <conditionalFormatting sqref="F4:F2000">
    <cfRule type="expression" dxfId="167" priority="17" stopIfTrue="1">
      <formula>$A4=""</formula>
    </cfRule>
    <cfRule type="expression" dxfId="166" priority="18">
      <formula>$C4=""</formula>
    </cfRule>
  </conditionalFormatting>
  <conditionalFormatting sqref="G4:G2000">
    <cfRule type="expression" dxfId="165" priority="15" stopIfTrue="1">
      <formula>$A4=""</formula>
    </cfRule>
    <cfRule type="expression" dxfId="164" priority="16">
      <formula>$C4=""</formula>
    </cfRule>
  </conditionalFormatting>
  <conditionalFormatting sqref="H4:H2000">
    <cfRule type="expression" dxfId="163" priority="13" stopIfTrue="1">
      <formula>$A4=""</formula>
    </cfRule>
    <cfRule type="expression" dxfId="162" priority="14">
      <formula>$C4=""</formula>
    </cfRule>
  </conditionalFormatting>
  <conditionalFormatting sqref="I4:I2000">
    <cfRule type="expression" dxfId="161" priority="34" stopIfTrue="1">
      <formula>$A4=""</formula>
    </cfRule>
    <cfRule type="expression" dxfId="160" priority="35">
      <formula>$C4=""</formula>
    </cfRule>
  </conditionalFormatting>
  <conditionalFormatting sqref="J4:J2000">
    <cfRule type="expression" dxfId="159" priority="9" stopIfTrue="1">
      <formula>$A4=""</formula>
    </cfRule>
    <cfRule type="expression" dxfId="158" priority="10">
      <formula>$C4=""</formula>
    </cfRule>
  </conditionalFormatting>
  <conditionalFormatting sqref="K4:K2000">
    <cfRule type="expression" dxfId="157" priority="37" stopIfTrue="1">
      <formula>$A4=""</formula>
    </cfRule>
    <cfRule type="expression" dxfId="156" priority="38">
      <formula>$C4=""</formula>
    </cfRule>
  </conditionalFormatting>
  <conditionalFormatting sqref="L1607:L2000">
    <cfRule type="expression" dxfId="155" priority="5" stopIfTrue="1">
      <formula>$A1607=""</formula>
    </cfRule>
    <cfRule type="expression" dxfId="154" priority="6">
      <formula>$C1607=""</formula>
    </cfRule>
  </conditionalFormatting>
  <conditionalFormatting sqref="L1110:L1606">
    <cfRule type="expression" dxfId="153" priority="3" stopIfTrue="1">
      <formula>$A1110=""</formula>
    </cfRule>
    <cfRule type="expression" dxfId="152" priority="4">
      <formula>$C1110=""</formula>
    </cfRule>
  </conditionalFormatting>
  <conditionalFormatting sqref="L4:L1109">
    <cfRule type="expression" dxfId="151" priority="1" stopIfTrue="1">
      <formula>$A4=""</formula>
    </cfRule>
    <cfRule type="expression" dxfId="150" priority="2">
      <formula>$C4=""</formula>
    </cfRule>
  </conditionalFormatting>
  <dataValidations count="1">
    <dataValidation type="list" allowBlank="1" sqref="I4:I312" xr:uid="{5D3B7CAA-9A65-4F21-AD33-1188CD2816B9}">
      <formula1>"Not Started,In Progress,Complete"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83DD3-81D3-4A8E-B0D2-75A901CC1C6F}">
  <sheetPr codeName="Sheet4">
    <tabColor rgb="FF777777"/>
  </sheetPr>
  <dimension ref="A1:R1606"/>
  <sheetViews>
    <sheetView showGridLines="0" zoomScaleNormal="10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L4" sqref="L4:L1109"/>
    </sheetView>
  </sheetViews>
  <sheetFormatPr defaultColWidth="8.6640625" defaultRowHeight="14.4" x14ac:dyDescent="0.3"/>
  <cols>
    <col min="1" max="1" width="20" customWidth="1"/>
    <col min="2" max="2" width="17" customWidth="1"/>
    <col min="3" max="3" width="34" customWidth="1"/>
    <col min="4" max="4" width="30" customWidth="1"/>
    <col min="5" max="5" width="12" customWidth="1"/>
    <col min="6" max="6" width="11" customWidth="1"/>
    <col min="7" max="7" width="15.109375" bestFit="1" customWidth="1"/>
    <col min="8" max="8" width="16.77734375" customWidth="1"/>
    <col min="9" max="9" width="12" customWidth="1"/>
    <col min="10" max="11" width="8" customWidth="1"/>
    <col min="12" max="13" width="7" customWidth="1"/>
    <col min="14" max="14" width="26" customWidth="1"/>
    <col min="15" max="18" width="3" hidden="1" customWidth="1"/>
  </cols>
  <sheetData>
    <row r="1" spans="1:18" ht="24" customHeight="1" x14ac:dyDescent="0.3">
      <c r="A1" s="10" t="s">
        <v>138</v>
      </c>
      <c r="B1" s="10"/>
      <c r="C1" s="10"/>
      <c r="D1" s="10"/>
      <c r="E1" s="10"/>
      <c r="F1" s="10"/>
      <c r="G1" s="11">
        <f>+MAX(G4:G2000)</f>
        <v>46156</v>
      </c>
      <c r="H1" s="11">
        <f>+MAX(H4:H2000)</f>
        <v>46250</v>
      </c>
      <c r="I1" s="12">
        <f t="shared" ref="I1" si="0">IF(OR($G1="",$H1=""),"",$H1-$G1)</f>
        <v>94</v>
      </c>
      <c r="J1" s="10"/>
      <c r="K1" s="10"/>
      <c r="L1" s="10"/>
      <c r="M1" s="10"/>
      <c r="N1" s="10"/>
    </row>
    <row r="2" spans="1:18" ht="14.25" customHeight="1" x14ac:dyDescent="0.3">
      <c r="A2" s="17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8" ht="30" customHeight="1" x14ac:dyDescent="0.3">
      <c r="A3" s="1" t="s">
        <v>0</v>
      </c>
      <c r="B3" s="1" t="s">
        <v>24</v>
      </c>
      <c r="C3" s="1" t="s">
        <v>25</v>
      </c>
      <c r="D3" s="1" t="s">
        <v>26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59</v>
      </c>
      <c r="M3" s="1" t="s">
        <v>8</v>
      </c>
      <c r="N3" s="1" t="s">
        <v>9</v>
      </c>
      <c r="O3" s="1" t="s">
        <v>10</v>
      </c>
      <c r="P3" s="1" t="s">
        <v>11</v>
      </c>
      <c r="Q3" s="1" t="s">
        <v>12</v>
      </c>
      <c r="R3" s="1" t="s">
        <v>13</v>
      </c>
    </row>
    <row r="4" spans="1:18" ht="33.75" customHeight="1" x14ac:dyDescent="0.3">
      <c r="A4" s="2" t="s">
        <v>141</v>
      </c>
      <c r="B4" s="2" t="s">
        <v>21</v>
      </c>
      <c r="C4" s="3"/>
      <c r="D4" s="3"/>
      <c r="E4" s="2"/>
      <c r="F4" s="2"/>
      <c r="G4" s="5">
        <v>46035</v>
      </c>
      <c r="H4" s="5">
        <v>46166</v>
      </c>
      <c r="I4" s="2"/>
      <c r="J4" s="6">
        <f t="shared" ref="J4:J67" si="1">IF(OR($G4="",$H4=""),"",$H4-$G4)</f>
        <v>131</v>
      </c>
      <c r="K4" s="4" t="str">
        <f t="shared" ref="K4:K67" ca="1" si="2">IF(C4="","",IF(H4="","",IF($I4="completed","-",IF($H4&gt;TODAY(),"No","Yes"))))</f>
        <v/>
      </c>
      <c r="L4" s="7">
        <f ca="1">IF(I4="Completed",0,IF(H4="","",H4-TODAY()))</f>
        <v>-42</v>
      </c>
      <c r="M4" s="4" t="str">
        <f>IF($I4="Complete","Green",IF($H4="","Amber",IF($H4&lt;'[2]Read Me'!$B$4,"Red",IF($H4-'[2]Read Me'!$B$4&lt;=21,"Amber","Green"))))</f>
        <v>Red</v>
      </c>
      <c r="N4" s="3"/>
      <c r="O4" t="e">
        <f>IF($I4&lt;&gt;"Complete",IF(COUNTIFS(#REF!,$A4,#REF!,$B4,#REF!,"&lt;&gt;Complete")=0,$A4&amp;"|"&amp;$B4,""),"")</f>
        <v>#REF!</v>
      </c>
      <c r="P4" t="str">
        <f ca="1">IF($K4="Yes",COUNTIFS($K$4:$K4,"Yes"),"")</f>
        <v/>
      </c>
      <c r="Q4">
        <f t="shared" ref="Q4:Q67" ca="1" si="3">IF(OR($I4="In Progress",$K4="Yes"),1,0)</f>
        <v>0</v>
      </c>
      <c r="R4" t="str">
        <f ca="1">IF($Q4=1,SUM($Q$4:$Q4),"")</f>
        <v/>
      </c>
    </row>
    <row r="5" spans="1:18" ht="33.75" customHeight="1" x14ac:dyDescent="0.3">
      <c r="A5" s="2" t="s">
        <v>141</v>
      </c>
      <c r="B5" s="2" t="s">
        <v>21</v>
      </c>
      <c r="C5" s="3" t="s">
        <v>141</v>
      </c>
      <c r="D5" s="3" t="s">
        <v>16</v>
      </c>
      <c r="E5" s="2"/>
      <c r="F5" s="2" t="s">
        <v>79</v>
      </c>
      <c r="G5" s="5">
        <v>45990</v>
      </c>
      <c r="H5" s="5">
        <v>46037</v>
      </c>
      <c r="I5" s="2" t="s">
        <v>31</v>
      </c>
      <c r="J5" s="6">
        <f t="shared" si="1"/>
        <v>47</v>
      </c>
      <c r="K5" s="4" t="str">
        <f t="shared" ca="1" si="2"/>
        <v>-</v>
      </c>
      <c r="L5" s="7">
        <f t="shared" ref="L5:L68" ca="1" si="4">IF(I5="Completed",0,IF(H5="","",H5-TODAY()))</f>
        <v>0</v>
      </c>
      <c r="M5" s="4" t="str">
        <f>IF($I5="Complete","Green",IF($H5="","Amber",IF($H5&lt;'[2]Read Me'!$B$4,"Red",IF($H5-'[2]Read Me'!$B$4&lt;=21,"Amber","Green"))))</f>
        <v>Red</v>
      </c>
      <c r="N5" s="3"/>
      <c r="O5" t="str">
        <f>IF($I5&lt;&gt;"Complete",IF(COUNTIFS($A$4:$A4,$A5,$B$4:$B4,$B5,$I$4:$I4,"&lt;&gt;Complete")=0,$A5&amp;"|"&amp;$B5,""),"")</f>
        <v/>
      </c>
      <c r="P5" t="str">
        <f ca="1">IF($K5="Yes",COUNTIFS($K$4:$K5,"Yes"),"")</f>
        <v/>
      </c>
      <c r="Q5">
        <f t="shared" ca="1" si="3"/>
        <v>0</v>
      </c>
      <c r="R5" t="str">
        <f ca="1">IF($Q5=1,SUM($Q$4:$Q5),"")</f>
        <v/>
      </c>
    </row>
    <row r="6" spans="1:18" ht="33.75" customHeight="1" x14ac:dyDescent="0.3">
      <c r="A6" s="2" t="s">
        <v>141</v>
      </c>
      <c r="B6" s="2" t="s">
        <v>21</v>
      </c>
      <c r="C6" s="3" t="s">
        <v>141</v>
      </c>
      <c r="D6" s="3" t="s">
        <v>58</v>
      </c>
      <c r="E6" s="2"/>
      <c r="F6" s="2"/>
      <c r="G6" s="5">
        <v>46005</v>
      </c>
      <c r="H6" s="5">
        <v>46138</v>
      </c>
      <c r="I6" s="2" t="s">
        <v>31</v>
      </c>
      <c r="J6" s="6">
        <f t="shared" si="1"/>
        <v>133</v>
      </c>
      <c r="K6" s="4" t="str">
        <f t="shared" ca="1" si="2"/>
        <v>-</v>
      </c>
      <c r="L6" s="7">
        <f t="shared" ca="1" si="4"/>
        <v>0</v>
      </c>
      <c r="M6" s="4" t="str">
        <f>IF($I6="Complete","Green",IF($H6="","Amber",IF($H6&lt;'[2]Read Me'!$B$4,"Red",IF($H6-'[2]Read Me'!$B$4&lt;=21,"Amber","Green"))))</f>
        <v>Red</v>
      </c>
      <c r="N6" s="3"/>
      <c r="O6" t="str">
        <f>IF($I6&lt;&gt;"Complete",IF(COUNTIFS($A$4:$A5,$A6,$B$4:$B5,$B6,$I$4:$I5,"&lt;&gt;Complete")=0,$A6&amp;"|"&amp;$B6,""),"")</f>
        <v/>
      </c>
      <c r="P6" t="str">
        <f ca="1">IF($K6="Yes",COUNTIFS($K$4:$K6,"Yes"),"")</f>
        <v/>
      </c>
      <c r="Q6">
        <f t="shared" ca="1" si="3"/>
        <v>0</v>
      </c>
      <c r="R6" t="str">
        <f ca="1">IF($Q6=1,SUM($Q$4:$Q6),"")</f>
        <v/>
      </c>
    </row>
    <row r="7" spans="1:18" ht="33.75" customHeight="1" x14ac:dyDescent="0.3">
      <c r="A7" s="2" t="s">
        <v>141</v>
      </c>
      <c r="B7" s="2" t="s">
        <v>21</v>
      </c>
      <c r="C7" s="3" t="s">
        <v>141</v>
      </c>
      <c r="D7" s="3" t="s">
        <v>142</v>
      </c>
      <c r="E7" s="2"/>
      <c r="F7" s="2"/>
      <c r="G7" s="5">
        <v>46027</v>
      </c>
      <c r="H7" s="5">
        <v>46159</v>
      </c>
      <c r="I7" s="2" t="s">
        <v>17</v>
      </c>
      <c r="J7" s="6">
        <f t="shared" si="1"/>
        <v>132</v>
      </c>
      <c r="K7" s="4" t="str">
        <f t="shared" ca="1" si="2"/>
        <v>Yes</v>
      </c>
      <c r="L7" s="7">
        <f t="shared" ca="1" si="4"/>
        <v>-49</v>
      </c>
      <c r="M7" s="4" t="str">
        <f>IF($I7="Complete","Green",IF($H7="","Amber",IF($H7&lt;'[2]Read Me'!$B$4,"Red",IF($H7-'[2]Read Me'!$B$4&lt;=21,"Amber","Green"))))</f>
        <v>Red</v>
      </c>
      <c r="N7" s="3"/>
      <c r="O7" t="str">
        <f>IF($I7&lt;&gt;"Complete",IF(COUNTIFS($A$4:$A6,$A7,$B$4:$B6,$B7,$I$4:$I6,"&lt;&gt;Complete")=0,$A7&amp;"|"&amp;$B7,""),"")</f>
        <v/>
      </c>
      <c r="P7">
        <f ca="1">IF($K7="Yes",COUNTIFS($K$4:$K7,"Yes"),"")</f>
        <v>1</v>
      </c>
      <c r="Q7">
        <f t="shared" ca="1" si="3"/>
        <v>1</v>
      </c>
      <c r="R7">
        <f ca="1">IF($Q7=1,SUM($Q$4:$Q7),"")</f>
        <v>1</v>
      </c>
    </row>
    <row r="8" spans="1:18" ht="33.75" customHeight="1" x14ac:dyDescent="0.3">
      <c r="A8" s="2" t="s">
        <v>141</v>
      </c>
      <c r="B8" s="2" t="s">
        <v>21</v>
      </c>
      <c r="C8" s="3" t="s">
        <v>141</v>
      </c>
      <c r="D8" s="3" t="s">
        <v>143</v>
      </c>
      <c r="E8" s="2"/>
      <c r="F8" s="2"/>
      <c r="G8" s="5">
        <v>46035</v>
      </c>
      <c r="H8" s="5">
        <v>46166</v>
      </c>
      <c r="I8" s="2" t="s">
        <v>17</v>
      </c>
      <c r="J8" s="6">
        <f t="shared" si="1"/>
        <v>131</v>
      </c>
      <c r="K8" s="4" t="str">
        <f t="shared" ca="1" si="2"/>
        <v>Yes</v>
      </c>
      <c r="L8" s="7">
        <f t="shared" ca="1" si="4"/>
        <v>-42</v>
      </c>
      <c r="M8" s="4" t="str">
        <f>IF($I8="Complete","Green",IF($H8="","Amber",IF($H8&lt;'[2]Read Me'!$B$4,"Red",IF($H8-'[2]Read Me'!$B$4&lt;=21,"Amber","Green"))))</f>
        <v>Red</v>
      </c>
      <c r="N8" s="3"/>
      <c r="O8" t="str">
        <f>IF($I8&lt;&gt;"Complete",IF(COUNTIFS($A$4:$A7,$A8,$B$4:$B7,$B8,$I$4:$I7,"&lt;&gt;Complete")=0,$A8&amp;"|"&amp;$B8,""),"")</f>
        <v/>
      </c>
      <c r="P8">
        <f ca="1">IF($K8="Yes",COUNTIFS($K$4:$K8,"Yes"),"")</f>
        <v>2</v>
      </c>
      <c r="Q8">
        <f t="shared" ca="1" si="3"/>
        <v>1</v>
      </c>
      <c r="R8">
        <f ca="1">IF($Q8=1,SUM($Q$4:$Q8),"")</f>
        <v>2</v>
      </c>
    </row>
    <row r="9" spans="1:18" ht="33.75" customHeight="1" x14ac:dyDescent="0.3">
      <c r="A9" s="2" t="s">
        <v>141</v>
      </c>
      <c r="B9" s="2" t="s">
        <v>21</v>
      </c>
      <c r="C9" s="3" t="s">
        <v>141</v>
      </c>
      <c r="D9" s="3" t="s">
        <v>144</v>
      </c>
      <c r="E9" s="2"/>
      <c r="F9" s="2"/>
      <c r="G9" s="5">
        <v>46120</v>
      </c>
      <c r="H9" s="5">
        <v>46250</v>
      </c>
      <c r="I9" s="2" t="s">
        <v>17</v>
      </c>
      <c r="J9" s="6">
        <f t="shared" si="1"/>
        <v>130</v>
      </c>
      <c r="K9" s="4" t="str">
        <f t="shared" ca="1" si="2"/>
        <v>No</v>
      </c>
      <c r="L9" s="7">
        <f t="shared" ca="1" si="4"/>
        <v>42</v>
      </c>
      <c r="M9" s="4" t="str">
        <f>IF($I9="Complete","Green",IF($H9="","Amber",IF($H9&lt;'[2]Read Me'!$B$4,"Red",IF($H9-'[2]Read Me'!$B$4&lt;=21,"Amber","Green"))))</f>
        <v>Green</v>
      </c>
      <c r="N9" s="3"/>
      <c r="O9" t="str">
        <f>IF($I9&lt;&gt;"Complete",IF(COUNTIFS($A$4:$A8,$A9,$B$4:$B8,$B9,$I$4:$I8,"&lt;&gt;Complete")=0,$A9&amp;"|"&amp;$B9,""),"")</f>
        <v/>
      </c>
      <c r="P9" t="str">
        <f ca="1">IF($K9="Yes",COUNTIFS($K$4:$K9,"Yes"),"")</f>
        <v/>
      </c>
      <c r="Q9">
        <f t="shared" ca="1" si="3"/>
        <v>0</v>
      </c>
      <c r="R9" t="str">
        <f ca="1">IF($Q9=1,SUM($Q$4:$Q9),"")</f>
        <v/>
      </c>
    </row>
    <row r="10" spans="1:18" ht="33.75" customHeight="1" x14ac:dyDescent="0.3">
      <c r="A10" s="2" t="s">
        <v>145</v>
      </c>
      <c r="B10" s="2" t="s">
        <v>62</v>
      </c>
      <c r="C10" s="3"/>
      <c r="D10" s="3"/>
      <c r="E10" s="2"/>
      <c r="F10" s="2"/>
      <c r="G10" s="5">
        <v>46021</v>
      </c>
      <c r="H10" s="5">
        <v>46071</v>
      </c>
      <c r="I10" s="2"/>
      <c r="J10" s="6">
        <f t="shared" si="1"/>
        <v>50</v>
      </c>
      <c r="K10" s="4" t="str">
        <f t="shared" ca="1" si="2"/>
        <v/>
      </c>
      <c r="L10" s="7">
        <f t="shared" ca="1" si="4"/>
        <v>-137</v>
      </c>
      <c r="M10" s="4" t="str">
        <f>IF($I10="Complete","Green",IF($H10="","Amber",IF($H10&lt;'[2]Read Me'!$B$4,"Red",IF($H10-'[2]Read Me'!$B$4&lt;=21,"Amber","Green"))))</f>
        <v>Red</v>
      </c>
      <c r="N10" s="3"/>
      <c r="O10" t="str">
        <f>IF($I10&lt;&gt;"Complete",IF(COUNTIFS($A$4:$A9,$A10,$B$4:$B9,$B10,$I$4:$I9,"&lt;&gt;Complete")=0,$A10&amp;"|"&amp;$B10,""),"")</f>
        <v>FM-Building|Buildings</v>
      </c>
      <c r="P10" t="str">
        <f ca="1">IF($K10="Yes",COUNTIFS($K$4:$K10,"Yes"),"")</f>
        <v/>
      </c>
      <c r="Q10">
        <f t="shared" ca="1" si="3"/>
        <v>0</v>
      </c>
      <c r="R10" t="str">
        <f ca="1">IF($Q10=1,SUM($Q$4:$Q10),"")</f>
        <v/>
      </c>
    </row>
    <row r="11" spans="1:18" ht="33.75" customHeight="1" x14ac:dyDescent="0.3">
      <c r="A11" s="2" t="s">
        <v>145</v>
      </c>
      <c r="B11" s="2" t="s">
        <v>62</v>
      </c>
      <c r="C11" s="3" t="s">
        <v>145</v>
      </c>
      <c r="D11" s="3" t="s">
        <v>146</v>
      </c>
      <c r="E11" s="2"/>
      <c r="F11" s="2"/>
      <c r="G11" s="5">
        <v>46000</v>
      </c>
      <c r="H11" s="5">
        <v>46000</v>
      </c>
      <c r="I11" s="2" t="s">
        <v>31</v>
      </c>
      <c r="J11" s="6">
        <f t="shared" si="1"/>
        <v>0</v>
      </c>
      <c r="K11" s="4" t="str">
        <f t="shared" ca="1" si="2"/>
        <v>-</v>
      </c>
      <c r="L11" s="7">
        <f t="shared" ca="1" si="4"/>
        <v>0</v>
      </c>
      <c r="M11" s="4" t="str">
        <f>IF($I11="Complete","Green",IF($H11="","Amber",IF($H11&lt;'[2]Read Me'!$B$4,"Red",IF($H11-'[2]Read Me'!$B$4&lt;=21,"Amber","Green"))))</f>
        <v>Red</v>
      </c>
      <c r="N11" s="3"/>
      <c r="O11" t="str">
        <f>IF($I11&lt;&gt;"Complete",IF(COUNTIFS($A$4:$A10,$A11,$B$4:$B10,$B11,$I$4:$I10,"&lt;&gt;Complete")=0,$A11&amp;"|"&amp;$B11,""),"")</f>
        <v/>
      </c>
      <c r="P11" t="str">
        <f ca="1">IF($K11="Yes",COUNTIFS($K$4:$K11,"Yes"),"")</f>
        <v/>
      </c>
      <c r="Q11">
        <f t="shared" ca="1" si="3"/>
        <v>0</v>
      </c>
      <c r="R11" t="str">
        <f ca="1">IF($Q11=1,SUM($Q$4:$Q11),"")</f>
        <v/>
      </c>
    </row>
    <row r="12" spans="1:18" ht="33.75" customHeight="1" x14ac:dyDescent="0.3">
      <c r="A12" s="2" t="s">
        <v>145</v>
      </c>
      <c r="B12" s="2" t="s">
        <v>62</v>
      </c>
      <c r="C12" s="3" t="s">
        <v>145</v>
      </c>
      <c r="D12" s="3" t="s">
        <v>147</v>
      </c>
      <c r="E12" s="2"/>
      <c r="F12" s="2"/>
      <c r="G12" s="5">
        <v>46007</v>
      </c>
      <c r="H12" s="5">
        <v>46016</v>
      </c>
      <c r="I12" s="2" t="s">
        <v>31</v>
      </c>
      <c r="J12" s="6">
        <f t="shared" si="1"/>
        <v>9</v>
      </c>
      <c r="K12" s="4" t="str">
        <f t="shared" ca="1" si="2"/>
        <v>-</v>
      </c>
      <c r="L12" s="7">
        <f t="shared" ca="1" si="4"/>
        <v>0</v>
      </c>
      <c r="M12" s="4" t="str">
        <f>IF($I12="Complete","Green",IF($H12="","Amber",IF($H12&lt;'[2]Read Me'!$B$4,"Red",IF($H12-'[2]Read Me'!$B$4&lt;=21,"Amber","Green"))))</f>
        <v>Red</v>
      </c>
      <c r="N12" s="3"/>
      <c r="O12" t="str">
        <f>IF($I12&lt;&gt;"Complete",IF(COUNTIFS($A$4:$A11,$A12,$B$4:$B11,$B12,$I$4:$I11,"&lt;&gt;Complete")=0,$A12&amp;"|"&amp;$B12,""),"")</f>
        <v/>
      </c>
      <c r="P12" t="str">
        <f ca="1">IF($K12="Yes",COUNTIFS($K$4:$K12,"Yes"),"")</f>
        <v/>
      </c>
      <c r="Q12">
        <f t="shared" ca="1" si="3"/>
        <v>0</v>
      </c>
      <c r="R12" t="str">
        <f ca="1">IF($Q12=1,SUM($Q$4:$Q12),"")</f>
        <v/>
      </c>
    </row>
    <row r="13" spans="1:18" ht="33.75" customHeight="1" x14ac:dyDescent="0.3">
      <c r="A13" s="2" t="s">
        <v>145</v>
      </c>
      <c r="B13" s="2" t="s">
        <v>62</v>
      </c>
      <c r="C13" s="3" t="s">
        <v>145</v>
      </c>
      <c r="D13" s="3" t="s">
        <v>143</v>
      </c>
      <c r="E13" s="2"/>
      <c r="F13" s="2"/>
      <c r="G13" s="5">
        <v>46021</v>
      </c>
      <c r="H13" s="5">
        <v>46071</v>
      </c>
      <c r="I13" s="2" t="s">
        <v>31</v>
      </c>
      <c r="J13" s="6">
        <f t="shared" si="1"/>
        <v>50</v>
      </c>
      <c r="K13" s="4" t="str">
        <f t="shared" ca="1" si="2"/>
        <v>-</v>
      </c>
      <c r="L13" s="7">
        <f t="shared" ca="1" si="4"/>
        <v>0</v>
      </c>
      <c r="M13" s="4" t="str">
        <f>IF($I13="Complete","Green",IF($H13="","Amber",IF($H13&lt;'[2]Read Me'!$B$4,"Red",IF($H13-'[2]Read Me'!$B$4&lt;=21,"Amber","Green"))))</f>
        <v>Red</v>
      </c>
      <c r="N13" s="3"/>
      <c r="O13" t="str">
        <f>IF($I13&lt;&gt;"Complete",IF(COUNTIFS($A$4:$A12,$A13,$B$4:$B12,$B13,$I$4:$I12,"&lt;&gt;Complete")=0,$A13&amp;"|"&amp;$B13,""),"")</f>
        <v/>
      </c>
      <c r="P13" t="str">
        <f ca="1">IF($K13="Yes",COUNTIFS($K$4:$K13,"Yes"),"")</f>
        <v/>
      </c>
      <c r="Q13">
        <f t="shared" ca="1" si="3"/>
        <v>0</v>
      </c>
      <c r="R13" t="str">
        <f ca="1">IF($Q13=1,SUM($Q$4:$Q13),"")</f>
        <v/>
      </c>
    </row>
    <row r="14" spans="1:18" ht="33.75" customHeight="1" x14ac:dyDescent="0.3">
      <c r="A14" s="2" t="s">
        <v>148</v>
      </c>
      <c r="B14" s="2" t="s">
        <v>148</v>
      </c>
      <c r="C14" s="3"/>
      <c r="D14" s="3"/>
      <c r="E14" s="2"/>
      <c r="F14" s="2"/>
      <c r="G14" s="5">
        <v>45964</v>
      </c>
      <c r="H14" s="5">
        <v>46028</v>
      </c>
      <c r="I14" s="2"/>
      <c r="J14" s="6">
        <f t="shared" si="1"/>
        <v>64</v>
      </c>
      <c r="K14" s="4" t="str">
        <f t="shared" ca="1" si="2"/>
        <v/>
      </c>
      <c r="L14" s="7">
        <f t="shared" ca="1" si="4"/>
        <v>-180</v>
      </c>
      <c r="M14" s="4" t="str">
        <f>IF($I14="Complete","Green",IF($H14="","Amber",IF($H14&lt;'[2]Read Me'!$B$4,"Red",IF($H14-'[2]Read Me'!$B$4&lt;=21,"Amber","Green"))))</f>
        <v>Red</v>
      </c>
      <c r="N14" s="3"/>
      <c r="O14" t="str">
        <f>IF($I14&lt;&gt;"Complete",IF(COUNTIFS($A$4:$A13,$A14,$B$4:$B13,$B14,$I$4:$I13,"&lt;&gt;Complete")=0,$A14&amp;"|"&amp;$B14,""),"")</f>
        <v>General|General</v>
      </c>
      <c r="P14" t="str">
        <f ca="1">IF($K14="Yes",COUNTIFS($K$4:$K14,"Yes"),"")</f>
        <v/>
      </c>
      <c r="Q14">
        <f t="shared" ca="1" si="3"/>
        <v>0</v>
      </c>
      <c r="R14" t="str">
        <f ca="1">IF($Q14=1,SUM($Q$4:$Q14),"")</f>
        <v/>
      </c>
    </row>
    <row r="15" spans="1:18" ht="33.75" customHeight="1" x14ac:dyDescent="0.3">
      <c r="A15" s="2" t="s">
        <v>148</v>
      </c>
      <c r="B15" s="2" t="s">
        <v>148</v>
      </c>
      <c r="C15" s="3" t="s">
        <v>148</v>
      </c>
      <c r="D15" s="3" t="s">
        <v>149</v>
      </c>
      <c r="E15" s="2"/>
      <c r="F15" s="2"/>
      <c r="G15" s="5">
        <v>45928</v>
      </c>
      <c r="H15" s="5">
        <v>45928</v>
      </c>
      <c r="I15" s="2" t="s">
        <v>31</v>
      </c>
      <c r="J15" s="6">
        <f t="shared" si="1"/>
        <v>0</v>
      </c>
      <c r="K15" s="4" t="str">
        <f t="shared" ca="1" si="2"/>
        <v>-</v>
      </c>
      <c r="L15" s="7">
        <f t="shared" ca="1" si="4"/>
        <v>0</v>
      </c>
      <c r="M15" s="4" t="str">
        <f>IF($I15="Complete","Green",IF($H15="","Amber",IF($H15&lt;'[2]Read Me'!$B$4,"Red",IF($H15-'[2]Read Me'!$B$4&lt;=21,"Amber","Green"))))</f>
        <v>Red</v>
      </c>
      <c r="N15" s="3"/>
      <c r="O15" t="str">
        <f>IF($I15&lt;&gt;"Complete",IF(COUNTIFS($A$4:$A14,$A15,$B$4:$B14,$B15,$I$4:$I14,"&lt;&gt;Complete")=0,$A15&amp;"|"&amp;$B15,""),"")</f>
        <v/>
      </c>
      <c r="P15" t="str">
        <f ca="1">IF($K15="Yes",COUNTIFS($K$4:$K15,"Yes"),"")</f>
        <v/>
      </c>
      <c r="Q15">
        <f t="shared" ca="1" si="3"/>
        <v>0</v>
      </c>
      <c r="R15" t="str">
        <f ca="1">IF($Q15=1,SUM($Q$4:$Q15),"")</f>
        <v/>
      </c>
    </row>
    <row r="16" spans="1:18" ht="33.75" customHeight="1" x14ac:dyDescent="0.3">
      <c r="A16" s="2" t="s">
        <v>148</v>
      </c>
      <c r="B16" s="2" t="s">
        <v>148</v>
      </c>
      <c r="C16" s="3" t="s">
        <v>148</v>
      </c>
      <c r="D16" s="3" t="s">
        <v>150</v>
      </c>
      <c r="E16" s="2"/>
      <c r="F16" s="2"/>
      <c r="G16" s="5">
        <v>45935</v>
      </c>
      <c r="H16" s="5">
        <v>45935</v>
      </c>
      <c r="I16" s="2" t="s">
        <v>31</v>
      </c>
      <c r="J16" s="6">
        <f t="shared" si="1"/>
        <v>0</v>
      </c>
      <c r="K16" s="4" t="str">
        <f t="shared" ca="1" si="2"/>
        <v>-</v>
      </c>
      <c r="L16" s="7">
        <f t="shared" ca="1" si="4"/>
        <v>0</v>
      </c>
      <c r="M16" s="4" t="str">
        <f>IF($I16="Complete","Green",IF($H16="","Amber",IF($H16&lt;'[2]Read Me'!$B$4,"Red",IF($H16-'[2]Read Me'!$B$4&lt;=21,"Amber","Green"))))</f>
        <v>Red</v>
      </c>
      <c r="N16" s="3"/>
      <c r="O16" t="str">
        <f>IF($I16&lt;&gt;"Complete",IF(COUNTIFS($A$4:$A15,$A16,$B$4:$B15,$B16,$I$4:$I15,"&lt;&gt;Complete")=0,$A16&amp;"|"&amp;$B16,""),"")</f>
        <v/>
      </c>
      <c r="P16" t="str">
        <f ca="1">IF($K16="Yes",COUNTIFS($K$4:$K16,"Yes"),"")</f>
        <v/>
      </c>
      <c r="Q16">
        <f t="shared" ca="1" si="3"/>
        <v>0</v>
      </c>
      <c r="R16" t="str">
        <f ca="1">IF($Q16=1,SUM($Q$4:$Q16),"")</f>
        <v/>
      </c>
    </row>
    <row r="17" spans="1:18" ht="33.75" customHeight="1" x14ac:dyDescent="0.3">
      <c r="A17" s="2" t="s">
        <v>148</v>
      </c>
      <c r="B17" s="2" t="s">
        <v>148</v>
      </c>
      <c r="C17" s="3" t="s">
        <v>148</v>
      </c>
      <c r="D17" s="3" t="s">
        <v>151</v>
      </c>
      <c r="E17" s="2"/>
      <c r="F17" s="2"/>
      <c r="G17" s="5">
        <v>45942</v>
      </c>
      <c r="H17" s="5">
        <v>45942</v>
      </c>
      <c r="I17" s="2" t="s">
        <v>31</v>
      </c>
      <c r="J17" s="6">
        <f t="shared" si="1"/>
        <v>0</v>
      </c>
      <c r="K17" s="4" t="str">
        <f t="shared" ca="1" si="2"/>
        <v>-</v>
      </c>
      <c r="L17" s="7">
        <f t="shared" ca="1" si="4"/>
        <v>0</v>
      </c>
      <c r="M17" s="4" t="str">
        <f>IF($I17="Complete","Green",IF($H17="","Amber",IF($H17&lt;'[2]Read Me'!$B$4,"Red",IF($H17-'[2]Read Me'!$B$4&lt;=21,"Amber","Green"))))</f>
        <v>Red</v>
      </c>
      <c r="N17" s="3"/>
      <c r="O17" t="str">
        <f>IF($I17&lt;&gt;"Complete",IF(COUNTIFS($A$4:$A16,$A17,$B$4:$B16,$B17,$I$4:$I16,"&lt;&gt;Complete")=0,$A17&amp;"|"&amp;$B17,""),"")</f>
        <v/>
      </c>
      <c r="P17" t="str">
        <f ca="1">IF($K17="Yes",COUNTIFS($K$4:$K17,"Yes"),"")</f>
        <v/>
      </c>
      <c r="Q17">
        <f t="shared" ca="1" si="3"/>
        <v>0</v>
      </c>
      <c r="R17" t="str">
        <f ca="1">IF($Q17=1,SUM($Q$4:$Q17),"")</f>
        <v/>
      </c>
    </row>
    <row r="18" spans="1:18" ht="33.75" customHeight="1" x14ac:dyDescent="0.3">
      <c r="A18" s="2" t="s">
        <v>148</v>
      </c>
      <c r="B18" s="2" t="s">
        <v>148</v>
      </c>
      <c r="C18" s="3" t="s">
        <v>148</v>
      </c>
      <c r="D18" s="3" t="s">
        <v>152</v>
      </c>
      <c r="E18" s="2"/>
      <c r="F18" s="2"/>
      <c r="G18" s="5">
        <v>45964</v>
      </c>
      <c r="H18" s="5">
        <v>46028</v>
      </c>
      <c r="I18" s="2" t="s">
        <v>31</v>
      </c>
      <c r="J18" s="6">
        <f t="shared" si="1"/>
        <v>64</v>
      </c>
      <c r="K18" s="4" t="str">
        <f t="shared" ca="1" si="2"/>
        <v>-</v>
      </c>
      <c r="L18" s="7">
        <f t="shared" ca="1" si="4"/>
        <v>0</v>
      </c>
      <c r="M18" s="4" t="str">
        <f>IF($I18="Complete","Green",IF($H18="","Amber",IF($H18&lt;'[2]Read Me'!$B$4,"Red",IF($H18-'[2]Read Me'!$B$4&lt;=21,"Amber","Green"))))</f>
        <v>Red</v>
      </c>
      <c r="N18" s="3"/>
      <c r="O18" t="str">
        <f>IF($I18&lt;&gt;"Complete",IF(COUNTIFS($A$4:$A17,$A18,$B$4:$B17,$B18,$I$4:$I17,"&lt;&gt;Complete")=0,$A18&amp;"|"&amp;$B18,""),"")</f>
        <v/>
      </c>
      <c r="P18" t="str">
        <f ca="1">IF($K18="Yes",COUNTIFS($K$4:$K18,"Yes"),"")</f>
        <v/>
      </c>
      <c r="Q18">
        <f t="shared" ca="1" si="3"/>
        <v>0</v>
      </c>
      <c r="R18" t="str">
        <f ca="1">IF($Q18=1,SUM($Q$4:$Q18),"")</f>
        <v/>
      </c>
    </row>
    <row r="19" spans="1:18" ht="33.75" customHeight="1" x14ac:dyDescent="0.3">
      <c r="A19" s="2" t="s">
        <v>148</v>
      </c>
      <c r="B19" s="2" t="s">
        <v>148</v>
      </c>
      <c r="C19" s="3" t="s">
        <v>148</v>
      </c>
      <c r="D19" s="3" t="s">
        <v>153</v>
      </c>
      <c r="E19" s="2"/>
      <c r="F19" s="2"/>
      <c r="G19" s="5">
        <v>45964</v>
      </c>
      <c r="H19" s="5">
        <v>46028</v>
      </c>
      <c r="I19" s="2" t="s">
        <v>31</v>
      </c>
      <c r="J19" s="6">
        <f t="shared" si="1"/>
        <v>64</v>
      </c>
      <c r="K19" s="4" t="str">
        <f t="shared" ca="1" si="2"/>
        <v>-</v>
      </c>
      <c r="L19" s="7">
        <f t="shared" ca="1" si="4"/>
        <v>0</v>
      </c>
      <c r="M19" s="4" t="str">
        <f>IF($I19="Complete","Green",IF($H19="","Amber",IF($H19&lt;'[2]Read Me'!$B$4,"Red",IF($H19-'[2]Read Me'!$B$4&lt;=21,"Amber","Green"))))</f>
        <v>Red</v>
      </c>
      <c r="N19" s="3"/>
      <c r="O19" t="str">
        <f>IF($I19&lt;&gt;"Complete",IF(COUNTIFS($A$4:$A18,$A19,$B$4:$B18,$B19,$I$4:$I18,"&lt;&gt;Complete")=0,$A19&amp;"|"&amp;$B19,""),"")</f>
        <v/>
      </c>
      <c r="P19" t="str">
        <f ca="1">IF($K19="Yes",COUNTIFS($K$4:$K19,"Yes"),"")</f>
        <v/>
      </c>
      <c r="Q19">
        <f t="shared" ca="1" si="3"/>
        <v>0</v>
      </c>
      <c r="R19" t="str">
        <f ca="1">IF($Q19=1,SUM($Q$4:$Q19),"")</f>
        <v/>
      </c>
    </row>
    <row r="20" spans="1:18" ht="33.75" customHeight="1" x14ac:dyDescent="0.3">
      <c r="A20" s="2" t="s">
        <v>122</v>
      </c>
      <c r="B20" s="2" t="s">
        <v>122</v>
      </c>
      <c r="C20" s="3"/>
      <c r="D20" s="3"/>
      <c r="E20" s="2"/>
      <c r="F20" s="2"/>
      <c r="G20" s="5">
        <v>46116</v>
      </c>
      <c r="H20" s="5">
        <v>46155</v>
      </c>
      <c r="I20" s="2"/>
      <c r="J20" s="6">
        <f t="shared" si="1"/>
        <v>39</v>
      </c>
      <c r="K20" s="4" t="str">
        <f t="shared" ca="1" si="2"/>
        <v/>
      </c>
      <c r="L20" s="7">
        <f t="shared" ca="1" si="4"/>
        <v>-53</v>
      </c>
      <c r="M20" s="4" t="str">
        <f>IF($I20="Complete","Green",IF($H20="","Amber",IF($H20&lt;'[2]Read Me'!$B$4,"Red",IF($H20-'[2]Read Me'!$B$4&lt;=21,"Amber","Green"))))</f>
        <v>Red</v>
      </c>
      <c r="N20" s="3"/>
      <c r="O20" t="str">
        <f>IF($I20&lt;&gt;"Complete",IF(COUNTIFS($A$4:$A19,$A20,$B$4:$B19,$B20,$I$4:$I19,"&lt;&gt;Complete")=0,$A20&amp;"|"&amp;$B20,""),"")</f>
        <v>Master Plan|Master Plan</v>
      </c>
      <c r="P20" t="str">
        <f ca="1">IF($K20="Yes",COUNTIFS($K$4:$K20,"Yes"),"")</f>
        <v/>
      </c>
      <c r="Q20">
        <f t="shared" ca="1" si="3"/>
        <v>0</v>
      </c>
      <c r="R20" t="str">
        <f ca="1">IF($Q20=1,SUM($Q$4:$Q20),"")</f>
        <v/>
      </c>
    </row>
    <row r="21" spans="1:18" ht="33.75" customHeight="1" x14ac:dyDescent="0.3">
      <c r="A21" s="2" t="s">
        <v>122</v>
      </c>
      <c r="B21" s="2" t="s">
        <v>122</v>
      </c>
      <c r="C21" s="3" t="s">
        <v>122</v>
      </c>
      <c r="D21" s="3" t="s">
        <v>154</v>
      </c>
      <c r="E21" s="2"/>
      <c r="F21" s="2" t="s">
        <v>155</v>
      </c>
      <c r="G21" s="5">
        <v>46075</v>
      </c>
      <c r="H21" s="5">
        <v>46075</v>
      </c>
      <c r="I21" s="2" t="s">
        <v>31</v>
      </c>
      <c r="J21" s="6">
        <f t="shared" si="1"/>
        <v>0</v>
      </c>
      <c r="K21" s="4" t="str">
        <f t="shared" ca="1" si="2"/>
        <v>-</v>
      </c>
      <c r="L21" s="7">
        <f t="shared" ca="1" si="4"/>
        <v>0</v>
      </c>
      <c r="M21" s="4" t="str">
        <f>IF($I21="Complete","Green",IF($H21="","Amber",IF($H21&lt;'[2]Read Me'!$B$4,"Red",IF($H21-'[2]Read Me'!$B$4&lt;=21,"Amber","Green"))))</f>
        <v>Red</v>
      </c>
      <c r="N21" s="3"/>
      <c r="O21" t="str">
        <f>IF($I21&lt;&gt;"Complete",IF(COUNTIFS($A$4:$A20,$A21,$B$4:$B20,$B21,$I$4:$I20,"&lt;&gt;Complete")=0,$A21&amp;"|"&amp;$B21,""),"")</f>
        <v/>
      </c>
      <c r="P21" t="str">
        <f ca="1">IF($K21="Yes",COUNTIFS($K$4:$K21,"Yes"),"")</f>
        <v/>
      </c>
      <c r="Q21">
        <f t="shared" ca="1" si="3"/>
        <v>0</v>
      </c>
      <c r="R21" t="str">
        <f ca="1">IF($Q21=1,SUM($Q$4:$Q21),"")</f>
        <v/>
      </c>
    </row>
    <row r="22" spans="1:18" ht="33.75" customHeight="1" x14ac:dyDescent="0.3">
      <c r="A22" s="2" t="s">
        <v>122</v>
      </c>
      <c r="B22" s="2" t="s">
        <v>122</v>
      </c>
      <c r="C22" s="3" t="s">
        <v>122</v>
      </c>
      <c r="D22" s="3" t="s">
        <v>58</v>
      </c>
      <c r="E22" s="2"/>
      <c r="F22" s="2"/>
      <c r="G22" s="5">
        <v>46079</v>
      </c>
      <c r="H22" s="5">
        <v>46079</v>
      </c>
      <c r="I22" s="2" t="s">
        <v>31</v>
      </c>
      <c r="J22" s="6">
        <f t="shared" si="1"/>
        <v>0</v>
      </c>
      <c r="K22" s="4" t="str">
        <f t="shared" ca="1" si="2"/>
        <v>-</v>
      </c>
      <c r="L22" s="7">
        <f t="shared" ca="1" si="4"/>
        <v>0</v>
      </c>
      <c r="M22" s="4" t="str">
        <f>IF($I22="Complete","Green",IF($H22="","Amber",IF($H22&lt;'[2]Read Me'!$B$4,"Red",IF($H22-'[2]Read Me'!$B$4&lt;=21,"Amber","Green"))))</f>
        <v>Red</v>
      </c>
      <c r="N22" s="3"/>
      <c r="O22" t="str">
        <f>IF($I22&lt;&gt;"Complete",IF(COUNTIFS($A$4:$A21,$A22,$B$4:$B21,$B22,$I$4:$I21,"&lt;&gt;Complete")=0,$A22&amp;"|"&amp;$B22,""),"")</f>
        <v/>
      </c>
      <c r="P22" t="str">
        <f ca="1">IF($K22="Yes",COUNTIFS($K$4:$K22,"Yes"),"")</f>
        <v/>
      </c>
      <c r="Q22">
        <f t="shared" ca="1" si="3"/>
        <v>0</v>
      </c>
      <c r="R22" t="str">
        <f ca="1">IF($Q22=1,SUM($Q$4:$Q22),"")</f>
        <v/>
      </c>
    </row>
    <row r="23" spans="1:18" ht="33.75" customHeight="1" x14ac:dyDescent="0.3">
      <c r="A23" s="2" t="s">
        <v>122</v>
      </c>
      <c r="B23" s="2" t="s">
        <v>122</v>
      </c>
      <c r="C23" s="3" t="s">
        <v>122</v>
      </c>
      <c r="D23" s="3" t="s">
        <v>156</v>
      </c>
      <c r="E23" s="2"/>
      <c r="F23" s="2" t="s">
        <v>155</v>
      </c>
      <c r="G23" s="5">
        <v>46093</v>
      </c>
      <c r="H23" s="5">
        <v>46096</v>
      </c>
      <c r="I23" s="2" t="s">
        <v>31</v>
      </c>
      <c r="J23" s="6">
        <f t="shared" si="1"/>
        <v>3</v>
      </c>
      <c r="K23" s="4" t="str">
        <f t="shared" ca="1" si="2"/>
        <v>-</v>
      </c>
      <c r="L23" s="7">
        <f t="shared" ca="1" si="4"/>
        <v>0</v>
      </c>
      <c r="M23" s="4" t="str">
        <f>IF($I23="Complete","Green",IF($H23="","Amber",IF($H23&lt;'[2]Read Me'!$B$4,"Red",IF($H23-'[2]Read Me'!$B$4&lt;=21,"Amber","Green"))))</f>
        <v>Red</v>
      </c>
      <c r="N23" s="3"/>
      <c r="O23" t="str">
        <f>IF($I23&lt;&gt;"Complete",IF(COUNTIFS($A$4:$A22,$A23,$B$4:$B22,$B23,$I$4:$I22,"&lt;&gt;Complete")=0,$A23&amp;"|"&amp;$B23,""),"")</f>
        <v/>
      </c>
      <c r="P23" t="str">
        <f ca="1">IF($K23="Yes",COUNTIFS($K$4:$K23,"Yes"),"")</f>
        <v/>
      </c>
      <c r="Q23">
        <f t="shared" ca="1" si="3"/>
        <v>0</v>
      </c>
      <c r="R23" t="str">
        <f ca="1">IF($Q23=1,SUM($Q$4:$Q23),"")</f>
        <v/>
      </c>
    </row>
    <row r="24" spans="1:18" ht="33.75" customHeight="1" x14ac:dyDescent="0.3">
      <c r="A24" s="2" t="s">
        <v>122</v>
      </c>
      <c r="B24" s="2" t="s">
        <v>122</v>
      </c>
      <c r="C24" s="3" t="s">
        <v>122</v>
      </c>
      <c r="D24" s="3" t="s">
        <v>58</v>
      </c>
      <c r="E24" s="2"/>
      <c r="F24" s="2"/>
      <c r="G24" s="5">
        <v>46100</v>
      </c>
      <c r="H24" s="5">
        <v>46099</v>
      </c>
      <c r="I24" s="2" t="s">
        <v>31</v>
      </c>
      <c r="J24" s="6">
        <f t="shared" si="1"/>
        <v>-1</v>
      </c>
      <c r="K24" s="4" t="str">
        <f t="shared" ca="1" si="2"/>
        <v>-</v>
      </c>
      <c r="L24" s="7">
        <f t="shared" ca="1" si="4"/>
        <v>0</v>
      </c>
      <c r="M24" s="4" t="str">
        <f>IF($I24="Complete","Green",IF($H24="","Amber",IF($H24&lt;'[2]Read Me'!$B$4,"Red",IF($H24-'[2]Read Me'!$B$4&lt;=21,"Amber","Green"))))</f>
        <v>Red</v>
      </c>
      <c r="N24" s="3"/>
      <c r="O24" t="str">
        <f>IF($I24&lt;&gt;"Complete",IF(COUNTIFS($A$4:$A23,$A24,$B$4:$B23,$B24,$I$4:$I23,"&lt;&gt;Complete")=0,$A24&amp;"|"&amp;$B24,""),"")</f>
        <v/>
      </c>
      <c r="P24" t="str">
        <f ca="1">IF($K24="Yes",COUNTIFS($K$4:$K24,"Yes"),"")</f>
        <v/>
      </c>
      <c r="Q24">
        <f t="shared" ca="1" si="3"/>
        <v>0</v>
      </c>
      <c r="R24" t="str">
        <f ca="1">IF($Q24=1,SUM($Q$4:$Q24),"")</f>
        <v/>
      </c>
    </row>
    <row r="25" spans="1:18" ht="33.75" customHeight="1" x14ac:dyDescent="0.3">
      <c r="A25" s="2" t="s">
        <v>122</v>
      </c>
      <c r="B25" s="2" t="s">
        <v>122</v>
      </c>
      <c r="C25" s="3" t="s">
        <v>122</v>
      </c>
      <c r="D25" s="3" t="s">
        <v>157</v>
      </c>
      <c r="E25" s="2"/>
      <c r="F25" s="2" t="s">
        <v>155</v>
      </c>
      <c r="G25" s="5">
        <v>46109</v>
      </c>
      <c r="H25" s="5">
        <v>46148</v>
      </c>
      <c r="I25" s="2" t="s">
        <v>46</v>
      </c>
      <c r="J25" s="6">
        <f t="shared" si="1"/>
        <v>39</v>
      </c>
      <c r="K25" s="4" t="str">
        <f t="shared" ca="1" si="2"/>
        <v>Yes</v>
      </c>
      <c r="L25" s="7">
        <f t="shared" ca="1" si="4"/>
        <v>-60</v>
      </c>
      <c r="M25" s="4" t="str">
        <f>IF($I25="Complete","Green",IF($H25="","Amber",IF($H25&lt;'[2]Read Me'!$B$4,"Red",IF($H25-'[2]Read Me'!$B$4&lt;=21,"Amber","Green"))))</f>
        <v>Red</v>
      </c>
      <c r="N25" s="3"/>
      <c r="O25" t="str">
        <f>IF($I25&lt;&gt;"Complete",IF(COUNTIFS($A$4:$A24,$A25,$B$4:$B24,$B25,$I$4:$I24,"&lt;&gt;Complete")=0,$A25&amp;"|"&amp;$B25,""),"")</f>
        <v/>
      </c>
      <c r="P25">
        <f ca="1">IF($K25="Yes",COUNTIFS($K$4:$K25,"Yes"),"")</f>
        <v>3</v>
      </c>
      <c r="Q25">
        <f t="shared" ca="1" si="3"/>
        <v>1</v>
      </c>
      <c r="R25">
        <f ca="1">IF($Q25=1,SUM($Q$4:$Q25),"")</f>
        <v>3</v>
      </c>
    </row>
    <row r="26" spans="1:18" ht="33.75" customHeight="1" x14ac:dyDescent="0.3">
      <c r="A26" s="2" t="s">
        <v>122</v>
      </c>
      <c r="B26" s="2" t="s">
        <v>122</v>
      </c>
      <c r="C26" s="3" t="s">
        <v>122</v>
      </c>
      <c r="D26" s="3" t="s">
        <v>58</v>
      </c>
      <c r="E26" s="2"/>
      <c r="F26" s="2"/>
      <c r="G26" s="5">
        <v>46116</v>
      </c>
      <c r="H26" s="5">
        <v>46155</v>
      </c>
      <c r="I26" s="2" t="s">
        <v>17</v>
      </c>
      <c r="J26" s="6">
        <f t="shared" si="1"/>
        <v>39</v>
      </c>
      <c r="K26" s="4" t="str">
        <f t="shared" ca="1" si="2"/>
        <v>Yes</v>
      </c>
      <c r="L26" s="7">
        <f t="shared" ca="1" si="4"/>
        <v>-53</v>
      </c>
      <c r="M26" s="4" t="str">
        <f>IF($I26="Complete","Green",IF($H26="","Amber",IF($H26&lt;'[2]Read Me'!$B$4,"Red",IF($H26-'[2]Read Me'!$B$4&lt;=21,"Amber","Green"))))</f>
        <v>Red</v>
      </c>
      <c r="N26" s="3"/>
      <c r="O26" t="str">
        <f>IF($I26&lt;&gt;"Complete",IF(COUNTIFS($A$4:$A25,$A26,$B$4:$B25,$B26,$I$4:$I25,"&lt;&gt;Complete")=0,$A26&amp;"|"&amp;$B26,""),"")</f>
        <v/>
      </c>
      <c r="P26">
        <f ca="1">IF($K26="Yes",COUNTIFS($K$4:$K26,"Yes"),"")</f>
        <v>4</v>
      </c>
      <c r="Q26">
        <f t="shared" ca="1" si="3"/>
        <v>1</v>
      </c>
      <c r="R26">
        <f ca="1">IF($Q26=1,SUM($Q$4:$Q26),"")</f>
        <v>4</v>
      </c>
    </row>
    <row r="27" spans="1:18" ht="33.75" customHeight="1" x14ac:dyDescent="0.3">
      <c r="A27" s="2" t="s">
        <v>62</v>
      </c>
      <c r="B27" s="2" t="s">
        <v>62</v>
      </c>
      <c r="C27" s="3"/>
      <c r="D27" s="3"/>
      <c r="E27" s="2"/>
      <c r="F27" s="2"/>
      <c r="G27" s="5">
        <v>46114</v>
      </c>
      <c r="H27" s="5">
        <v>46190</v>
      </c>
      <c r="I27" s="2"/>
      <c r="J27" s="6">
        <f t="shared" si="1"/>
        <v>76</v>
      </c>
      <c r="K27" s="4" t="str">
        <f t="shared" ca="1" si="2"/>
        <v/>
      </c>
      <c r="L27" s="7">
        <f t="shared" ca="1" si="4"/>
        <v>-18</v>
      </c>
      <c r="M27" s="4" t="str">
        <f>IF($I27="Complete","Green",IF($H27="","Amber",IF($H27&lt;'[2]Read Me'!$B$4,"Red",IF($H27-'[2]Read Me'!$B$4&lt;=21,"Amber","Green"))))</f>
        <v>Amber</v>
      </c>
      <c r="N27" s="3"/>
      <c r="O27" t="str">
        <f>IF($I27&lt;&gt;"Complete",IF(COUNTIFS($A$4:$A26,$A27,$B$4:$B26,$B27,$I$4:$I26,"&lt;&gt;Complete")=0,$A27&amp;"|"&amp;$B27,""),"")</f>
        <v>Buildings|Buildings</v>
      </c>
      <c r="P27" t="str">
        <f ca="1">IF($K27="Yes",COUNTIFS($K$4:$K27,"Yes"),"")</f>
        <v/>
      </c>
      <c r="Q27">
        <f t="shared" ca="1" si="3"/>
        <v>0</v>
      </c>
      <c r="R27" t="str">
        <f ca="1">IF($Q27=1,SUM($Q$4:$Q27),"")</f>
        <v/>
      </c>
    </row>
    <row r="28" spans="1:18" ht="33.75" customHeight="1" x14ac:dyDescent="0.3">
      <c r="A28" s="2" t="s">
        <v>62</v>
      </c>
      <c r="B28" s="2" t="s">
        <v>62</v>
      </c>
      <c r="C28" s="3" t="s">
        <v>62</v>
      </c>
      <c r="D28" s="3" t="s">
        <v>154</v>
      </c>
      <c r="E28" s="2"/>
      <c r="F28" s="2"/>
      <c r="G28" s="5">
        <v>46079</v>
      </c>
      <c r="H28" s="5">
        <v>46096</v>
      </c>
      <c r="I28" s="2" t="s">
        <v>31</v>
      </c>
      <c r="J28" s="6">
        <f t="shared" si="1"/>
        <v>17</v>
      </c>
      <c r="K28" s="4" t="str">
        <f t="shared" ca="1" si="2"/>
        <v>-</v>
      </c>
      <c r="L28" s="7">
        <f t="shared" ca="1" si="4"/>
        <v>0</v>
      </c>
      <c r="M28" s="4" t="str">
        <f>IF($I28="Complete","Green",IF($H28="","Amber",IF($H28&lt;'[2]Read Me'!$B$4,"Red",IF($H28-'[2]Read Me'!$B$4&lt;=21,"Amber","Green"))))</f>
        <v>Red</v>
      </c>
      <c r="N28" s="3"/>
      <c r="O28" t="str">
        <f>IF($I28&lt;&gt;"Complete",IF(COUNTIFS($A$4:$A27,$A28,$B$4:$B27,$B28,$I$4:$I27,"&lt;&gt;Complete")=0,$A28&amp;"|"&amp;$B28,""),"")</f>
        <v/>
      </c>
      <c r="P28" t="str">
        <f ca="1">IF($K28="Yes",COUNTIFS($K$4:$K28,"Yes"),"")</f>
        <v/>
      </c>
      <c r="Q28">
        <f t="shared" ca="1" si="3"/>
        <v>0</v>
      </c>
      <c r="R28" t="str">
        <f ca="1">IF($Q28=1,SUM($Q$4:$Q28),"")</f>
        <v/>
      </c>
    </row>
    <row r="29" spans="1:18" ht="33.75" customHeight="1" x14ac:dyDescent="0.3">
      <c r="A29" s="2" t="s">
        <v>62</v>
      </c>
      <c r="B29" s="2" t="s">
        <v>62</v>
      </c>
      <c r="C29" s="3" t="s">
        <v>62</v>
      </c>
      <c r="D29" s="3" t="s">
        <v>58</v>
      </c>
      <c r="E29" s="2"/>
      <c r="F29" s="2"/>
      <c r="G29" s="5">
        <v>46086</v>
      </c>
      <c r="H29" s="5">
        <v>46099</v>
      </c>
      <c r="I29" s="2" t="s">
        <v>31</v>
      </c>
      <c r="J29" s="6">
        <f t="shared" si="1"/>
        <v>13</v>
      </c>
      <c r="K29" s="4" t="str">
        <f t="shared" ca="1" si="2"/>
        <v>-</v>
      </c>
      <c r="L29" s="7">
        <f t="shared" ca="1" si="4"/>
        <v>0</v>
      </c>
      <c r="M29" s="4" t="str">
        <f>IF($I29="Complete","Green",IF($H29="","Amber",IF($H29&lt;'[2]Read Me'!$B$4,"Red",IF($H29-'[2]Read Me'!$B$4&lt;=21,"Amber","Green"))))</f>
        <v>Red</v>
      </c>
      <c r="N29" s="3"/>
      <c r="O29" t="str">
        <f>IF($I29&lt;&gt;"Complete",IF(COUNTIFS($A$4:$A28,$A29,$B$4:$B28,$B29,$I$4:$I28,"&lt;&gt;Complete")=0,$A29&amp;"|"&amp;$B29,""),"")</f>
        <v/>
      </c>
      <c r="P29" t="str">
        <f ca="1">IF($K29="Yes",COUNTIFS($K$4:$K29,"Yes"),"")</f>
        <v/>
      </c>
      <c r="Q29">
        <f t="shared" ca="1" si="3"/>
        <v>0</v>
      </c>
      <c r="R29" t="str">
        <f ca="1">IF($Q29=1,SUM($Q$4:$Q29),"")</f>
        <v/>
      </c>
    </row>
    <row r="30" spans="1:18" ht="33.75" customHeight="1" x14ac:dyDescent="0.3">
      <c r="A30" s="2" t="s">
        <v>62</v>
      </c>
      <c r="B30" s="2" t="s">
        <v>62</v>
      </c>
      <c r="C30" s="3" t="s">
        <v>62</v>
      </c>
      <c r="D30" s="3" t="s">
        <v>156</v>
      </c>
      <c r="E30" s="2"/>
      <c r="F30" s="2"/>
      <c r="G30" s="5">
        <v>46093</v>
      </c>
      <c r="H30" s="5">
        <v>46148</v>
      </c>
      <c r="I30" s="2" t="s">
        <v>46</v>
      </c>
      <c r="J30" s="6">
        <f t="shared" si="1"/>
        <v>55</v>
      </c>
      <c r="K30" s="4" t="str">
        <f t="shared" ca="1" si="2"/>
        <v>Yes</v>
      </c>
      <c r="L30" s="7">
        <f t="shared" ca="1" si="4"/>
        <v>-60</v>
      </c>
      <c r="M30" s="4" t="str">
        <f>IF($I30="Complete","Green",IF($H30="","Amber",IF($H30&lt;'[2]Read Me'!$B$4,"Red",IF($H30-'[2]Read Me'!$B$4&lt;=21,"Amber","Green"))))</f>
        <v>Red</v>
      </c>
      <c r="N30" s="3"/>
      <c r="O30" t="str">
        <f>IF($I30&lt;&gt;"Complete",IF(COUNTIFS($A$4:$A29,$A30,$B$4:$B29,$B30,$I$4:$I29,"&lt;&gt;Complete")=0,$A30&amp;"|"&amp;$B30,""),"")</f>
        <v/>
      </c>
      <c r="P30">
        <f ca="1">IF($K30="Yes",COUNTIFS($K$4:$K30,"Yes"),"")</f>
        <v>5</v>
      </c>
      <c r="Q30">
        <f t="shared" ca="1" si="3"/>
        <v>1</v>
      </c>
      <c r="R30">
        <f ca="1">IF($Q30=1,SUM($Q$4:$Q30),"")</f>
        <v>5</v>
      </c>
    </row>
    <row r="31" spans="1:18" ht="14.25" customHeight="1" x14ac:dyDescent="0.3">
      <c r="A31" s="2" t="s">
        <v>62</v>
      </c>
      <c r="B31" s="2" t="s">
        <v>62</v>
      </c>
      <c r="C31" s="3" t="s">
        <v>62</v>
      </c>
      <c r="D31" s="3" t="s">
        <v>58</v>
      </c>
      <c r="E31" s="2"/>
      <c r="F31" s="2"/>
      <c r="G31" s="5">
        <v>46100</v>
      </c>
      <c r="H31" s="5">
        <v>46155</v>
      </c>
      <c r="I31" s="2" t="s">
        <v>17</v>
      </c>
      <c r="J31" s="6">
        <f t="shared" si="1"/>
        <v>55</v>
      </c>
      <c r="K31" s="4" t="str">
        <f t="shared" ca="1" si="2"/>
        <v>Yes</v>
      </c>
      <c r="L31" s="7">
        <f t="shared" ca="1" si="4"/>
        <v>-53</v>
      </c>
      <c r="M31" s="4" t="str">
        <f>IF($I31="Complete","Green",IF($H31="","Amber",IF($H31&lt;'[2]Read Me'!$B$4,"Red",IF($H31-'[2]Read Me'!$B$4&lt;=21,"Amber","Green"))))</f>
        <v>Red</v>
      </c>
      <c r="N31" s="3"/>
      <c r="O31" t="str">
        <f>IF($I31&lt;&gt;"Complete",IF(COUNTIFS($A$4:$A30,$A31,$B$4:$B30,$B31,$I$4:$I30,"&lt;&gt;Complete")=0,$A31&amp;"|"&amp;$B31,""),"")</f>
        <v/>
      </c>
      <c r="P31">
        <f ca="1">IF($K31="Yes",COUNTIFS($K$4:$K31,"Yes"),"")</f>
        <v>6</v>
      </c>
      <c r="Q31">
        <f t="shared" ca="1" si="3"/>
        <v>1</v>
      </c>
      <c r="R31">
        <f ca="1">IF($Q31=1,SUM($Q$4:$Q31),"")</f>
        <v>6</v>
      </c>
    </row>
    <row r="32" spans="1:18" ht="14.25" customHeight="1" x14ac:dyDescent="0.3">
      <c r="A32" s="2" t="s">
        <v>62</v>
      </c>
      <c r="B32" s="2" t="s">
        <v>62</v>
      </c>
      <c r="C32" s="3" t="s">
        <v>62</v>
      </c>
      <c r="D32" s="3" t="s">
        <v>157</v>
      </c>
      <c r="E32" s="2"/>
      <c r="F32" s="2"/>
      <c r="G32" s="5">
        <v>46107</v>
      </c>
      <c r="H32" s="5">
        <v>46183</v>
      </c>
      <c r="I32" s="2" t="s">
        <v>17</v>
      </c>
      <c r="J32" s="6">
        <f t="shared" si="1"/>
        <v>76</v>
      </c>
      <c r="K32" s="4" t="str">
        <f t="shared" ca="1" si="2"/>
        <v>Yes</v>
      </c>
      <c r="L32" s="7">
        <f t="shared" ca="1" si="4"/>
        <v>-25</v>
      </c>
      <c r="M32" s="4" t="str">
        <f>IF($I32="Complete","Green",IF($H32="","Amber",IF($H32&lt;'[2]Read Me'!$B$4,"Red",IF($H32-'[2]Read Me'!$B$4&lt;=21,"Amber","Green"))))</f>
        <v>Red</v>
      </c>
      <c r="N32" s="3"/>
      <c r="O32" t="str">
        <f>IF($I32&lt;&gt;"Complete",IF(COUNTIFS($A$4:$A31,$A32,$B$4:$B31,$B32,$I$4:$I31,"&lt;&gt;Complete")=0,$A32&amp;"|"&amp;$B32,""),"")</f>
        <v/>
      </c>
      <c r="P32">
        <f ca="1">IF($K32="Yes",COUNTIFS($K$4:$K32,"Yes"),"")</f>
        <v>7</v>
      </c>
      <c r="Q32">
        <f t="shared" ca="1" si="3"/>
        <v>1</v>
      </c>
      <c r="R32">
        <f ca="1">IF($Q32=1,SUM($Q$4:$Q32),"")</f>
        <v>7</v>
      </c>
    </row>
    <row r="33" spans="1:18" ht="14.25" customHeight="1" x14ac:dyDescent="0.3">
      <c r="A33" s="2" t="s">
        <v>62</v>
      </c>
      <c r="B33" s="2" t="s">
        <v>62</v>
      </c>
      <c r="C33" s="3" t="s">
        <v>62</v>
      </c>
      <c r="D33" s="3" t="s">
        <v>58</v>
      </c>
      <c r="E33" s="2"/>
      <c r="F33" s="2"/>
      <c r="G33" s="5">
        <v>46114</v>
      </c>
      <c r="H33" s="5">
        <v>46190</v>
      </c>
      <c r="I33" s="2" t="s">
        <v>17</v>
      </c>
      <c r="J33" s="6">
        <f t="shared" si="1"/>
        <v>76</v>
      </c>
      <c r="K33" s="4" t="str">
        <f t="shared" ca="1" si="2"/>
        <v>Yes</v>
      </c>
      <c r="L33" s="7">
        <f t="shared" ca="1" si="4"/>
        <v>-18</v>
      </c>
      <c r="M33" s="4" t="str">
        <f>IF($I33="Complete","Green",IF($H33="","Amber",IF($H33&lt;'[2]Read Me'!$B$4,"Red",IF($H33-'[2]Read Me'!$B$4&lt;=21,"Amber","Green"))))</f>
        <v>Amber</v>
      </c>
      <c r="N33" s="3"/>
      <c r="O33" t="str">
        <f>IF($I33&lt;&gt;"Complete",IF(COUNTIFS($A$4:$A32,$A33,$B$4:$B32,$B33,$I$4:$I32,"&lt;&gt;Complete")=0,$A33&amp;"|"&amp;$B33,""),"")</f>
        <v/>
      </c>
      <c r="P33">
        <f ca="1">IF($K33="Yes",COUNTIFS($K$4:$K33,"Yes"),"")</f>
        <v>8</v>
      </c>
      <c r="Q33">
        <f t="shared" ca="1" si="3"/>
        <v>1</v>
      </c>
      <c r="R33">
        <f ca="1">IF($Q33=1,SUM($Q$4:$Q33),"")</f>
        <v>8</v>
      </c>
    </row>
    <row r="34" spans="1:18" ht="14.25" customHeight="1" x14ac:dyDescent="0.3">
      <c r="A34" s="2" t="s">
        <v>158</v>
      </c>
      <c r="B34" s="2" t="s">
        <v>41</v>
      </c>
      <c r="C34" s="3"/>
      <c r="D34" s="3"/>
      <c r="E34" s="2"/>
      <c r="F34" s="2"/>
      <c r="G34" s="5">
        <v>46156</v>
      </c>
      <c r="H34" s="5">
        <v>46225</v>
      </c>
      <c r="I34" s="2"/>
      <c r="J34" s="6">
        <f t="shared" si="1"/>
        <v>69</v>
      </c>
      <c r="K34" s="4" t="str">
        <f t="shared" ca="1" si="2"/>
        <v/>
      </c>
      <c r="L34" s="7">
        <f t="shared" ca="1" si="4"/>
        <v>17</v>
      </c>
      <c r="M34" s="4" t="str">
        <f>IF($I34="Complete","Green",IF($H34="","Amber",IF($H34&lt;'[2]Read Me'!$B$4,"Red",IF($H34-'[2]Read Me'!$B$4&lt;=21,"Amber","Green"))))</f>
        <v>Green</v>
      </c>
      <c r="N34" s="3"/>
      <c r="O34" t="str">
        <f>IF($I34&lt;&gt;"Complete",IF(COUNTIFS($A$4:$A33,$A34,$B$4:$B33,$B34,$I$4:$I33,"&lt;&gt;Complete")=0,$A34&amp;"|"&amp;$B34,""),"")</f>
        <v>Interior|Fit-out</v>
      </c>
      <c r="P34" t="str">
        <f ca="1">IF($K34="Yes",COUNTIFS($K$4:$K34,"Yes"),"")</f>
        <v/>
      </c>
      <c r="Q34">
        <f t="shared" ca="1" si="3"/>
        <v>0</v>
      </c>
      <c r="R34" t="str">
        <f ca="1">IF($Q34=1,SUM($Q$4:$Q34),"")</f>
        <v/>
      </c>
    </row>
    <row r="35" spans="1:18" ht="14.25" customHeight="1" x14ac:dyDescent="0.3">
      <c r="A35" s="2" t="s">
        <v>158</v>
      </c>
      <c r="B35" s="2" t="s">
        <v>41</v>
      </c>
      <c r="C35" s="3" t="s">
        <v>158</v>
      </c>
      <c r="D35" s="3" t="s">
        <v>154</v>
      </c>
      <c r="E35" s="2"/>
      <c r="F35" s="2" t="s">
        <v>159</v>
      </c>
      <c r="G35" s="5">
        <v>46114</v>
      </c>
      <c r="H35" s="5">
        <v>46169</v>
      </c>
      <c r="I35" s="2" t="s">
        <v>17</v>
      </c>
      <c r="J35" s="6">
        <f t="shared" si="1"/>
        <v>55</v>
      </c>
      <c r="K35" s="4" t="str">
        <f t="shared" ca="1" si="2"/>
        <v>Yes</v>
      </c>
      <c r="L35" s="7">
        <f t="shared" ca="1" si="4"/>
        <v>-39</v>
      </c>
      <c r="M35" s="4" t="str">
        <f>IF($I35="Complete","Green",IF($H35="","Amber",IF($H35&lt;'[2]Read Me'!$B$4,"Red",IF($H35-'[2]Read Me'!$B$4&lt;=21,"Amber","Green"))))</f>
        <v>Red</v>
      </c>
      <c r="N35" s="3"/>
      <c r="O35" t="str">
        <f>IF($I35&lt;&gt;"Complete",IF(COUNTIFS($A$4:$A34,$A35,$B$4:$B34,$B35,$I$4:$I34,"&lt;&gt;Complete")=0,$A35&amp;"|"&amp;$B35,""),"")</f>
        <v/>
      </c>
      <c r="P35">
        <f ca="1">IF($K35="Yes",COUNTIFS($K$4:$K35,"Yes"),"")</f>
        <v>9</v>
      </c>
      <c r="Q35">
        <f t="shared" ca="1" si="3"/>
        <v>1</v>
      </c>
      <c r="R35">
        <f ca="1">IF($Q35=1,SUM($Q$4:$Q35),"")</f>
        <v>9</v>
      </c>
    </row>
    <row r="36" spans="1:18" ht="14.25" customHeight="1" x14ac:dyDescent="0.3">
      <c r="A36" s="2" t="s">
        <v>158</v>
      </c>
      <c r="B36" s="2" t="s">
        <v>41</v>
      </c>
      <c r="C36" s="3" t="s">
        <v>158</v>
      </c>
      <c r="D36" s="3" t="s">
        <v>58</v>
      </c>
      <c r="E36" s="2"/>
      <c r="F36" s="2"/>
      <c r="G36" s="5">
        <v>46121</v>
      </c>
      <c r="H36" s="5">
        <v>46176</v>
      </c>
      <c r="I36" s="2" t="s">
        <v>17</v>
      </c>
      <c r="J36" s="6">
        <f t="shared" si="1"/>
        <v>55</v>
      </c>
      <c r="K36" s="4" t="str">
        <f t="shared" ca="1" si="2"/>
        <v>Yes</v>
      </c>
      <c r="L36" s="7">
        <f t="shared" ca="1" si="4"/>
        <v>-32</v>
      </c>
      <c r="M36" s="4" t="str">
        <f>IF($I36="Complete","Green",IF($H36="","Amber",IF($H36&lt;'[2]Read Me'!$B$4,"Red",IF($H36-'[2]Read Me'!$B$4&lt;=21,"Amber","Green"))))</f>
        <v>Red</v>
      </c>
      <c r="N36" s="3"/>
      <c r="O36" t="str">
        <f>IF($I36&lt;&gt;"Complete",IF(COUNTIFS($A$4:$A35,$A36,$B$4:$B35,$B36,$I$4:$I35,"&lt;&gt;Complete")=0,$A36&amp;"|"&amp;$B36,""),"")</f>
        <v/>
      </c>
      <c r="P36">
        <f ca="1">IF($K36="Yes",COUNTIFS($K$4:$K36,"Yes"),"")</f>
        <v>10</v>
      </c>
      <c r="Q36">
        <f t="shared" ca="1" si="3"/>
        <v>1</v>
      </c>
      <c r="R36">
        <f ca="1">IF($Q36=1,SUM($Q$4:$Q36),"")</f>
        <v>10</v>
      </c>
    </row>
    <row r="37" spans="1:18" ht="14.25" customHeight="1" x14ac:dyDescent="0.3">
      <c r="A37" s="2" t="s">
        <v>158</v>
      </c>
      <c r="B37" s="2" t="s">
        <v>41</v>
      </c>
      <c r="C37" s="3" t="s">
        <v>158</v>
      </c>
      <c r="D37" s="3" t="s">
        <v>160</v>
      </c>
      <c r="E37" s="2"/>
      <c r="F37" s="2" t="s">
        <v>159</v>
      </c>
      <c r="G37" s="5">
        <v>46135</v>
      </c>
      <c r="H37" s="5">
        <v>46204</v>
      </c>
      <c r="I37" s="2" t="s">
        <v>17</v>
      </c>
      <c r="J37" s="6">
        <f t="shared" si="1"/>
        <v>69</v>
      </c>
      <c r="K37" s="4" t="str">
        <f t="shared" ca="1" si="2"/>
        <v>Yes</v>
      </c>
      <c r="L37" s="7">
        <f t="shared" ca="1" si="4"/>
        <v>-4</v>
      </c>
      <c r="M37" s="4" t="str">
        <f>IF($I37="Complete","Green",IF($H37="","Amber",IF($H37&lt;'[2]Read Me'!$B$4,"Red",IF($H37-'[2]Read Me'!$B$4&lt;=21,"Amber","Green"))))</f>
        <v>Amber</v>
      </c>
      <c r="N37" s="3"/>
      <c r="O37" t="str">
        <f>IF($I37&lt;&gt;"Complete",IF(COUNTIFS($A$4:$A36,$A37,$B$4:$B36,$B37,$I$4:$I36,"&lt;&gt;Complete")=0,$A37&amp;"|"&amp;$B37,""),"")</f>
        <v/>
      </c>
      <c r="P37">
        <f ca="1">IF($K37="Yes",COUNTIFS($K$4:$K37,"Yes"),"")</f>
        <v>11</v>
      </c>
      <c r="Q37">
        <f t="shared" ca="1" si="3"/>
        <v>1</v>
      </c>
      <c r="R37">
        <f ca="1">IF($Q37=1,SUM($Q$4:$Q37),"")</f>
        <v>11</v>
      </c>
    </row>
    <row r="38" spans="1:18" ht="14.25" customHeight="1" x14ac:dyDescent="0.3">
      <c r="A38" s="2" t="s">
        <v>158</v>
      </c>
      <c r="B38" s="2" t="s">
        <v>41</v>
      </c>
      <c r="C38" s="3" t="s">
        <v>158</v>
      </c>
      <c r="D38" s="3" t="s">
        <v>58</v>
      </c>
      <c r="E38" s="2"/>
      <c r="F38" s="2"/>
      <c r="G38" s="5">
        <v>46142</v>
      </c>
      <c r="H38" s="5">
        <v>46211</v>
      </c>
      <c r="I38" s="2" t="s">
        <v>17</v>
      </c>
      <c r="J38" s="6">
        <f t="shared" si="1"/>
        <v>69</v>
      </c>
      <c r="K38" s="4" t="str">
        <f t="shared" ca="1" si="2"/>
        <v>No</v>
      </c>
      <c r="L38" s="7">
        <f t="shared" ca="1" si="4"/>
        <v>3</v>
      </c>
      <c r="M38" s="4" t="str">
        <f>IF($I38="Complete","Green",IF($H38="","Amber",IF($H38&lt;'[2]Read Me'!$B$4,"Red",IF($H38-'[2]Read Me'!$B$4&lt;=21,"Amber","Green"))))</f>
        <v>Green</v>
      </c>
      <c r="N38" s="3"/>
      <c r="O38" t="str">
        <f>IF($I38&lt;&gt;"Complete",IF(COUNTIFS($A$4:$A37,$A38,$B$4:$B37,$B38,$I$4:$I37,"&lt;&gt;Complete")=0,$A38&amp;"|"&amp;$B38,""),"")</f>
        <v/>
      </c>
      <c r="P38" t="str">
        <f ca="1">IF($K38="Yes",COUNTIFS($K$4:$K38,"Yes"),"")</f>
        <v/>
      </c>
      <c r="Q38">
        <f t="shared" ca="1" si="3"/>
        <v>0</v>
      </c>
      <c r="R38" t="str">
        <f ca="1">IF($Q38=1,SUM($Q$4:$Q38),"")</f>
        <v/>
      </c>
    </row>
    <row r="39" spans="1:18" ht="14.25" customHeight="1" x14ac:dyDescent="0.3">
      <c r="A39" s="2" t="s">
        <v>158</v>
      </c>
      <c r="B39" s="2" t="s">
        <v>41</v>
      </c>
      <c r="C39" s="3" t="s">
        <v>158</v>
      </c>
      <c r="D39" s="3" t="s">
        <v>157</v>
      </c>
      <c r="E39" s="2"/>
      <c r="F39" s="2"/>
      <c r="G39" s="5">
        <v>46149</v>
      </c>
      <c r="H39" s="5">
        <v>46218</v>
      </c>
      <c r="I39" s="2" t="s">
        <v>17</v>
      </c>
      <c r="J39" s="6">
        <f t="shared" si="1"/>
        <v>69</v>
      </c>
      <c r="K39" s="4" t="str">
        <f t="shared" ca="1" si="2"/>
        <v>No</v>
      </c>
      <c r="L39" s="7">
        <f t="shared" ca="1" si="4"/>
        <v>10</v>
      </c>
      <c r="M39" s="4" t="str">
        <f>IF($I39="Complete","Green",IF($H39="","Amber",IF($H39&lt;'[2]Read Me'!$B$4,"Red",IF($H39-'[2]Read Me'!$B$4&lt;=21,"Amber","Green"))))</f>
        <v>Green</v>
      </c>
      <c r="N39" s="3"/>
      <c r="O39" t="str">
        <f>IF($I39&lt;&gt;"Complete",IF(COUNTIFS($A$4:$A38,$A39,$B$4:$B38,$B39,$I$4:$I38,"&lt;&gt;Complete")=0,$A39&amp;"|"&amp;$B39,""),"")</f>
        <v/>
      </c>
      <c r="P39" t="str">
        <f ca="1">IF($K39="Yes",COUNTIFS($K$4:$K39,"Yes"),"")</f>
        <v/>
      </c>
      <c r="Q39">
        <f t="shared" ca="1" si="3"/>
        <v>0</v>
      </c>
      <c r="R39" t="str">
        <f ca="1">IF($Q39=1,SUM($Q$4:$Q39),"")</f>
        <v/>
      </c>
    </row>
    <row r="40" spans="1:18" ht="14.25" customHeight="1" x14ac:dyDescent="0.3">
      <c r="A40" s="2" t="s">
        <v>158</v>
      </c>
      <c r="B40" s="2" t="s">
        <v>41</v>
      </c>
      <c r="C40" s="3" t="s">
        <v>158</v>
      </c>
      <c r="D40" s="3" t="s">
        <v>58</v>
      </c>
      <c r="E40" s="2"/>
      <c r="F40" s="2" t="s">
        <v>159</v>
      </c>
      <c r="G40" s="5">
        <v>46156</v>
      </c>
      <c r="H40" s="5">
        <v>46225</v>
      </c>
      <c r="I40" s="2" t="s">
        <v>17</v>
      </c>
      <c r="J40" s="6">
        <f t="shared" si="1"/>
        <v>69</v>
      </c>
      <c r="K40" s="4" t="str">
        <f t="shared" ca="1" si="2"/>
        <v>No</v>
      </c>
      <c r="L40" s="7">
        <f t="shared" ca="1" si="4"/>
        <v>17</v>
      </c>
      <c r="M40" s="4" t="str">
        <f>IF($I40="Complete","Green",IF($H40="","Amber",IF($H40&lt;'[2]Read Me'!$B$4,"Red",IF($H40-'[2]Read Me'!$B$4&lt;=21,"Amber","Green"))))</f>
        <v>Green</v>
      </c>
      <c r="N40" s="3"/>
      <c r="O40" t="str">
        <f>IF($I40&lt;&gt;"Complete",IF(COUNTIFS($A$4:$A39,$A40,$B$4:$B39,$B40,$I$4:$I39,"&lt;&gt;Complete")=0,$A40&amp;"|"&amp;$B40,""),"")</f>
        <v/>
      </c>
      <c r="P40" t="str">
        <f ca="1">IF($K40="Yes",COUNTIFS($K$4:$K40,"Yes"),"")</f>
        <v/>
      </c>
      <c r="Q40">
        <f t="shared" ca="1" si="3"/>
        <v>0</v>
      </c>
      <c r="R40" t="str">
        <f ca="1">IF($Q40=1,SUM($Q$4:$Q40),"")</f>
        <v/>
      </c>
    </row>
    <row r="41" spans="1:18" ht="14.25" customHeight="1" x14ac:dyDescent="0.3">
      <c r="A41" s="2" t="s">
        <v>21</v>
      </c>
      <c r="B41" s="2" t="s">
        <v>21</v>
      </c>
      <c r="C41" s="3"/>
      <c r="D41" s="3"/>
      <c r="E41" s="2"/>
      <c r="F41" s="2"/>
      <c r="G41" s="5">
        <v>46114</v>
      </c>
      <c r="H41" s="5">
        <v>46236</v>
      </c>
      <c r="I41" s="2"/>
      <c r="J41" s="6">
        <f t="shared" si="1"/>
        <v>122</v>
      </c>
      <c r="K41" s="4" t="str">
        <f t="shared" ca="1" si="2"/>
        <v/>
      </c>
      <c r="L41" s="7">
        <f t="shared" ca="1" si="4"/>
        <v>28</v>
      </c>
      <c r="M41" s="4" t="str">
        <f>IF($I41="Complete","Green",IF($H41="","Amber",IF($H41&lt;'[2]Read Me'!$B$4,"Red",IF($H41-'[2]Read Me'!$B$4&lt;=21,"Amber","Green"))))</f>
        <v>Green</v>
      </c>
      <c r="N41" s="3"/>
      <c r="O41" t="str">
        <f>IF($I41&lt;&gt;"Complete",IF(COUNTIFS($A$4:$A40,$A41,$B$4:$B40,$B41,$I$4:$I40,"&lt;&gt;Complete")=0,$A41&amp;"|"&amp;$B41,""),"")</f>
        <v>Landscape|Landscape</v>
      </c>
      <c r="P41" t="str">
        <f ca="1">IF($K41="Yes",COUNTIFS($K$4:$K41,"Yes"),"")</f>
        <v/>
      </c>
      <c r="Q41">
        <f t="shared" ca="1" si="3"/>
        <v>0</v>
      </c>
      <c r="R41" t="str">
        <f ca="1">IF($Q41=1,SUM($Q$4:$Q41),"")</f>
        <v/>
      </c>
    </row>
    <row r="42" spans="1:18" ht="22.5" customHeight="1" x14ac:dyDescent="0.3">
      <c r="A42" s="2" t="s">
        <v>21</v>
      </c>
      <c r="B42" s="2" t="s">
        <v>21</v>
      </c>
      <c r="C42" s="3" t="s">
        <v>21</v>
      </c>
      <c r="D42" s="3" t="s">
        <v>154</v>
      </c>
      <c r="E42" s="2"/>
      <c r="F42" s="2" t="s">
        <v>155</v>
      </c>
      <c r="G42" s="5">
        <v>46086</v>
      </c>
      <c r="H42" s="5">
        <v>46145</v>
      </c>
      <c r="I42" s="2" t="s">
        <v>46</v>
      </c>
      <c r="J42" s="6">
        <f t="shared" si="1"/>
        <v>59</v>
      </c>
      <c r="K42" s="4" t="str">
        <f t="shared" ca="1" si="2"/>
        <v>Yes</v>
      </c>
      <c r="L42" s="7">
        <f t="shared" ca="1" si="4"/>
        <v>-63</v>
      </c>
      <c r="M42" s="4" t="str">
        <f>IF($I42="Complete","Green",IF($H42="","Amber",IF($H42&lt;'[2]Read Me'!$B$4,"Red",IF($H42-'[2]Read Me'!$B$4&lt;=21,"Amber","Green"))))</f>
        <v>Red</v>
      </c>
      <c r="N42" s="3"/>
      <c r="O42" t="str">
        <f>IF($I42&lt;&gt;"Complete",IF(COUNTIFS($A$4:$A41,$A42,$B$4:$B41,$B42,$I$4:$I41,"&lt;&gt;Complete")=0,$A42&amp;"|"&amp;$B42,""),"")</f>
        <v/>
      </c>
      <c r="P42">
        <f ca="1">IF($K42="Yes",COUNTIFS($K$4:$K42,"Yes"),"")</f>
        <v>12</v>
      </c>
      <c r="Q42">
        <f t="shared" ca="1" si="3"/>
        <v>1</v>
      </c>
      <c r="R42">
        <f ca="1">IF($Q42=1,SUM($Q$4:$Q42),"")</f>
        <v>12</v>
      </c>
    </row>
    <row r="43" spans="1:18" ht="22.5" customHeight="1" x14ac:dyDescent="0.3">
      <c r="A43" s="2" t="s">
        <v>21</v>
      </c>
      <c r="B43" s="2" t="s">
        <v>21</v>
      </c>
      <c r="C43" s="3" t="s">
        <v>21</v>
      </c>
      <c r="D43" s="3" t="s">
        <v>58</v>
      </c>
      <c r="E43" s="2"/>
      <c r="F43" s="2"/>
      <c r="G43" s="5">
        <v>46093</v>
      </c>
      <c r="H43" s="5">
        <v>46152</v>
      </c>
      <c r="I43" s="2" t="s">
        <v>17</v>
      </c>
      <c r="J43" s="6">
        <f t="shared" si="1"/>
        <v>59</v>
      </c>
      <c r="K43" s="4" t="str">
        <f t="shared" ca="1" si="2"/>
        <v>Yes</v>
      </c>
      <c r="L43" s="7">
        <f t="shared" ca="1" si="4"/>
        <v>-56</v>
      </c>
      <c r="M43" s="4" t="str">
        <f>IF($I43="Complete","Green",IF($H43="","Amber",IF($H43&lt;'[2]Read Me'!$B$4,"Red",IF($H43-'[2]Read Me'!$B$4&lt;=21,"Amber","Green"))))</f>
        <v>Red</v>
      </c>
      <c r="N43" s="3"/>
      <c r="O43" t="str">
        <f>IF($I43&lt;&gt;"Complete",IF(COUNTIFS($A$4:$A42,$A43,$B$4:$B42,$B43,$I$4:$I42,"&lt;&gt;Complete")=0,$A43&amp;"|"&amp;$B43,""),"")</f>
        <v/>
      </c>
      <c r="P43">
        <f ca="1">IF($K43="Yes",COUNTIFS($K$4:$K43,"Yes"),"")</f>
        <v>13</v>
      </c>
      <c r="Q43">
        <f t="shared" ca="1" si="3"/>
        <v>1</v>
      </c>
      <c r="R43">
        <f ca="1">IF($Q43=1,SUM($Q$4:$Q43),"")</f>
        <v>13</v>
      </c>
    </row>
    <row r="44" spans="1:18" ht="14.25" customHeight="1" x14ac:dyDescent="0.3">
      <c r="A44" s="2" t="s">
        <v>21</v>
      </c>
      <c r="B44" s="2" t="s">
        <v>21</v>
      </c>
      <c r="C44" s="3" t="s">
        <v>21</v>
      </c>
      <c r="D44" s="3" t="s">
        <v>97</v>
      </c>
      <c r="E44" s="2"/>
      <c r="F44" s="2" t="s">
        <v>155</v>
      </c>
      <c r="G44" s="5">
        <v>46093</v>
      </c>
      <c r="H44" s="5">
        <v>46173</v>
      </c>
      <c r="I44" s="4" t="s">
        <v>17</v>
      </c>
      <c r="J44" s="6">
        <f t="shared" si="1"/>
        <v>80</v>
      </c>
      <c r="K44" s="4" t="str">
        <f t="shared" ca="1" si="2"/>
        <v>Yes</v>
      </c>
      <c r="L44" s="7">
        <f t="shared" ca="1" si="4"/>
        <v>-35</v>
      </c>
      <c r="M44" s="4" t="str">
        <f>IF($I44="Complete","Green",IF($H44="","Amber",IF($H44&lt;'[2]Read Me'!$B$4,"Red",IF($H44-'[2]Read Me'!$B$4&lt;=21,"Amber","Green"))))</f>
        <v>Red</v>
      </c>
      <c r="N44" s="3"/>
      <c r="O44" t="str">
        <f>IF($I44&lt;&gt;"Complete",IF(COUNTIFS($A$4:$A43,$A44,$B$4:$B43,$B44,$I$4:$I43,"&lt;&gt;Complete")=0,$A44&amp;"|"&amp;$B44,""),"")</f>
        <v/>
      </c>
      <c r="P44">
        <f ca="1">IF($K44="Yes",COUNTIFS($K$4:$K44,"Yes"),"")</f>
        <v>14</v>
      </c>
      <c r="Q44">
        <f t="shared" ca="1" si="3"/>
        <v>1</v>
      </c>
      <c r="R44">
        <f ca="1">IF($Q44=1,SUM($Q$4:$Q44),"")</f>
        <v>14</v>
      </c>
    </row>
    <row r="45" spans="1:18" ht="14.25" customHeight="1" x14ac:dyDescent="0.3">
      <c r="A45" s="2" t="s">
        <v>21</v>
      </c>
      <c r="B45" s="2" t="s">
        <v>21</v>
      </c>
      <c r="C45" s="3" t="s">
        <v>21</v>
      </c>
      <c r="D45" s="3" t="s">
        <v>58</v>
      </c>
      <c r="E45" s="2"/>
      <c r="F45" s="2"/>
      <c r="G45" s="5">
        <v>46100</v>
      </c>
      <c r="H45" s="5">
        <v>46180</v>
      </c>
      <c r="I45" s="4" t="s">
        <v>17</v>
      </c>
      <c r="J45" s="6">
        <f t="shared" si="1"/>
        <v>80</v>
      </c>
      <c r="K45" s="4" t="str">
        <f t="shared" ca="1" si="2"/>
        <v>Yes</v>
      </c>
      <c r="L45" s="7">
        <f t="shared" ca="1" si="4"/>
        <v>-28</v>
      </c>
      <c r="M45" s="4" t="str">
        <f>IF($I45="Complete","Green",IF($H45="","Amber",IF($H45&lt;'[2]Read Me'!$B$4,"Red",IF($H45-'[2]Read Me'!$B$4&lt;=21,"Amber","Green"))))</f>
        <v>Red</v>
      </c>
      <c r="N45" s="3"/>
      <c r="O45" t="str">
        <f>IF($I45&lt;&gt;"Complete",IF(COUNTIFS($A$4:$A44,$A45,$B$4:$B44,$B45,$I$4:$I44,"&lt;&gt;Complete")=0,$A45&amp;"|"&amp;$B45,""),"")</f>
        <v/>
      </c>
      <c r="P45">
        <f ca="1">IF($K45="Yes",COUNTIFS($K$4:$K45,"Yes"),"")</f>
        <v>15</v>
      </c>
      <c r="Q45">
        <f t="shared" ca="1" si="3"/>
        <v>1</v>
      </c>
      <c r="R45">
        <f ca="1">IF($Q45=1,SUM($Q$4:$Q45),"")</f>
        <v>15</v>
      </c>
    </row>
    <row r="46" spans="1:18" ht="22.5" customHeight="1" x14ac:dyDescent="0.3">
      <c r="A46" s="2" t="s">
        <v>21</v>
      </c>
      <c r="B46" s="2" t="s">
        <v>21</v>
      </c>
      <c r="C46" s="3" t="s">
        <v>21</v>
      </c>
      <c r="D46" s="3" t="s">
        <v>161</v>
      </c>
      <c r="E46" s="2"/>
      <c r="F46" s="2" t="s">
        <v>155</v>
      </c>
      <c r="G46" s="5">
        <v>46107</v>
      </c>
      <c r="H46" s="5">
        <v>46222</v>
      </c>
      <c r="I46" s="4" t="s">
        <v>17</v>
      </c>
      <c r="J46" s="6">
        <f t="shared" si="1"/>
        <v>115</v>
      </c>
      <c r="K46" s="4" t="str">
        <f t="shared" ca="1" si="2"/>
        <v>No</v>
      </c>
      <c r="L46" s="7">
        <f t="shared" ca="1" si="4"/>
        <v>14</v>
      </c>
      <c r="M46" s="4" t="str">
        <f>IF($I46="Complete","Green",IF($H46="","Amber",IF($H46&lt;'[2]Read Me'!$B$4,"Red",IF($H46-'[2]Read Me'!$B$4&lt;=21,"Amber","Green"))))</f>
        <v>Green</v>
      </c>
      <c r="N46" s="3"/>
      <c r="O46" t="str">
        <f>IF($I46&lt;&gt;"Complete",IF(COUNTIFS($A$4:$A45,$A46,$B$4:$B45,$B46,$I$4:$I45,"&lt;&gt;Complete")=0,$A46&amp;"|"&amp;$B46,""),"")</f>
        <v/>
      </c>
      <c r="P46" t="str">
        <f ca="1">IF($K46="Yes",COUNTIFS($K$4:$K46,"Yes"),"")</f>
        <v/>
      </c>
      <c r="Q46">
        <f t="shared" ca="1" si="3"/>
        <v>0</v>
      </c>
      <c r="R46" t="str">
        <f ca="1">IF($Q46=1,SUM($Q$4:$Q46),"")</f>
        <v/>
      </c>
    </row>
    <row r="47" spans="1:18" ht="14.25" customHeight="1" x14ac:dyDescent="0.3">
      <c r="A47" s="2" t="s">
        <v>21</v>
      </c>
      <c r="B47" s="2" t="s">
        <v>21</v>
      </c>
      <c r="C47" s="3" t="s">
        <v>21</v>
      </c>
      <c r="D47" s="3" t="s">
        <v>58</v>
      </c>
      <c r="E47" s="2"/>
      <c r="F47" s="2"/>
      <c r="G47" s="5">
        <v>46114</v>
      </c>
      <c r="H47" s="5">
        <v>46236</v>
      </c>
      <c r="I47" s="4" t="s">
        <v>17</v>
      </c>
      <c r="J47" s="6">
        <f t="shared" si="1"/>
        <v>122</v>
      </c>
      <c r="K47" s="4" t="str">
        <f t="shared" ca="1" si="2"/>
        <v>No</v>
      </c>
      <c r="L47" s="7">
        <f t="shared" ca="1" si="4"/>
        <v>28</v>
      </c>
      <c r="M47" s="4" t="str">
        <f>IF($I47="Complete","Green",IF($H47="","Amber",IF($H47&lt;'[2]Read Me'!$B$4,"Red",IF($H47-'[2]Read Me'!$B$4&lt;=21,"Amber","Green"))))</f>
        <v>Green</v>
      </c>
      <c r="N47" s="3"/>
      <c r="O47" t="str">
        <f>IF($I47&lt;&gt;"Complete",IF(COUNTIFS($A$4:$A46,$A47,$B$4:$B46,$B47,$I$4:$I46,"&lt;&gt;Complete")=0,$A47&amp;"|"&amp;$B47,""),"")</f>
        <v/>
      </c>
      <c r="P47" t="str">
        <f ca="1">IF($K47="Yes",COUNTIFS($K$4:$K47,"Yes"),"")</f>
        <v/>
      </c>
      <c r="Q47">
        <f t="shared" ca="1" si="3"/>
        <v>0</v>
      </c>
      <c r="R47" t="str">
        <f ca="1">IF($Q47=1,SUM($Q$4:$Q47),"")</f>
        <v/>
      </c>
    </row>
    <row r="48" spans="1:18" ht="14.25" customHeight="1" x14ac:dyDescent="0.3">
      <c r="A48" s="2"/>
      <c r="B48" s="2"/>
      <c r="C48" s="3"/>
      <c r="D48" s="3"/>
      <c r="E48" s="2"/>
      <c r="F48" s="2"/>
      <c r="G48" s="5"/>
      <c r="H48" s="5"/>
      <c r="I48" s="4"/>
      <c r="J48" s="6" t="str">
        <f t="shared" si="1"/>
        <v/>
      </c>
      <c r="K48" s="4" t="str">
        <f t="shared" ca="1" si="2"/>
        <v/>
      </c>
      <c r="L48" s="7" t="str">
        <f t="shared" ca="1" si="4"/>
        <v/>
      </c>
      <c r="M48" s="4" t="str">
        <f>IF($I48="Complete","Green",IF($H48="","Amber",IF($H48&lt;'[2]Read Me'!$B$4,"Red",IF($H48-'[2]Read Me'!$B$4&lt;=21,"Amber","Green"))))</f>
        <v>Amber</v>
      </c>
      <c r="N48" s="3"/>
      <c r="O48" t="str">
        <f>IF($I48&lt;&gt;"Complete",IF(COUNTIFS($A$4:$A47,$A48,$B$4:$B47,$B48,$I$4:$I47,"&lt;&gt;Complete")=0,$A48&amp;"|"&amp;$B48,""),"")</f>
        <v>|</v>
      </c>
      <c r="P48" t="str">
        <f ca="1">IF($K48="Yes",COUNTIFS($K$4:$K48,"Yes"),"")</f>
        <v/>
      </c>
      <c r="Q48">
        <f t="shared" ca="1" si="3"/>
        <v>0</v>
      </c>
      <c r="R48" t="str">
        <f ca="1">IF($Q48=1,SUM($Q$4:$Q48),"")</f>
        <v/>
      </c>
    </row>
    <row r="49" spans="1:18" ht="14.25" customHeight="1" x14ac:dyDescent="0.3">
      <c r="A49" s="2"/>
      <c r="B49" s="2"/>
      <c r="C49" s="3"/>
      <c r="D49" s="3"/>
      <c r="E49" s="2"/>
      <c r="F49" s="2"/>
      <c r="G49" s="5"/>
      <c r="H49" s="5"/>
      <c r="I49" s="4"/>
      <c r="J49" s="6" t="str">
        <f t="shared" si="1"/>
        <v/>
      </c>
      <c r="K49" s="4" t="str">
        <f t="shared" ca="1" si="2"/>
        <v/>
      </c>
      <c r="L49" s="7" t="str">
        <f t="shared" ca="1" si="4"/>
        <v/>
      </c>
      <c r="M49" s="4" t="str">
        <f>IF($I49="Complete","Green",IF($H49="","Amber",IF($H49&lt;'[2]Read Me'!$B$4,"Red",IF($H49-'[2]Read Me'!$B$4&lt;=21,"Amber","Green"))))</f>
        <v>Amber</v>
      </c>
      <c r="N49" s="3"/>
      <c r="O49" t="str">
        <f>IF($I49&lt;&gt;"Complete",IF(COUNTIFS($A$4:$A48,$A49,$B$4:$B48,$B49,$I$4:$I48,"&lt;&gt;Complete")=0,$A49&amp;"|"&amp;$B49,""),"")</f>
        <v>|</v>
      </c>
      <c r="P49" t="str">
        <f ca="1">IF($K49="Yes",COUNTIFS($K$4:$K49,"Yes"),"")</f>
        <v/>
      </c>
      <c r="Q49">
        <f t="shared" ca="1" si="3"/>
        <v>0</v>
      </c>
      <c r="R49" t="str">
        <f ca="1">IF($Q49=1,SUM($Q$4:$Q49),"")</f>
        <v/>
      </c>
    </row>
    <row r="50" spans="1:18" ht="14.25" customHeight="1" x14ac:dyDescent="0.3">
      <c r="A50" s="2"/>
      <c r="B50" s="2"/>
      <c r="C50" s="3"/>
      <c r="D50" s="3"/>
      <c r="E50" s="2"/>
      <c r="F50" s="2"/>
      <c r="G50" s="5"/>
      <c r="H50" s="5"/>
      <c r="I50" s="4"/>
      <c r="J50" s="6" t="str">
        <f t="shared" si="1"/>
        <v/>
      </c>
      <c r="K50" s="4" t="str">
        <f t="shared" ca="1" si="2"/>
        <v/>
      </c>
      <c r="L50" s="7" t="str">
        <f t="shared" ca="1" si="4"/>
        <v/>
      </c>
      <c r="M50" s="4" t="str">
        <f>IF($I50="Complete","Green",IF($H50="","Amber",IF($H50&lt;'[2]Read Me'!$B$4,"Red",IF($H50-'[2]Read Me'!$B$4&lt;=21,"Amber","Green"))))</f>
        <v>Amber</v>
      </c>
      <c r="N50" s="3"/>
      <c r="O50" t="str">
        <f>IF($I50&lt;&gt;"Complete",IF(COUNTIFS($A$4:$A49,$A50,$B$4:$B49,$B50,$I$4:$I49,"&lt;&gt;Complete")=0,$A50&amp;"|"&amp;$B50,""),"")</f>
        <v>|</v>
      </c>
      <c r="P50" t="str">
        <f ca="1">IF($K50="Yes",COUNTIFS($K$4:$K50,"Yes"),"")</f>
        <v/>
      </c>
      <c r="Q50">
        <f t="shared" ca="1" si="3"/>
        <v>0</v>
      </c>
      <c r="R50" t="str">
        <f ca="1">IF($Q50=1,SUM($Q$4:$Q50),"")</f>
        <v/>
      </c>
    </row>
    <row r="51" spans="1:18" ht="22.5" customHeight="1" x14ac:dyDescent="0.3">
      <c r="A51" s="2"/>
      <c r="B51" s="2"/>
      <c r="C51" s="3"/>
      <c r="D51" s="3"/>
      <c r="E51" s="2"/>
      <c r="F51" s="2"/>
      <c r="G51" s="5"/>
      <c r="H51" s="5"/>
      <c r="I51" s="4"/>
      <c r="J51" s="6" t="str">
        <f t="shared" si="1"/>
        <v/>
      </c>
      <c r="K51" s="4" t="str">
        <f t="shared" ca="1" si="2"/>
        <v/>
      </c>
      <c r="L51" s="7" t="str">
        <f t="shared" ca="1" si="4"/>
        <v/>
      </c>
      <c r="M51" s="4" t="str">
        <f>IF($I51="Complete","Green",IF($H51="","Amber",IF($H51&lt;'[2]Read Me'!$B$4,"Red",IF($H51-'[2]Read Me'!$B$4&lt;=21,"Amber","Green"))))</f>
        <v>Amber</v>
      </c>
      <c r="N51" s="3"/>
      <c r="O51" t="str">
        <f>IF($I51&lt;&gt;"Complete",IF(COUNTIFS($A$4:$A50,$A51,$B$4:$B50,$B51,$I$4:$I50,"&lt;&gt;Complete")=0,$A51&amp;"|"&amp;$B51,""),"")</f>
        <v>|</v>
      </c>
      <c r="P51" t="str">
        <f ca="1">IF($K51="Yes",COUNTIFS($K$4:$K51,"Yes"),"")</f>
        <v/>
      </c>
      <c r="Q51">
        <f t="shared" ca="1" si="3"/>
        <v>0</v>
      </c>
      <c r="R51" t="str">
        <f ca="1">IF($Q51=1,SUM($Q$4:$Q51),"")</f>
        <v/>
      </c>
    </row>
    <row r="52" spans="1:18" ht="33.75" customHeight="1" x14ac:dyDescent="0.3">
      <c r="A52" s="2"/>
      <c r="B52" s="2"/>
      <c r="C52" s="3"/>
      <c r="D52" s="3"/>
      <c r="E52" s="2"/>
      <c r="F52" s="2"/>
      <c r="G52" s="5"/>
      <c r="H52" s="5"/>
      <c r="I52" s="4"/>
      <c r="J52" s="6" t="str">
        <f t="shared" si="1"/>
        <v/>
      </c>
      <c r="K52" s="4" t="str">
        <f t="shared" ca="1" si="2"/>
        <v/>
      </c>
      <c r="L52" s="7" t="str">
        <f t="shared" ca="1" si="4"/>
        <v/>
      </c>
      <c r="M52" s="4" t="str">
        <f>IF($I52="Complete","Green",IF($H52="","Amber",IF($H52&lt;'[2]Read Me'!$B$4,"Red",IF($H52-'[2]Read Me'!$B$4&lt;=21,"Amber","Green"))))</f>
        <v>Amber</v>
      </c>
      <c r="N52" s="3"/>
      <c r="O52" t="str">
        <f>IF($I52&lt;&gt;"Complete",IF(COUNTIFS($A$4:$A51,$A52,$B$4:$B51,$B52,$I$4:$I51,"&lt;&gt;Complete")=0,$A52&amp;"|"&amp;$B52,""),"")</f>
        <v>|</v>
      </c>
      <c r="P52" t="str">
        <f ca="1">IF($K52="Yes",COUNTIFS($K$4:$K52,"Yes"),"")</f>
        <v/>
      </c>
      <c r="Q52">
        <f t="shared" ca="1" si="3"/>
        <v>0</v>
      </c>
      <c r="R52" t="str">
        <f ca="1">IF($Q52=1,SUM($Q$4:$Q52),"")</f>
        <v/>
      </c>
    </row>
    <row r="53" spans="1:18" ht="14.25" customHeight="1" x14ac:dyDescent="0.3">
      <c r="A53" s="2"/>
      <c r="B53" s="2"/>
      <c r="C53" s="3"/>
      <c r="D53" s="3"/>
      <c r="E53" s="2"/>
      <c r="F53" s="2"/>
      <c r="G53" s="5"/>
      <c r="H53" s="5"/>
      <c r="I53" s="4"/>
      <c r="J53" s="6" t="str">
        <f t="shared" si="1"/>
        <v/>
      </c>
      <c r="K53" s="4" t="str">
        <f t="shared" ca="1" si="2"/>
        <v/>
      </c>
      <c r="L53" s="7" t="str">
        <f t="shared" ca="1" si="4"/>
        <v/>
      </c>
      <c r="M53" s="4" t="str">
        <f>IF($I53="Complete","Green",IF($H53="","Amber",IF($H53&lt;'[2]Read Me'!$B$4,"Red",IF($H53-'[2]Read Me'!$B$4&lt;=21,"Amber","Green"))))</f>
        <v>Amber</v>
      </c>
      <c r="N53" s="3"/>
      <c r="O53" t="str">
        <f>IF($I53&lt;&gt;"Complete",IF(COUNTIFS($A$4:$A52,$A53,$B$4:$B52,$B53,$I$4:$I52,"&lt;&gt;Complete")=0,$A53&amp;"|"&amp;$B53,""),"")</f>
        <v>|</v>
      </c>
      <c r="P53" t="str">
        <f ca="1">IF($K53="Yes",COUNTIFS($K$4:$K53,"Yes"),"")</f>
        <v/>
      </c>
      <c r="Q53">
        <f t="shared" ca="1" si="3"/>
        <v>0</v>
      </c>
      <c r="R53" t="str">
        <f ca="1">IF($Q53=1,SUM($Q$4:$Q53),"")</f>
        <v/>
      </c>
    </row>
    <row r="54" spans="1:18" ht="14.25" customHeight="1" x14ac:dyDescent="0.3">
      <c r="A54" s="2"/>
      <c r="B54" s="2"/>
      <c r="C54" s="3"/>
      <c r="D54" s="3"/>
      <c r="E54" s="2"/>
      <c r="F54" s="2"/>
      <c r="G54" s="5"/>
      <c r="H54" s="5"/>
      <c r="I54" s="4"/>
      <c r="J54" s="6" t="str">
        <f t="shared" si="1"/>
        <v/>
      </c>
      <c r="K54" s="4" t="str">
        <f t="shared" ca="1" si="2"/>
        <v/>
      </c>
      <c r="L54" s="7" t="str">
        <f t="shared" ca="1" si="4"/>
        <v/>
      </c>
      <c r="M54" s="4" t="str">
        <f>IF($I54="Complete","Green",IF($H54="","Amber",IF($H54&lt;'[2]Read Me'!$B$4,"Red",IF($H54-'[2]Read Me'!$B$4&lt;=21,"Amber","Green"))))</f>
        <v>Amber</v>
      </c>
      <c r="N54" s="3"/>
      <c r="O54" t="str">
        <f>IF($I54&lt;&gt;"Complete",IF(COUNTIFS($A$4:$A53,$A54,$B$4:$B53,$B54,$I$4:$I53,"&lt;&gt;Complete")=0,$A54&amp;"|"&amp;$B54,""),"")</f>
        <v>|</v>
      </c>
      <c r="P54" t="str">
        <f ca="1">IF($K54="Yes",COUNTIFS($K$4:$K54,"Yes"),"")</f>
        <v/>
      </c>
      <c r="Q54">
        <f t="shared" ca="1" si="3"/>
        <v>0</v>
      </c>
      <c r="R54" t="str">
        <f ca="1">IF($Q54=1,SUM($Q$4:$Q54),"")</f>
        <v/>
      </c>
    </row>
    <row r="55" spans="1:18" ht="14.25" customHeight="1" x14ac:dyDescent="0.3">
      <c r="A55" s="2"/>
      <c r="B55" s="2"/>
      <c r="C55" s="3"/>
      <c r="D55" s="3"/>
      <c r="E55" s="2"/>
      <c r="F55" s="2"/>
      <c r="G55" s="5"/>
      <c r="H55" s="5"/>
      <c r="I55" s="4"/>
      <c r="J55" s="6" t="str">
        <f t="shared" si="1"/>
        <v/>
      </c>
      <c r="K55" s="4" t="str">
        <f t="shared" ca="1" si="2"/>
        <v/>
      </c>
      <c r="L55" s="7" t="str">
        <f t="shared" ca="1" si="4"/>
        <v/>
      </c>
      <c r="M55" s="4" t="str">
        <f>IF($I55="Complete","Green",IF($H55="","Amber",IF($H55&lt;'[2]Read Me'!$B$4,"Red",IF($H55-'[2]Read Me'!$B$4&lt;=21,"Amber","Green"))))</f>
        <v>Amber</v>
      </c>
      <c r="N55" s="3"/>
      <c r="O55" t="str">
        <f>IF($I55&lt;&gt;"Complete",IF(COUNTIFS($A$4:$A54,$A55,$B$4:$B54,$B55,$I$4:$I54,"&lt;&gt;Complete")=0,$A55&amp;"|"&amp;$B55,""),"")</f>
        <v>|</v>
      </c>
      <c r="P55" t="str">
        <f ca="1">IF($K55="Yes",COUNTIFS($K$4:$K55,"Yes"),"")</f>
        <v/>
      </c>
      <c r="Q55">
        <f t="shared" ca="1" si="3"/>
        <v>0</v>
      </c>
      <c r="R55" t="str">
        <f ca="1">IF($Q55=1,SUM($Q$4:$Q55),"")</f>
        <v/>
      </c>
    </row>
    <row r="56" spans="1:18" ht="14.25" customHeight="1" x14ac:dyDescent="0.3">
      <c r="A56" s="2"/>
      <c r="B56" s="2"/>
      <c r="C56" s="3"/>
      <c r="D56" s="3"/>
      <c r="E56" s="2"/>
      <c r="F56" s="2"/>
      <c r="G56" s="5"/>
      <c r="H56" s="5"/>
      <c r="I56" s="4"/>
      <c r="J56" s="6" t="str">
        <f t="shared" si="1"/>
        <v/>
      </c>
      <c r="K56" s="4" t="str">
        <f t="shared" ca="1" si="2"/>
        <v/>
      </c>
      <c r="L56" s="7" t="str">
        <f t="shared" ca="1" si="4"/>
        <v/>
      </c>
      <c r="M56" s="4" t="str">
        <f>IF($I56="Complete","Green",IF($H56="","Amber",IF($H56&lt;'[2]Read Me'!$B$4,"Red",IF($H56-'[2]Read Me'!$B$4&lt;=21,"Amber","Green"))))</f>
        <v>Amber</v>
      </c>
      <c r="N56" s="3"/>
      <c r="O56" t="str">
        <f>IF($I56&lt;&gt;"Complete",IF(COUNTIFS($A$4:$A55,$A56,$B$4:$B55,$B56,$I$4:$I55,"&lt;&gt;Complete")=0,$A56&amp;"|"&amp;$B56,""),"")</f>
        <v>|</v>
      </c>
      <c r="P56" t="str">
        <f ca="1">IF($K56="Yes",COUNTIFS($K$4:$K56,"Yes"),"")</f>
        <v/>
      </c>
      <c r="Q56">
        <f t="shared" ca="1" si="3"/>
        <v>0</v>
      </c>
      <c r="R56" t="str">
        <f ca="1">IF($Q56=1,SUM($Q$4:$Q56),"")</f>
        <v/>
      </c>
    </row>
    <row r="57" spans="1:18" ht="14.25" customHeight="1" x14ac:dyDescent="0.3">
      <c r="A57" s="2"/>
      <c r="B57" s="2"/>
      <c r="C57" s="3"/>
      <c r="D57" s="3"/>
      <c r="E57" s="2"/>
      <c r="F57" s="2"/>
      <c r="G57" s="5"/>
      <c r="H57" s="5"/>
      <c r="I57" s="4"/>
      <c r="J57" s="6" t="str">
        <f t="shared" si="1"/>
        <v/>
      </c>
      <c r="K57" s="4" t="str">
        <f t="shared" ca="1" si="2"/>
        <v/>
      </c>
      <c r="L57" s="7" t="str">
        <f t="shared" ca="1" si="4"/>
        <v/>
      </c>
      <c r="M57" s="4" t="str">
        <f>IF($I57="Complete","Green",IF($H57="","Amber",IF($H57&lt;'[2]Read Me'!$B$4,"Red",IF($H57-'[2]Read Me'!$B$4&lt;=21,"Amber","Green"))))</f>
        <v>Amber</v>
      </c>
      <c r="N57" s="3"/>
      <c r="O57" t="str">
        <f>IF($I57&lt;&gt;"Complete",IF(COUNTIFS($A$4:$A56,$A57,$B$4:$B56,$B57,$I$4:$I56,"&lt;&gt;Complete")=0,$A57&amp;"|"&amp;$B57,""),"")</f>
        <v>|</v>
      </c>
      <c r="P57" t="str">
        <f ca="1">IF($K57="Yes",COUNTIFS($K$4:$K57,"Yes"),"")</f>
        <v/>
      </c>
      <c r="Q57">
        <f t="shared" ca="1" si="3"/>
        <v>0</v>
      </c>
      <c r="R57" t="str">
        <f ca="1">IF($Q57=1,SUM($Q$4:$Q57),"")</f>
        <v/>
      </c>
    </row>
    <row r="58" spans="1:18" ht="14.25" customHeight="1" x14ac:dyDescent="0.3">
      <c r="A58" s="2"/>
      <c r="B58" s="2"/>
      <c r="C58" s="3"/>
      <c r="D58" s="3"/>
      <c r="E58" s="2"/>
      <c r="F58" s="2"/>
      <c r="G58" s="5"/>
      <c r="H58" s="5"/>
      <c r="I58" s="4"/>
      <c r="J58" s="6" t="str">
        <f t="shared" si="1"/>
        <v/>
      </c>
      <c r="K58" s="4" t="str">
        <f t="shared" ca="1" si="2"/>
        <v/>
      </c>
      <c r="L58" s="7" t="str">
        <f t="shared" ca="1" si="4"/>
        <v/>
      </c>
      <c r="M58" s="4" t="str">
        <f>IF($I58="Complete","Green",IF($H58="","Amber",IF($H58&lt;'[2]Read Me'!$B$4,"Red",IF($H58-'[2]Read Me'!$B$4&lt;=21,"Amber","Green"))))</f>
        <v>Amber</v>
      </c>
      <c r="N58" s="3"/>
      <c r="O58" t="str">
        <f>IF($I58&lt;&gt;"Complete",IF(COUNTIFS($A$4:$A57,$A58,$B$4:$B57,$B58,$I$4:$I57,"&lt;&gt;Complete")=0,$A58&amp;"|"&amp;$B58,""),"")</f>
        <v>|</v>
      </c>
      <c r="P58" t="str">
        <f ca="1">IF($K58="Yes",COUNTIFS($K$4:$K58,"Yes"),"")</f>
        <v/>
      </c>
      <c r="Q58">
        <f t="shared" ca="1" si="3"/>
        <v>0</v>
      </c>
      <c r="R58" t="str">
        <f ca="1">IF($Q58=1,SUM($Q$4:$Q58),"")</f>
        <v/>
      </c>
    </row>
    <row r="59" spans="1:18" ht="14.25" customHeight="1" x14ac:dyDescent="0.3">
      <c r="A59" s="2"/>
      <c r="B59" s="2"/>
      <c r="C59" s="3"/>
      <c r="D59" s="3"/>
      <c r="E59" s="2"/>
      <c r="F59" s="2"/>
      <c r="G59" s="5"/>
      <c r="H59" s="5"/>
      <c r="I59" s="4"/>
      <c r="J59" s="6" t="str">
        <f t="shared" si="1"/>
        <v/>
      </c>
      <c r="K59" s="4" t="str">
        <f t="shared" ca="1" si="2"/>
        <v/>
      </c>
      <c r="L59" s="7" t="str">
        <f t="shared" ca="1" si="4"/>
        <v/>
      </c>
      <c r="M59" s="4" t="str">
        <f>IF($I59="Complete","Green",IF($H59="","Amber",IF($H59&lt;'[2]Read Me'!$B$4,"Red",IF($H59-'[2]Read Me'!$B$4&lt;=21,"Amber","Green"))))</f>
        <v>Amber</v>
      </c>
      <c r="N59" s="3"/>
      <c r="O59" t="str">
        <f>IF($I59&lt;&gt;"Complete",IF(COUNTIFS($A$4:$A58,$A59,$B$4:$B58,$B59,$I$4:$I58,"&lt;&gt;Complete")=0,$A59&amp;"|"&amp;$B59,""),"")</f>
        <v>|</v>
      </c>
      <c r="P59" t="str">
        <f ca="1">IF($K59="Yes",COUNTIFS($K$4:$K59,"Yes"),"")</f>
        <v/>
      </c>
      <c r="Q59">
        <f t="shared" ca="1" si="3"/>
        <v>0</v>
      </c>
      <c r="R59" t="str">
        <f ca="1">IF($Q59=1,SUM($Q$4:$Q59),"")</f>
        <v/>
      </c>
    </row>
    <row r="60" spans="1:18" ht="14.25" customHeight="1" x14ac:dyDescent="0.3">
      <c r="A60" s="2"/>
      <c r="B60" s="2"/>
      <c r="C60" s="3"/>
      <c r="D60" s="3"/>
      <c r="E60" s="2"/>
      <c r="F60" s="2"/>
      <c r="G60" s="5"/>
      <c r="H60" s="5"/>
      <c r="I60" s="4"/>
      <c r="J60" s="6" t="str">
        <f t="shared" si="1"/>
        <v/>
      </c>
      <c r="K60" s="4" t="str">
        <f t="shared" ca="1" si="2"/>
        <v/>
      </c>
      <c r="L60" s="7" t="str">
        <f t="shared" ca="1" si="4"/>
        <v/>
      </c>
      <c r="M60" s="4" t="str">
        <f>IF($I60="Complete","Green",IF($H60="","Amber",IF($H60&lt;'[2]Read Me'!$B$4,"Red",IF($H60-'[2]Read Me'!$B$4&lt;=21,"Amber","Green"))))</f>
        <v>Amber</v>
      </c>
      <c r="N60" s="3"/>
      <c r="O60" t="str">
        <f>IF($I60&lt;&gt;"Complete",IF(COUNTIFS($A$4:$A59,$A60,$B$4:$B59,$B60,$I$4:$I59,"&lt;&gt;Complete")=0,$A60&amp;"|"&amp;$B60,""),"")</f>
        <v>|</v>
      </c>
      <c r="P60" t="str">
        <f ca="1">IF($K60="Yes",COUNTIFS($K$4:$K60,"Yes"),"")</f>
        <v/>
      </c>
      <c r="Q60">
        <f t="shared" ca="1" si="3"/>
        <v>0</v>
      </c>
      <c r="R60" t="str">
        <f ca="1">IF($Q60=1,SUM($Q$4:$Q60),"")</f>
        <v/>
      </c>
    </row>
    <row r="61" spans="1:18" ht="14.25" customHeight="1" x14ac:dyDescent="0.3">
      <c r="A61" s="2"/>
      <c r="B61" s="2"/>
      <c r="C61" s="3"/>
      <c r="D61" s="3"/>
      <c r="E61" s="2"/>
      <c r="F61" s="2"/>
      <c r="G61" s="5"/>
      <c r="H61" s="5"/>
      <c r="I61" s="4"/>
      <c r="J61" s="6" t="str">
        <f t="shared" si="1"/>
        <v/>
      </c>
      <c r="K61" s="4" t="str">
        <f t="shared" ca="1" si="2"/>
        <v/>
      </c>
      <c r="L61" s="7" t="str">
        <f t="shared" ca="1" si="4"/>
        <v/>
      </c>
      <c r="M61" s="4" t="str">
        <f>IF($I61="Complete","Green",IF($H61="","Amber",IF($H61&lt;'[2]Read Me'!$B$4,"Red",IF($H61-'[2]Read Me'!$B$4&lt;=21,"Amber","Green"))))</f>
        <v>Amber</v>
      </c>
      <c r="N61" s="3"/>
      <c r="O61" t="str">
        <f>IF($I61&lt;&gt;"Complete",IF(COUNTIFS($A$4:$A60,$A61,$B$4:$B60,$B61,$I$4:$I60,"&lt;&gt;Complete")=0,$A61&amp;"|"&amp;$B61,""),"")</f>
        <v>|</v>
      </c>
      <c r="P61" t="str">
        <f ca="1">IF($K61="Yes",COUNTIFS($K$4:$K61,"Yes"),"")</f>
        <v/>
      </c>
      <c r="Q61">
        <f t="shared" ca="1" si="3"/>
        <v>0</v>
      </c>
      <c r="R61" t="str">
        <f ca="1">IF($Q61=1,SUM($Q$4:$Q61),"")</f>
        <v/>
      </c>
    </row>
    <row r="62" spans="1:18" ht="14.25" customHeight="1" x14ac:dyDescent="0.3">
      <c r="A62" s="2"/>
      <c r="B62" s="2"/>
      <c r="C62" s="3"/>
      <c r="D62" s="3"/>
      <c r="E62" s="2"/>
      <c r="F62" s="2"/>
      <c r="G62" s="5"/>
      <c r="H62" s="5"/>
      <c r="I62" s="4"/>
      <c r="J62" s="6" t="str">
        <f t="shared" si="1"/>
        <v/>
      </c>
      <c r="K62" s="4" t="str">
        <f t="shared" ca="1" si="2"/>
        <v/>
      </c>
      <c r="L62" s="7" t="str">
        <f t="shared" ca="1" si="4"/>
        <v/>
      </c>
      <c r="M62" s="4" t="str">
        <f>IF($I62="Complete","Green",IF($H62="","Amber",IF($H62&lt;'[2]Read Me'!$B$4,"Red",IF($H62-'[2]Read Me'!$B$4&lt;=21,"Amber","Green"))))</f>
        <v>Amber</v>
      </c>
      <c r="N62" s="3"/>
      <c r="O62" t="str">
        <f>IF($I62&lt;&gt;"Complete",IF(COUNTIFS($A$4:$A61,$A62,$B$4:$B61,$B62,$I$4:$I61,"&lt;&gt;Complete")=0,$A62&amp;"|"&amp;$B62,""),"")</f>
        <v>|</v>
      </c>
      <c r="P62" t="str">
        <f ca="1">IF($K62="Yes",COUNTIFS($K$4:$K62,"Yes"),"")</f>
        <v/>
      </c>
      <c r="Q62">
        <f t="shared" ca="1" si="3"/>
        <v>0</v>
      </c>
      <c r="R62" t="str">
        <f ca="1">IF($Q62=1,SUM($Q$4:$Q62),"")</f>
        <v/>
      </c>
    </row>
    <row r="63" spans="1:18" ht="22.5" customHeight="1" x14ac:dyDescent="0.3">
      <c r="A63" s="2"/>
      <c r="B63" s="2"/>
      <c r="C63" s="3"/>
      <c r="D63" s="3"/>
      <c r="E63" s="2"/>
      <c r="F63" s="2"/>
      <c r="G63" s="5"/>
      <c r="H63" s="5"/>
      <c r="I63" s="4"/>
      <c r="J63" s="6" t="str">
        <f t="shared" si="1"/>
        <v/>
      </c>
      <c r="K63" s="4" t="str">
        <f t="shared" ca="1" si="2"/>
        <v/>
      </c>
      <c r="L63" s="7" t="str">
        <f t="shared" ca="1" si="4"/>
        <v/>
      </c>
      <c r="M63" s="4" t="str">
        <f>IF($I63="Complete","Green",IF($H63="","Amber",IF($H63&lt;'[2]Read Me'!$B$4,"Red",IF($H63-'[2]Read Me'!$B$4&lt;=21,"Amber","Green"))))</f>
        <v>Amber</v>
      </c>
      <c r="N63" s="3"/>
      <c r="O63" t="str">
        <f>IF($I63&lt;&gt;"Complete",IF(COUNTIFS($A$4:$A62,$A63,$B$4:$B62,$B63,$I$4:$I62,"&lt;&gt;Complete")=0,$A63&amp;"|"&amp;$B63,""),"")</f>
        <v>|</v>
      </c>
      <c r="P63" t="str">
        <f ca="1">IF($K63="Yes",COUNTIFS($K$4:$K63,"Yes"),"")</f>
        <v/>
      </c>
      <c r="Q63">
        <f t="shared" ca="1" si="3"/>
        <v>0</v>
      </c>
      <c r="R63" t="str">
        <f ca="1">IF($Q63=1,SUM($Q$4:$Q63),"")</f>
        <v/>
      </c>
    </row>
    <row r="64" spans="1:18" ht="22.5" customHeight="1" x14ac:dyDescent="0.3">
      <c r="A64" s="2"/>
      <c r="B64" s="2"/>
      <c r="C64" s="3"/>
      <c r="D64" s="3"/>
      <c r="E64" s="2"/>
      <c r="F64" s="2"/>
      <c r="G64" s="5"/>
      <c r="H64" s="5"/>
      <c r="I64" s="4"/>
      <c r="J64" s="6" t="str">
        <f t="shared" si="1"/>
        <v/>
      </c>
      <c r="K64" s="4" t="str">
        <f t="shared" ca="1" si="2"/>
        <v/>
      </c>
      <c r="L64" s="7" t="str">
        <f t="shared" ca="1" si="4"/>
        <v/>
      </c>
      <c r="M64" s="4" t="str">
        <f>IF($I64="Complete","Green",IF($H64="","Amber",IF($H64&lt;'[2]Read Me'!$B$4,"Red",IF($H64-'[2]Read Me'!$B$4&lt;=21,"Amber","Green"))))</f>
        <v>Amber</v>
      </c>
      <c r="N64" s="3"/>
      <c r="O64" t="str">
        <f>IF($I64&lt;&gt;"Complete",IF(COUNTIFS($A$4:$A63,$A64,$B$4:$B63,$B64,$I$4:$I63,"&lt;&gt;Complete")=0,$A64&amp;"|"&amp;$B64,""),"")</f>
        <v>|</v>
      </c>
      <c r="P64" t="str">
        <f ca="1">IF($K64="Yes",COUNTIFS($K$4:$K64,"Yes"),"")</f>
        <v/>
      </c>
      <c r="Q64">
        <f t="shared" ca="1" si="3"/>
        <v>0</v>
      </c>
      <c r="R64" t="str">
        <f ca="1">IF($Q64=1,SUM($Q$4:$Q64),"")</f>
        <v/>
      </c>
    </row>
    <row r="65" spans="1:18" ht="22.5" customHeight="1" x14ac:dyDescent="0.3">
      <c r="A65" s="2"/>
      <c r="B65" s="2"/>
      <c r="C65" s="3"/>
      <c r="D65" s="3"/>
      <c r="E65" s="2"/>
      <c r="F65" s="2"/>
      <c r="G65" s="5"/>
      <c r="H65" s="5"/>
      <c r="I65" s="4"/>
      <c r="J65" s="6" t="str">
        <f t="shared" si="1"/>
        <v/>
      </c>
      <c r="K65" s="4" t="str">
        <f t="shared" ca="1" si="2"/>
        <v/>
      </c>
      <c r="L65" s="7" t="str">
        <f t="shared" ca="1" si="4"/>
        <v/>
      </c>
      <c r="M65" s="4" t="str">
        <f>IF($I65="Complete","Green",IF($H65="","Amber",IF($H65&lt;'[2]Read Me'!$B$4,"Red",IF($H65-'[2]Read Me'!$B$4&lt;=21,"Amber","Green"))))</f>
        <v>Amber</v>
      </c>
      <c r="N65" s="3"/>
      <c r="O65" t="str">
        <f>IF($I65&lt;&gt;"Complete",IF(COUNTIFS($A$4:$A64,$A65,$B$4:$B64,$B65,$I$4:$I64,"&lt;&gt;Complete")=0,$A65&amp;"|"&amp;$B65,""),"")</f>
        <v>|</v>
      </c>
      <c r="P65" t="str">
        <f ca="1">IF($K65="Yes",COUNTIFS($K$4:$K65,"Yes"),"")</f>
        <v/>
      </c>
      <c r="Q65">
        <f t="shared" ca="1" si="3"/>
        <v>0</v>
      </c>
      <c r="R65" t="str">
        <f ca="1">IF($Q65=1,SUM($Q$4:$Q65),"")</f>
        <v/>
      </c>
    </row>
    <row r="66" spans="1:18" ht="22.5" customHeight="1" x14ac:dyDescent="0.3">
      <c r="A66" s="2"/>
      <c r="B66" s="2"/>
      <c r="C66" s="3"/>
      <c r="D66" s="3"/>
      <c r="E66" s="2"/>
      <c r="F66" s="2"/>
      <c r="G66" s="5"/>
      <c r="H66" s="5"/>
      <c r="I66" s="4"/>
      <c r="J66" s="6" t="str">
        <f t="shared" si="1"/>
        <v/>
      </c>
      <c r="K66" s="4" t="str">
        <f t="shared" ca="1" si="2"/>
        <v/>
      </c>
      <c r="L66" s="7" t="str">
        <f t="shared" ca="1" si="4"/>
        <v/>
      </c>
      <c r="M66" s="4" t="str">
        <f>IF($I66="Complete","Green",IF($H66="","Amber",IF($H66&lt;'[2]Read Me'!$B$4,"Red",IF($H66-'[2]Read Me'!$B$4&lt;=21,"Amber","Green"))))</f>
        <v>Amber</v>
      </c>
      <c r="N66" s="3"/>
      <c r="O66" t="str">
        <f>IF($I66&lt;&gt;"Complete",IF(COUNTIFS($A$4:$A65,$A66,$B$4:$B65,$B66,$I$4:$I65,"&lt;&gt;Complete")=0,$A66&amp;"|"&amp;$B66,""),"")</f>
        <v>|</v>
      </c>
      <c r="P66" t="str">
        <f ca="1">IF($K66="Yes",COUNTIFS($K$4:$K66,"Yes"),"")</f>
        <v/>
      </c>
      <c r="Q66">
        <f t="shared" ca="1" si="3"/>
        <v>0</v>
      </c>
      <c r="R66" t="str">
        <f ca="1">IF($Q66=1,SUM($Q$4:$Q66),"")</f>
        <v/>
      </c>
    </row>
    <row r="67" spans="1:18" ht="22.5" customHeight="1" x14ac:dyDescent="0.3">
      <c r="A67" s="2"/>
      <c r="B67" s="2"/>
      <c r="C67" s="3"/>
      <c r="D67" s="3"/>
      <c r="E67" s="2"/>
      <c r="F67" s="2"/>
      <c r="G67" s="5"/>
      <c r="H67" s="5"/>
      <c r="I67" s="4"/>
      <c r="J67" s="6" t="str">
        <f t="shared" si="1"/>
        <v/>
      </c>
      <c r="K67" s="4" t="str">
        <f t="shared" ca="1" si="2"/>
        <v/>
      </c>
      <c r="L67" s="7" t="str">
        <f t="shared" ca="1" si="4"/>
        <v/>
      </c>
      <c r="M67" s="4" t="str">
        <f>IF($I67="Complete","Green",IF($H67="","Amber",IF($H67&lt;'[2]Read Me'!$B$4,"Red",IF($H67-'[2]Read Me'!$B$4&lt;=21,"Amber","Green"))))</f>
        <v>Amber</v>
      </c>
      <c r="N67" s="3"/>
      <c r="O67" t="str">
        <f>IF($I67&lt;&gt;"Complete",IF(COUNTIFS($A$4:$A66,$A67,$B$4:$B66,$B67,$I$4:$I66,"&lt;&gt;Complete")=0,$A67&amp;"|"&amp;$B67,""),"")</f>
        <v>|</v>
      </c>
      <c r="P67" t="str">
        <f ca="1">IF($K67="Yes",COUNTIFS($K$4:$K67,"Yes"),"")</f>
        <v/>
      </c>
      <c r="Q67">
        <f t="shared" ca="1" si="3"/>
        <v>0</v>
      </c>
      <c r="R67" t="str">
        <f ca="1">IF($Q67=1,SUM($Q$4:$Q67),"")</f>
        <v/>
      </c>
    </row>
    <row r="68" spans="1:18" ht="22.5" customHeight="1" x14ac:dyDescent="0.3">
      <c r="A68" s="2"/>
      <c r="B68" s="2"/>
      <c r="C68" s="3"/>
      <c r="D68" s="3"/>
      <c r="E68" s="2"/>
      <c r="F68" s="2"/>
      <c r="G68" s="5"/>
      <c r="H68" s="5"/>
      <c r="I68" s="4"/>
      <c r="J68" s="6" t="str">
        <f t="shared" ref="J68:J131" si="5">IF(OR($G68="",$H68=""),"",$H68-$G68)</f>
        <v/>
      </c>
      <c r="K68" s="4" t="str">
        <f t="shared" ref="K68:K131" ca="1" si="6">IF(C68="","",IF(H68="","",IF($I68="completed","-",IF($H68&gt;TODAY(),"No","Yes"))))</f>
        <v/>
      </c>
      <c r="L68" s="7" t="str">
        <f t="shared" ca="1" si="4"/>
        <v/>
      </c>
      <c r="M68" s="4" t="str">
        <f>IF($I68="Complete","Green",IF($H68="","Amber",IF($H68&lt;'[2]Read Me'!$B$4,"Red",IF($H68-'[2]Read Me'!$B$4&lt;=21,"Amber","Green"))))</f>
        <v>Amber</v>
      </c>
      <c r="N68" s="3"/>
      <c r="O68" t="str">
        <f>IF($I68&lt;&gt;"Complete",IF(COUNTIFS($A$4:$A67,$A68,$B$4:$B67,$B68,$I$4:$I67,"&lt;&gt;Complete")=0,$A68&amp;"|"&amp;$B68,""),"")</f>
        <v>|</v>
      </c>
      <c r="P68" t="str">
        <f ca="1">IF($K68="Yes",COUNTIFS($K$4:$K68,"Yes"),"")</f>
        <v/>
      </c>
      <c r="Q68">
        <f t="shared" ref="Q68:Q131" ca="1" si="7">IF(OR($I68="In Progress",$K68="Yes"),1,0)</f>
        <v>0</v>
      </c>
      <c r="R68" t="str">
        <f ca="1">IF($Q68=1,SUM($Q$4:$Q68),"")</f>
        <v/>
      </c>
    </row>
    <row r="69" spans="1:18" ht="22.5" customHeight="1" x14ac:dyDescent="0.3">
      <c r="A69" s="2"/>
      <c r="B69" s="2"/>
      <c r="C69" s="3"/>
      <c r="D69" s="3"/>
      <c r="E69" s="2"/>
      <c r="F69" s="2"/>
      <c r="G69" s="5"/>
      <c r="H69" s="5"/>
      <c r="I69" s="4"/>
      <c r="J69" s="6" t="str">
        <f t="shared" si="5"/>
        <v/>
      </c>
      <c r="K69" s="4" t="str">
        <f t="shared" ca="1" si="6"/>
        <v/>
      </c>
      <c r="L69" s="7" t="str">
        <f t="shared" ref="L69:L132" ca="1" si="8">IF(I69="Completed",0,IF(H69="","",H69-TODAY()))</f>
        <v/>
      </c>
      <c r="M69" s="4" t="str">
        <f>IF($I69="Complete","Green",IF($H69="","Amber",IF($H69&lt;'[2]Read Me'!$B$4,"Red",IF($H69-'[2]Read Me'!$B$4&lt;=21,"Amber","Green"))))</f>
        <v>Amber</v>
      </c>
      <c r="N69" s="3"/>
      <c r="O69" t="str">
        <f>IF($I69&lt;&gt;"Complete",IF(COUNTIFS($A$4:$A68,$A69,$B$4:$B68,$B69,$I$4:$I68,"&lt;&gt;Complete")=0,$A69&amp;"|"&amp;$B69,""),"")</f>
        <v>|</v>
      </c>
      <c r="P69" t="str">
        <f ca="1">IF($K69="Yes",COUNTIFS($K$4:$K69,"Yes"),"")</f>
        <v/>
      </c>
      <c r="Q69">
        <f t="shared" ca="1" si="7"/>
        <v>0</v>
      </c>
      <c r="R69" t="str">
        <f ca="1">IF($Q69=1,SUM($Q$4:$Q69),"")</f>
        <v/>
      </c>
    </row>
    <row r="70" spans="1:18" ht="22.5" customHeight="1" x14ac:dyDescent="0.3">
      <c r="A70" s="2"/>
      <c r="B70" s="2"/>
      <c r="C70" s="3"/>
      <c r="D70" s="3"/>
      <c r="E70" s="2"/>
      <c r="F70" s="2"/>
      <c r="G70" s="5"/>
      <c r="H70" s="5"/>
      <c r="I70" s="4"/>
      <c r="J70" s="6" t="str">
        <f t="shared" si="5"/>
        <v/>
      </c>
      <c r="K70" s="4" t="str">
        <f t="shared" ca="1" si="6"/>
        <v/>
      </c>
      <c r="L70" s="7" t="str">
        <f t="shared" ca="1" si="8"/>
        <v/>
      </c>
      <c r="M70" s="4" t="str">
        <f>IF($I70="Complete","Green",IF($H70="","Amber",IF($H70&lt;'[2]Read Me'!$B$4,"Red",IF($H70-'[2]Read Me'!$B$4&lt;=21,"Amber","Green"))))</f>
        <v>Amber</v>
      </c>
      <c r="N70" s="3"/>
      <c r="O70" t="str">
        <f>IF($I70&lt;&gt;"Complete",IF(COUNTIFS($A$4:$A69,$A70,$B$4:$B69,$B70,$I$4:$I69,"&lt;&gt;Complete")=0,$A70&amp;"|"&amp;$B70,""),"")</f>
        <v>|</v>
      </c>
      <c r="P70" t="str">
        <f ca="1">IF($K70="Yes",COUNTIFS($K$4:$K70,"Yes"),"")</f>
        <v/>
      </c>
      <c r="Q70">
        <f t="shared" ca="1" si="7"/>
        <v>0</v>
      </c>
      <c r="R70" t="str">
        <f ca="1">IF($Q70=1,SUM($Q$4:$Q70),"")</f>
        <v/>
      </c>
    </row>
    <row r="71" spans="1:18" ht="22.5" customHeight="1" x14ac:dyDescent="0.3">
      <c r="A71" s="2"/>
      <c r="B71" s="2"/>
      <c r="C71" s="3"/>
      <c r="D71" s="3"/>
      <c r="E71" s="2"/>
      <c r="F71" s="2"/>
      <c r="G71" s="5"/>
      <c r="H71" s="5"/>
      <c r="I71" s="4"/>
      <c r="J71" s="6" t="str">
        <f t="shared" si="5"/>
        <v/>
      </c>
      <c r="K71" s="4" t="str">
        <f t="shared" ca="1" si="6"/>
        <v/>
      </c>
      <c r="L71" s="7" t="str">
        <f t="shared" ca="1" si="8"/>
        <v/>
      </c>
      <c r="M71" s="4" t="str">
        <f>IF($I71="Complete","Green",IF($H71="","Amber",IF($H71&lt;'[2]Read Me'!$B$4,"Red",IF($H71-'[2]Read Me'!$B$4&lt;=21,"Amber","Green"))))</f>
        <v>Amber</v>
      </c>
      <c r="N71" s="3"/>
      <c r="O71" t="str">
        <f>IF($I71&lt;&gt;"Complete",IF(COUNTIFS($A$4:$A70,$A71,$B$4:$B70,$B71,$I$4:$I70,"&lt;&gt;Complete")=0,$A71&amp;"|"&amp;$B71,""),"")</f>
        <v>|</v>
      </c>
      <c r="P71" t="str">
        <f ca="1">IF($K71="Yes",COUNTIFS($K$4:$K71,"Yes"),"")</f>
        <v/>
      </c>
      <c r="Q71">
        <f t="shared" ca="1" si="7"/>
        <v>0</v>
      </c>
      <c r="R71" t="str">
        <f ca="1">IF($Q71=1,SUM($Q$4:$Q71),"")</f>
        <v/>
      </c>
    </row>
    <row r="72" spans="1:18" ht="33.75" customHeight="1" x14ac:dyDescent="0.3">
      <c r="A72" s="2"/>
      <c r="B72" s="2"/>
      <c r="C72" s="3"/>
      <c r="D72" s="3"/>
      <c r="E72" s="2"/>
      <c r="F72" s="2"/>
      <c r="G72" s="5"/>
      <c r="H72" s="5"/>
      <c r="I72" s="4"/>
      <c r="J72" s="6" t="str">
        <f t="shared" si="5"/>
        <v/>
      </c>
      <c r="K72" s="4" t="str">
        <f t="shared" ca="1" si="6"/>
        <v/>
      </c>
      <c r="L72" s="7" t="str">
        <f t="shared" ca="1" si="8"/>
        <v/>
      </c>
      <c r="M72" s="4" t="str">
        <f>IF($I72="Complete","Green",IF($H72="","Amber",IF($H72&lt;'[2]Read Me'!$B$4,"Red",IF($H72-'[2]Read Me'!$B$4&lt;=21,"Amber","Green"))))</f>
        <v>Amber</v>
      </c>
      <c r="N72" s="3"/>
      <c r="O72" t="str">
        <f>IF($I72&lt;&gt;"Complete",IF(COUNTIFS($A$4:$A71,$A72,$B$4:$B71,$B72,$I$4:$I71,"&lt;&gt;Complete")=0,$A72&amp;"|"&amp;$B72,""),"")</f>
        <v>|</v>
      </c>
      <c r="P72" t="str">
        <f ca="1">IF($K72="Yes",COUNTIFS($K$4:$K72,"Yes"),"")</f>
        <v/>
      </c>
      <c r="Q72">
        <f t="shared" ca="1" si="7"/>
        <v>0</v>
      </c>
      <c r="R72" t="str">
        <f ca="1">IF($Q72=1,SUM($Q$4:$Q72),"")</f>
        <v/>
      </c>
    </row>
    <row r="73" spans="1:18" ht="33.75" customHeight="1" x14ac:dyDescent="0.3">
      <c r="A73" s="2"/>
      <c r="B73" s="2"/>
      <c r="C73" s="3"/>
      <c r="D73" s="3"/>
      <c r="E73" s="2"/>
      <c r="F73" s="2"/>
      <c r="G73" s="5"/>
      <c r="H73" s="5"/>
      <c r="I73" s="4"/>
      <c r="J73" s="6" t="str">
        <f t="shared" si="5"/>
        <v/>
      </c>
      <c r="K73" s="4" t="str">
        <f t="shared" ca="1" si="6"/>
        <v/>
      </c>
      <c r="L73" s="7" t="str">
        <f t="shared" ca="1" si="8"/>
        <v/>
      </c>
      <c r="M73" s="4" t="str">
        <f>IF($I73="Complete","Green",IF($H73="","Amber",IF($H73&lt;'[2]Read Me'!$B$4,"Red",IF($H73-'[2]Read Me'!$B$4&lt;=21,"Amber","Green"))))</f>
        <v>Amber</v>
      </c>
      <c r="N73" s="3"/>
      <c r="O73" t="str">
        <f>IF($I73&lt;&gt;"Complete",IF(COUNTIFS($A$4:$A72,$A73,$B$4:$B72,$B73,$I$4:$I72,"&lt;&gt;Complete")=0,$A73&amp;"|"&amp;$B73,""),"")</f>
        <v>|</v>
      </c>
      <c r="P73" t="str">
        <f ca="1">IF($K73="Yes",COUNTIFS($K$4:$K73,"Yes"),"")</f>
        <v/>
      </c>
      <c r="Q73">
        <f t="shared" ca="1" si="7"/>
        <v>0</v>
      </c>
      <c r="R73" t="str">
        <f ca="1">IF($Q73=1,SUM($Q$4:$Q73),"")</f>
        <v/>
      </c>
    </row>
    <row r="74" spans="1:18" ht="33.75" customHeight="1" x14ac:dyDescent="0.3">
      <c r="A74" s="2"/>
      <c r="B74" s="2"/>
      <c r="C74" s="3"/>
      <c r="D74" s="3"/>
      <c r="E74" s="2"/>
      <c r="F74" s="2"/>
      <c r="G74" s="5"/>
      <c r="H74" s="5"/>
      <c r="I74" s="4"/>
      <c r="J74" s="6" t="str">
        <f t="shared" si="5"/>
        <v/>
      </c>
      <c r="K74" s="4" t="str">
        <f t="shared" ca="1" si="6"/>
        <v/>
      </c>
      <c r="L74" s="7" t="str">
        <f t="shared" ca="1" si="8"/>
        <v/>
      </c>
      <c r="M74" s="4" t="str">
        <f>IF($I74="Complete","Green",IF($H74="","Amber",IF($H74&lt;'[2]Read Me'!$B$4,"Red",IF($H74-'[2]Read Me'!$B$4&lt;=21,"Amber","Green"))))</f>
        <v>Amber</v>
      </c>
      <c r="N74" s="3"/>
      <c r="O74" t="str">
        <f>IF($I74&lt;&gt;"Complete",IF(COUNTIFS($A$4:$A73,$A74,$B$4:$B73,$B74,$I$4:$I73,"&lt;&gt;Complete")=0,$A74&amp;"|"&amp;$B74,""),"")</f>
        <v>|</v>
      </c>
      <c r="P74" t="str">
        <f ca="1">IF($K74="Yes",COUNTIFS($K$4:$K74,"Yes"),"")</f>
        <v/>
      </c>
      <c r="Q74">
        <f t="shared" ca="1" si="7"/>
        <v>0</v>
      </c>
      <c r="R74" t="str">
        <f ca="1">IF($Q74=1,SUM($Q$4:$Q74),"")</f>
        <v/>
      </c>
    </row>
    <row r="75" spans="1:18" ht="14.25" customHeight="1" x14ac:dyDescent="0.3">
      <c r="A75" s="2"/>
      <c r="B75" s="2"/>
      <c r="C75" s="3"/>
      <c r="D75" s="3"/>
      <c r="E75" s="2"/>
      <c r="F75" s="2"/>
      <c r="G75" s="5"/>
      <c r="H75" s="5"/>
      <c r="I75" s="4"/>
      <c r="J75" s="6" t="str">
        <f t="shared" si="5"/>
        <v/>
      </c>
      <c r="K75" s="4" t="str">
        <f t="shared" ca="1" si="6"/>
        <v/>
      </c>
      <c r="L75" s="7" t="str">
        <f t="shared" ca="1" si="8"/>
        <v/>
      </c>
      <c r="M75" s="4" t="str">
        <f>IF($I75="Complete","Green",IF($H75="","Amber",IF($H75&lt;'[2]Read Me'!$B$4,"Red",IF($H75-'[2]Read Me'!$B$4&lt;=21,"Amber","Green"))))</f>
        <v>Amber</v>
      </c>
      <c r="N75" s="3"/>
      <c r="O75" t="str">
        <f>IF($I75&lt;&gt;"Complete",IF(COUNTIFS($A$4:$A74,$A75,$B$4:$B74,$B75,$I$4:$I74,"&lt;&gt;Complete")=0,$A75&amp;"|"&amp;$B75,""),"")</f>
        <v>|</v>
      </c>
      <c r="P75" t="str">
        <f ca="1">IF($K75="Yes",COUNTIFS($K$4:$K75,"Yes"),"")</f>
        <v/>
      </c>
      <c r="Q75">
        <f t="shared" ca="1" si="7"/>
        <v>0</v>
      </c>
      <c r="R75" t="str">
        <f ca="1">IF($Q75=1,SUM($Q$4:$Q75),"")</f>
        <v/>
      </c>
    </row>
    <row r="76" spans="1:18" ht="14.25" customHeight="1" x14ac:dyDescent="0.3">
      <c r="A76" s="2"/>
      <c r="B76" s="2"/>
      <c r="C76" s="3"/>
      <c r="D76" s="3"/>
      <c r="E76" s="2"/>
      <c r="F76" s="2"/>
      <c r="G76" s="5"/>
      <c r="H76" s="5"/>
      <c r="I76" s="4"/>
      <c r="J76" s="6" t="str">
        <f t="shared" si="5"/>
        <v/>
      </c>
      <c r="K76" s="4" t="str">
        <f t="shared" ca="1" si="6"/>
        <v/>
      </c>
      <c r="L76" s="7" t="str">
        <f t="shared" ca="1" si="8"/>
        <v/>
      </c>
      <c r="M76" s="4" t="str">
        <f>IF($I76="Complete","Green",IF($H76="","Amber",IF($H76&lt;'[2]Read Me'!$B$4,"Red",IF($H76-'[2]Read Me'!$B$4&lt;=21,"Amber","Green"))))</f>
        <v>Amber</v>
      </c>
      <c r="N76" s="3"/>
      <c r="O76" t="str">
        <f>IF($I76&lt;&gt;"Complete",IF(COUNTIFS($A$4:$A75,$A76,$B$4:$B75,$B76,$I$4:$I75,"&lt;&gt;Complete")=0,$A76&amp;"|"&amp;$B76,""),"")</f>
        <v>|</v>
      </c>
      <c r="P76" t="str">
        <f ca="1">IF($K76="Yes",COUNTIFS($K$4:$K76,"Yes"),"")</f>
        <v/>
      </c>
      <c r="Q76">
        <f t="shared" ca="1" si="7"/>
        <v>0</v>
      </c>
      <c r="R76" t="str">
        <f ca="1">IF($Q76=1,SUM($Q$4:$Q76),"")</f>
        <v/>
      </c>
    </row>
    <row r="77" spans="1:18" ht="22.5" customHeight="1" x14ac:dyDescent="0.3">
      <c r="A77" s="2"/>
      <c r="B77" s="2"/>
      <c r="C77" s="3"/>
      <c r="D77" s="3"/>
      <c r="E77" s="2"/>
      <c r="F77" s="2"/>
      <c r="G77" s="5"/>
      <c r="H77" s="5"/>
      <c r="I77" s="4"/>
      <c r="J77" s="6" t="str">
        <f t="shared" si="5"/>
        <v/>
      </c>
      <c r="K77" s="4" t="str">
        <f t="shared" ca="1" si="6"/>
        <v/>
      </c>
      <c r="L77" s="7" t="str">
        <f t="shared" ca="1" si="8"/>
        <v/>
      </c>
      <c r="M77" s="4" t="str">
        <f>IF($I77="Complete","Green",IF($H77="","Amber",IF($H77&lt;'[2]Read Me'!$B$4,"Red",IF($H77-'[2]Read Me'!$B$4&lt;=21,"Amber","Green"))))</f>
        <v>Amber</v>
      </c>
      <c r="N77" s="3"/>
      <c r="O77" t="str">
        <f>IF($I77&lt;&gt;"Complete",IF(COUNTIFS($A$4:$A76,$A77,$B$4:$B76,$B77,$I$4:$I76,"&lt;&gt;Complete")=0,$A77&amp;"|"&amp;$B77,""),"")</f>
        <v>|</v>
      </c>
      <c r="P77" t="str">
        <f ca="1">IF($K77="Yes",COUNTIFS($K$4:$K77,"Yes"),"")</f>
        <v/>
      </c>
      <c r="Q77">
        <f t="shared" ca="1" si="7"/>
        <v>0</v>
      </c>
      <c r="R77" t="str">
        <f ca="1">IF($Q77=1,SUM($Q$4:$Q77),"")</f>
        <v/>
      </c>
    </row>
    <row r="78" spans="1:18" ht="14.25" customHeight="1" x14ac:dyDescent="0.3">
      <c r="A78" s="2"/>
      <c r="B78" s="2"/>
      <c r="C78" s="3"/>
      <c r="D78" s="3"/>
      <c r="E78" s="2"/>
      <c r="F78" s="2"/>
      <c r="G78" s="5"/>
      <c r="H78" s="5"/>
      <c r="I78" s="4"/>
      <c r="J78" s="6" t="str">
        <f t="shared" si="5"/>
        <v/>
      </c>
      <c r="K78" s="4" t="str">
        <f t="shared" ca="1" si="6"/>
        <v/>
      </c>
      <c r="L78" s="7" t="str">
        <f t="shared" ca="1" si="8"/>
        <v/>
      </c>
      <c r="M78" s="4" t="str">
        <f>IF($I78="Complete","Green",IF($H78="","Amber",IF($H78&lt;'[2]Read Me'!$B$4,"Red",IF($H78-'[2]Read Me'!$B$4&lt;=21,"Amber","Green"))))</f>
        <v>Amber</v>
      </c>
      <c r="N78" s="3"/>
      <c r="O78" t="str">
        <f>IF($I78&lt;&gt;"Complete",IF(COUNTIFS($A$4:$A77,$A78,$B$4:$B77,$B78,$I$4:$I77,"&lt;&gt;Complete")=0,$A78&amp;"|"&amp;$B78,""),"")</f>
        <v>|</v>
      </c>
      <c r="P78" t="str">
        <f ca="1">IF($K78="Yes",COUNTIFS($K$4:$K78,"Yes"),"")</f>
        <v/>
      </c>
      <c r="Q78">
        <f t="shared" ca="1" si="7"/>
        <v>0</v>
      </c>
      <c r="R78" t="str">
        <f ca="1">IF($Q78=1,SUM($Q$4:$Q78),"")</f>
        <v/>
      </c>
    </row>
    <row r="79" spans="1:18" ht="33.75" customHeight="1" x14ac:dyDescent="0.3">
      <c r="A79" s="2"/>
      <c r="B79" s="2"/>
      <c r="C79" s="3"/>
      <c r="D79" s="3"/>
      <c r="E79" s="2"/>
      <c r="F79" s="2"/>
      <c r="G79" s="5"/>
      <c r="H79" s="5"/>
      <c r="I79" s="4"/>
      <c r="J79" s="6" t="str">
        <f t="shared" si="5"/>
        <v/>
      </c>
      <c r="K79" s="4" t="str">
        <f t="shared" ca="1" si="6"/>
        <v/>
      </c>
      <c r="L79" s="7" t="str">
        <f t="shared" ca="1" si="8"/>
        <v/>
      </c>
      <c r="M79" s="4" t="str">
        <f>IF($I79="Complete","Green",IF($H79="","Amber",IF($H79&lt;'[2]Read Me'!$B$4,"Red",IF($H79-'[2]Read Me'!$B$4&lt;=21,"Amber","Green"))))</f>
        <v>Amber</v>
      </c>
      <c r="N79" s="3"/>
      <c r="O79" t="str">
        <f>IF($I79&lt;&gt;"Complete",IF(COUNTIFS($A$4:$A78,$A79,$B$4:$B78,$B79,$I$4:$I78,"&lt;&gt;Complete")=0,$A79&amp;"|"&amp;$B79,""),"")</f>
        <v>|</v>
      </c>
      <c r="P79" t="str">
        <f ca="1">IF($K79="Yes",COUNTIFS($K$4:$K79,"Yes"),"")</f>
        <v/>
      </c>
      <c r="Q79">
        <f t="shared" ca="1" si="7"/>
        <v>0</v>
      </c>
      <c r="R79" t="str">
        <f ca="1">IF($Q79=1,SUM($Q$4:$Q79),"")</f>
        <v/>
      </c>
    </row>
    <row r="80" spans="1:18" ht="33.75" customHeight="1" x14ac:dyDescent="0.3">
      <c r="A80" s="2"/>
      <c r="B80" s="2"/>
      <c r="C80" s="3"/>
      <c r="D80" s="3"/>
      <c r="E80" s="2"/>
      <c r="F80" s="2"/>
      <c r="G80" s="5"/>
      <c r="H80" s="5"/>
      <c r="I80" s="4"/>
      <c r="J80" s="6" t="str">
        <f t="shared" si="5"/>
        <v/>
      </c>
      <c r="K80" s="4" t="str">
        <f t="shared" ca="1" si="6"/>
        <v/>
      </c>
      <c r="L80" s="7" t="str">
        <f t="shared" ca="1" si="8"/>
        <v/>
      </c>
      <c r="M80" s="4" t="str">
        <f>IF($I80="Complete","Green",IF($H80="","Amber",IF($H80&lt;'[2]Read Me'!$B$4,"Red",IF($H80-'[2]Read Me'!$B$4&lt;=21,"Amber","Green"))))</f>
        <v>Amber</v>
      </c>
      <c r="N80" s="3"/>
      <c r="O80" t="str">
        <f>IF($I80&lt;&gt;"Complete",IF(COUNTIFS($A$4:$A79,$A80,$B$4:$B79,$B80,$I$4:$I79,"&lt;&gt;Complete")=0,$A80&amp;"|"&amp;$B80,""),"")</f>
        <v>|</v>
      </c>
      <c r="P80" t="str">
        <f ca="1">IF($K80="Yes",COUNTIFS($K$4:$K80,"Yes"),"")</f>
        <v/>
      </c>
      <c r="Q80">
        <f t="shared" ca="1" si="7"/>
        <v>0</v>
      </c>
      <c r="R80" t="str">
        <f ca="1">IF($Q80=1,SUM($Q$4:$Q80),"")</f>
        <v/>
      </c>
    </row>
    <row r="81" spans="1:18" ht="33.75" customHeight="1" x14ac:dyDescent="0.3">
      <c r="A81" s="2"/>
      <c r="B81" s="2"/>
      <c r="C81" s="3"/>
      <c r="D81" s="3"/>
      <c r="E81" s="2"/>
      <c r="F81" s="2"/>
      <c r="G81" s="5"/>
      <c r="H81" s="5"/>
      <c r="I81" s="4"/>
      <c r="J81" s="6" t="str">
        <f t="shared" si="5"/>
        <v/>
      </c>
      <c r="K81" s="4" t="str">
        <f t="shared" ca="1" si="6"/>
        <v/>
      </c>
      <c r="L81" s="7" t="str">
        <f t="shared" ca="1" si="8"/>
        <v/>
      </c>
      <c r="M81" s="4" t="str">
        <f>IF($I81="Complete","Green",IF($H81="","Amber",IF($H81&lt;'[2]Read Me'!$B$4,"Red",IF($H81-'[2]Read Me'!$B$4&lt;=21,"Amber","Green"))))</f>
        <v>Amber</v>
      </c>
      <c r="N81" s="3"/>
      <c r="O81" t="str">
        <f>IF($I81&lt;&gt;"Complete",IF(COUNTIFS($A$4:$A80,$A81,$B$4:$B80,$B81,$I$4:$I80,"&lt;&gt;Complete")=0,$A81&amp;"|"&amp;$B81,""),"")</f>
        <v>|</v>
      </c>
      <c r="P81" t="str">
        <f ca="1">IF($K81="Yes",COUNTIFS($K$4:$K81,"Yes"),"")</f>
        <v/>
      </c>
      <c r="Q81">
        <f t="shared" ca="1" si="7"/>
        <v>0</v>
      </c>
      <c r="R81" t="str">
        <f ca="1">IF($Q81=1,SUM($Q$4:$Q81),"")</f>
        <v/>
      </c>
    </row>
    <row r="82" spans="1:18" ht="33.75" customHeight="1" x14ac:dyDescent="0.3">
      <c r="A82" s="2"/>
      <c r="B82" s="2"/>
      <c r="C82" s="3"/>
      <c r="D82" s="3"/>
      <c r="E82" s="2"/>
      <c r="F82" s="2"/>
      <c r="G82" s="5"/>
      <c r="H82" s="5"/>
      <c r="I82" s="4"/>
      <c r="J82" s="6" t="str">
        <f t="shared" si="5"/>
        <v/>
      </c>
      <c r="K82" s="4" t="str">
        <f t="shared" ca="1" si="6"/>
        <v/>
      </c>
      <c r="L82" s="7" t="str">
        <f t="shared" ca="1" si="8"/>
        <v/>
      </c>
      <c r="M82" s="4" t="str">
        <f>IF($I82="Complete","Green",IF($H82="","Amber",IF($H82&lt;'[2]Read Me'!$B$4,"Red",IF($H82-'[2]Read Me'!$B$4&lt;=21,"Amber","Green"))))</f>
        <v>Amber</v>
      </c>
      <c r="N82" s="3"/>
      <c r="O82" t="str">
        <f>IF($I82&lt;&gt;"Complete",IF(COUNTIFS($A$4:$A81,$A82,$B$4:$B81,$B82,$I$4:$I81,"&lt;&gt;Complete")=0,$A82&amp;"|"&amp;$B82,""),"")</f>
        <v>|</v>
      </c>
      <c r="P82" t="str">
        <f ca="1">IF($K82="Yes",COUNTIFS($K$4:$K82,"Yes"),"")</f>
        <v/>
      </c>
      <c r="Q82">
        <f t="shared" ca="1" si="7"/>
        <v>0</v>
      </c>
      <c r="R82" t="str">
        <f ca="1">IF($Q82=1,SUM($Q$4:$Q82),"")</f>
        <v/>
      </c>
    </row>
    <row r="83" spans="1:18" ht="33.75" customHeight="1" x14ac:dyDescent="0.3">
      <c r="A83" s="2"/>
      <c r="B83" s="2"/>
      <c r="C83" s="3"/>
      <c r="D83" s="3"/>
      <c r="E83" s="2"/>
      <c r="F83" s="2"/>
      <c r="G83" s="5"/>
      <c r="H83" s="5"/>
      <c r="I83" s="4"/>
      <c r="J83" s="6" t="str">
        <f t="shared" si="5"/>
        <v/>
      </c>
      <c r="K83" s="4" t="str">
        <f t="shared" ca="1" si="6"/>
        <v/>
      </c>
      <c r="L83" s="7" t="str">
        <f t="shared" ca="1" si="8"/>
        <v/>
      </c>
      <c r="M83" s="4" t="str">
        <f>IF($I83="Complete","Green",IF($H83="","Amber",IF($H83&lt;'[2]Read Me'!$B$4,"Red",IF($H83-'[2]Read Me'!$B$4&lt;=21,"Amber","Green"))))</f>
        <v>Amber</v>
      </c>
      <c r="N83" s="3"/>
      <c r="O83" t="str">
        <f>IF($I83&lt;&gt;"Complete",IF(COUNTIFS($A$4:$A82,$A83,$B$4:$B82,$B83,$I$4:$I82,"&lt;&gt;Complete")=0,$A83&amp;"|"&amp;$B83,""),"")</f>
        <v>|</v>
      </c>
      <c r="P83" t="str">
        <f ca="1">IF($K83="Yes",COUNTIFS($K$4:$K83,"Yes"),"")</f>
        <v/>
      </c>
      <c r="Q83">
        <f t="shared" ca="1" si="7"/>
        <v>0</v>
      </c>
      <c r="R83" t="str">
        <f ca="1">IF($Q83=1,SUM($Q$4:$Q83),"")</f>
        <v/>
      </c>
    </row>
    <row r="84" spans="1:18" ht="33.75" customHeight="1" x14ac:dyDescent="0.3">
      <c r="A84" s="2"/>
      <c r="B84" s="2"/>
      <c r="C84" s="3"/>
      <c r="D84" s="3"/>
      <c r="E84" s="2"/>
      <c r="F84" s="2"/>
      <c r="G84" s="5"/>
      <c r="H84" s="5"/>
      <c r="I84" s="4"/>
      <c r="J84" s="6" t="str">
        <f t="shared" si="5"/>
        <v/>
      </c>
      <c r="K84" s="4" t="str">
        <f t="shared" ca="1" si="6"/>
        <v/>
      </c>
      <c r="L84" s="7" t="str">
        <f t="shared" ca="1" si="8"/>
        <v/>
      </c>
      <c r="M84" s="4" t="str">
        <f>IF($I84="Complete","Green",IF($H84="","Amber",IF($H84&lt;'[2]Read Me'!$B$4,"Red",IF($H84-'[2]Read Me'!$B$4&lt;=21,"Amber","Green"))))</f>
        <v>Amber</v>
      </c>
      <c r="N84" s="3"/>
      <c r="O84" t="str">
        <f>IF($I84&lt;&gt;"Complete",IF(COUNTIFS($A$4:$A83,$A84,$B$4:$B83,$B84,$I$4:$I83,"&lt;&gt;Complete")=0,$A84&amp;"|"&amp;$B84,""),"")</f>
        <v>|</v>
      </c>
      <c r="P84" t="str">
        <f ca="1">IF($K84="Yes",COUNTIFS($K$4:$K84,"Yes"),"")</f>
        <v/>
      </c>
      <c r="Q84">
        <f t="shared" ca="1" si="7"/>
        <v>0</v>
      </c>
      <c r="R84" t="str">
        <f ca="1">IF($Q84=1,SUM($Q$4:$Q84),"")</f>
        <v/>
      </c>
    </row>
    <row r="85" spans="1:18" ht="33.75" customHeight="1" x14ac:dyDescent="0.3">
      <c r="A85" s="2"/>
      <c r="B85" s="2"/>
      <c r="C85" s="3"/>
      <c r="D85" s="3"/>
      <c r="E85" s="2"/>
      <c r="F85" s="2"/>
      <c r="G85" s="5"/>
      <c r="H85" s="5"/>
      <c r="I85" s="4"/>
      <c r="J85" s="6" t="str">
        <f t="shared" si="5"/>
        <v/>
      </c>
      <c r="K85" s="4" t="str">
        <f t="shared" ca="1" si="6"/>
        <v/>
      </c>
      <c r="L85" s="7" t="str">
        <f t="shared" ca="1" si="8"/>
        <v/>
      </c>
      <c r="M85" s="4" t="str">
        <f>IF($I85="Complete","Green",IF($H85="","Amber",IF($H85&lt;'[2]Read Me'!$B$4,"Red",IF($H85-'[2]Read Me'!$B$4&lt;=21,"Amber","Green"))))</f>
        <v>Amber</v>
      </c>
      <c r="N85" s="3"/>
      <c r="O85" t="str">
        <f>IF($I85&lt;&gt;"Complete",IF(COUNTIFS($A$4:$A84,$A85,$B$4:$B84,$B85,$I$4:$I84,"&lt;&gt;Complete")=0,$A85&amp;"|"&amp;$B85,""),"")</f>
        <v>|</v>
      </c>
      <c r="P85" t="str">
        <f ca="1">IF($K85="Yes",COUNTIFS($K$4:$K85,"Yes"),"")</f>
        <v/>
      </c>
      <c r="Q85">
        <f t="shared" ca="1" si="7"/>
        <v>0</v>
      </c>
      <c r="R85" t="str">
        <f ca="1">IF($Q85=1,SUM($Q$4:$Q85),"")</f>
        <v/>
      </c>
    </row>
    <row r="86" spans="1:18" ht="33.75" customHeight="1" x14ac:dyDescent="0.3">
      <c r="A86" s="2"/>
      <c r="B86" s="2"/>
      <c r="C86" s="3"/>
      <c r="D86" s="3"/>
      <c r="E86" s="2"/>
      <c r="F86" s="2"/>
      <c r="G86" s="5"/>
      <c r="H86" s="5"/>
      <c r="I86" s="4"/>
      <c r="J86" s="6" t="str">
        <f t="shared" si="5"/>
        <v/>
      </c>
      <c r="K86" s="4" t="str">
        <f t="shared" ca="1" si="6"/>
        <v/>
      </c>
      <c r="L86" s="7" t="str">
        <f t="shared" ca="1" si="8"/>
        <v/>
      </c>
      <c r="M86" s="4" t="str">
        <f>IF($I86="Complete","Green",IF($H86="","Amber",IF($H86&lt;'[2]Read Me'!$B$4,"Red",IF($H86-'[2]Read Me'!$B$4&lt;=21,"Amber","Green"))))</f>
        <v>Amber</v>
      </c>
      <c r="N86" s="3"/>
      <c r="O86" t="str">
        <f>IF($I86&lt;&gt;"Complete",IF(COUNTIFS($A$4:$A85,$A86,$B$4:$B85,$B86,$I$4:$I85,"&lt;&gt;Complete")=0,$A86&amp;"|"&amp;$B86,""),"")</f>
        <v>|</v>
      </c>
      <c r="P86" t="str">
        <f ca="1">IF($K86="Yes",COUNTIFS($K$4:$K86,"Yes"),"")</f>
        <v/>
      </c>
      <c r="Q86">
        <f t="shared" ca="1" si="7"/>
        <v>0</v>
      </c>
      <c r="R86" t="str">
        <f ca="1">IF($Q86=1,SUM($Q$4:$Q86),"")</f>
        <v/>
      </c>
    </row>
    <row r="87" spans="1:18" ht="33.75" customHeight="1" x14ac:dyDescent="0.3">
      <c r="A87" s="2"/>
      <c r="B87" s="2"/>
      <c r="C87" s="3"/>
      <c r="D87" s="3"/>
      <c r="E87" s="2"/>
      <c r="F87" s="2"/>
      <c r="G87" s="5"/>
      <c r="H87" s="5"/>
      <c r="I87" s="4"/>
      <c r="J87" s="6" t="str">
        <f t="shared" si="5"/>
        <v/>
      </c>
      <c r="K87" s="4" t="str">
        <f t="shared" ca="1" si="6"/>
        <v/>
      </c>
      <c r="L87" s="7" t="str">
        <f t="shared" ca="1" si="8"/>
        <v/>
      </c>
      <c r="M87" s="4" t="str">
        <f>IF($I87="Complete","Green",IF($H87="","Amber",IF($H87&lt;'[2]Read Me'!$B$4,"Red",IF($H87-'[2]Read Me'!$B$4&lt;=21,"Amber","Green"))))</f>
        <v>Amber</v>
      </c>
      <c r="N87" s="3"/>
      <c r="O87" t="str">
        <f>IF($I87&lt;&gt;"Complete",IF(COUNTIFS($A$4:$A86,$A87,$B$4:$B86,$B87,$I$4:$I86,"&lt;&gt;Complete")=0,$A87&amp;"|"&amp;$B87,""),"")</f>
        <v>|</v>
      </c>
      <c r="P87" t="str">
        <f ca="1">IF($K87="Yes",COUNTIFS($K$4:$K87,"Yes"),"")</f>
        <v/>
      </c>
      <c r="Q87">
        <f t="shared" ca="1" si="7"/>
        <v>0</v>
      </c>
      <c r="R87" t="str">
        <f ca="1">IF($Q87=1,SUM($Q$4:$Q87),"")</f>
        <v/>
      </c>
    </row>
    <row r="88" spans="1:18" ht="33.75" customHeight="1" x14ac:dyDescent="0.3">
      <c r="A88" s="2"/>
      <c r="B88" s="2"/>
      <c r="C88" s="3"/>
      <c r="D88" s="3"/>
      <c r="E88" s="2"/>
      <c r="F88" s="2"/>
      <c r="G88" s="5"/>
      <c r="H88" s="5"/>
      <c r="I88" s="4"/>
      <c r="J88" s="6" t="str">
        <f t="shared" si="5"/>
        <v/>
      </c>
      <c r="K88" s="4" t="str">
        <f t="shared" ca="1" si="6"/>
        <v/>
      </c>
      <c r="L88" s="7" t="str">
        <f t="shared" ca="1" si="8"/>
        <v/>
      </c>
      <c r="M88" s="4" t="str">
        <f>IF($I88="Complete","Green",IF($H88="","Amber",IF($H88&lt;'[2]Read Me'!$B$4,"Red",IF($H88-'[2]Read Me'!$B$4&lt;=21,"Amber","Green"))))</f>
        <v>Amber</v>
      </c>
      <c r="N88" s="3"/>
      <c r="O88" t="str">
        <f>IF($I88&lt;&gt;"Complete",IF(COUNTIFS($A$4:$A87,$A88,$B$4:$B87,$B88,$I$4:$I87,"&lt;&gt;Complete")=0,$A88&amp;"|"&amp;$B88,""),"")</f>
        <v>|</v>
      </c>
      <c r="P88" t="str">
        <f ca="1">IF($K88="Yes",COUNTIFS($K$4:$K88,"Yes"),"")</f>
        <v/>
      </c>
      <c r="Q88">
        <f t="shared" ca="1" si="7"/>
        <v>0</v>
      </c>
      <c r="R88" t="str">
        <f ca="1">IF($Q88=1,SUM($Q$4:$Q88),"")</f>
        <v/>
      </c>
    </row>
    <row r="89" spans="1:18" ht="33.75" customHeight="1" x14ac:dyDescent="0.3">
      <c r="A89" s="2"/>
      <c r="B89" s="2"/>
      <c r="C89" s="3"/>
      <c r="D89" s="3"/>
      <c r="E89" s="2"/>
      <c r="F89" s="2"/>
      <c r="G89" s="5"/>
      <c r="H89" s="5"/>
      <c r="I89" s="4"/>
      <c r="J89" s="6" t="str">
        <f t="shared" si="5"/>
        <v/>
      </c>
      <c r="K89" s="4" t="str">
        <f t="shared" ca="1" si="6"/>
        <v/>
      </c>
      <c r="L89" s="7" t="str">
        <f t="shared" ca="1" si="8"/>
        <v/>
      </c>
      <c r="M89" s="4" t="str">
        <f>IF($I89="Complete","Green",IF($H89="","Amber",IF($H89&lt;'[2]Read Me'!$B$4,"Red",IF($H89-'[2]Read Me'!$B$4&lt;=21,"Amber","Green"))))</f>
        <v>Amber</v>
      </c>
      <c r="N89" s="3"/>
      <c r="O89" t="str">
        <f>IF($I89&lt;&gt;"Complete",IF(COUNTIFS($A$4:$A88,$A89,$B$4:$B88,$B89,$I$4:$I88,"&lt;&gt;Complete")=0,$A89&amp;"|"&amp;$B89,""),"")</f>
        <v>|</v>
      </c>
      <c r="P89" t="str">
        <f ca="1">IF($K89="Yes",COUNTIFS($K$4:$K89,"Yes"),"")</f>
        <v/>
      </c>
      <c r="Q89">
        <f t="shared" ca="1" si="7"/>
        <v>0</v>
      </c>
      <c r="R89" t="str">
        <f ca="1">IF($Q89=1,SUM($Q$4:$Q89),"")</f>
        <v/>
      </c>
    </row>
    <row r="90" spans="1:18" ht="33.75" customHeight="1" x14ac:dyDescent="0.3">
      <c r="A90" s="2"/>
      <c r="B90" s="2"/>
      <c r="C90" s="3"/>
      <c r="D90" s="3"/>
      <c r="E90" s="2"/>
      <c r="F90" s="2"/>
      <c r="G90" s="5"/>
      <c r="H90" s="5"/>
      <c r="I90" s="4"/>
      <c r="J90" s="6" t="str">
        <f t="shared" si="5"/>
        <v/>
      </c>
      <c r="K90" s="4" t="str">
        <f t="shared" ca="1" si="6"/>
        <v/>
      </c>
      <c r="L90" s="7" t="str">
        <f t="shared" ca="1" si="8"/>
        <v/>
      </c>
      <c r="M90" s="4" t="str">
        <f>IF($I90="Complete","Green",IF($H90="","Amber",IF($H90&lt;'[2]Read Me'!$B$4,"Red",IF($H90-'[2]Read Me'!$B$4&lt;=21,"Amber","Green"))))</f>
        <v>Amber</v>
      </c>
      <c r="N90" s="3"/>
      <c r="O90" t="str">
        <f>IF($I90&lt;&gt;"Complete",IF(COUNTIFS($A$4:$A89,$A90,$B$4:$B89,$B90,$I$4:$I89,"&lt;&gt;Complete")=0,$A90&amp;"|"&amp;$B90,""),"")</f>
        <v>|</v>
      </c>
      <c r="P90" t="str">
        <f ca="1">IF($K90="Yes",COUNTIFS($K$4:$K90,"Yes"),"")</f>
        <v/>
      </c>
      <c r="Q90">
        <f t="shared" ca="1" si="7"/>
        <v>0</v>
      </c>
      <c r="R90" t="str">
        <f ca="1">IF($Q90=1,SUM($Q$4:$Q90),"")</f>
        <v/>
      </c>
    </row>
    <row r="91" spans="1:18" ht="33.75" customHeight="1" x14ac:dyDescent="0.3">
      <c r="A91" s="2"/>
      <c r="B91" s="2"/>
      <c r="C91" s="3"/>
      <c r="D91" s="3"/>
      <c r="E91" s="2"/>
      <c r="F91" s="2"/>
      <c r="G91" s="5"/>
      <c r="H91" s="5"/>
      <c r="I91" s="4"/>
      <c r="J91" s="6" t="str">
        <f t="shared" si="5"/>
        <v/>
      </c>
      <c r="K91" s="4" t="str">
        <f t="shared" ca="1" si="6"/>
        <v/>
      </c>
      <c r="L91" s="7" t="str">
        <f t="shared" ca="1" si="8"/>
        <v/>
      </c>
      <c r="M91" s="4" t="str">
        <f>IF($I91="Complete","Green",IF($H91="","Amber",IF($H91&lt;'[2]Read Me'!$B$4,"Red",IF($H91-'[2]Read Me'!$B$4&lt;=21,"Amber","Green"))))</f>
        <v>Amber</v>
      </c>
      <c r="N91" s="3"/>
      <c r="O91" t="str">
        <f>IF($I91&lt;&gt;"Complete",IF(COUNTIFS($A$4:$A90,$A91,$B$4:$B90,$B91,$I$4:$I90,"&lt;&gt;Complete")=0,$A91&amp;"|"&amp;$B91,""),"")</f>
        <v>|</v>
      </c>
      <c r="P91" t="str">
        <f ca="1">IF($K91="Yes",COUNTIFS($K$4:$K91,"Yes"),"")</f>
        <v/>
      </c>
      <c r="Q91">
        <f t="shared" ca="1" si="7"/>
        <v>0</v>
      </c>
      <c r="R91" t="str">
        <f ca="1">IF($Q91=1,SUM($Q$4:$Q91),"")</f>
        <v/>
      </c>
    </row>
    <row r="92" spans="1:18" ht="33.75" customHeight="1" x14ac:dyDescent="0.3">
      <c r="A92" s="2"/>
      <c r="B92" s="2"/>
      <c r="C92" s="3"/>
      <c r="D92" s="3"/>
      <c r="E92" s="2"/>
      <c r="F92" s="2"/>
      <c r="G92" s="5"/>
      <c r="H92" s="5"/>
      <c r="I92" s="4"/>
      <c r="J92" s="6" t="str">
        <f t="shared" si="5"/>
        <v/>
      </c>
      <c r="K92" s="4" t="str">
        <f t="shared" ca="1" si="6"/>
        <v/>
      </c>
      <c r="L92" s="7" t="str">
        <f t="shared" ca="1" si="8"/>
        <v/>
      </c>
      <c r="M92" s="4" t="str">
        <f>IF($I92="Complete","Green",IF($H92="","Amber",IF($H92&lt;'[2]Read Me'!$B$4,"Red",IF($H92-'[2]Read Me'!$B$4&lt;=21,"Amber","Green"))))</f>
        <v>Amber</v>
      </c>
      <c r="N92" s="3"/>
      <c r="O92" t="str">
        <f>IF($I92&lt;&gt;"Complete",IF(COUNTIFS($A$4:$A91,$A92,$B$4:$B91,$B92,$I$4:$I91,"&lt;&gt;Complete")=0,$A92&amp;"|"&amp;$B92,""),"")</f>
        <v>|</v>
      </c>
      <c r="P92" t="str">
        <f ca="1">IF($K92="Yes",COUNTIFS($K$4:$K92,"Yes"),"")</f>
        <v/>
      </c>
      <c r="Q92">
        <f t="shared" ca="1" si="7"/>
        <v>0</v>
      </c>
      <c r="R92" t="str">
        <f ca="1">IF($Q92=1,SUM($Q$4:$Q92),"")</f>
        <v/>
      </c>
    </row>
    <row r="93" spans="1:18" ht="33.75" customHeight="1" x14ac:dyDescent="0.3">
      <c r="A93" s="2"/>
      <c r="B93" s="2"/>
      <c r="C93" s="3"/>
      <c r="D93" s="3"/>
      <c r="E93" s="2"/>
      <c r="F93" s="2"/>
      <c r="G93" s="5"/>
      <c r="H93" s="5"/>
      <c r="I93" s="4"/>
      <c r="J93" s="6" t="str">
        <f t="shared" si="5"/>
        <v/>
      </c>
      <c r="K93" s="4" t="str">
        <f t="shared" ca="1" si="6"/>
        <v/>
      </c>
      <c r="L93" s="7" t="str">
        <f t="shared" ca="1" si="8"/>
        <v/>
      </c>
      <c r="M93" s="4" t="str">
        <f>IF($I93="Complete","Green",IF($H93="","Amber",IF($H93&lt;'[2]Read Me'!$B$4,"Red",IF($H93-'[2]Read Me'!$B$4&lt;=21,"Amber","Green"))))</f>
        <v>Amber</v>
      </c>
      <c r="N93" s="3"/>
      <c r="O93" t="str">
        <f>IF($I93&lt;&gt;"Complete",IF(COUNTIFS($A$4:$A92,$A93,$B$4:$B92,$B93,$I$4:$I92,"&lt;&gt;Complete")=0,$A93&amp;"|"&amp;$B93,""),"")</f>
        <v>|</v>
      </c>
      <c r="P93" t="str">
        <f ca="1">IF($K93="Yes",COUNTIFS($K$4:$K93,"Yes"),"")</f>
        <v/>
      </c>
      <c r="Q93">
        <f t="shared" ca="1" si="7"/>
        <v>0</v>
      </c>
      <c r="R93" t="str">
        <f ca="1">IF($Q93=1,SUM($Q$4:$Q93),"")</f>
        <v/>
      </c>
    </row>
    <row r="94" spans="1:18" ht="33.75" customHeight="1" x14ac:dyDescent="0.3">
      <c r="A94" s="2"/>
      <c r="B94" s="2"/>
      <c r="C94" s="3"/>
      <c r="D94" s="3"/>
      <c r="E94" s="2"/>
      <c r="F94" s="2"/>
      <c r="G94" s="5"/>
      <c r="H94" s="5"/>
      <c r="I94" s="4"/>
      <c r="J94" s="6" t="str">
        <f t="shared" si="5"/>
        <v/>
      </c>
      <c r="K94" s="4" t="str">
        <f t="shared" ca="1" si="6"/>
        <v/>
      </c>
      <c r="L94" s="7" t="str">
        <f t="shared" ca="1" si="8"/>
        <v/>
      </c>
      <c r="M94" s="4" t="str">
        <f>IF($I94="Complete","Green",IF($H94="","Amber",IF($H94&lt;'[2]Read Me'!$B$4,"Red",IF($H94-'[2]Read Me'!$B$4&lt;=21,"Amber","Green"))))</f>
        <v>Amber</v>
      </c>
      <c r="N94" s="3"/>
      <c r="O94" t="str">
        <f>IF($I94&lt;&gt;"Complete",IF(COUNTIFS($A$4:$A93,$A94,$B$4:$B93,$B94,$I$4:$I93,"&lt;&gt;Complete")=0,$A94&amp;"|"&amp;$B94,""),"")</f>
        <v>|</v>
      </c>
      <c r="P94" t="str">
        <f ca="1">IF($K94="Yes",COUNTIFS($K$4:$K94,"Yes"),"")</f>
        <v/>
      </c>
      <c r="Q94">
        <f t="shared" ca="1" si="7"/>
        <v>0</v>
      </c>
      <c r="R94" t="str">
        <f ca="1">IF($Q94=1,SUM($Q$4:$Q94),"")</f>
        <v/>
      </c>
    </row>
    <row r="95" spans="1:18" ht="33.75" customHeight="1" x14ac:dyDescent="0.3">
      <c r="A95" s="2"/>
      <c r="B95" s="2"/>
      <c r="C95" s="3"/>
      <c r="D95" s="3"/>
      <c r="E95" s="2"/>
      <c r="F95" s="2"/>
      <c r="G95" s="5"/>
      <c r="H95" s="5"/>
      <c r="I95" s="4"/>
      <c r="J95" s="6" t="str">
        <f t="shared" si="5"/>
        <v/>
      </c>
      <c r="K95" s="4" t="str">
        <f t="shared" ca="1" si="6"/>
        <v/>
      </c>
      <c r="L95" s="7" t="str">
        <f t="shared" ca="1" si="8"/>
        <v/>
      </c>
      <c r="M95" s="4" t="str">
        <f>IF($I95="Complete","Green",IF($H95="","Amber",IF($H95&lt;'[2]Read Me'!$B$4,"Red",IF($H95-'[2]Read Me'!$B$4&lt;=21,"Amber","Green"))))</f>
        <v>Amber</v>
      </c>
      <c r="N95" s="3"/>
      <c r="O95" t="str">
        <f>IF($I95&lt;&gt;"Complete",IF(COUNTIFS($A$4:$A94,$A95,$B$4:$B94,$B95,$I$4:$I94,"&lt;&gt;Complete")=0,$A95&amp;"|"&amp;$B95,""),"")</f>
        <v>|</v>
      </c>
      <c r="P95" t="str">
        <f ca="1">IF($K95="Yes",COUNTIFS($K$4:$K95,"Yes"),"")</f>
        <v/>
      </c>
      <c r="Q95">
        <f t="shared" ca="1" si="7"/>
        <v>0</v>
      </c>
      <c r="R95" t="str">
        <f ca="1">IF($Q95=1,SUM($Q$4:$Q95),"")</f>
        <v/>
      </c>
    </row>
    <row r="96" spans="1:18" ht="33.75" customHeight="1" x14ac:dyDescent="0.3">
      <c r="A96" s="2"/>
      <c r="B96" s="2"/>
      <c r="C96" s="3"/>
      <c r="D96" s="3"/>
      <c r="E96" s="2"/>
      <c r="F96" s="2"/>
      <c r="G96" s="5"/>
      <c r="H96" s="5"/>
      <c r="I96" s="4"/>
      <c r="J96" s="6" t="str">
        <f t="shared" si="5"/>
        <v/>
      </c>
      <c r="K96" s="4" t="str">
        <f t="shared" ca="1" si="6"/>
        <v/>
      </c>
      <c r="L96" s="7" t="str">
        <f t="shared" ca="1" si="8"/>
        <v/>
      </c>
      <c r="M96" s="4" t="str">
        <f>IF($I96="Complete","Green",IF($H96="","Amber",IF($H96&lt;'[2]Read Me'!$B$4,"Red",IF($H96-'[2]Read Me'!$B$4&lt;=21,"Amber","Green"))))</f>
        <v>Amber</v>
      </c>
      <c r="N96" s="3"/>
      <c r="O96" t="str">
        <f>IF($I96&lt;&gt;"Complete",IF(COUNTIFS($A$4:$A95,$A96,$B$4:$B95,$B96,$I$4:$I95,"&lt;&gt;Complete")=0,$A96&amp;"|"&amp;$B96,""),"")</f>
        <v>|</v>
      </c>
      <c r="P96" t="str">
        <f ca="1">IF($K96="Yes",COUNTIFS($K$4:$K96,"Yes"),"")</f>
        <v/>
      </c>
      <c r="Q96">
        <f t="shared" ca="1" si="7"/>
        <v>0</v>
      </c>
      <c r="R96" t="str">
        <f ca="1">IF($Q96=1,SUM($Q$4:$Q96),"")</f>
        <v/>
      </c>
    </row>
    <row r="97" spans="1:18" ht="33.75" customHeight="1" x14ac:dyDescent="0.3">
      <c r="A97" s="2"/>
      <c r="B97" s="2"/>
      <c r="C97" s="3"/>
      <c r="D97" s="3"/>
      <c r="E97" s="2"/>
      <c r="F97" s="2"/>
      <c r="G97" s="5"/>
      <c r="H97" s="5"/>
      <c r="I97" s="4"/>
      <c r="J97" s="6" t="str">
        <f t="shared" si="5"/>
        <v/>
      </c>
      <c r="K97" s="4" t="str">
        <f t="shared" ca="1" si="6"/>
        <v/>
      </c>
      <c r="L97" s="7" t="str">
        <f t="shared" ca="1" si="8"/>
        <v/>
      </c>
      <c r="M97" s="4" t="str">
        <f>IF($I97="Complete","Green",IF($H97="","Amber",IF($H97&lt;'[2]Read Me'!$B$4,"Red",IF($H97-'[2]Read Me'!$B$4&lt;=21,"Amber","Green"))))</f>
        <v>Amber</v>
      </c>
      <c r="N97" s="3"/>
      <c r="O97" t="str">
        <f>IF($I97&lt;&gt;"Complete",IF(COUNTIFS($A$4:$A96,$A97,$B$4:$B96,$B97,$I$4:$I96,"&lt;&gt;Complete")=0,$A97&amp;"|"&amp;$B97,""),"")</f>
        <v>|</v>
      </c>
      <c r="P97" t="str">
        <f ca="1">IF($K97="Yes",COUNTIFS($K$4:$K97,"Yes"),"")</f>
        <v/>
      </c>
      <c r="Q97">
        <f t="shared" ca="1" si="7"/>
        <v>0</v>
      </c>
      <c r="R97" t="str">
        <f ca="1">IF($Q97=1,SUM($Q$4:$Q97),"")</f>
        <v/>
      </c>
    </row>
    <row r="98" spans="1:18" ht="33.75" customHeight="1" x14ac:dyDescent="0.3">
      <c r="A98" s="2"/>
      <c r="B98" s="2"/>
      <c r="C98" s="3"/>
      <c r="D98" s="3"/>
      <c r="E98" s="2"/>
      <c r="F98" s="2"/>
      <c r="G98" s="5"/>
      <c r="H98" s="5"/>
      <c r="I98" s="4"/>
      <c r="J98" s="6" t="str">
        <f t="shared" si="5"/>
        <v/>
      </c>
      <c r="K98" s="4" t="str">
        <f t="shared" ca="1" si="6"/>
        <v/>
      </c>
      <c r="L98" s="7" t="str">
        <f t="shared" ca="1" si="8"/>
        <v/>
      </c>
      <c r="M98" s="4" t="str">
        <f>IF($I98="Complete","Green",IF($H98="","Amber",IF($H98&lt;'[2]Read Me'!$B$4,"Red",IF($H98-'[2]Read Me'!$B$4&lt;=21,"Amber","Green"))))</f>
        <v>Amber</v>
      </c>
      <c r="N98" s="3"/>
      <c r="O98" t="str">
        <f>IF($I98&lt;&gt;"Complete",IF(COUNTIFS($A$4:$A97,$A98,$B$4:$B97,$B98,$I$4:$I97,"&lt;&gt;Complete")=0,$A98&amp;"|"&amp;$B98,""),"")</f>
        <v>|</v>
      </c>
      <c r="P98" t="str">
        <f ca="1">IF($K98="Yes",COUNTIFS($K$4:$K98,"Yes"),"")</f>
        <v/>
      </c>
      <c r="Q98">
        <f t="shared" ca="1" si="7"/>
        <v>0</v>
      </c>
      <c r="R98" t="str">
        <f ca="1">IF($Q98=1,SUM($Q$4:$Q98),"")</f>
        <v/>
      </c>
    </row>
    <row r="99" spans="1:18" ht="33.75" customHeight="1" x14ac:dyDescent="0.3">
      <c r="A99" s="2"/>
      <c r="B99" s="2"/>
      <c r="C99" s="3"/>
      <c r="D99" s="3"/>
      <c r="E99" s="2"/>
      <c r="F99" s="2"/>
      <c r="G99" s="5"/>
      <c r="H99" s="5"/>
      <c r="I99" s="4"/>
      <c r="J99" s="6" t="str">
        <f t="shared" si="5"/>
        <v/>
      </c>
      <c r="K99" s="4" t="str">
        <f t="shared" ca="1" si="6"/>
        <v/>
      </c>
      <c r="L99" s="7" t="str">
        <f t="shared" ca="1" si="8"/>
        <v/>
      </c>
      <c r="M99" s="4" t="str">
        <f>IF($I99="Complete","Green",IF($H99="","Amber",IF($H99&lt;'[2]Read Me'!$B$4,"Red",IF($H99-'[2]Read Me'!$B$4&lt;=21,"Amber","Green"))))</f>
        <v>Amber</v>
      </c>
      <c r="N99" s="3"/>
      <c r="O99" t="str">
        <f>IF($I99&lt;&gt;"Complete",IF(COUNTIFS($A$4:$A98,$A99,$B$4:$B98,$B99,$I$4:$I98,"&lt;&gt;Complete")=0,$A99&amp;"|"&amp;$B99,""),"")</f>
        <v>|</v>
      </c>
      <c r="P99" t="str">
        <f ca="1">IF($K99="Yes",COUNTIFS($K$4:$K99,"Yes"),"")</f>
        <v/>
      </c>
      <c r="Q99">
        <f t="shared" ca="1" si="7"/>
        <v>0</v>
      </c>
      <c r="R99" t="str">
        <f ca="1">IF($Q99=1,SUM($Q$4:$Q99),"")</f>
        <v/>
      </c>
    </row>
    <row r="100" spans="1:18" ht="33.75" customHeight="1" x14ac:dyDescent="0.3">
      <c r="A100" s="2"/>
      <c r="B100" s="2"/>
      <c r="C100" s="3"/>
      <c r="D100" s="3"/>
      <c r="E100" s="2"/>
      <c r="F100" s="2"/>
      <c r="G100" s="5"/>
      <c r="H100" s="5"/>
      <c r="I100" s="4"/>
      <c r="J100" s="6" t="str">
        <f t="shared" si="5"/>
        <v/>
      </c>
      <c r="K100" s="4" t="str">
        <f t="shared" ca="1" si="6"/>
        <v/>
      </c>
      <c r="L100" s="7" t="str">
        <f t="shared" ca="1" si="8"/>
        <v/>
      </c>
      <c r="M100" s="4" t="str">
        <f>IF($I100="Complete","Green",IF($H100="","Amber",IF($H100&lt;'[2]Read Me'!$B$4,"Red",IF($H100-'[2]Read Me'!$B$4&lt;=21,"Amber","Green"))))</f>
        <v>Amber</v>
      </c>
      <c r="N100" s="3"/>
      <c r="O100" t="str">
        <f>IF($I100&lt;&gt;"Complete",IF(COUNTIFS($A$4:$A99,$A100,$B$4:$B99,$B100,$I$4:$I99,"&lt;&gt;Complete")=0,$A100&amp;"|"&amp;$B100,""),"")</f>
        <v>|</v>
      </c>
      <c r="P100" t="str">
        <f ca="1">IF($K100="Yes",COUNTIFS($K$4:$K100,"Yes"),"")</f>
        <v/>
      </c>
      <c r="Q100">
        <f t="shared" ca="1" si="7"/>
        <v>0</v>
      </c>
      <c r="R100" t="str">
        <f ca="1">IF($Q100=1,SUM($Q$4:$Q100),"")</f>
        <v/>
      </c>
    </row>
    <row r="101" spans="1:18" ht="33.75" customHeight="1" x14ac:dyDescent="0.3">
      <c r="A101" s="2"/>
      <c r="B101" s="2"/>
      <c r="C101" s="3"/>
      <c r="D101" s="3"/>
      <c r="E101" s="2"/>
      <c r="F101" s="2"/>
      <c r="G101" s="5"/>
      <c r="H101" s="5"/>
      <c r="I101" s="4"/>
      <c r="J101" s="6" t="str">
        <f t="shared" si="5"/>
        <v/>
      </c>
      <c r="K101" s="4" t="str">
        <f t="shared" ca="1" si="6"/>
        <v/>
      </c>
      <c r="L101" s="7" t="str">
        <f t="shared" ca="1" si="8"/>
        <v/>
      </c>
      <c r="M101" s="4" t="str">
        <f>IF($I101="Complete","Green",IF($H101="","Amber",IF($H101&lt;'[2]Read Me'!$B$4,"Red",IF($H101-'[2]Read Me'!$B$4&lt;=21,"Amber","Green"))))</f>
        <v>Amber</v>
      </c>
      <c r="N101" s="3"/>
      <c r="O101" t="str">
        <f>IF($I101&lt;&gt;"Complete",IF(COUNTIFS($A$4:$A100,$A101,$B$4:$B100,$B101,$I$4:$I100,"&lt;&gt;Complete")=0,$A101&amp;"|"&amp;$B101,""),"")</f>
        <v>|</v>
      </c>
      <c r="P101" t="str">
        <f ca="1">IF($K101="Yes",COUNTIFS($K$4:$K101,"Yes"),"")</f>
        <v/>
      </c>
      <c r="Q101">
        <f t="shared" ca="1" si="7"/>
        <v>0</v>
      </c>
      <c r="R101" t="str">
        <f ca="1">IF($Q101=1,SUM($Q$4:$Q101),"")</f>
        <v/>
      </c>
    </row>
    <row r="102" spans="1:18" ht="33.75" customHeight="1" x14ac:dyDescent="0.3">
      <c r="A102" s="2"/>
      <c r="B102" s="2"/>
      <c r="C102" s="3"/>
      <c r="D102" s="3"/>
      <c r="E102" s="2"/>
      <c r="F102" s="2"/>
      <c r="G102" s="5"/>
      <c r="H102" s="5"/>
      <c r="I102" s="4"/>
      <c r="J102" s="6" t="str">
        <f t="shared" si="5"/>
        <v/>
      </c>
      <c r="K102" s="4" t="str">
        <f t="shared" ca="1" si="6"/>
        <v/>
      </c>
      <c r="L102" s="7" t="str">
        <f t="shared" ca="1" si="8"/>
        <v/>
      </c>
      <c r="M102" s="4" t="str">
        <f>IF($I102="Complete","Green",IF($H102="","Amber",IF($H102&lt;'[2]Read Me'!$B$4,"Red",IF($H102-'[2]Read Me'!$B$4&lt;=21,"Amber","Green"))))</f>
        <v>Amber</v>
      </c>
      <c r="N102" s="3"/>
      <c r="O102" t="str">
        <f>IF($I102&lt;&gt;"Complete",IF(COUNTIFS($A$4:$A101,$A102,$B$4:$B101,$B102,$I$4:$I101,"&lt;&gt;Complete")=0,$A102&amp;"|"&amp;$B102,""),"")</f>
        <v>|</v>
      </c>
      <c r="P102" t="str">
        <f ca="1">IF($K102="Yes",COUNTIFS($K$4:$K102,"Yes"),"")</f>
        <v/>
      </c>
      <c r="Q102">
        <f t="shared" ca="1" si="7"/>
        <v>0</v>
      </c>
      <c r="R102" t="str">
        <f ca="1">IF($Q102=1,SUM($Q$4:$Q102),"")</f>
        <v/>
      </c>
    </row>
    <row r="103" spans="1:18" ht="33.75" customHeight="1" x14ac:dyDescent="0.3">
      <c r="A103" s="2"/>
      <c r="B103" s="2"/>
      <c r="C103" s="3"/>
      <c r="D103" s="3"/>
      <c r="E103" s="2"/>
      <c r="F103" s="2"/>
      <c r="G103" s="5"/>
      <c r="H103" s="5"/>
      <c r="I103" s="4"/>
      <c r="J103" s="6" t="str">
        <f t="shared" si="5"/>
        <v/>
      </c>
      <c r="K103" s="4" t="str">
        <f t="shared" ca="1" si="6"/>
        <v/>
      </c>
      <c r="L103" s="7" t="str">
        <f t="shared" ca="1" si="8"/>
        <v/>
      </c>
      <c r="M103" s="4" t="str">
        <f>IF($I103="Complete","Green",IF($H103="","Amber",IF($H103&lt;'[2]Read Me'!$B$4,"Red",IF($H103-'[2]Read Me'!$B$4&lt;=21,"Amber","Green"))))</f>
        <v>Amber</v>
      </c>
      <c r="N103" s="3"/>
      <c r="O103" t="str">
        <f>IF($I103&lt;&gt;"Complete",IF(COUNTIFS($A$4:$A102,$A103,$B$4:$B102,$B103,$I$4:$I102,"&lt;&gt;Complete")=0,$A103&amp;"|"&amp;$B103,""),"")</f>
        <v>|</v>
      </c>
      <c r="P103" t="str">
        <f ca="1">IF($K103="Yes",COUNTIFS($K$4:$K103,"Yes"),"")</f>
        <v/>
      </c>
      <c r="Q103">
        <f t="shared" ca="1" si="7"/>
        <v>0</v>
      </c>
      <c r="R103" t="str">
        <f ca="1">IF($Q103=1,SUM($Q$4:$Q103),"")</f>
        <v/>
      </c>
    </row>
    <row r="104" spans="1:18" ht="33.75" customHeight="1" x14ac:dyDescent="0.3">
      <c r="A104" s="2"/>
      <c r="B104" s="2"/>
      <c r="C104" s="3"/>
      <c r="D104" s="3"/>
      <c r="E104" s="2"/>
      <c r="F104" s="2"/>
      <c r="G104" s="5"/>
      <c r="H104" s="5"/>
      <c r="I104" s="4"/>
      <c r="J104" s="6" t="str">
        <f t="shared" si="5"/>
        <v/>
      </c>
      <c r="K104" s="4" t="str">
        <f t="shared" ca="1" si="6"/>
        <v/>
      </c>
      <c r="L104" s="7" t="str">
        <f t="shared" ca="1" si="8"/>
        <v/>
      </c>
      <c r="M104" s="4" t="str">
        <f>IF($I104="Complete","Green",IF($H104="","Amber",IF($H104&lt;'[2]Read Me'!$B$4,"Red",IF($H104-'[2]Read Me'!$B$4&lt;=21,"Amber","Green"))))</f>
        <v>Amber</v>
      </c>
      <c r="N104" s="3"/>
      <c r="O104" t="str">
        <f>IF($I104&lt;&gt;"Complete",IF(COUNTIFS($A$4:$A103,$A104,$B$4:$B103,$B104,$I$4:$I103,"&lt;&gt;Complete")=0,$A104&amp;"|"&amp;$B104,""),"")</f>
        <v>|</v>
      </c>
      <c r="P104" t="str">
        <f ca="1">IF($K104="Yes",COUNTIFS($K$4:$K104,"Yes"),"")</f>
        <v/>
      </c>
      <c r="Q104">
        <f t="shared" ca="1" si="7"/>
        <v>0</v>
      </c>
      <c r="R104" t="str">
        <f ca="1">IF($Q104=1,SUM($Q$4:$Q104),"")</f>
        <v/>
      </c>
    </row>
    <row r="105" spans="1:18" ht="33.75" customHeight="1" x14ac:dyDescent="0.3">
      <c r="A105" s="2"/>
      <c r="B105" s="2"/>
      <c r="C105" s="3"/>
      <c r="D105" s="3"/>
      <c r="E105" s="2"/>
      <c r="F105" s="2"/>
      <c r="G105" s="5"/>
      <c r="H105" s="5"/>
      <c r="I105" s="4"/>
      <c r="J105" s="6" t="str">
        <f t="shared" si="5"/>
        <v/>
      </c>
      <c r="K105" s="4" t="str">
        <f t="shared" ca="1" si="6"/>
        <v/>
      </c>
      <c r="L105" s="7" t="str">
        <f t="shared" ca="1" si="8"/>
        <v/>
      </c>
      <c r="M105" s="4" t="str">
        <f>IF($I105="Complete","Green",IF($H105="","Amber",IF($H105&lt;'[2]Read Me'!$B$4,"Red",IF($H105-'[2]Read Me'!$B$4&lt;=21,"Amber","Green"))))</f>
        <v>Amber</v>
      </c>
      <c r="N105" s="3"/>
      <c r="O105" t="str">
        <f>IF($I105&lt;&gt;"Complete",IF(COUNTIFS($A$4:$A104,$A105,$B$4:$B104,$B105,$I$4:$I104,"&lt;&gt;Complete")=0,$A105&amp;"|"&amp;$B105,""),"")</f>
        <v>|</v>
      </c>
      <c r="P105" t="str">
        <f ca="1">IF($K105="Yes",COUNTIFS($K$4:$K105,"Yes"),"")</f>
        <v/>
      </c>
      <c r="Q105">
        <f t="shared" ca="1" si="7"/>
        <v>0</v>
      </c>
      <c r="R105" t="str">
        <f ca="1">IF($Q105=1,SUM($Q$4:$Q105),"")</f>
        <v/>
      </c>
    </row>
    <row r="106" spans="1:18" ht="22.5" customHeight="1" x14ac:dyDescent="0.3">
      <c r="A106" s="2"/>
      <c r="B106" s="2"/>
      <c r="C106" s="3"/>
      <c r="D106" s="3"/>
      <c r="E106" s="2"/>
      <c r="F106" s="2"/>
      <c r="G106" s="5"/>
      <c r="H106" s="5"/>
      <c r="I106" s="4"/>
      <c r="J106" s="6" t="str">
        <f t="shared" si="5"/>
        <v/>
      </c>
      <c r="K106" s="4" t="str">
        <f t="shared" ca="1" si="6"/>
        <v/>
      </c>
      <c r="L106" s="7" t="str">
        <f t="shared" ca="1" si="8"/>
        <v/>
      </c>
      <c r="M106" s="4" t="str">
        <f>IF($I106="Complete","Green",IF($H106="","Amber",IF($H106&lt;'[2]Read Me'!$B$4,"Red",IF($H106-'[2]Read Me'!$B$4&lt;=21,"Amber","Green"))))</f>
        <v>Amber</v>
      </c>
      <c r="N106" s="3"/>
      <c r="O106" t="str">
        <f>IF($I106&lt;&gt;"Complete",IF(COUNTIFS($A$4:$A105,$A106,$B$4:$B105,$B106,$I$4:$I105,"&lt;&gt;Complete")=0,$A106&amp;"|"&amp;$B106,""),"")</f>
        <v>|</v>
      </c>
      <c r="P106" t="str">
        <f ca="1">IF($K106="Yes",COUNTIFS($K$4:$K106,"Yes"),"")</f>
        <v/>
      </c>
      <c r="Q106">
        <f t="shared" ca="1" si="7"/>
        <v>0</v>
      </c>
      <c r="R106" t="str">
        <f ca="1">IF($Q106=1,SUM($Q$4:$Q106),"")</f>
        <v/>
      </c>
    </row>
    <row r="107" spans="1:18" ht="22.5" customHeight="1" x14ac:dyDescent="0.3">
      <c r="A107" s="2"/>
      <c r="B107" s="2"/>
      <c r="C107" s="3"/>
      <c r="D107" s="3"/>
      <c r="E107" s="2"/>
      <c r="F107" s="2"/>
      <c r="G107" s="5"/>
      <c r="H107" s="5"/>
      <c r="I107" s="4"/>
      <c r="J107" s="6" t="str">
        <f t="shared" si="5"/>
        <v/>
      </c>
      <c r="K107" s="4" t="str">
        <f t="shared" ca="1" si="6"/>
        <v/>
      </c>
      <c r="L107" s="7" t="str">
        <f t="shared" ca="1" si="8"/>
        <v/>
      </c>
      <c r="M107" s="4" t="str">
        <f>IF($I107="Complete","Green",IF($H107="","Amber",IF($H107&lt;'[2]Read Me'!$B$4,"Red",IF($H107-'[2]Read Me'!$B$4&lt;=21,"Amber","Green"))))</f>
        <v>Amber</v>
      </c>
      <c r="N107" s="3"/>
      <c r="O107" t="str">
        <f>IF($I107&lt;&gt;"Complete",IF(COUNTIFS($A$4:$A106,$A107,$B$4:$B106,$B107,$I$4:$I106,"&lt;&gt;Complete")=0,$A107&amp;"|"&amp;$B107,""),"")</f>
        <v>|</v>
      </c>
      <c r="P107" t="str">
        <f ca="1">IF($K107="Yes",COUNTIFS($K$4:$K107,"Yes"),"")</f>
        <v/>
      </c>
      <c r="Q107">
        <f t="shared" ca="1" si="7"/>
        <v>0</v>
      </c>
      <c r="R107" t="str">
        <f ca="1">IF($Q107=1,SUM($Q$4:$Q107),"")</f>
        <v/>
      </c>
    </row>
    <row r="108" spans="1:18" ht="22.5" customHeight="1" x14ac:dyDescent="0.3">
      <c r="A108" s="2"/>
      <c r="B108" s="2"/>
      <c r="C108" s="3"/>
      <c r="D108" s="3"/>
      <c r="E108" s="2"/>
      <c r="F108" s="2"/>
      <c r="G108" s="5"/>
      <c r="H108" s="5"/>
      <c r="I108" s="4"/>
      <c r="J108" s="6" t="str">
        <f t="shared" si="5"/>
        <v/>
      </c>
      <c r="K108" s="4" t="str">
        <f t="shared" ca="1" si="6"/>
        <v/>
      </c>
      <c r="L108" s="7" t="str">
        <f t="shared" ca="1" si="8"/>
        <v/>
      </c>
      <c r="M108" s="4" t="str">
        <f>IF($I108="Complete","Green",IF($H108="","Amber",IF($H108&lt;'[2]Read Me'!$B$4,"Red",IF($H108-'[2]Read Me'!$B$4&lt;=21,"Amber","Green"))))</f>
        <v>Amber</v>
      </c>
      <c r="N108" s="3"/>
      <c r="O108" t="str">
        <f>IF($I108&lt;&gt;"Complete",IF(COUNTIFS($A$4:$A107,$A108,$B$4:$B107,$B108,$I$4:$I107,"&lt;&gt;Complete")=0,$A108&amp;"|"&amp;$B108,""),"")</f>
        <v>|</v>
      </c>
      <c r="P108" t="str">
        <f ca="1">IF($K108="Yes",COUNTIFS($K$4:$K108,"Yes"),"")</f>
        <v/>
      </c>
      <c r="Q108">
        <f t="shared" ca="1" si="7"/>
        <v>0</v>
      </c>
      <c r="R108" t="str">
        <f ca="1">IF($Q108=1,SUM($Q$4:$Q108),"")</f>
        <v/>
      </c>
    </row>
    <row r="109" spans="1:18" ht="22.5" customHeight="1" x14ac:dyDescent="0.3">
      <c r="A109" s="2"/>
      <c r="B109" s="2"/>
      <c r="C109" s="3"/>
      <c r="D109" s="3"/>
      <c r="E109" s="2"/>
      <c r="F109" s="2"/>
      <c r="G109" s="5"/>
      <c r="H109" s="5"/>
      <c r="I109" s="4"/>
      <c r="J109" s="6" t="str">
        <f t="shared" si="5"/>
        <v/>
      </c>
      <c r="K109" s="4" t="str">
        <f t="shared" ca="1" si="6"/>
        <v/>
      </c>
      <c r="L109" s="7" t="str">
        <f t="shared" ca="1" si="8"/>
        <v/>
      </c>
      <c r="M109" s="4" t="str">
        <f>IF($I109="Complete","Green",IF($H109="","Amber",IF($H109&lt;'[2]Read Me'!$B$4,"Red",IF($H109-'[2]Read Me'!$B$4&lt;=21,"Amber","Green"))))</f>
        <v>Amber</v>
      </c>
      <c r="N109" s="3"/>
      <c r="O109" t="str">
        <f>IF($I109&lt;&gt;"Complete",IF(COUNTIFS($A$4:$A108,$A109,$B$4:$B108,$B109,$I$4:$I108,"&lt;&gt;Complete")=0,$A109&amp;"|"&amp;$B109,""),"")</f>
        <v>|</v>
      </c>
      <c r="P109" t="str">
        <f ca="1">IF($K109="Yes",COUNTIFS($K$4:$K109,"Yes"),"")</f>
        <v/>
      </c>
      <c r="Q109">
        <f t="shared" ca="1" si="7"/>
        <v>0</v>
      </c>
      <c r="R109" t="str">
        <f ca="1">IF($Q109=1,SUM($Q$4:$Q109),"")</f>
        <v/>
      </c>
    </row>
    <row r="110" spans="1:18" ht="22.5" customHeight="1" x14ac:dyDescent="0.3">
      <c r="A110" s="2"/>
      <c r="B110" s="2"/>
      <c r="C110" s="3"/>
      <c r="D110" s="3"/>
      <c r="E110" s="2"/>
      <c r="F110" s="2"/>
      <c r="G110" s="5"/>
      <c r="H110" s="5"/>
      <c r="I110" s="4"/>
      <c r="J110" s="6" t="str">
        <f t="shared" si="5"/>
        <v/>
      </c>
      <c r="K110" s="4" t="str">
        <f t="shared" ca="1" si="6"/>
        <v/>
      </c>
      <c r="L110" s="7" t="str">
        <f t="shared" ca="1" si="8"/>
        <v/>
      </c>
      <c r="M110" s="4" t="str">
        <f>IF($I110="Complete","Green",IF($H110="","Amber",IF($H110&lt;'[2]Read Me'!$B$4,"Red",IF($H110-'[2]Read Me'!$B$4&lt;=21,"Amber","Green"))))</f>
        <v>Amber</v>
      </c>
      <c r="N110" s="3"/>
      <c r="O110" t="str">
        <f>IF($I110&lt;&gt;"Complete",IF(COUNTIFS($A$4:$A109,$A110,$B$4:$B109,$B110,$I$4:$I109,"&lt;&gt;Complete")=0,$A110&amp;"|"&amp;$B110,""),"")</f>
        <v>|</v>
      </c>
      <c r="P110" t="str">
        <f ca="1">IF($K110="Yes",COUNTIFS($K$4:$K110,"Yes"),"")</f>
        <v/>
      </c>
      <c r="Q110">
        <f t="shared" ca="1" si="7"/>
        <v>0</v>
      </c>
      <c r="R110" t="str">
        <f ca="1">IF($Q110=1,SUM($Q$4:$Q110),"")</f>
        <v/>
      </c>
    </row>
    <row r="111" spans="1:18" ht="22.5" customHeight="1" x14ac:dyDescent="0.3">
      <c r="A111" s="2"/>
      <c r="B111" s="2"/>
      <c r="C111" s="3"/>
      <c r="D111" s="3"/>
      <c r="E111" s="2"/>
      <c r="F111" s="2"/>
      <c r="G111" s="5"/>
      <c r="H111" s="5"/>
      <c r="I111" s="4"/>
      <c r="J111" s="6" t="str">
        <f t="shared" si="5"/>
        <v/>
      </c>
      <c r="K111" s="4" t="str">
        <f t="shared" ca="1" si="6"/>
        <v/>
      </c>
      <c r="L111" s="7" t="str">
        <f t="shared" ca="1" si="8"/>
        <v/>
      </c>
      <c r="M111" s="4" t="str">
        <f>IF($I111="Complete","Green",IF($H111="","Amber",IF($H111&lt;'[2]Read Me'!$B$4,"Red",IF($H111-'[2]Read Me'!$B$4&lt;=21,"Amber","Green"))))</f>
        <v>Amber</v>
      </c>
      <c r="N111" s="3"/>
      <c r="O111" t="str">
        <f>IF($I111&lt;&gt;"Complete",IF(COUNTIFS($A$4:$A110,$A111,$B$4:$B110,$B111,$I$4:$I110,"&lt;&gt;Complete")=0,$A111&amp;"|"&amp;$B111,""),"")</f>
        <v>|</v>
      </c>
      <c r="P111" t="str">
        <f ca="1">IF($K111="Yes",COUNTIFS($K$4:$K111,"Yes"),"")</f>
        <v/>
      </c>
      <c r="Q111">
        <f t="shared" ca="1" si="7"/>
        <v>0</v>
      </c>
      <c r="R111" t="str">
        <f ca="1">IF($Q111=1,SUM($Q$4:$Q111),"")</f>
        <v/>
      </c>
    </row>
    <row r="112" spans="1:18" ht="22.5" customHeight="1" x14ac:dyDescent="0.3">
      <c r="A112" s="2"/>
      <c r="B112" s="2"/>
      <c r="C112" s="3"/>
      <c r="D112" s="3"/>
      <c r="E112" s="2"/>
      <c r="F112" s="2"/>
      <c r="G112" s="5"/>
      <c r="H112" s="5"/>
      <c r="I112" s="4"/>
      <c r="J112" s="6" t="str">
        <f t="shared" si="5"/>
        <v/>
      </c>
      <c r="K112" s="4" t="str">
        <f t="shared" ca="1" si="6"/>
        <v/>
      </c>
      <c r="L112" s="7" t="str">
        <f t="shared" ca="1" si="8"/>
        <v/>
      </c>
      <c r="M112" s="4" t="str">
        <f>IF($I112="Complete","Green",IF($H112="","Amber",IF($H112&lt;'[2]Read Me'!$B$4,"Red",IF($H112-'[2]Read Me'!$B$4&lt;=21,"Amber","Green"))))</f>
        <v>Amber</v>
      </c>
      <c r="N112" s="3"/>
      <c r="O112" t="str">
        <f>IF($I112&lt;&gt;"Complete",IF(COUNTIFS($A$4:$A111,$A112,$B$4:$B111,$B112,$I$4:$I111,"&lt;&gt;Complete")=0,$A112&amp;"|"&amp;$B112,""),"")</f>
        <v>|</v>
      </c>
      <c r="P112" t="str">
        <f ca="1">IF($K112="Yes",COUNTIFS($K$4:$K112,"Yes"),"")</f>
        <v/>
      </c>
      <c r="Q112">
        <f t="shared" ca="1" si="7"/>
        <v>0</v>
      </c>
      <c r="R112" t="str">
        <f ca="1">IF($Q112=1,SUM($Q$4:$Q112),"")</f>
        <v/>
      </c>
    </row>
    <row r="113" spans="1:18" ht="22.5" customHeight="1" x14ac:dyDescent="0.3">
      <c r="A113" s="2"/>
      <c r="B113" s="2"/>
      <c r="C113" s="3"/>
      <c r="D113" s="3"/>
      <c r="E113" s="2"/>
      <c r="F113" s="2"/>
      <c r="G113" s="5"/>
      <c r="H113" s="5"/>
      <c r="I113" s="4"/>
      <c r="J113" s="6" t="str">
        <f t="shared" si="5"/>
        <v/>
      </c>
      <c r="K113" s="4" t="str">
        <f t="shared" ca="1" si="6"/>
        <v/>
      </c>
      <c r="L113" s="7" t="str">
        <f t="shared" ca="1" si="8"/>
        <v/>
      </c>
      <c r="M113" s="4" t="str">
        <f>IF($I113="Complete","Green",IF($H113="","Amber",IF($H113&lt;'[2]Read Me'!$B$4,"Red",IF($H113-'[2]Read Me'!$B$4&lt;=21,"Amber","Green"))))</f>
        <v>Amber</v>
      </c>
      <c r="N113" s="3"/>
      <c r="O113" t="str">
        <f>IF($I113&lt;&gt;"Complete",IF(COUNTIFS($A$4:$A112,$A113,$B$4:$B112,$B113,$I$4:$I112,"&lt;&gt;Complete")=0,$A113&amp;"|"&amp;$B113,""),"")</f>
        <v>|</v>
      </c>
      <c r="P113" t="str">
        <f ca="1">IF($K113="Yes",COUNTIFS($K$4:$K113,"Yes"),"")</f>
        <v/>
      </c>
      <c r="Q113">
        <f t="shared" ca="1" si="7"/>
        <v>0</v>
      </c>
      <c r="R113" t="str">
        <f ca="1">IF($Q113=1,SUM($Q$4:$Q113),"")</f>
        <v/>
      </c>
    </row>
    <row r="114" spans="1:18" ht="22.5" customHeight="1" x14ac:dyDescent="0.3">
      <c r="A114" s="2"/>
      <c r="B114" s="2"/>
      <c r="C114" s="3"/>
      <c r="D114" s="3"/>
      <c r="E114" s="2"/>
      <c r="F114" s="2"/>
      <c r="G114" s="5"/>
      <c r="H114" s="5"/>
      <c r="I114" s="4"/>
      <c r="J114" s="6" t="str">
        <f t="shared" si="5"/>
        <v/>
      </c>
      <c r="K114" s="4" t="str">
        <f t="shared" ca="1" si="6"/>
        <v/>
      </c>
      <c r="L114" s="7" t="str">
        <f t="shared" ca="1" si="8"/>
        <v/>
      </c>
      <c r="M114" s="4" t="str">
        <f>IF($I114="Complete","Green",IF($H114="","Amber",IF($H114&lt;'[2]Read Me'!$B$4,"Red",IF($H114-'[2]Read Me'!$B$4&lt;=21,"Amber","Green"))))</f>
        <v>Amber</v>
      </c>
      <c r="N114" s="3"/>
      <c r="O114" t="str">
        <f>IF($I114&lt;&gt;"Complete",IF(COUNTIFS($A$4:$A113,$A114,$B$4:$B113,$B114,$I$4:$I113,"&lt;&gt;Complete")=0,$A114&amp;"|"&amp;$B114,""),"")</f>
        <v>|</v>
      </c>
      <c r="P114" t="str">
        <f ca="1">IF($K114="Yes",COUNTIFS($K$4:$K114,"Yes"),"")</f>
        <v/>
      </c>
      <c r="Q114">
        <f t="shared" ca="1" si="7"/>
        <v>0</v>
      </c>
      <c r="R114" t="str">
        <f ca="1">IF($Q114=1,SUM($Q$4:$Q114),"")</f>
        <v/>
      </c>
    </row>
    <row r="115" spans="1:18" ht="22.5" customHeight="1" x14ac:dyDescent="0.3">
      <c r="A115" s="2"/>
      <c r="B115" s="2"/>
      <c r="C115" s="3"/>
      <c r="D115" s="3"/>
      <c r="E115" s="2"/>
      <c r="F115" s="2"/>
      <c r="G115" s="5"/>
      <c r="H115" s="5"/>
      <c r="I115" s="4"/>
      <c r="J115" s="6" t="str">
        <f t="shared" si="5"/>
        <v/>
      </c>
      <c r="K115" s="4" t="str">
        <f t="shared" ca="1" si="6"/>
        <v/>
      </c>
      <c r="L115" s="7" t="str">
        <f t="shared" ca="1" si="8"/>
        <v/>
      </c>
      <c r="M115" s="4" t="str">
        <f>IF($I115="Complete","Green",IF($H115="","Amber",IF($H115&lt;'[2]Read Me'!$B$4,"Red",IF($H115-'[2]Read Me'!$B$4&lt;=21,"Amber","Green"))))</f>
        <v>Amber</v>
      </c>
      <c r="N115" s="3"/>
      <c r="O115" t="str">
        <f>IF($I115&lt;&gt;"Complete",IF(COUNTIFS($A$4:$A114,$A115,$B$4:$B114,$B115,$I$4:$I114,"&lt;&gt;Complete")=0,$A115&amp;"|"&amp;$B115,""),"")</f>
        <v>|</v>
      </c>
      <c r="P115" t="str">
        <f ca="1">IF($K115="Yes",COUNTIFS($K$4:$K115,"Yes"),"")</f>
        <v/>
      </c>
      <c r="Q115">
        <f t="shared" ca="1" si="7"/>
        <v>0</v>
      </c>
      <c r="R115" t="str">
        <f ca="1">IF($Q115=1,SUM($Q$4:$Q115),"")</f>
        <v/>
      </c>
    </row>
    <row r="116" spans="1:18" ht="22.5" customHeight="1" x14ac:dyDescent="0.3">
      <c r="A116" s="2"/>
      <c r="B116" s="2"/>
      <c r="C116" s="3"/>
      <c r="D116" s="3"/>
      <c r="E116" s="2"/>
      <c r="F116" s="2"/>
      <c r="G116" s="5"/>
      <c r="H116" s="5"/>
      <c r="I116" s="4"/>
      <c r="J116" s="6" t="str">
        <f t="shared" si="5"/>
        <v/>
      </c>
      <c r="K116" s="4" t="str">
        <f t="shared" ca="1" si="6"/>
        <v/>
      </c>
      <c r="L116" s="7" t="str">
        <f t="shared" ca="1" si="8"/>
        <v/>
      </c>
      <c r="M116" s="4" t="str">
        <f>IF($I116="Complete","Green",IF($H116="","Amber",IF($H116&lt;'[2]Read Me'!$B$4,"Red",IF($H116-'[2]Read Me'!$B$4&lt;=21,"Amber","Green"))))</f>
        <v>Amber</v>
      </c>
      <c r="N116" s="3"/>
      <c r="O116" t="str">
        <f>IF($I116&lt;&gt;"Complete",IF(COUNTIFS($A$4:$A115,$A116,$B$4:$B115,$B116,$I$4:$I115,"&lt;&gt;Complete")=0,$A116&amp;"|"&amp;$B116,""),"")</f>
        <v>|</v>
      </c>
      <c r="P116" t="str">
        <f ca="1">IF($K116="Yes",COUNTIFS($K$4:$K116,"Yes"),"")</f>
        <v/>
      </c>
      <c r="Q116">
        <f t="shared" ca="1" si="7"/>
        <v>0</v>
      </c>
      <c r="R116" t="str">
        <f ca="1">IF($Q116=1,SUM($Q$4:$Q116),"")</f>
        <v/>
      </c>
    </row>
    <row r="117" spans="1:18" ht="22.5" customHeight="1" x14ac:dyDescent="0.3">
      <c r="A117" s="2"/>
      <c r="B117" s="2"/>
      <c r="C117" s="3"/>
      <c r="D117" s="3"/>
      <c r="E117" s="2"/>
      <c r="F117" s="2"/>
      <c r="G117" s="5"/>
      <c r="H117" s="5"/>
      <c r="I117" s="4"/>
      <c r="J117" s="6" t="str">
        <f t="shared" si="5"/>
        <v/>
      </c>
      <c r="K117" s="4" t="str">
        <f t="shared" ca="1" si="6"/>
        <v/>
      </c>
      <c r="L117" s="7" t="str">
        <f t="shared" ca="1" si="8"/>
        <v/>
      </c>
      <c r="M117" s="4" t="str">
        <f>IF($I117="Complete","Green",IF($H117="","Amber",IF($H117&lt;'[2]Read Me'!$B$4,"Red",IF($H117-'[2]Read Me'!$B$4&lt;=21,"Amber","Green"))))</f>
        <v>Amber</v>
      </c>
      <c r="N117" s="3"/>
      <c r="O117" t="str">
        <f>IF($I117&lt;&gt;"Complete",IF(COUNTIFS($A$4:$A116,$A117,$B$4:$B116,$B117,$I$4:$I116,"&lt;&gt;Complete")=0,$A117&amp;"|"&amp;$B117,""),"")</f>
        <v>|</v>
      </c>
      <c r="P117" t="str">
        <f ca="1">IF($K117="Yes",COUNTIFS($K$4:$K117,"Yes"),"")</f>
        <v/>
      </c>
      <c r="Q117">
        <f t="shared" ca="1" si="7"/>
        <v>0</v>
      </c>
      <c r="R117" t="str">
        <f ca="1">IF($Q117=1,SUM($Q$4:$Q117),"")</f>
        <v/>
      </c>
    </row>
    <row r="118" spans="1:18" ht="22.5" customHeight="1" x14ac:dyDescent="0.3">
      <c r="A118" s="2"/>
      <c r="B118" s="2"/>
      <c r="C118" s="3"/>
      <c r="D118" s="3"/>
      <c r="E118" s="2"/>
      <c r="F118" s="2"/>
      <c r="G118" s="5"/>
      <c r="H118" s="5"/>
      <c r="I118" s="4"/>
      <c r="J118" s="6" t="str">
        <f t="shared" si="5"/>
        <v/>
      </c>
      <c r="K118" s="4" t="str">
        <f t="shared" ca="1" si="6"/>
        <v/>
      </c>
      <c r="L118" s="7" t="str">
        <f t="shared" ca="1" si="8"/>
        <v/>
      </c>
      <c r="M118" s="4" t="str">
        <f>IF($I118="Complete","Green",IF($H118="","Amber",IF($H118&lt;'[2]Read Me'!$B$4,"Red",IF($H118-'[2]Read Me'!$B$4&lt;=21,"Amber","Green"))))</f>
        <v>Amber</v>
      </c>
      <c r="N118" s="3"/>
      <c r="O118" t="str">
        <f>IF($I118&lt;&gt;"Complete",IF(COUNTIFS($A$4:$A117,$A118,$B$4:$B117,$B118,$I$4:$I117,"&lt;&gt;Complete")=0,$A118&amp;"|"&amp;$B118,""),"")</f>
        <v>|</v>
      </c>
      <c r="P118" t="str">
        <f ca="1">IF($K118="Yes",COUNTIFS($K$4:$K118,"Yes"),"")</f>
        <v/>
      </c>
      <c r="Q118">
        <f t="shared" ca="1" si="7"/>
        <v>0</v>
      </c>
      <c r="R118" t="str">
        <f ca="1">IF($Q118=1,SUM($Q$4:$Q118),"")</f>
        <v/>
      </c>
    </row>
    <row r="119" spans="1:18" ht="22.5" customHeight="1" x14ac:dyDescent="0.3">
      <c r="A119" s="2"/>
      <c r="B119" s="2"/>
      <c r="C119" s="3"/>
      <c r="D119" s="3"/>
      <c r="E119" s="2"/>
      <c r="F119" s="2"/>
      <c r="G119" s="5"/>
      <c r="H119" s="5"/>
      <c r="I119" s="4"/>
      <c r="J119" s="6" t="str">
        <f t="shared" si="5"/>
        <v/>
      </c>
      <c r="K119" s="4" t="str">
        <f t="shared" ca="1" si="6"/>
        <v/>
      </c>
      <c r="L119" s="7" t="str">
        <f t="shared" ca="1" si="8"/>
        <v/>
      </c>
      <c r="M119" s="4" t="str">
        <f>IF($I119="Complete","Green",IF($H119="","Amber",IF($H119&lt;'[2]Read Me'!$B$4,"Red",IF($H119-'[2]Read Me'!$B$4&lt;=21,"Amber","Green"))))</f>
        <v>Amber</v>
      </c>
      <c r="N119" s="3"/>
      <c r="O119" t="str">
        <f>IF($I119&lt;&gt;"Complete",IF(COUNTIFS($A$4:$A118,$A119,$B$4:$B118,$B119,$I$4:$I118,"&lt;&gt;Complete")=0,$A119&amp;"|"&amp;$B119,""),"")</f>
        <v>|</v>
      </c>
      <c r="P119" t="str">
        <f ca="1">IF($K119="Yes",COUNTIFS($K$4:$K119,"Yes"),"")</f>
        <v/>
      </c>
      <c r="Q119">
        <f t="shared" ca="1" si="7"/>
        <v>0</v>
      </c>
      <c r="R119" t="str">
        <f ca="1">IF($Q119=1,SUM($Q$4:$Q119),"")</f>
        <v/>
      </c>
    </row>
    <row r="120" spans="1:18" ht="22.5" customHeight="1" x14ac:dyDescent="0.3">
      <c r="A120" s="2"/>
      <c r="B120" s="2"/>
      <c r="C120" s="3"/>
      <c r="D120" s="3"/>
      <c r="E120" s="2"/>
      <c r="F120" s="2"/>
      <c r="G120" s="5"/>
      <c r="H120" s="5"/>
      <c r="I120" s="4"/>
      <c r="J120" s="6" t="str">
        <f t="shared" si="5"/>
        <v/>
      </c>
      <c r="K120" s="4" t="str">
        <f t="shared" ca="1" si="6"/>
        <v/>
      </c>
      <c r="L120" s="7" t="str">
        <f t="shared" ca="1" si="8"/>
        <v/>
      </c>
      <c r="M120" s="4" t="str">
        <f>IF($I120="Complete","Green",IF($H120="","Amber",IF($H120&lt;'[2]Read Me'!$B$4,"Red",IF($H120-'[2]Read Me'!$B$4&lt;=21,"Amber","Green"))))</f>
        <v>Amber</v>
      </c>
      <c r="N120" s="3"/>
      <c r="O120" t="str">
        <f>IF($I120&lt;&gt;"Complete",IF(COUNTIFS($A$4:$A119,$A120,$B$4:$B119,$B120,$I$4:$I119,"&lt;&gt;Complete")=0,$A120&amp;"|"&amp;$B120,""),"")</f>
        <v>|</v>
      </c>
      <c r="P120" t="str">
        <f ca="1">IF($K120="Yes",COUNTIFS($K$4:$K120,"Yes"),"")</f>
        <v/>
      </c>
      <c r="Q120">
        <f t="shared" ca="1" si="7"/>
        <v>0</v>
      </c>
      <c r="R120" t="str">
        <f ca="1">IF($Q120=1,SUM($Q$4:$Q120),"")</f>
        <v/>
      </c>
    </row>
    <row r="121" spans="1:18" ht="22.5" customHeight="1" x14ac:dyDescent="0.3">
      <c r="A121" s="2"/>
      <c r="B121" s="2"/>
      <c r="C121" s="3"/>
      <c r="D121" s="3"/>
      <c r="E121" s="2"/>
      <c r="F121" s="2"/>
      <c r="G121" s="5"/>
      <c r="H121" s="5"/>
      <c r="I121" s="4"/>
      <c r="J121" s="6" t="str">
        <f t="shared" si="5"/>
        <v/>
      </c>
      <c r="K121" s="4" t="str">
        <f t="shared" ca="1" si="6"/>
        <v/>
      </c>
      <c r="L121" s="7" t="str">
        <f t="shared" ca="1" si="8"/>
        <v/>
      </c>
      <c r="M121" s="4" t="str">
        <f>IF($I121="Complete","Green",IF($H121="","Amber",IF($H121&lt;'[2]Read Me'!$B$4,"Red",IF($H121-'[2]Read Me'!$B$4&lt;=21,"Amber","Green"))))</f>
        <v>Amber</v>
      </c>
      <c r="N121" s="3"/>
      <c r="O121" t="str">
        <f>IF($I121&lt;&gt;"Complete",IF(COUNTIFS($A$4:$A120,$A121,$B$4:$B120,$B121,$I$4:$I120,"&lt;&gt;Complete")=0,$A121&amp;"|"&amp;$B121,""),"")</f>
        <v>|</v>
      </c>
      <c r="P121" t="str">
        <f ca="1">IF($K121="Yes",COUNTIFS($K$4:$K121,"Yes"),"")</f>
        <v/>
      </c>
      <c r="Q121">
        <f t="shared" ca="1" si="7"/>
        <v>0</v>
      </c>
      <c r="R121" t="str">
        <f ca="1">IF($Q121=1,SUM($Q$4:$Q121),"")</f>
        <v/>
      </c>
    </row>
    <row r="122" spans="1:18" ht="22.5" customHeight="1" x14ac:dyDescent="0.3">
      <c r="A122" s="2"/>
      <c r="B122" s="2"/>
      <c r="C122" s="3"/>
      <c r="D122" s="3"/>
      <c r="E122" s="2"/>
      <c r="F122" s="2"/>
      <c r="G122" s="5"/>
      <c r="H122" s="5"/>
      <c r="I122" s="4"/>
      <c r="J122" s="6" t="str">
        <f t="shared" si="5"/>
        <v/>
      </c>
      <c r="K122" s="4" t="str">
        <f t="shared" ca="1" si="6"/>
        <v/>
      </c>
      <c r="L122" s="7" t="str">
        <f t="shared" ca="1" si="8"/>
        <v/>
      </c>
      <c r="M122" s="4" t="str">
        <f>IF($I122="Complete","Green",IF($H122="","Amber",IF($H122&lt;'[2]Read Me'!$B$4,"Red",IF($H122-'[2]Read Me'!$B$4&lt;=21,"Amber","Green"))))</f>
        <v>Amber</v>
      </c>
      <c r="N122" s="3"/>
      <c r="O122" t="str">
        <f>IF($I122&lt;&gt;"Complete",IF(COUNTIFS($A$4:$A121,$A122,$B$4:$B121,$B122,$I$4:$I121,"&lt;&gt;Complete")=0,$A122&amp;"|"&amp;$B122,""),"")</f>
        <v>|</v>
      </c>
      <c r="P122" t="str">
        <f ca="1">IF($K122="Yes",COUNTIFS($K$4:$K122,"Yes"),"")</f>
        <v/>
      </c>
      <c r="Q122">
        <f t="shared" ca="1" si="7"/>
        <v>0</v>
      </c>
      <c r="R122" t="str">
        <f ca="1">IF($Q122=1,SUM($Q$4:$Q122),"")</f>
        <v/>
      </c>
    </row>
    <row r="123" spans="1:18" ht="22.5" customHeight="1" x14ac:dyDescent="0.3">
      <c r="A123" s="2"/>
      <c r="B123" s="2"/>
      <c r="C123" s="3"/>
      <c r="D123" s="3"/>
      <c r="E123" s="2"/>
      <c r="F123" s="2"/>
      <c r="G123" s="5"/>
      <c r="H123" s="5"/>
      <c r="I123" s="4"/>
      <c r="J123" s="6" t="str">
        <f t="shared" si="5"/>
        <v/>
      </c>
      <c r="K123" s="4" t="str">
        <f t="shared" ca="1" si="6"/>
        <v/>
      </c>
      <c r="L123" s="7" t="str">
        <f t="shared" ca="1" si="8"/>
        <v/>
      </c>
      <c r="M123" s="4" t="str">
        <f>IF($I123="Complete","Green",IF($H123="","Amber",IF($H123&lt;'[2]Read Me'!$B$4,"Red",IF($H123-'[2]Read Me'!$B$4&lt;=21,"Amber","Green"))))</f>
        <v>Amber</v>
      </c>
      <c r="N123" s="3"/>
      <c r="O123" t="str">
        <f>IF($I123&lt;&gt;"Complete",IF(COUNTIFS($A$4:$A122,$A123,$B$4:$B122,$B123,$I$4:$I122,"&lt;&gt;Complete")=0,$A123&amp;"|"&amp;$B123,""),"")</f>
        <v>|</v>
      </c>
      <c r="P123" t="str">
        <f ca="1">IF($K123="Yes",COUNTIFS($K$4:$K123,"Yes"),"")</f>
        <v/>
      </c>
      <c r="Q123">
        <f t="shared" ca="1" si="7"/>
        <v>0</v>
      </c>
      <c r="R123" t="str">
        <f ca="1">IF($Q123=1,SUM($Q$4:$Q123),"")</f>
        <v/>
      </c>
    </row>
    <row r="124" spans="1:18" ht="22.5" customHeight="1" x14ac:dyDescent="0.3">
      <c r="A124" s="2"/>
      <c r="B124" s="2"/>
      <c r="C124" s="3"/>
      <c r="D124" s="3"/>
      <c r="E124" s="2"/>
      <c r="F124" s="2"/>
      <c r="G124" s="5"/>
      <c r="H124" s="5"/>
      <c r="I124" s="4"/>
      <c r="J124" s="6" t="str">
        <f t="shared" si="5"/>
        <v/>
      </c>
      <c r="K124" s="4" t="str">
        <f t="shared" ca="1" si="6"/>
        <v/>
      </c>
      <c r="L124" s="7" t="str">
        <f t="shared" ca="1" si="8"/>
        <v/>
      </c>
      <c r="M124" s="4" t="str">
        <f>IF($I124="Complete","Green",IF($H124="","Amber",IF($H124&lt;'[2]Read Me'!$B$4,"Red",IF($H124-'[2]Read Me'!$B$4&lt;=21,"Amber","Green"))))</f>
        <v>Amber</v>
      </c>
      <c r="N124" s="3"/>
      <c r="O124" t="str">
        <f>IF($I124&lt;&gt;"Complete",IF(COUNTIFS($A$4:$A123,$A124,$B$4:$B123,$B124,$I$4:$I123,"&lt;&gt;Complete")=0,$A124&amp;"|"&amp;$B124,""),"")</f>
        <v>|</v>
      </c>
      <c r="P124" t="str">
        <f ca="1">IF($K124="Yes",COUNTIFS($K$4:$K124,"Yes"),"")</f>
        <v/>
      </c>
      <c r="Q124">
        <f t="shared" ca="1" si="7"/>
        <v>0</v>
      </c>
      <c r="R124" t="str">
        <f ca="1">IF($Q124=1,SUM($Q$4:$Q124),"")</f>
        <v/>
      </c>
    </row>
    <row r="125" spans="1:18" ht="22.5" customHeight="1" x14ac:dyDescent="0.3">
      <c r="A125" s="2"/>
      <c r="B125" s="2"/>
      <c r="C125" s="3"/>
      <c r="D125" s="3"/>
      <c r="E125" s="2"/>
      <c r="F125" s="2"/>
      <c r="G125" s="5"/>
      <c r="H125" s="5"/>
      <c r="I125" s="4"/>
      <c r="J125" s="6" t="str">
        <f t="shared" si="5"/>
        <v/>
      </c>
      <c r="K125" s="4" t="str">
        <f t="shared" ca="1" si="6"/>
        <v/>
      </c>
      <c r="L125" s="7" t="str">
        <f t="shared" ca="1" si="8"/>
        <v/>
      </c>
      <c r="M125" s="4" t="str">
        <f>IF($I125="Complete","Green",IF($H125="","Amber",IF($H125&lt;'[2]Read Me'!$B$4,"Red",IF($H125-'[2]Read Me'!$B$4&lt;=21,"Amber","Green"))))</f>
        <v>Amber</v>
      </c>
      <c r="N125" s="3"/>
      <c r="O125" t="str">
        <f>IF($I125&lt;&gt;"Complete",IF(COUNTIFS($A$4:$A124,$A125,$B$4:$B124,$B125,$I$4:$I124,"&lt;&gt;Complete")=0,$A125&amp;"|"&amp;$B125,""),"")</f>
        <v>|</v>
      </c>
      <c r="P125" t="str">
        <f ca="1">IF($K125="Yes",COUNTIFS($K$4:$K125,"Yes"),"")</f>
        <v/>
      </c>
      <c r="Q125">
        <f t="shared" ca="1" si="7"/>
        <v>0</v>
      </c>
      <c r="R125" t="str">
        <f ca="1">IF($Q125=1,SUM($Q$4:$Q125),"")</f>
        <v/>
      </c>
    </row>
    <row r="126" spans="1:18" ht="22.5" customHeight="1" x14ac:dyDescent="0.3">
      <c r="A126" s="2"/>
      <c r="B126" s="2"/>
      <c r="C126" s="3"/>
      <c r="D126" s="3"/>
      <c r="E126" s="2"/>
      <c r="F126" s="2"/>
      <c r="G126" s="5"/>
      <c r="H126" s="5"/>
      <c r="I126" s="4"/>
      <c r="J126" s="6" t="str">
        <f t="shared" si="5"/>
        <v/>
      </c>
      <c r="K126" s="4" t="str">
        <f t="shared" ca="1" si="6"/>
        <v/>
      </c>
      <c r="L126" s="7" t="str">
        <f t="shared" ca="1" si="8"/>
        <v/>
      </c>
      <c r="M126" s="4" t="str">
        <f>IF($I126="Complete","Green",IF($H126="","Amber",IF($H126&lt;'[2]Read Me'!$B$4,"Red",IF($H126-'[2]Read Me'!$B$4&lt;=21,"Amber","Green"))))</f>
        <v>Amber</v>
      </c>
      <c r="N126" s="3"/>
      <c r="O126" t="str">
        <f>IF($I126&lt;&gt;"Complete",IF(COUNTIFS($A$4:$A125,$A126,$B$4:$B125,$B126,$I$4:$I125,"&lt;&gt;Complete")=0,$A126&amp;"|"&amp;$B126,""),"")</f>
        <v>|</v>
      </c>
      <c r="P126" t="str">
        <f ca="1">IF($K126="Yes",COUNTIFS($K$4:$K126,"Yes"),"")</f>
        <v/>
      </c>
      <c r="Q126">
        <f t="shared" ca="1" si="7"/>
        <v>0</v>
      </c>
      <c r="R126" t="str">
        <f ca="1">IF($Q126=1,SUM($Q$4:$Q126),"")</f>
        <v/>
      </c>
    </row>
    <row r="127" spans="1:18" ht="22.5" customHeight="1" x14ac:dyDescent="0.3">
      <c r="A127" s="2"/>
      <c r="B127" s="2"/>
      <c r="C127" s="3"/>
      <c r="D127" s="3"/>
      <c r="E127" s="2"/>
      <c r="F127" s="2"/>
      <c r="G127" s="5"/>
      <c r="H127" s="5"/>
      <c r="I127" s="4"/>
      <c r="J127" s="6" t="str">
        <f t="shared" si="5"/>
        <v/>
      </c>
      <c r="K127" s="4" t="str">
        <f t="shared" ca="1" si="6"/>
        <v/>
      </c>
      <c r="L127" s="7" t="str">
        <f t="shared" ca="1" si="8"/>
        <v/>
      </c>
      <c r="M127" s="4" t="str">
        <f>IF($I127="Complete","Green",IF($H127="","Amber",IF($H127&lt;'[2]Read Me'!$B$4,"Red",IF($H127-'[2]Read Me'!$B$4&lt;=21,"Amber","Green"))))</f>
        <v>Amber</v>
      </c>
      <c r="N127" s="3"/>
      <c r="O127" t="str">
        <f>IF($I127&lt;&gt;"Complete",IF(COUNTIFS($A$4:$A126,$A127,$B$4:$B126,$B127,$I$4:$I126,"&lt;&gt;Complete")=0,$A127&amp;"|"&amp;$B127,""),"")</f>
        <v>|</v>
      </c>
      <c r="P127" t="str">
        <f ca="1">IF($K127="Yes",COUNTIFS($K$4:$K127,"Yes"),"")</f>
        <v/>
      </c>
      <c r="Q127">
        <f t="shared" ca="1" si="7"/>
        <v>0</v>
      </c>
      <c r="R127" t="str">
        <f ca="1">IF($Q127=1,SUM($Q$4:$Q127),"")</f>
        <v/>
      </c>
    </row>
    <row r="128" spans="1:18" ht="22.5" customHeight="1" x14ac:dyDescent="0.3">
      <c r="A128" s="2"/>
      <c r="B128" s="2"/>
      <c r="C128" s="3"/>
      <c r="D128" s="3"/>
      <c r="E128" s="2"/>
      <c r="F128" s="2"/>
      <c r="G128" s="5"/>
      <c r="H128" s="5"/>
      <c r="I128" s="4"/>
      <c r="J128" s="6" t="str">
        <f t="shared" si="5"/>
        <v/>
      </c>
      <c r="K128" s="4" t="str">
        <f t="shared" ca="1" si="6"/>
        <v/>
      </c>
      <c r="L128" s="7" t="str">
        <f t="shared" ca="1" si="8"/>
        <v/>
      </c>
      <c r="M128" s="4" t="str">
        <f>IF($I128="Complete","Green",IF($H128="","Amber",IF($H128&lt;'[2]Read Me'!$B$4,"Red",IF($H128-'[2]Read Me'!$B$4&lt;=21,"Amber","Green"))))</f>
        <v>Amber</v>
      </c>
      <c r="N128" s="3"/>
      <c r="O128" t="str">
        <f>IF($I128&lt;&gt;"Complete",IF(COUNTIFS($A$4:$A127,$A128,$B$4:$B127,$B128,$I$4:$I127,"&lt;&gt;Complete")=0,$A128&amp;"|"&amp;$B128,""),"")</f>
        <v>|</v>
      </c>
      <c r="P128" t="str">
        <f ca="1">IF($K128="Yes",COUNTIFS($K$4:$K128,"Yes"),"")</f>
        <v/>
      </c>
      <c r="Q128">
        <f t="shared" ca="1" si="7"/>
        <v>0</v>
      </c>
      <c r="R128" t="str">
        <f ca="1">IF($Q128=1,SUM($Q$4:$Q128),"")</f>
        <v/>
      </c>
    </row>
    <row r="129" spans="1:18" ht="22.5" customHeight="1" x14ac:dyDescent="0.3">
      <c r="A129" s="2"/>
      <c r="B129" s="2"/>
      <c r="C129" s="3"/>
      <c r="D129" s="3"/>
      <c r="E129" s="2"/>
      <c r="F129" s="2"/>
      <c r="G129" s="5"/>
      <c r="H129" s="5"/>
      <c r="I129" s="4"/>
      <c r="J129" s="6" t="str">
        <f t="shared" si="5"/>
        <v/>
      </c>
      <c r="K129" s="4" t="str">
        <f t="shared" ca="1" si="6"/>
        <v/>
      </c>
      <c r="L129" s="7" t="str">
        <f t="shared" ca="1" si="8"/>
        <v/>
      </c>
      <c r="M129" s="4" t="str">
        <f>IF($I129="Complete","Green",IF($H129="","Amber",IF($H129&lt;'[2]Read Me'!$B$4,"Red",IF($H129-'[2]Read Me'!$B$4&lt;=21,"Amber","Green"))))</f>
        <v>Amber</v>
      </c>
      <c r="N129" s="3"/>
      <c r="O129" t="str">
        <f>IF($I129&lt;&gt;"Complete",IF(COUNTIFS($A$4:$A128,$A129,$B$4:$B128,$B129,$I$4:$I128,"&lt;&gt;Complete")=0,$A129&amp;"|"&amp;$B129,""),"")</f>
        <v>|</v>
      </c>
      <c r="P129" t="str">
        <f ca="1">IF($K129="Yes",COUNTIFS($K$4:$K129,"Yes"),"")</f>
        <v/>
      </c>
      <c r="Q129">
        <f t="shared" ca="1" si="7"/>
        <v>0</v>
      </c>
      <c r="R129" t="str">
        <f ca="1">IF($Q129=1,SUM($Q$4:$Q129),"")</f>
        <v/>
      </c>
    </row>
    <row r="130" spans="1:18" ht="22.5" customHeight="1" x14ac:dyDescent="0.3">
      <c r="A130" s="2"/>
      <c r="B130" s="2"/>
      <c r="C130" s="3"/>
      <c r="D130" s="3"/>
      <c r="E130" s="2"/>
      <c r="F130" s="2"/>
      <c r="G130" s="5"/>
      <c r="H130" s="5"/>
      <c r="I130" s="4"/>
      <c r="J130" s="6" t="str">
        <f t="shared" si="5"/>
        <v/>
      </c>
      <c r="K130" s="4" t="str">
        <f t="shared" ca="1" si="6"/>
        <v/>
      </c>
      <c r="L130" s="7" t="str">
        <f t="shared" ca="1" si="8"/>
        <v/>
      </c>
      <c r="M130" s="4" t="str">
        <f>IF($I130="Complete","Green",IF($H130="","Amber",IF($H130&lt;'[2]Read Me'!$B$4,"Red",IF($H130-'[2]Read Me'!$B$4&lt;=21,"Amber","Green"))))</f>
        <v>Amber</v>
      </c>
      <c r="N130" s="3"/>
      <c r="O130" t="str">
        <f>IF($I130&lt;&gt;"Complete",IF(COUNTIFS($A$4:$A129,$A130,$B$4:$B129,$B130,$I$4:$I129,"&lt;&gt;Complete")=0,$A130&amp;"|"&amp;$B130,""),"")</f>
        <v>|</v>
      </c>
      <c r="P130" t="str">
        <f ca="1">IF($K130="Yes",COUNTIFS($K$4:$K130,"Yes"),"")</f>
        <v/>
      </c>
      <c r="Q130">
        <f t="shared" ca="1" si="7"/>
        <v>0</v>
      </c>
      <c r="R130" t="str">
        <f ca="1">IF($Q130=1,SUM($Q$4:$Q130),"")</f>
        <v/>
      </c>
    </row>
    <row r="131" spans="1:18" ht="22.5" customHeight="1" x14ac:dyDescent="0.3">
      <c r="A131" s="2"/>
      <c r="B131" s="2"/>
      <c r="C131" s="3"/>
      <c r="D131" s="3"/>
      <c r="E131" s="2"/>
      <c r="F131" s="2"/>
      <c r="G131" s="5"/>
      <c r="H131" s="5"/>
      <c r="I131" s="4"/>
      <c r="J131" s="6" t="str">
        <f t="shared" si="5"/>
        <v/>
      </c>
      <c r="K131" s="4" t="str">
        <f t="shared" ca="1" si="6"/>
        <v/>
      </c>
      <c r="L131" s="7" t="str">
        <f t="shared" ca="1" si="8"/>
        <v/>
      </c>
      <c r="M131" s="4" t="str">
        <f>IF($I131="Complete","Green",IF($H131="","Amber",IF($H131&lt;'[2]Read Me'!$B$4,"Red",IF($H131-'[2]Read Me'!$B$4&lt;=21,"Amber","Green"))))</f>
        <v>Amber</v>
      </c>
      <c r="N131" s="3"/>
      <c r="O131" t="str">
        <f>IF($I131&lt;&gt;"Complete",IF(COUNTIFS($A$4:$A130,$A131,$B$4:$B130,$B131,$I$4:$I130,"&lt;&gt;Complete")=0,$A131&amp;"|"&amp;$B131,""),"")</f>
        <v>|</v>
      </c>
      <c r="P131" t="str">
        <f ca="1">IF($K131="Yes",COUNTIFS($K$4:$K131,"Yes"),"")</f>
        <v/>
      </c>
      <c r="Q131">
        <f t="shared" ca="1" si="7"/>
        <v>0</v>
      </c>
      <c r="R131" t="str">
        <f ca="1">IF($Q131=1,SUM($Q$4:$Q131),"")</f>
        <v/>
      </c>
    </row>
    <row r="132" spans="1:18" ht="22.5" customHeight="1" x14ac:dyDescent="0.3">
      <c r="A132" s="2"/>
      <c r="B132" s="2"/>
      <c r="C132" s="3"/>
      <c r="D132" s="3"/>
      <c r="E132" s="2"/>
      <c r="F132" s="2"/>
      <c r="G132" s="5"/>
      <c r="H132" s="5"/>
      <c r="I132" s="4"/>
      <c r="J132" s="6" t="str">
        <f t="shared" ref="J132:J195" si="9">IF(OR($G132="",$H132=""),"",$H132-$G132)</f>
        <v/>
      </c>
      <c r="K132" s="4" t="str">
        <f t="shared" ref="K132:K195" ca="1" si="10">IF(C132="","",IF(H132="","",IF($I132="completed","-",IF($H132&gt;TODAY(),"No","Yes"))))</f>
        <v/>
      </c>
      <c r="L132" s="7" t="str">
        <f t="shared" ca="1" si="8"/>
        <v/>
      </c>
      <c r="M132" s="4" t="str">
        <f>IF($I132="Complete","Green",IF($H132="","Amber",IF($H132&lt;'[2]Read Me'!$B$4,"Red",IF($H132-'[2]Read Me'!$B$4&lt;=21,"Amber","Green"))))</f>
        <v>Amber</v>
      </c>
      <c r="N132" s="3"/>
      <c r="O132" t="str">
        <f>IF($I132&lt;&gt;"Complete",IF(COUNTIFS($A$4:$A131,$A132,$B$4:$B131,$B132,$I$4:$I131,"&lt;&gt;Complete")=0,$A132&amp;"|"&amp;$B132,""),"")</f>
        <v>|</v>
      </c>
      <c r="P132" t="str">
        <f ca="1">IF($K132="Yes",COUNTIFS($K$4:$K132,"Yes"),"")</f>
        <v/>
      </c>
      <c r="Q132">
        <f t="shared" ref="Q132:Q195" ca="1" si="11">IF(OR($I132="In Progress",$K132="Yes"),1,0)</f>
        <v>0</v>
      </c>
      <c r="R132" t="str">
        <f ca="1">IF($Q132=1,SUM($Q$4:$Q132),"")</f>
        <v/>
      </c>
    </row>
    <row r="133" spans="1:18" ht="22.5" customHeight="1" x14ac:dyDescent="0.3">
      <c r="A133" s="2"/>
      <c r="B133" s="2"/>
      <c r="C133" s="3"/>
      <c r="D133" s="3"/>
      <c r="E133" s="2"/>
      <c r="F133" s="2"/>
      <c r="G133" s="5"/>
      <c r="H133" s="5"/>
      <c r="I133" s="4"/>
      <c r="J133" s="6" t="str">
        <f t="shared" si="9"/>
        <v/>
      </c>
      <c r="K133" s="4" t="str">
        <f t="shared" ca="1" si="10"/>
        <v/>
      </c>
      <c r="L133" s="7" t="str">
        <f t="shared" ref="L133:L196" ca="1" si="12">IF(I133="Completed",0,IF(H133="","",H133-TODAY()))</f>
        <v/>
      </c>
      <c r="M133" s="4" t="str">
        <f>IF($I133="Complete","Green",IF($H133="","Amber",IF($H133&lt;'[2]Read Me'!$B$4,"Red",IF($H133-'[2]Read Me'!$B$4&lt;=21,"Amber","Green"))))</f>
        <v>Amber</v>
      </c>
      <c r="N133" s="3"/>
      <c r="O133" t="str">
        <f>IF($I133&lt;&gt;"Complete",IF(COUNTIFS($A$4:$A132,$A133,$B$4:$B132,$B133,$I$4:$I132,"&lt;&gt;Complete")=0,$A133&amp;"|"&amp;$B133,""),"")</f>
        <v>|</v>
      </c>
      <c r="P133" t="str">
        <f ca="1">IF($K133="Yes",COUNTIFS($K$4:$K133,"Yes"),"")</f>
        <v/>
      </c>
      <c r="Q133">
        <f t="shared" ca="1" si="11"/>
        <v>0</v>
      </c>
      <c r="R133" t="str">
        <f ca="1">IF($Q133=1,SUM($Q$4:$Q133),"")</f>
        <v/>
      </c>
    </row>
    <row r="134" spans="1:18" ht="22.5" customHeight="1" x14ac:dyDescent="0.3">
      <c r="A134" s="2"/>
      <c r="B134" s="2"/>
      <c r="C134" s="3"/>
      <c r="D134" s="3"/>
      <c r="E134" s="2"/>
      <c r="F134" s="2"/>
      <c r="G134" s="5"/>
      <c r="H134" s="5"/>
      <c r="I134" s="4"/>
      <c r="J134" s="6" t="str">
        <f t="shared" si="9"/>
        <v/>
      </c>
      <c r="K134" s="4" t="str">
        <f t="shared" ca="1" si="10"/>
        <v/>
      </c>
      <c r="L134" s="7" t="str">
        <f t="shared" ca="1" si="12"/>
        <v/>
      </c>
      <c r="M134" s="4" t="str">
        <f>IF($I134="Complete","Green",IF($H134="","Amber",IF($H134&lt;'[2]Read Me'!$B$4,"Red",IF($H134-'[2]Read Me'!$B$4&lt;=21,"Amber","Green"))))</f>
        <v>Amber</v>
      </c>
      <c r="N134" s="3"/>
      <c r="O134" t="str">
        <f>IF($I134&lt;&gt;"Complete",IF(COUNTIFS($A$4:$A133,$A134,$B$4:$B133,$B134,$I$4:$I133,"&lt;&gt;Complete")=0,$A134&amp;"|"&amp;$B134,""),"")</f>
        <v>|</v>
      </c>
      <c r="P134" t="str">
        <f ca="1">IF($K134="Yes",COUNTIFS($K$4:$K134,"Yes"),"")</f>
        <v/>
      </c>
      <c r="Q134">
        <f t="shared" ca="1" si="11"/>
        <v>0</v>
      </c>
      <c r="R134" t="str">
        <f ca="1">IF($Q134=1,SUM($Q$4:$Q134),"")</f>
        <v/>
      </c>
    </row>
    <row r="135" spans="1:18" ht="22.5" customHeight="1" x14ac:dyDescent="0.3">
      <c r="A135" s="2"/>
      <c r="B135" s="2"/>
      <c r="C135" s="3"/>
      <c r="D135" s="3"/>
      <c r="E135" s="2"/>
      <c r="F135" s="2"/>
      <c r="G135" s="5"/>
      <c r="H135" s="5"/>
      <c r="I135" s="4"/>
      <c r="J135" s="6" t="str">
        <f t="shared" si="9"/>
        <v/>
      </c>
      <c r="K135" s="4" t="str">
        <f t="shared" ca="1" si="10"/>
        <v/>
      </c>
      <c r="L135" s="7" t="str">
        <f t="shared" ca="1" si="12"/>
        <v/>
      </c>
      <c r="M135" s="4" t="str">
        <f>IF($I135="Complete","Green",IF($H135="","Amber",IF($H135&lt;'[2]Read Me'!$B$4,"Red",IF($H135-'[2]Read Me'!$B$4&lt;=21,"Amber","Green"))))</f>
        <v>Amber</v>
      </c>
      <c r="N135" s="3"/>
      <c r="O135" t="str">
        <f>IF($I135&lt;&gt;"Complete",IF(COUNTIFS($A$4:$A134,$A135,$B$4:$B134,$B135,$I$4:$I134,"&lt;&gt;Complete")=0,$A135&amp;"|"&amp;$B135,""),"")</f>
        <v>|</v>
      </c>
      <c r="P135" t="str">
        <f ca="1">IF($K135="Yes",COUNTIFS($K$4:$K135,"Yes"),"")</f>
        <v/>
      </c>
      <c r="Q135">
        <f t="shared" ca="1" si="11"/>
        <v>0</v>
      </c>
      <c r="R135" t="str">
        <f ca="1">IF($Q135=1,SUM($Q$4:$Q135),"")</f>
        <v/>
      </c>
    </row>
    <row r="136" spans="1:18" ht="22.5" customHeight="1" x14ac:dyDescent="0.3">
      <c r="A136" s="2"/>
      <c r="B136" s="2"/>
      <c r="C136" s="3"/>
      <c r="D136" s="3"/>
      <c r="E136" s="2"/>
      <c r="F136" s="2"/>
      <c r="G136" s="5"/>
      <c r="H136" s="5"/>
      <c r="I136" s="4"/>
      <c r="J136" s="6" t="str">
        <f t="shared" si="9"/>
        <v/>
      </c>
      <c r="K136" s="4" t="str">
        <f t="shared" ca="1" si="10"/>
        <v/>
      </c>
      <c r="L136" s="7" t="str">
        <f t="shared" ca="1" si="12"/>
        <v/>
      </c>
      <c r="M136" s="4" t="str">
        <f>IF($I136="Complete","Green",IF($H136="","Amber",IF($H136&lt;'[2]Read Me'!$B$4,"Red",IF($H136-'[2]Read Me'!$B$4&lt;=21,"Amber","Green"))))</f>
        <v>Amber</v>
      </c>
      <c r="N136" s="3"/>
      <c r="O136" t="str">
        <f>IF($I136&lt;&gt;"Complete",IF(COUNTIFS($A$4:$A135,$A136,$B$4:$B135,$B136,$I$4:$I135,"&lt;&gt;Complete")=0,$A136&amp;"|"&amp;$B136,""),"")</f>
        <v>|</v>
      </c>
      <c r="P136" t="str">
        <f ca="1">IF($K136="Yes",COUNTIFS($K$4:$K136,"Yes"),"")</f>
        <v/>
      </c>
      <c r="Q136">
        <f t="shared" ca="1" si="11"/>
        <v>0</v>
      </c>
      <c r="R136" t="str">
        <f ca="1">IF($Q136=1,SUM($Q$4:$Q136),"")</f>
        <v/>
      </c>
    </row>
    <row r="137" spans="1:18" ht="22.5" customHeight="1" x14ac:dyDescent="0.3">
      <c r="A137" s="2"/>
      <c r="B137" s="2"/>
      <c r="C137" s="3"/>
      <c r="D137" s="3"/>
      <c r="E137" s="2"/>
      <c r="F137" s="2"/>
      <c r="G137" s="5"/>
      <c r="H137" s="5"/>
      <c r="I137" s="4"/>
      <c r="J137" s="6" t="str">
        <f t="shared" si="9"/>
        <v/>
      </c>
      <c r="K137" s="4" t="str">
        <f t="shared" ca="1" si="10"/>
        <v/>
      </c>
      <c r="L137" s="7" t="str">
        <f t="shared" ca="1" si="12"/>
        <v/>
      </c>
      <c r="M137" s="4" t="str">
        <f>IF($I137="Complete","Green",IF($H137="","Amber",IF($H137&lt;'[2]Read Me'!$B$4,"Red",IF($H137-'[2]Read Me'!$B$4&lt;=21,"Amber","Green"))))</f>
        <v>Amber</v>
      </c>
      <c r="N137" s="3"/>
      <c r="O137" t="str">
        <f>IF($I137&lt;&gt;"Complete",IF(COUNTIFS($A$4:$A136,$A137,$B$4:$B136,$B137,$I$4:$I136,"&lt;&gt;Complete")=0,$A137&amp;"|"&amp;$B137,""),"")</f>
        <v>|</v>
      </c>
      <c r="P137" t="str">
        <f ca="1">IF($K137="Yes",COUNTIFS($K$4:$K137,"Yes"),"")</f>
        <v/>
      </c>
      <c r="Q137">
        <f t="shared" ca="1" si="11"/>
        <v>0</v>
      </c>
      <c r="R137" t="str">
        <f ca="1">IF($Q137=1,SUM($Q$4:$Q137),"")</f>
        <v/>
      </c>
    </row>
    <row r="138" spans="1:18" ht="22.5" customHeight="1" x14ac:dyDescent="0.3">
      <c r="A138" s="2"/>
      <c r="B138" s="2"/>
      <c r="C138" s="3"/>
      <c r="D138" s="3"/>
      <c r="E138" s="2"/>
      <c r="F138" s="2"/>
      <c r="G138" s="5"/>
      <c r="H138" s="5"/>
      <c r="I138" s="4"/>
      <c r="J138" s="6" t="str">
        <f t="shared" si="9"/>
        <v/>
      </c>
      <c r="K138" s="4" t="str">
        <f t="shared" ca="1" si="10"/>
        <v/>
      </c>
      <c r="L138" s="7" t="str">
        <f t="shared" ca="1" si="12"/>
        <v/>
      </c>
      <c r="M138" s="4" t="str">
        <f>IF($I138="Complete","Green",IF($H138="","Amber",IF($H138&lt;'[2]Read Me'!$B$4,"Red",IF($H138-'[2]Read Me'!$B$4&lt;=21,"Amber","Green"))))</f>
        <v>Amber</v>
      </c>
      <c r="N138" s="3"/>
      <c r="O138" t="str">
        <f>IF($I138&lt;&gt;"Complete",IF(COUNTIFS($A$4:$A137,$A138,$B$4:$B137,$B138,$I$4:$I137,"&lt;&gt;Complete")=0,$A138&amp;"|"&amp;$B138,""),"")</f>
        <v>|</v>
      </c>
      <c r="P138" t="str">
        <f ca="1">IF($K138="Yes",COUNTIFS($K$4:$K138,"Yes"),"")</f>
        <v/>
      </c>
      <c r="Q138">
        <f t="shared" ca="1" si="11"/>
        <v>0</v>
      </c>
      <c r="R138" t="str">
        <f ca="1">IF($Q138=1,SUM($Q$4:$Q138),"")</f>
        <v/>
      </c>
    </row>
    <row r="139" spans="1:18" ht="22.5" customHeight="1" x14ac:dyDescent="0.3">
      <c r="A139" s="2"/>
      <c r="B139" s="2"/>
      <c r="C139" s="3"/>
      <c r="D139" s="3"/>
      <c r="E139" s="2"/>
      <c r="F139" s="2"/>
      <c r="G139" s="5"/>
      <c r="H139" s="5"/>
      <c r="I139" s="4"/>
      <c r="J139" s="6" t="str">
        <f t="shared" si="9"/>
        <v/>
      </c>
      <c r="K139" s="4" t="str">
        <f t="shared" ca="1" si="10"/>
        <v/>
      </c>
      <c r="L139" s="7" t="str">
        <f t="shared" ca="1" si="12"/>
        <v/>
      </c>
      <c r="M139" s="4" t="str">
        <f>IF($I139="Complete","Green",IF($H139="","Amber",IF($H139&lt;'[2]Read Me'!$B$4,"Red",IF($H139-'[2]Read Me'!$B$4&lt;=21,"Amber","Green"))))</f>
        <v>Amber</v>
      </c>
      <c r="N139" s="3"/>
      <c r="O139" t="str">
        <f>IF($I139&lt;&gt;"Complete",IF(COUNTIFS($A$4:$A138,$A139,$B$4:$B138,$B139,$I$4:$I138,"&lt;&gt;Complete")=0,$A139&amp;"|"&amp;$B139,""),"")</f>
        <v>|</v>
      </c>
      <c r="P139" t="str">
        <f ca="1">IF($K139="Yes",COUNTIFS($K$4:$K139,"Yes"),"")</f>
        <v/>
      </c>
      <c r="Q139">
        <f t="shared" ca="1" si="11"/>
        <v>0</v>
      </c>
      <c r="R139" t="str">
        <f ca="1">IF($Q139=1,SUM($Q$4:$Q139),"")</f>
        <v/>
      </c>
    </row>
    <row r="140" spans="1:18" ht="22.5" customHeight="1" x14ac:dyDescent="0.3">
      <c r="A140" s="2"/>
      <c r="B140" s="2"/>
      <c r="C140" s="3"/>
      <c r="D140" s="3"/>
      <c r="E140" s="2"/>
      <c r="F140" s="2"/>
      <c r="G140" s="5"/>
      <c r="H140" s="5"/>
      <c r="I140" s="4"/>
      <c r="J140" s="6" t="str">
        <f t="shared" si="9"/>
        <v/>
      </c>
      <c r="K140" s="4" t="str">
        <f t="shared" ca="1" si="10"/>
        <v/>
      </c>
      <c r="L140" s="7" t="str">
        <f t="shared" ca="1" si="12"/>
        <v/>
      </c>
      <c r="M140" s="4" t="str">
        <f>IF($I140="Complete","Green",IF($H140="","Amber",IF($H140&lt;'[2]Read Me'!$B$4,"Red",IF($H140-'[2]Read Me'!$B$4&lt;=21,"Amber","Green"))))</f>
        <v>Amber</v>
      </c>
      <c r="N140" s="3"/>
      <c r="O140" t="str">
        <f>IF($I140&lt;&gt;"Complete",IF(COUNTIFS($A$4:$A139,$A140,$B$4:$B139,$B140,$I$4:$I139,"&lt;&gt;Complete")=0,$A140&amp;"|"&amp;$B140,""),"")</f>
        <v>|</v>
      </c>
      <c r="P140" t="str">
        <f ca="1">IF($K140="Yes",COUNTIFS($K$4:$K140,"Yes"),"")</f>
        <v/>
      </c>
      <c r="Q140">
        <f t="shared" ca="1" si="11"/>
        <v>0</v>
      </c>
      <c r="R140" t="str">
        <f ca="1">IF($Q140=1,SUM($Q$4:$Q140),"")</f>
        <v/>
      </c>
    </row>
    <row r="141" spans="1:18" ht="22.5" customHeight="1" x14ac:dyDescent="0.3">
      <c r="A141" s="2"/>
      <c r="B141" s="2"/>
      <c r="C141" s="3"/>
      <c r="D141" s="3"/>
      <c r="E141" s="2"/>
      <c r="F141" s="2"/>
      <c r="G141" s="5"/>
      <c r="H141" s="5"/>
      <c r="I141" s="4"/>
      <c r="J141" s="6" t="str">
        <f t="shared" si="9"/>
        <v/>
      </c>
      <c r="K141" s="4" t="str">
        <f t="shared" ca="1" si="10"/>
        <v/>
      </c>
      <c r="L141" s="7" t="str">
        <f t="shared" ca="1" si="12"/>
        <v/>
      </c>
      <c r="M141" s="4" t="str">
        <f>IF($I141="Complete","Green",IF($H141="","Amber",IF($H141&lt;'[2]Read Me'!$B$4,"Red",IF($H141-'[2]Read Me'!$B$4&lt;=21,"Amber","Green"))))</f>
        <v>Amber</v>
      </c>
      <c r="N141" s="3"/>
      <c r="O141" t="str">
        <f>IF($I141&lt;&gt;"Complete",IF(COUNTIFS($A$4:$A140,$A141,$B$4:$B140,$B141,$I$4:$I140,"&lt;&gt;Complete")=0,$A141&amp;"|"&amp;$B141,""),"")</f>
        <v>|</v>
      </c>
      <c r="P141" t="str">
        <f ca="1">IF($K141="Yes",COUNTIFS($K$4:$K141,"Yes"),"")</f>
        <v/>
      </c>
      <c r="Q141">
        <f t="shared" ca="1" si="11"/>
        <v>0</v>
      </c>
      <c r="R141" t="str">
        <f ca="1">IF($Q141=1,SUM($Q$4:$Q141),"")</f>
        <v/>
      </c>
    </row>
    <row r="142" spans="1:18" ht="22.5" customHeight="1" x14ac:dyDescent="0.3">
      <c r="A142" s="2"/>
      <c r="B142" s="2"/>
      <c r="C142" s="3"/>
      <c r="D142" s="3"/>
      <c r="E142" s="2"/>
      <c r="F142" s="2"/>
      <c r="G142" s="5"/>
      <c r="H142" s="5"/>
      <c r="I142" s="4"/>
      <c r="J142" s="6" t="str">
        <f t="shared" si="9"/>
        <v/>
      </c>
      <c r="K142" s="4" t="str">
        <f t="shared" ca="1" si="10"/>
        <v/>
      </c>
      <c r="L142" s="7" t="str">
        <f t="shared" ca="1" si="12"/>
        <v/>
      </c>
      <c r="M142" s="4" t="str">
        <f>IF($I142="Complete","Green",IF($H142="","Amber",IF($H142&lt;'[2]Read Me'!$B$4,"Red",IF($H142-'[2]Read Me'!$B$4&lt;=21,"Amber","Green"))))</f>
        <v>Amber</v>
      </c>
      <c r="N142" s="3"/>
      <c r="O142" t="str">
        <f>IF($I142&lt;&gt;"Complete",IF(COUNTIFS($A$4:$A141,$A142,$B$4:$B141,$B142,$I$4:$I141,"&lt;&gt;Complete")=0,$A142&amp;"|"&amp;$B142,""),"")</f>
        <v>|</v>
      </c>
      <c r="P142" t="str">
        <f ca="1">IF($K142="Yes",COUNTIFS($K$4:$K142,"Yes"),"")</f>
        <v/>
      </c>
      <c r="Q142">
        <f t="shared" ca="1" si="11"/>
        <v>0</v>
      </c>
      <c r="R142" t="str">
        <f ca="1">IF($Q142=1,SUM($Q$4:$Q142),"")</f>
        <v/>
      </c>
    </row>
    <row r="143" spans="1:18" ht="22.5" customHeight="1" x14ac:dyDescent="0.3">
      <c r="A143" s="2"/>
      <c r="B143" s="2"/>
      <c r="C143" s="3"/>
      <c r="D143" s="3"/>
      <c r="E143" s="2"/>
      <c r="F143" s="2"/>
      <c r="G143" s="5"/>
      <c r="H143" s="5"/>
      <c r="I143" s="4"/>
      <c r="J143" s="6" t="str">
        <f t="shared" si="9"/>
        <v/>
      </c>
      <c r="K143" s="4" t="str">
        <f t="shared" ca="1" si="10"/>
        <v/>
      </c>
      <c r="L143" s="7" t="str">
        <f t="shared" ca="1" si="12"/>
        <v/>
      </c>
      <c r="M143" s="4" t="str">
        <f>IF($I143="Complete","Green",IF($H143="","Amber",IF($H143&lt;'[2]Read Me'!$B$4,"Red",IF($H143-'[2]Read Me'!$B$4&lt;=21,"Amber","Green"))))</f>
        <v>Amber</v>
      </c>
      <c r="N143" s="3"/>
      <c r="O143" t="str">
        <f>IF($I143&lt;&gt;"Complete",IF(COUNTIFS($A$4:$A142,$A143,$B$4:$B142,$B143,$I$4:$I142,"&lt;&gt;Complete")=0,$A143&amp;"|"&amp;$B143,""),"")</f>
        <v>|</v>
      </c>
      <c r="P143" t="str">
        <f ca="1">IF($K143="Yes",COUNTIFS($K$4:$K143,"Yes"),"")</f>
        <v/>
      </c>
      <c r="Q143">
        <f t="shared" ca="1" si="11"/>
        <v>0</v>
      </c>
      <c r="R143" t="str">
        <f ca="1">IF($Q143=1,SUM($Q$4:$Q143),"")</f>
        <v/>
      </c>
    </row>
    <row r="144" spans="1:18" ht="22.5" customHeight="1" x14ac:dyDescent="0.3">
      <c r="A144" s="2"/>
      <c r="B144" s="2"/>
      <c r="C144" s="3"/>
      <c r="D144" s="3"/>
      <c r="E144" s="2"/>
      <c r="F144" s="2"/>
      <c r="G144" s="5"/>
      <c r="H144" s="5"/>
      <c r="I144" s="4"/>
      <c r="J144" s="6" t="str">
        <f t="shared" si="9"/>
        <v/>
      </c>
      <c r="K144" s="4" t="str">
        <f t="shared" ca="1" si="10"/>
        <v/>
      </c>
      <c r="L144" s="7" t="str">
        <f t="shared" ca="1" si="12"/>
        <v/>
      </c>
      <c r="M144" s="4" t="str">
        <f>IF($I144="Complete","Green",IF($H144="","Amber",IF($H144&lt;'[2]Read Me'!$B$4,"Red",IF($H144-'[2]Read Me'!$B$4&lt;=21,"Amber","Green"))))</f>
        <v>Amber</v>
      </c>
      <c r="N144" s="3"/>
      <c r="O144" t="str">
        <f>IF($I144&lt;&gt;"Complete",IF(COUNTIFS($A$4:$A143,$A144,$B$4:$B143,$B144,$I$4:$I143,"&lt;&gt;Complete")=0,$A144&amp;"|"&amp;$B144,""),"")</f>
        <v>|</v>
      </c>
      <c r="P144" t="str">
        <f ca="1">IF($K144="Yes",COUNTIFS($K$4:$K144,"Yes"),"")</f>
        <v/>
      </c>
      <c r="Q144">
        <f t="shared" ca="1" si="11"/>
        <v>0</v>
      </c>
      <c r="R144" t="str">
        <f ca="1">IF($Q144=1,SUM($Q$4:$Q144),"")</f>
        <v/>
      </c>
    </row>
    <row r="145" spans="1:18" ht="22.5" customHeight="1" x14ac:dyDescent="0.3">
      <c r="A145" s="2"/>
      <c r="B145" s="2"/>
      <c r="C145" s="3"/>
      <c r="D145" s="3"/>
      <c r="E145" s="2"/>
      <c r="F145" s="2"/>
      <c r="G145" s="5"/>
      <c r="H145" s="5"/>
      <c r="I145" s="4"/>
      <c r="J145" s="6" t="str">
        <f t="shared" si="9"/>
        <v/>
      </c>
      <c r="K145" s="4" t="str">
        <f t="shared" ca="1" si="10"/>
        <v/>
      </c>
      <c r="L145" s="7" t="str">
        <f t="shared" ca="1" si="12"/>
        <v/>
      </c>
      <c r="M145" s="4" t="str">
        <f>IF($I145="Complete","Green",IF($H145="","Amber",IF($H145&lt;'[2]Read Me'!$B$4,"Red",IF($H145-'[2]Read Me'!$B$4&lt;=21,"Amber","Green"))))</f>
        <v>Amber</v>
      </c>
      <c r="N145" s="3"/>
      <c r="O145" t="str">
        <f>IF($I145&lt;&gt;"Complete",IF(COUNTIFS($A$4:$A144,$A145,$B$4:$B144,$B145,$I$4:$I144,"&lt;&gt;Complete")=0,$A145&amp;"|"&amp;$B145,""),"")</f>
        <v>|</v>
      </c>
      <c r="P145" t="str">
        <f ca="1">IF($K145="Yes",COUNTIFS($K$4:$K145,"Yes"),"")</f>
        <v/>
      </c>
      <c r="Q145">
        <f t="shared" ca="1" si="11"/>
        <v>0</v>
      </c>
      <c r="R145" t="str">
        <f ca="1">IF($Q145=1,SUM($Q$4:$Q145),"")</f>
        <v/>
      </c>
    </row>
    <row r="146" spans="1:18" ht="22.5" customHeight="1" x14ac:dyDescent="0.3">
      <c r="A146" s="2"/>
      <c r="B146" s="2"/>
      <c r="C146" s="3"/>
      <c r="D146" s="3"/>
      <c r="E146" s="2"/>
      <c r="F146" s="2"/>
      <c r="G146" s="5"/>
      <c r="H146" s="5"/>
      <c r="I146" s="4"/>
      <c r="J146" s="6" t="str">
        <f t="shared" si="9"/>
        <v/>
      </c>
      <c r="K146" s="4" t="str">
        <f t="shared" ca="1" si="10"/>
        <v/>
      </c>
      <c r="L146" s="7" t="str">
        <f t="shared" ca="1" si="12"/>
        <v/>
      </c>
      <c r="M146" s="4" t="str">
        <f>IF($I146="Complete","Green",IF($H146="","Amber",IF($H146&lt;'[2]Read Me'!$B$4,"Red",IF($H146-'[2]Read Me'!$B$4&lt;=21,"Amber","Green"))))</f>
        <v>Amber</v>
      </c>
      <c r="N146" s="3"/>
      <c r="O146" t="str">
        <f>IF($I146&lt;&gt;"Complete",IF(COUNTIFS($A$4:$A145,$A146,$B$4:$B145,$B146,$I$4:$I145,"&lt;&gt;Complete")=0,$A146&amp;"|"&amp;$B146,""),"")</f>
        <v>|</v>
      </c>
      <c r="P146" t="str">
        <f ca="1">IF($K146="Yes",COUNTIFS($K$4:$K146,"Yes"),"")</f>
        <v/>
      </c>
      <c r="Q146">
        <f t="shared" ca="1" si="11"/>
        <v>0</v>
      </c>
      <c r="R146" t="str">
        <f ca="1">IF($Q146=1,SUM($Q$4:$Q146),"")</f>
        <v/>
      </c>
    </row>
    <row r="147" spans="1:18" ht="22.5" customHeight="1" x14ac:dyDescent="0.3">
      <c r="A147" s="2"/>
      <c r="B147" s="2"/>
      <c r="C147" s="3"/>
      <c r="D147" s="3"/>
      <c r="E147" s="2"/>
      <c r="F147" s="2"/>
      <c r="G147" s="5"/>
      <c r="H147" s="5"/>
      <c r="I147" s="4"/>
      <c r="J147" s="6" t="str">
        <f t="shared" si="9"/>
        <v/>
      </c>
      <c r="K147" s="4" t="str">
        <f t="shared" ca="1" si="10"/>
        <v/>
      </c>
      <c r="L147" s="7" t="str">
        <f t="shared" ca="1" si="12"/>
        <v/>
      </c>
      <c r="M147" s="4" t="str">
        <f>IF($I147="Complete","Green",IF($H147="","Amber",IF($H147&lt;'[2]Read Me'!$B$4,"Red",IF($H147-'[2]Read Me'!$B$4&lt;=21,"Amber","Green"))))</f>
        <v>Amber</v>
      </c>
      <c r="N147" s="3"/>
      <c r="O147" t="str">
        <f>IF($I147&lt;&gt;"Complete",IF(COUNTIFS($A$4:$A146,$A147,$B$4:$B146,$B147,$I$4:$I146,"&lt;&gt;Complete")=0,$A147&amp;"|"&amp;$B147,""),"")</f>
        <v>|</v>
      </c>
      <c r="P147" t="str">
        <f ca="1">IF($K147="Yes",COUNTIFS($K$4:$K147,"Yes"),"")</f>
        <v/>
      </c>
      <c r="Q147">
        <f t="shared" ca="1" si="11"/>
        <v>0</v>
      </c>
      <c r="R147" t="str">
        <f ca="1">IF($Q147=1,SUM($Q$4:$Q147),"")</f>
        <v/>
      </c>
    </row>
    <row r="148" spans="1:18" ht="22.5" customHeight="1" x14ac:dyDescent="0.3">
      <c r="A148" s="2"/>
      <c r="B148" s="2"/>
      <c r="C148" s="3"/>
      <c r="D148" s="3"/>
      <c r="E148" s="2"/>
      <c r="F148" s="2"/>
      <c r="G148" s="5"/>
      <c r="H148" s="5"/>
      <c r="I148" s="4"/>
      <c r="J148" s="6" t="str">
        <f t="shared" si="9"/>
        <v/>
      </c>
      <c r="K148" s="4" t="str">
        <f t="shared" ca="1" si="10"/>
        <v/>
      </c>
      <c r="L148" s="7" t="str">
        <f t="shared" ca="1" si="12"/>
        <v/>
      </c>
      <c r="M148" s="4" t="str">
        <f>IF($I148="Complete","Green",IF($H148="","Amber",IF($H148&lt;'[2]Read Me'!$B$4,"Red",IF($H148-'[2]Read Me'!$B$4&lt;=21,"Amber","Green"))))</f>
        <v>Amber</v>
      </c>
      <c r="N148" s="3"/>
      <c r="O148" t="str">
        <f>IF($I148&lt;&gt;"Complete",IF(COUNTIFS($A$4:$A147,$A148,$B$4:$B147,$B148,$I$4:$I147,"&lt;&gt;Complete")=0,$A148&amp;"|"&amp;$B148,""),"")</f>
        <v>|</v>
      </c>
      <c r="P148" t="str">
        <f ca="1">IF($K148="Yes",COUNTIFS($K$4:$K148,"Yes"),"")</f>
        <v/>
      </c>
      <c r="Q148">
        <f t="shared" ca="1" si="11"/>
        <v>0</v>
      </c>
      <c r="R148" t="str">
        <f ca="1">IF($Q148=1,SUM($Q$4:$Q148),"")</f>
        <v/>
      </c>
    </row>
    <row r="149" spans="1:18" ht="22.5" customHeight="1" x14ac:dyDescent="0.3">
      <c r="A149" s="2"/>
      <c r="B149" s="2"/>
      <c r="C149" s="3"/>
      <c r="D149" s="3"/>
      <c r="E149" s="2"/>
      <c r="F149" s="2"/>
      <c r="G149" s="5"/>
      <c r="H149" s="5"/>
      <c r="I149" s="4"/>
      <c r="J149" s="6" t="str">
        <f t="shared" si="9"/>
        <v/>
      </c>
      <c r="K149" s="4" t="str">
        <f t="shared" ca="1" si="10"/>
        <v/>
      </c>
      <c r="L149" s="7" t="str">
        <f t="shared" ca="1" si="12"/>
        <v/>
      </c>
      <c r="M149" s="4" t="str">
        <f>IF($I149="Complete","Green",IF($H149="","Amber",IF($H149&lt;'[2]Read Me'!$B$4,"Red",IF($H149-'[2]Read Me'!$B$4&lt;=21,"Amber","Green"))))</f>
        <v>Amber</v>
      </c>
      <c r="N149" s="3"/>
      <c r="O149" t="str">
        <f>IF($I149&lt;&gt;"Complete",IF(COUNTIFS($A$4:$A148,$A149,$B$4:$B148,$B149,$I$4:$I148,"&lt;&gt;Complete")=0,$A149&amp;"|"&amp;$B149,""),"")</f>
        <v>|</v>
      </c>
      <c r="P149" t="str">
        <f ca="1">IF($K149="Yes",COUNTIFS($K$4:$K149,"Yes"),"")</f>
        <v/>
      </c>
      <c r="Q149">
        <f t="shared" ca="1" si="11"/>
        <v>0</v>
      </c>
      <c r="R149" t="str">
        <f ca="1">IF($Q149=1,SUM($Q$4:$Q149),"")</f>
        <v/>
      </c>
    </row>
    <row r="150" spans="1:18" ht="22.5" customHeight="1" x14ac:dyDescent="0.3">
      <c r="A150" s="2"/>
      <c r="B150" s="2"/>
      <c r="C150" s="3"/>
      <c r="D150" s="3"/>
      <c r="E150" s="2"/>
      <c r="F150" s="2"/>
      <c r="G150" s="5"/>
      <c r="H150" s="5"/>
      <c r="I150" s="4"/>
      <c r="J150" s="6" t="str">
        <f t="shared" si="9"/>
        <v/>
      </c>
      <c r="K150" s="4" t="str">
        <f t="shared" ca="1" si="10"/>
        <v/>
      </c>
      <c r="L150" s="7" t="str">
        <f t="shared" ca="1" si="12"/>
        <v/>
      </c>
      <c r="M150" s="4" t="str">
        <f>IF($I150="Complete","Green",IF($H150="","Amber",IF($H150&lt;'[2]Read Me'!$B$4,"Red",IF($H150-'[2]Read Me'!$B$4&lt;=21,"Amber","Green"))))</f>
        <v>Amber</v>
      </c>
      <c r="N150" s="3"/>
      <c r="O150" t="str">
        <f>IF($I150&lt;&gt;"Complete",IF(COUNTIFS($A$4:$A149,$A150,$B$4:$B149,$B150,$I$4:$I149,"&lt;&gt;Complete")=0,$A150&amp;"|"&amp;$B150,""),"")</f>
        <v>|</v>
      </c>
      <c r="P150" t="str">
        <f ca="1">IF($K150="Yes",COUNTIFS($K$4:$K150,"Yes"),"")</f>
        <v/>
      </c>
      <c r="Q150">
        <f t="shared" ca="1" si="11"/>
        <v>0</v>
      </c>
      <c r="R150" t="str">
        <f ca="1">IF($Q150=1,SUM($Q$4:$Q150),"")</f>
        <v/>
      </c>
    </row>
    <row r="151" spans="1:18" ht="22.5" customHeight="1" x14ac:dyDescent="0.3">
      <c r="A151" s="2"/>
      <c r="B151" s="2"/>
      <c r="C151" s="3"/>
      <c r="D151" s="3"/>
      <c r="E151" s="2"/>
      <c r="F151" s="2"/>
      <c r="G151" s="5"/>
      <c r="H151" s="5"/>
      <c r="I151" s="4"/>
      <c r="J151" s="6" t="str">
        <f t="shared" si="9"/>
        <v/>
      </c>
      <c r="K151" s="4" t="str">
        <f t="shared" ca="1" si="10"/>
        <v/>
      </c>
      <c r="L151" s="7" t="str">
        <f t="shared" ca="1" si="12"/>
        <v/>
      </c>
      <c r="M151" s="4" t="str">
        <f>IF($I151="Complete","Green",IF($H151="","Amber",IF($H151&lt;'[2]Read Me'!$B$4,"Red",IF($H151-'[2]Read Me'!$B$4&lt;=21,"Amber","Green"))))</f>
        <v>Amber</v>
      </c>
      <c r="N151" s="3"/>
      <c r="O151" t="str">
        <f>IF($I151&lt;&gt;"Complete",IF(COUNTIFS($A$4:$A150,$A151,$B$4:$B150,$B151,$I$4:$I150,"&lt;&gt;Complete")=0,$A151&amp;"|"&amp;$B151,""),"")</f>
        <v>|</v>
      </c>
      <c r="P151" t="str">
        <f ca="1">IF($K151="Yes",COUNTIFS($K$4:$K151,"Yes"),"")</f>
        <v/>
      </c>
      <c r="Q151">
        <f t="shared" ca="1" si="11"/>
        <v>0</v>
      </c>
      <c r="R151" t="str">
        <f ca="1">IF($Q151=1,SUM($Q$4:$Q151),"")</f>
        <v/>
      </c>
    </row>
    <row r="152" spans="1:18" ht="22.5" customHeight="1" x14ac:dyDescent="0.3">
      <c r="A152" s="2"/>
      <c r="B152" s="2"/>
      <c r="C152" s="3"/>
      <c r="D152" s="3"/>
      <c r="E152" s="2"/>
      <c r="F152" s="2"/>
      <c r="G152" s="5"/>
      <c r="H152" s="5"/>
      <c r="I152" s="4"/>
      <c r="J152" s="6" t="str">
        <f t="shared" si="9"/>
        <v/>
      </c>
      <c r="K152" s="4" t="str">
        <f t="shared" ca="1" si="10"/>
        <v/>
      </c>
      <c r="L152" s="7" t="str">
        <f t="shared" ca="1" si="12"/>
        <v/>
      </c>
      <c r="M152" s="4" t="str">
        <f>IF($I152="Complete","Green",IF($H152="","Amber",IF($H152&lt;'[2]Read Me'!$B$4,"Red",IF($H152-'[2]Read Me'!$B$4&lt;=21,"Amber","Green"))))</f>
        <v>Amber</v>
      </c>
      <c r="N152" s="3"/>
      <c r="O152" t="str">
        <f>IF($I152&lt;&gt;"Complete",IF(COUNTIFS($A$4:$A151,$A152,$B$4:$B151,$B152,$I$4:$I151,"&lt;&gt;Complete")=0,$A152&amp;"|"&amp;$B152,""),"")</f>
        <v>|</v>
      </c>
      <c r="P152" t="str">
        <f ca="1">IF($K152="Yes",COUNTIFS($K$4:$K152,"Yes"),"")</f>
        <v/>
      </c>
      <c r="Q152">
        <f t="shared" ca="1" si="11"/>
        <v>0</v>
      </c>
      <c r="R152" t="str">
        <f ca="1">IF($Q152=1,SUM($Q$4:$Q152),"")</f>
        <v/>
      </c>
    </row>
    <row r="153" spans="1:18" ht="22.5" customHeight="1" x14ac:dyDescent="0.3">
      <c r="A153" s="2"/>
      <c r="B153" s="2"/>
      <c r="C153" s="3"/>
      <c r="D153" s="3"/>
      <c r="E153" s="2"/>
      <c r="F153" s="2"/>
      <c r="G153" s="5"/>
      <c r="H153" s="5"/>
      <c r="I153" s="4"/>
      <c r="J153" s="6" t="str">
        <f t="shared" si="9"/>
        <v/>
      </c>
      <c r="K153" s="4" t="str">
        <f t="shared" ca="1" si="10"/>
        <v/>
      </c>
      <c r="L153" s="7" t="str">
        <f t="shared" ca="1" si="12"/>
        <v/>
      </c>
      <c r="M153" s="4" t="str">
        <f>IF($I153="Complete","Green",IF($H153="","Amber",IF($H153&lt;'[2]Read Me'!$B$4,"Red",IF($H153-'[2]Read Me'!$B$4&lt;=21,"Amber","Green"))))</f>
        <v>Amber</v>
      </c>
      <c r="N153" s="3"/>
      <c r="O153" t="str">
        <f>IF($I153&lt;&gt;"Complete",IF(COUNTIFS($A$4:$A152,$A153,$B$4:$B152,$B153,$I$4:$I152,"&lt;&gt;Complete")=0,$A153&amp;"|"&amp;$B153,""),"")</f>
        <v>|</v>
      </c>
      <c r="P153" t="str">
        <f ca="1">IF($K153="Yes",COUNTIFS($K$4:$K153,"Yes"),"")</f>
        <v/>
      </c>
      <c r="Q153">
        <f t="shared" ca="1" si="11"/>
        <v>0</v>
      </c>
      <c r="R153" t="str">
        <f ca="1">IF($Q153=1,SUM($Q$4:$Q153),"")</f>
        <v/>
      </c>
    </row>
    <row r="154" spans="1:18" ht="22.5" customHeight="1" x14ac:dyDescent="0.3">
      <c r="A154" s="2"/>
      <c r="B154" s="2"/>
      <c r="C154" s="3"/>
      <c r="D154" s="3"/>
      <c r="E154" s="2"/>
      <c r="F154" s="2"/>
      <c r="G154" s="5"/>
      <c r="H154" s="5"/>
      <c r="I154" s="4"/>
      <c r="J154" s="6" t="str">
        <f t="shared" si="9"/>
        <v/>
      </c>
      <c r="K154" s="4" t="str">
        <f t="shared" ca="1" si="10"/>
        <v/>
      </c>
      <c r="L154" s="7" t="str">
        <f t="shared" ca="1" si="12"/>
        <v/>
      </c>
      <c r="M154" s="4" t="str">
        <f>IF($I154="Complete","Green",IF($H154="","Amber",IF($H154&lt;'[2]Read Me'!$B$4,"Red",IF($H154-'[2]Read Me'!$B$4&lt;=21,"Amber","Green"))))</f>
        <v>Amber</v>
      </c>
      <c r="N154" s="3"/>
      <c r="O154" t="str">
        <f>IF($I154&lt;&gt;"Complete",IF(COUNTIFS($A$4:$A153,$A154,$B$4:$B153,$B154,$I$4:$I153,"&lt;&gt;Complete")=0,$A154&amp;"|"&amp;$B154,""),"")</f>
        <v>|</v>
      </c>
      <c r="P154" t="str">
        <f ca="1">IF($K154="Yes",COUNTIFS($K$4:$K154,"Yes"),"")</f>
        <v/>
      </c>
      <c r="Q154">
        <f t="shared" ca="1" si="11"/>
        <v>0</v>
      </c>
      <c r="R154" t="str">
        <f ca="1">IF($Q154=1,SUM($Q$4:$Q154),"")</f>
        <v/>
      </c>
    </row>
    <row r="155" spans="1:18" ht="22.5" customHeight="1" x14ac:dyDescent="0.3">
      <c r="A155" s="2"/>
      <c r="B155" s="2"/>
      <c r="C155" s="3"/>
      <c r="D155" s="3"/>
      <c r="E155" s="2"/>
      <c r="F155" s="2"/>
      <c r="G155" s="5"/>
      <c r="H155" s="5"/>
      <c r="I155" s="4"/>
      <c r="J155" s="6" t="str">
        <f t="shared" si="9"/>
        <v/>
      </c>
      <c r="K155" s="4" t="str">
        <f t="shared" ca="1" si="10"/>
        <v/>
      </c>
      <c r="L155" s="7" t="str">
        <f t="shared" ca="1" si="12"/>
        <v/>
      </c>
      <c r="M155" s="4" t="str">
        <f>IF($I155="Complete","Green",IF($H155="","Amber",IF($H155&lt;'[2]Read Me'!$B$4,"Red",IF($H155-'[2]Read Me'!$B$4&lt;=21,"Amber","Green"))))</f>
        <v>Amber</v>
      </c>
      <c r="N155" s="3"/>
      <c r="O155" t="str">
        <f>IF($I155&lt;&gt;"Complete",IF(COUNTIFS($A$4:$A154,$A155,$B$4:$B154,$B155,$I$4:$I154,"&lt;&gt;Complete")=0,$A155&amp;"|"&amp;$B155,""),"")</f>
        <v>|</v>
      </c>
      <c r="P155" t="str">
        <f ca="1">IF($K155="Yes",COUNTIFS($K$4:$K155,"Yes"),"")</f>
        <v/>
      </c>
      <c r="Q155">
        <f t="shared" ca="1" si="11"/>
        <v>0</v>
      </c>
      <c r="R155" t="str">
        <f ca="1">IF($Q155=1,SUM($Q$4:$Q155),"")</f>
        <v/>
      </c>
    </row>
    <row r="156" spans="1:18" ht="22.5" customHeight="1" x14ac:dyDescent="0.3">
      <c r="A156" s="2"/>
      <c r="B156" s="2"/>
      <c r="C156" s="3"/>
      <c r="D156" s="3"/>
      <c r="E156" s="2"/>
      <c r="F156" s="2"/>
      <c r="G156" s="5"/>
      <c r="H156" s="5"/>
      <c r="I156" s="4"/>
      <c r="J156" s="6" t="str">
        <f t="shared" si="9"/>
        <v/>
      </c>
      <c r="K156" s="4" t="str">
        <f t="shared" ca="1" si="10"/>
        <v/>
      </c>
      <c r="L156" s="7" t="str">
        <f t="shared" ca="1" si="12"/>
        <v/>
      </c>
      <c r="M156" s="4" t="str">
        <f>IF($I156="Complete","Green",IF($H156="","Amber",IF($H156&lt;'[2]Read Me'!$B$4,"Red",IF($H156-'[2]Read Me'!$B$4&lt;=21,"Amber","Green"))))</f>
        <v>Amber</v>
      </c>
      <c r="N156" s="3"/>
      <c r="O156" t="str">
        <f>IF($I156&lt;&gt;"Complete",IF(COUNTIFS($A$4:$A155,$A156,$B$4:$B155,$B156,$I$4:$I155,"&lt;&gt;Complete")=0,$A156&amp;"|"&amp;$B156,""),"")</f>
        <v>|</v>
      </c>
      <c r="P156" t="str">
        <f ca="1">IF($K156="Yes",COUNTIFS($K$4:$K156,"Yes"),"")</f>
        <v/>
      </c>
      <c r="Q156">
        <f t="shared" ca="1" si="11"/>
        <v>0</v>
      </c>
      <c r="R156" t="str">
        <f ca="1">IF($Q156=1,SUM($Q$4:$Q156),"")</f>
        <v/>
      </c>
    </row>
    <row r="157" spans="1:18" ht="33.75" customHeight="1" x14ac:dyDescent="0.3">
      <c r="A157" s="2"/>
      <c r="B157" s="2"/>
      <c r="C157" s="3"/>
      <c r="D157" s="3"/>
      <c r="E157" s="2"/>
      <c r="F157" s="2"/>
      <c r="G157" s="5"/>
      <c r="H157" s="5"/>
      <c r="I157" s="4"/>
      <c r="J157" s="6" t="str">
        <f t="shared" si="9"/>
        <v/>
      </c>
      <c r="K157" s="4" t="str">
        <f t="shared" ca="1" si="10"/>
        <v/>
      </c>
      <c r="L157" s="7" t="str">
        <f t="shared" ca="1" si="12"/>
        <v/>
      </c>
      <c r="M157" s="4" t="str">
        <f>IF($I157="Complete","Green",IF($H157="","Amber",IF($H157&lt;'[2]Read Me'!$B$4,"Red",IF($H157-'[2]Read Me'!$B$4&lt;=21,"Amber","Green"))))</f>
        <v>Amber</v>
      </c>
      <c r="N157" s="3"/>
      <c r="O157" t="str">
        <f>IF($I157&lt;&gt;"Complete",IF(COUNTIFS($A$4:$A156,$A157,$B$4:$B156,$B157,$I$4:$I156,"&lt;&gt;Complete")=0,$A157&amp;"|"&amp;$B157,""),"")</f>
        <v>|</v>
      </c>
      <c r="P157" t="str">
        <f ca="1">IF($K157="Yes",COUNTIFS($K$4:$K157,"Yes"),"")</f>
        <v/>
      </c>
      <c r="Q157">
        <f t="shared" ca="1" si="11"/>
        <v>0</v>
      </c>
      <c r="R157" t="str">
        <f ca="1">IF($Q157=1,SUM($Q$4:$Q157),"")</f>
        <v/>
      </c>
    </row>
    <row r="158" spans="1:18" ht="33.75" customHeight="1" x14ac:dyDescent="0.3">
      <c r="A158" s="2"/>
      <c r="B158" s="2"/>
      <c r="C158" s="3"/>
      <c r="D158" s="3"/>
      <c r="E158" s="2"/>
      <c r="F158" s="2"/>
      <c r="G158" s="5"/>
      <c r="H158" s="5"/>
      <c r="I158" s="4"/>
      <c r="J158" s="6" t="str">
        <f t="shared" si="9"/>
        <v/>
      </c>
      <c r="K158" s="4" t="str">
        <f t="shared" ca="1" si="10"/>
        <v/>
      </c>
      <c r="L158" s="7" t="str">
        <f t="shared" ca="1" si="12"/>
        <v/>
      </c>
      <c r="M158" s="4" t="str">
        <f>IF($I158="Complete","Green",IF($H158="","Amber",IF($H158&lt;'[2]Read Me'!$B$4,"Red",IF($H158-'[2]Read Me'!$B$4&lt;=21,"Amber","Green"))))</f>
        <v>Amber</v>
      </c>
      <c r="N158" s="3"/>
      <c r="O158" t="str">
        <f>IF($I158&lt;&gt;"Complete",IF(COUNTIFS($A$4:$A157,$A158,$B$4:$B157,$B158,$I$4:$I157,"&lt;&gt;Complete")=0,$A158&amp;"|"&amp;$B158,""),"")</f>
        <v>|</v>
      </c>
      <c r="P158" t="str">
        <f ca="1">IF($K158="Yes",COUNTIFS($K$4:$K158,"Yes"),"")</f>
        <v/>
      </c>
      <c r="Q158">
        <f t="shared" ca="1" si="11"/>
        <v>0</v>
      </c>
      <c r="R158" t="str">
        <f ca="1">IF($Q158=1,SUM($Q$4:$Q158),"")</f>
        <v/>
      </c>
    </row>
    <row r="159" spans="1:18" ht="33.75" customHeight="1" x14ac:dyDescent="0.3">
      <c r="A159" s="2"/>
      <c r="B159" s="2"/>
      <c r="C159" s="3"/>
      <c r="D159" s="3"/>
      <c r="E159" s="2"/>
      <c r="F159" s="2"/>
      <c r="G159" s="5"/>
      <c r="H159" s="5"/>
      <c r="I159" s="4"/>
      <c r="J159" s="6" t="str">
        <f t="shared" si="9"/>
        <v/>
      </c>
      <c r="K159" s="4" t="str">
        <f t="shared" ca="1" si="10"/>
        <v/>
      </c>
      <c r="L159" s="7" t="str">
        <f t="shared" ca="1" si="12"/>
        <v/>
      </c>
      <c r="M159" s="4" t="str">
        <f>IF($I159="Complete","Green",IF($H159="","Amber",IF($H159&lt;'[2]Read Me'!$B$4,"Red",IF($H159-'[2]Read Me'!$B$4&lt;=21,"Amber","Green"))))</f>
        <v>Amber</v>
      </c>
      <c r="N159" s="3"/>
      <c r="O159" t="str">
        <f>IF($I159&lt;&gt;"Complete",IF(COUNTIFS($A$4:$A158,$A159,$B$4:$B158,$B159,$I$4:$I158,"&lt;&gt;Complete")=0,$A159&amp;"|"&amp;$B159,""),"")</f>
        <v>|</v>
      </c>
      <c r="P159" t="str">
        <f ca="1">IF($K159="Yes",COUNTIFS($K$4:$K159,"Yes"),"")</f>
        <v/>
      </c>
      <c r="Q159">
        <f t="shared" ca="1" si="11"/>
        <v>0</v>
      </c>
      <c r="R159" t="str">
        <f ca="1">IF($Q159=1,SUM($Q$4:$Q159),"")</f>
        <v/>
      </c>
    </row>
    <row r="160" spans="1:18" ht="33.75" customHeight="1" x14ac:dyDescent="0.3">
      <c r="A160" s="2"/>
      <c r="B160" s="2"/>
      <c r="C160" s="3"/>
      <c r="D160" s="3"/>
      <c r="E160" s="2"/>
      <c r="F160" s="2"/>
      <c r="G160" s="5"/>
      <c r="H160" s="5"/>
      <c r="I160" s="4"/>
      <c r="J160" s="6" t="str">
        <f t="shared" si="9"/>
        <v/>
      </c>
      <c r="K160" s="4" t="str">
        <f t="shared" ca="1" si="10"/>
        <v/>
      </c>
      <c r="L160" s="7" t="str">
        <f t="shared" ca="1" si="12"/>
        <v/>
      </c>
      <c r="M160" s="4" t="str">
        <f>IF($I160="Complete","Green",IF($H160="","Amber",IF($H160&lt;'[2]Read Me'!$B$4,"Red",IF($H160-'[2]Read Me'!$B$4&lt;=21,"Amber","Green"))))</f>
        <v>Amber</v>
      </c>
      <c r="N160" s="3"/>
      <c r="O160" t="str">
        <f>IF($I160&lt;&gt;"Complete",IF(COUNTIFS($A$4:$A159,$A160,$B$4:$B159,$B160,$I$4:$I159,"&lt;&gt;Complete")=0,$A160&amp;"|"&amp;$B160,""),"")</f>
        <v>|</v>
      </c>
      <c r="P160" t="str">
        <f ca="1">IF($K160="Yes",COUNTIFS($K$4:$K160,"Yes"),"")</f>
        <v/>
      </c>
      <c r="Q160">
        <f t="shared" ca="1" si="11"/>
        <v>0</v>
      </c>
      <c r="R160" t="str">
        <f ca="1">IF($Q160=1,SUM($Q$4:$Q160),"")</f>
        <v/>
      </c>
    </row>
    <row r="161" spans="1:18" ht="33.75" customHeight="1" x14ac:dyDescent="0.3">
      <c r="A161" s="2"/>
      <c r="B161" s="2"/>
      <c r="C161" s="3"/>
      <c r="D161" s="3"/>
      <c r="E161" s="2"/>
      <c r="F161" s="2"/>
      <c r="G161" s="5"/>
      <c r="H161" s="5"/>
      <c r="I161" s="4"/>
      <c r="J161" s="6" t="str">
        <f t="shared" si="9"/>
        <v/>
      </c>
      <c r="K161" s="4" t="str">
        <f t="shared" ca="1" si="10"/>
        <v/>
      </c>
      <c r="L161" s="7" t="str">
        <f t="shared" ca="1" si="12"/>
        <v/>
      </c>
      <c r="M161" s="4" t="str">
        <f>IF($I161="Complete","Green",IF($H161="","Amber",IF($H161&lt;'[2]Read Me'!$B$4,"Red",IF($H161-'[2]Read Me'!$B$4&lt;=21,"Amber","Green"))))</f>
        <v>Amber</v>
      </c>
      <c r="N161" s="3"/>
      <c r="O161" t="str">
        <f>IF($I161&lt;&gt;"Complete",IF(COUNTIFS($A$4:$A160,$A161,$B$4:$B160,$B161,$I$4:$I160,"&lt;&gt;Complete")=0,$A161&amp;"|"&amp;$B161,""),"")</f>
        <v>|</v>
      </c>
      <c r="P161" t="str">
        <f ca="1">IF($K161="Yes",COUNTIFS($K$4:$K161,"Yes"),"")</f>
        <v/>
      </c>
      <c r="Q161">
        <f t="shared" ca="1" si="11"/>
        <v>0</v>
      </c>
      <c r="R161" t="str">
        <f ca="1">IF($Q161=1,SUM($Q$4:$Q161),"")</f>
        <v/>
      </c>
    </row>
    <row r="162" spans="1:18" ht="33.75" customHeight="1" x14ac:dyDescent="0.3">
      <c r="A162" s="2"/>
      <c r="B162" s="2"/>
      <c r="C162" s="3"/>
      <c r="D162" s="3"/>
      <c r="E162" s="2"/>
      <c r="F162" s="2"/>
      <c r="G162" s="5"/>
      <c r="H162" s="5"/>
      <c r="I162" s="4"/>
      <c r="J162" s="6" t="str">
        <f t="shared" si="9"/>
        <v/>
      </c>
      <c r="K162" s="4" t="str">
        <f t="shared" ca="1" si="10"/>
        <v/>
      </c>
      <c r="L162" s="7" t="str">
        <f t="shared" ca="1" si="12"/>
        <v/>
      </c>
      <c r="M162" s="4" t="str">
        <f>IF($I162="Complete","Green",IF($H162="","Amber",IF($H162&lt;'[2]Read Me'!$B$4,"Red",IF($H162-'[2]Read Me'!$B$4&lt;=21,"Amber","Green"))))</f>
        <v>Amber</v>
      </c>
      <c r="N162" s="3"/>
      <c r="O162" t="str">
        <f>IF($I162&lt;&gt;"Complete",IF(COUNTIFS($A$4:$A161,$A162,$B$4:$B161,$B162,$I$4:$I161,"&lt;&gt;Complete")=0,$A162&amp;"|"&amp;$B162,""),"")</f>
        <v>|</v>
      </c>
      <c r="P162" t="str">
        <f ca="1">IF($K162="Yes",COUNTIFS($K$4:$K162,"Yes"),"")</f>
        <v/>
      </c>
      <c r="Q162">
        <f t="shared" ca="1" si="11"/>
        <v>0</v>
      </c>
      <c r="R162" t="str">
        <f ca="1">IF($Q162=1,SUM($Q$4:$Q162),"")</f>
        <v/>
      </c>
    </row>
    <row r="163" spans="1:18" ht="33.75" customHeight="1" x14ac:dyDescent="0.3">
      <c r="A163" s="2"/>
      <c r="B163" s="2"/>
      <c r="C163" s="3"/>
      <c r="D163" s="3"/>
      <c r="E163" s="2"/>
      <c r="F163" s="2"/>
      <c r="G163" s="5"/>
      <c r="H163" s="5"/>
      <c r="I163" s="4"/>
      <c r="J163" s="6" t="str">
        <f t="shared" si="9"/>
        <v/>
      </c>
      <c r="K163" s="4" t="str">
        <f t="shared" ca="1" si="10"/>
        <v/>
      </c>
      <c r="L163" s="7" t="str">
        <f t="shared" ca="1" si="12"/>
        <v/>
      </c>
      <c r="M163" s="4" t="str">
        <f>IF($I163="Complete","Green",IF($H163="","Amber",IF($H163&lt;'[2]Read Me'!$B$4,"Red",IF($H163-'[2]Read Me'!$B$4&lt;=21,"Amber","Green"))))</f>
        <v>Amber</v>
      </c>
      <c r="N163" s="3"/>
      <c r="O163" t="str">
        <f>IF($I163&lt;&gt;"Complete",IF(COUNTIFS($A$4:$A162,$A163,$B$4:$B162,$B163,$I$4:$I162,"&lt;&gt;Complete")=0,$A163&amp;"|"&amp;$B163,""),"")</f>
        <v>|</v>
      </c>
      <c r="P163" t="str">
        <f ca="1">IF($K163="Yes",COUNTIFS($K$4:$K163,"Yes"),"")</f>
        <v/>
      </c>
      <c r="Q163">
        <f t="shared" ca="1" si="11"/>
        <v>0</v>
      </c>
      <c r="R163" t="str">
        <f ca="1">IF($Q163=1,SUM($Q$4:$Q163),"")</f>
        <v/>
      </c>
    </row>
    <row r="164" spans="1:18" ht="33.75" customHeight="1" x14ac:dyDescent="0.3">
      <c r="A164" s="2"/>
      <c r="B164" s="2"/>
      <c r="C164" s="3"/>
      <c r="D164" s="3"/>
      <c r="E164" s="2"/>
      <c r="F164" s="2"/>
      <c r="G164" s="5"/>
      <c r="H164" s="5"/>
      <c r="I164" s="4"/>
      <c r="J164" s="6" t="str">
        <f t="shared" si="9"/>
        <v/>
      </c>
      <c r="K164" s="4" t="str">
        <f t="shared" ca="1" si="10"/>
        <v/>
      </c>
      <c r="L164" s="7" t="str">
        <f t="shared" ca="1" si="12"/>
        <v/>
      </c>
      <c r="M164" s="4" t="str">
        <f>IF($I164="Complete","Green",IF($H164="","Amber",IF($H164&lt;'[2]Read Me'!$B$4,"Red",IF($H164-'[2]Read Me'!$B$4&lt;=21,"Amber","Green"))))</f>
        <v>Amber</v>
      </c>
      <c r="N164" s="3"/>
      <c r="O164" t="str">
        <f>IF($I164&lt;&gt;"Complete",IF(COUNTIFS($A$4:$A163,$A164,$B$4:$B163,$B164,$I$4:$I163,"&lt;&gt;Complete")=0,$A164&amp;"|"&amp;$B164,""),"")</f>
        <v>|</v>
      </c>
      <c r="P164" t="str">
        <f ca="1">IF($K164="Yes",COUNTIFS($K$4:$K164,"Yes"),"")</f>
        <v/>
      </c>
      <c r="Q164">
        <f t="shared" ca="1" si="11"/>
        <v>0</v>
      </c>
      <c r="R164" t="str">
        <f ca="1">IF($Q164=1,SUM($Q$4:$Q164),"")</f>
        <v/>
      </c>
    </row>
    <row r="165" spans="1:18" ht="33.75" customHeight="1" x14ac:dyDescent="0.3">
      <c r="A165" s="2"/>
      <c r="B165" s="2"/>
      <c r="C165" s="3"/>
      <c r="D165" s="3"/>
      <c r="E165" s="2"/>
      <c r="F165" s="2"/>
      <c r="G165" s="5"/>
      <c r="H165" s="5"/>
      <c r="I165" s="4"/>
      <c r="J165" s="6" t="str">
        <f t="shared" si="9"/>
        <v/>
      </c>
      <c r="K165" s="4" t="str">
        <f t="shared" ca="1" si="10"/>
        <v/>
      </c>
      <c r="L165" s="7" t="str">
        <f t="shared" ca="1" si="12"/>
        <v/>
      </c>
      <c r="M165" s="4" t="str">
        <f>IF($I165="Complete","Green",IF($H165="","Amber",IF($H165&lt;'[2]Read Me'!$B$4,"Red",IF($H165-'[2]Read Me'!$B$4&lt;=21,"Amber","Green"))))</f>
        <v>Amber</v>
      </c>
      <c r="N165" s="3"/>
      <c r="O165" t="str">
        <f>IF($I165&lt;&gt;"Complete",IF(COUNTIFS($A$4:$A164,$A165,$B$4:$B164,$B165,$I$4:$I164,"&lt;&gt;Complete")=0,$A165&amp;"|"&amp;$B165,""),"")</f>
        <v>|</v>
      </c>
      <c r="P165" t="str">
        <f ca="1">IF($K165="Yes",COUNTIFS($K$4:$K165,"Yes"),"")</f>
        <v/>
      </c>
      <c r="Q165">
        <f t="shared" ca="1" si="11"/>
        <v>0</v>
      </c>
      <c r="R165" t="str">
        <f ca="1">IF($Q165=1,SUM($Q$4:$Q165),"")</f>
        <v/>
      </c>
    </row>
    <row r="166" spans="1:18" ht="33.75" customHeight="1" x14ac:dyDescent="0.3">
      <c r="A166" s="2"/>
      <c r="B166" s="2"/>
      <c r="C166" s="3"/>
      <c r="D166" s="3"/>
      <c r="E166" s="2"/>
      <c r="F166" s="2"/>
      <c r="G166" s="5"/>
      <c r="H166" s="5"/>
      <c r="I166" s="4"/>
      <c r="J166" s="6" t="str">
        <f t="shared" si="9"/>
        <v/>
      </c>
      <c r="K166" s="4" t="str">
        <f t="shared" ca="1" si="10"/>
        <v/>
      </c>
      <c r="L166" s="7" t="str">
        <f t="shared" ca="1" si="12"/>
        <v/>
      </c>
      <c r="M166" s="4" t="str">
        <f>IF($I166="Complete","Green",IF($H166="","Amber",IF($H166&lt;'[2]Read Me'!$B$4,"Red",IF($H166-'[2]Read Me'!$B$4&lt;=21,"Amber","Green"))))</f>
        <v>Amber</v>
      </c>
      <c r="N166" s="3"/>
      <c r="O166" t="str">
        <f>IF($I166&lt;&gt;"Complete",IF(COUNTIFS($A$4:$A165,$A166,$B$4:$B165,$B166,$I$4:$I165,"&lt;&gt;Complete")=0,$A166&amp;"|"&amp;$B166,""),"")</f>
        <v>|</v>
      </c>
      <c r="P166" t="str">
        <f ca="1">IF($K166="Yes",COUNTIFS($K$4:$K166,"Yes"),"")</f>
        <v/>
      </c>
      <c r="Q166">
        <f t="shared" ca="1" si="11"/>
        <v>0</v>
      </c>
      <c r="R166" t="str">
        <f ca="1">IF($Q166=1,SUM($Q$4:$Q166),"")</f>
        <v/>
      </c>
    </row>
    <row r="167" spans="1:18" ht="33.75" customHeight="1" x14ac:dyDescent="0.3">
      <c r="A167" s="2"/>
      <c r="B167" s="2"/>
      <c r="C167" s="3"/>
      <c r="D167" s="3"/>
      <c r="E167" s="2"/>
      <c r="F167" s="2"/>
      <c r="G167" s="5"/>
      <c r="H167" s="5"/>
      <c r="I167" s="4"/>
      <c r="J167" s="6" t="str">
        <f t="shared" si="9"/>
        <v/>
      </c>
      <c r="K167" s="4" t="str">
        <f t="shared" ca="1" si="10"/>
        <v/>
      </c>
      <c r="L167" s="7" t="str">
        <f t="shared" ca="1" si="12"/>
        <v/>
      </c>
      <c r="M167" s="4" t="str">
        <f>IF($I167="Complete","Green",IF($H167="","Amber",IF($H167&lt;'[2]Read Me'!$B$4,"Red",IF($H167-'[2]Read Me'!$B$4&lt;=21,"Amber","Green"))))</f>
        <v>Amber</v>
      </c>
      <c r="N167" s="3"/>
      <c r="O167" t="str">
        <f>IF($I167&lt;&gt;"Complete",IF(COUNTIFS($A$4:$A166,$A167,$B$4:$B166,$B167,$I$4:$I166,"&lt;&gt;Complete")=0,$A167&amp;"|"&amp;$B167,""),"")</f>
        <v>|</v>
      </c>
      <c r="P167" t="str">
        <f ca="1">IF($K167="Yes",COUNTIFS($K$4:$K167,"Yes"),"")</f>
        <v/>
      </c>
      <c r="Q167">
        <f t="shared" ca="1" si="11"/>
        <v>0</v>
      </c>
      <c r="R167" t="str">
        <f ca="1">IF($Q167=1,SUM($Q$4:$Q167),"")</f>
        <v/>
      </c>
    </row>
    <row r="168" spans="1:18" ht="33.75" customHeight="1" x14ac:dyDescent="0.3">
      <c r="A168" s="2"/>
      <c r="B168" s="2"/>
      <c r="C168" s="3"/>
      <c r="D168" s="3"/>
      <c r="E168" s="2"/>
      <c r="F168" s="2"/>
      <c r="G168" s="5"/>
      <c r="H168" s="5"/>
      <c r="I168" s="4"/>
      <c r="J168" s="6" t="str">
        <f t="shared" si="9"/>
        <v/>
      </c>
      <c r="K168" s="4" t="str">
        <f t="shared" ca="1" si="10"/>
        <v/>
      </c>
      <c r="L168" s="7" t="str">
        <f t="shared" ca="1" si="12"/>
        <v/>
      </c>
      <c r="M168" s="4" t="str">
        <f>IF($I168="Complete","Green",IF($H168="","Amber",IF($H168&lt;'[2]Read Me'!$B$4,"Red",IF($H168-'[2]Read Me'!$B$4&lt;=21,"Amber","Green"))))</f>
        <v>Amber</v>
      </c>
      <c r="N168" s="3"/>
      <c r="O168" t="str">
        <f>IF($I168&lt;&gt;"Complete",IF(COUNTIFS($A$4:$A167,$A168,$B$4:$B167,$B168,$I$4:$I167,"&lt;&gt;Complete")=0,$A168&amp;"|"&amp;$B168,""),"")</f>
        <v>|</v>
      </c>
      <c r="P168" t="str">
        <f ca="1">IF($K168="Yes",COUNTIFS($K$4:$K168,"Yes"),"")</f>
        <v/>
      </c>
      <c r="Q168">
        <f t="shared" ca="1" si="11"/>
        <v>0</v>
      </c>
      <c r="R168" t="str">
        <f ca="1">IF($Q168=1,SUM($Q$4:$Q168),"")</f>
        <v/>
      </c>
    </row>
    <row r="169" spans="1:18" ht="33.75" customHeight="1" x14ac:dyDescent="0.3">
      <c r="A169" s="2"/>
      <c r="B169" s="2"/>
      <c r="C169" s="3"/>
      <c r="D169" s="3"/>
      <c r="E169" s="2"/>
      <c r="F169" s="2"/>
      <c r="G169" s="5"/>
      <c r="H169" s="5"/>
      <c r="I169" s="4"/>
      <c r="J169" s="6" t="str">
        <f t="shared" si="9"/>
        <v/>
      </c>
      <c r="K169" s="4" t="str">
        <f t="shared" ca="1" si="10"/>
        <v/>
      </c>
      <c r="L169" s="7" t="str">
        <f t="shared" ca="1" si="12"/>
        <v/>
      </c>
      <c r="M169" s="4" t="str">
        <f>IF($I169="Complete","Green",IF($H169="","Amber",IF($H169&lt;'[2]Read Me'!$B$4,"Red",IF($H169-'[2]Read Me'!$B$4&lt;=21,"Amber","Green"))))</f>
        <v>Amber</v>
      </c>
      <c r="N169" s="3"/>
      <c r="O169" t="str">
        <f>IF($I169&lt;&gt;"Complete",IF(COUNTIFS($A$4:$A168,$A169,$B$4:$B168,$B169,$I$4:$I168,"&lt;&gt;Complete")=0,$A169&amp;"|"&amp;$B169,""),"")</f>
        <v>|</v>
      </c>
      <c r="P169" t="str">
        <f ca="1">IF($K169="Yes",COUNTIFS($K$4:$K169,"Yes"),"")</f>
        <v/>
      </c>
      <c r="Q169">
        <f t="shared" ca="1" si="11"/>
        <v>0</v>
      </c>
      <c r="R169" t="str">
        <f ca="1">IF($Q169=1,SUM($Q$4:$Q169),"")</f>
        <v/>
      </c>
    </row>
    <row r="170" spans="1:18" ht="33.75" customHeight="1" x14ac:dyDescent="0.3">
      <c r="A170" s="2"/>
      <c r="B170" s="2"/>
      <c r="C170" s="3"/>
      <c r="D170" s="3"/>
      <c r="E170" s="2"/>
      <c r="F170" s="2"/>
      <c r="G170" s="5"/>
      <c r="H170" s="5"/>
      <c r="I170" s="4"/>
      <c r="J170" s="6" t="str">
        <f t="shared" si="9"/>
        <v/>
      </c>
      <c r="K170" s="4" t="str">
        <f t="shared" ca="1" si="10"/>
        <v/>
      </c>
      <c r="L170" s="7" t="str">
        <f t="shared" ca="1" si="12"/>
        <v/>
      </c>
      <c r="M170" s="4" t="str">
        <f>IF($I170="Complete","Green",IF($H170="","Amber",IF($H170&lt;'[2]Read Me'!$B$4,"Red",IF($H170-'[2]Read Me'!$B$4&lt;=21,"Amber","Green"))))</f>
        <v>Amber</v>
      </c>
      <c r="N170" s="3"/>
      <c r="O170" t="str">
        <f>IF($I170&lt;&gt;"Complete",IF(COUNTIFS($A$4:$A169,$A170,$B$4:$B169,$B170,$I$4:$I169,"&lt;&gt;Complete")=0,$A170&amp;"|"&amp;$B170,""),"")</f>
        <v>|</v>
      </c>
      <c r="P170" t="str">
        <f ca="1">IF($K170="Yes",COUNTIFS($K$4:$K170,"Yes"),"")</f>
        <v/>
      </c>
      <c r="Q170">
        <f t="shared" ca="1" si="11"/>
        <v>0</v>
      </c>
      <c r="R170" t="str">
        <f ca="1">IF($Q170=1,SUM($Q$4:$Q170),"")</f>
        <v/>
      </c>
    </row>
    <row r="171" spans="1:18" ht="33.75" customHeight="1" x14ac:dyDescent="0.3">
      <c r="A171" s="2"/>
      <c r="B171" s="2"/>
      <c r="C171" s="3"/>
      <c r="D171" s="3"/>
      <c r="E171" s="2"/>
      <c r="F171" s="2"/>
      <c r="G171" s="5"/>
      <c r="H171" s="5"/>
      <c r="I171" s="4"/>
      <c r="J171" s="6" t="str">
        <f t="shared" si="9"/>
        <v/>
      </c>
      <c r="K171" s="4" t="str">
        <f t="shared" ca="1" si="10"/>
        <v/>
      </c>
      <c r="L171" s="7" t="str">
        <f t="shared" ca="1" si="12"/>
        <v/>
      </c>
      <c r="M171" s="4" t="str">
        <f>IF($I171="Complete","Green",IF($H171="","Amber",IF($H171&lt;'[2]Read Me'!$B$4,"Red",IF($H171-'[2]Read Me'!$B$4&lt;=21,"Amber","Green"))))</f>
        <v>Amber</v>
      </c>
      <c r="N171" s="3"/>
      <c r="O171" t="str">
        <f>IF($I171&lt;&gt;"Complete",IF(COUNTIFS($A$4:$A170,$A171,$B$4:$B170,$B171,$I$4:$I170,"&lt;&gt;Complete")=0,$A171&amp;"|"&amp;$B171,""),"")</f>
        <v>|</v>
      </c>
      <c r="P171" t="str">
        <f ca="1">IF($K171="Yes",COUNTIFS($K$4:$K171,"Yes"),"")</f>
        <v/>
      </c>
      <c r="Q171">
        <f t="shared" ca="1" si="11"/>
        <v>0</v>
      </c>
      <c r="R171" t="str">
        <f ca="1">IF($Q171=1,SUM($Q$4:$Q171),"")</f>
        <v/>
      </c>
    </row>
    <row r="172" spans="1:18" ht="33.75" customHeight="1" x14ac:dyDescent="0.3">
      <c r="A172" s="2"/>
      <c r="B172" s="2"/>
      <c r="C172" s="3"/>
      <c r="D172" s="3"/>
      <c r="E172" s="2"/>
      <c r="F172" s="2"/>
      <c r="G172" s="5"/>
      <c r="H172" s="5"/>
      <c r="I172" s="4"/>
      <c r="J172" s="6" t="str">
        <f t="shared" si="9"/>
        <v/>
      </c>
      <c r="K172" s="4" t="str">
        <f t="shared" ca="1" si="10"/>
        <v/>
      </c>
      <c r="L172" s="7" t="str">
        <f t="shared" ca="1" si="12"/>
        <v/>
      </c>
      <c r="M172" s="4" t="str">
        <f>IF($I172="Complete","Green",IF($H172="","Amber",IF($H172&lt;'[2]Read Me'!$B$4,"Red",IF($H172-'[2]Read Me'!$B$4&lt;=21,"Amber","Green"))))</f>
        <v>Amber</v>
      </c>
      <c r="N172" s="3"/>
      <c r="O172" t="str">
        <f>IF($I172&lt;&gt;"Complete",IF(COUNTIFS($A$4:$A171,$A172,$B$4:$B171,$B172,$I$4:$I171,"&lt;&gt;Complete")=0,$A172&amp;"|"&amp;$B172,""),"")</f>
        <v>|</v>
      </c>
      <c r="P172" t="str">
        <f ca="1">IF($K172="Yes",COUNTIFS($K$4:$K172,"Yes"),"")</f>
        <v/>
      </c>
      <c r="Q172">
        <f t="shared" ca="1" si="11"/>
        <v>0</v>
      </c>
      <c r="R172" t="str">
        <f ca="1">IF($Q172=1,SUM($Q$4:$Q172),"")</f>
        <v/>
      </c>
    </row>
    <row r="173" spans="1:18" ht="33.75" customHeight="1" x14ac:dyDescent="0.3">
      <c r="A173" s="2"/>
      <c r="B173" s="2"/>
      <c r="C173" s="3"/>
      <c r="D173" s="3"/>
      <c r="E173" s="2"/>
      <c r="F173" s="2"/>
      <c r="G173" s="5"/>
      <c r="H173" s="5"/>
      <c r="I173" s="4"/>
      <c r="J173" s="6" t="str">
        <f t="shared" si="9"/>
        <v/>
      </c>
      <c r="K173" s="4" t="str">
        <f t="shared" ca="1" si="10"/>
        <v/>
      </c>
      <c r="L173" s="7" t="str">
        <f t="shared" ca="1" si="12"/>
        <v/>
      </c>
      <c r="M173" s="4" t="str">
        <f>IF($I173="Complete","Green",IF($H173="","Amber",IF($H173&lt;'[2]Read Me'!$B$4,"Red",IF($H173-'[2]Read Me'!$B$4&lt;=21,"Amber","Green"))))</f>
        <v>Amber</v>
      </c>
      <c r="N173" s="3"/>
      <c r="O173" t="str">
        <f>IF($I173&lt;&gt;"Complete",IF(COUNTIFS($A$4:$A172,$A173,$B$4:$B172,$B173,$I$4:$I172,"&lt;&gt;Complete")=0,$A173&amp;"|"&amp;$B173,""),"")</f>
        <v>|</v>
      </c>
      <c r="P173" t="str">
        <f ca="1">IF($K173="Yes",COUNTIFS($K$4:$K173,"Yes"),"")</f>
        <v/>
      </c>
      <c r="Q173">
        <f t="shared" ca="1" si="11"/>
        <v>0</v>
      </c>
      <c r="R173" t="str">
        <f ca="1">IF($Q173=1,SUM($Q$4:$Q173),"")</f>
        <v/>
      </c>
    </row>
    <row r="174" spans="1:18" ht="33.75" customHeight="1" x14ac:dyDescent="0.3">
      <c r="A174" s="2"/>
      <c r="B174" s="2"/>
      <c r="C174" s="3"/>
      <c r="D174" s="3"/>
      <c r="E174" s="2"/>
      <c r="F174" s="2"/>
      <c r="G174" s="5"/>
      <c r="H174" s="5"/>
      <c r="I174" s="4"/>
      <c r="J174" s="6" t="str">
        <f t="shared" si="9"/>
        <v/>
      </c>
      <c r="K174" s="4" t="str">
        <f t="shared" ca="1" si="10"/>
        <v/>
      </c>
      <c r="L174" s="7" t="str">
        <f t="shared" ca="1" si="12"/>
        <v/>
      </c>
      <c r="M174" s="4" t="str">
        <f>IF($I174="Complete","Green",IF($H174="","Amber",IF($H174&lt;'[2]Read Me'!$B$4,"Red",IF($H174-'[2]Read Me'!$B$4&lt;=21,"Amber","Green"))))</f>
        <v>Amber</v>
      </c>
      <c r="N174" s="3"/>
      <c r="O174" t="str">
        <f>IF($I174&lt;&gt;"Complete",IF(COUNTIFS($A$4:$A173,$A174,$B$4:$B173,$B174,$I$4:$I173,"&lt;&gt;Complete")=0,$A174&amp;"|"&amp;$B174,""),"")</f>
        <v>|</v>
      </c>
      <c r="P174" t="str">
        <f ca="1">IF($K174="Yes",COUNTIFS($K$4:$K174,"Yes"),"")</f>
        <v/>
      </c>
      <c r="Q174">
        <f t="shared" ca="1" si="11"/>
        <v>0</v>
      </c>
      <c r="R174" t="str">
        <f ca="1">IF($Q174=1,SUM($Q$4:$Q174),"")</f>
        <v/>
      </c>
    </row>
    <row r="175" spans="1:18" ht="33.75" customHeight="1" x14ac:dyDescent="0.3">
      <c r="A175" s="2"/>
      <c r="B175" s="2"/>
      <c r="C175" s="3"/>
      <c r="D175" s="3"/>
      <c r="E175" s="2"/>
      <c r="F175" s="2"/>
      <c r="G175" s="5"/>
      <c r="H175" s="5"/>
      <c r="I175" s="4"/>
      <c r="J175" s="6" t="str">
        <f t="shared" si="9"/>
        <v/>
      </c>
      <c r="K175" s="4" t="str">
        <f t="shared" ca="1" si="10"/>
        <v/>
      </c>
      <c r="L175" s="7" t="str">
        <f t="shared" ca="1" si="12"/>
        <v/>
      </c>
      <c r="M175" s="4" t="str">
        <f>IF($I175="Complete","Green",IF($H175="","Amber",IF($H175&lt;'[2]Read Me'!$B$4,"Red",IF($H175-'[2]Read Me'!$B$4&lt;=21,"Amber","Green"))))</f>
        <v>Amber</v>
      </c>
      <c r="N175" s="3"/>
      <c r="O175" t="str">
        <f>IF($I175&lt;&gt;"Complete",IF(COUNTIFS($A$4:$A174,$A175,$B$4:$B174,$B175,$I$4:$I174,"&lt;&gt;Complete")=0,$A175&amp;"|"&amp;$B175,""),"")</f>
        <v>|</v>
      </c>
      <c r="P175" t="str">
        <f ca="1">IF($K175="Yes",COUNTIFS($K$4:$K175,"Yes"),"")</f>
        <v/>
      </c>
      <c r="Q175">
        <f t="shared" ca="1" si="11"/>
        <v>0</v>
      </c>
      <c r="R175" t="str">
        <f ca="1">IF($Q175=1,SUM($Q$4:$Q175),"")</f>
        <v/>
      </c>
    </row>
    <row r="176" spans="1:18" ht="22.5" customHeight="1" x14ac:dyDescent="0.3">
      <c r="A176" s="2"/>
      <c r="B176" s="2"/>
      <c r="C176" s="3"/>
      <c r="D176" s="3"/>
      <c r="E176" s="2"/>
      <c r="F176" s="2"/>
      <c r="G176" s="5"/>
      <c r="H176" s="5"/>
      <c r="I176" s="4"/>
      <c r="J176" s="6" t="str">
        <f t="shared" si="9"/>
        <v/>
      </c>
      <c r="K176" s="4" t="str">
        <f t="shared" ca="1" si="10"/>
        <v/>
      </c>
      <c r="L176" s="7" t="str">
        <f t="shared" ca="1" si="12"/>
        <v/>
      </c>
      <c r="M176" s="4" t="str">
        <f>IF($I176="Complete","Green",IF($H176="","Amber",IF($H176&lt;'[2]Read Me'!$B$4,"Red",IF($H176-'[2]Read Me'!$B$4&lt;=21,"Amber","Green"))))</f>
        <v>Amber</v>
      </c>
      <c r="N176" s="3"/>
      <c r="O176" t="str">
        <f>IF($I176&lt;&gt;"Complete",IF(COUNTIFS($A$4:$A175,$A176,$B$4:$B175,$B176,$I$4:$I175,"&lt;&gt;Complete")=0,$A176&amp;"|"&amp;$B176,""),"")</f>
        <v>|</v>
      </c>
      <c r="P176" t="str">
        <f ca="1">IF($K176="Yes",COUNTIFS($K$4:$K176,"Yes"),"")</f>
        <v/>
      </c>
      <c r="Q176">
        <f t="shared" ca="1" si="11"/>
        <v>0</v>
      </c>
      <c r="R176" t="str">
        <f ca="1">IF($Q176=1,SUM($Q$4:$Q176),"")</f>
        <v/>
      </c>
    </row>
    <row r="177" spans="1:18" ht="22.5" customHeight="1" x14ac:dyDescent="0.3">
      <c r="A177" s="2"/>
      <c r="B177" s="2"/>
      <c r="C177" s="3"/>
      <c r="D177" s="3"/>
      <c r="E177" s="2"/>
      <c r="F177" s="2"/>
      <c r="G177" s="5"/>
      <c r="H177" s="5"/>
      <c r="I177" s="4"/>
      <c r="J177" s="6" t="str">
        <f t="shared" si="9"/>
        <v/>
      </c>
      <c r="K177" s="4" t="str">
        <f t="shared" ca="1" si="10"/>
        <v/>
      </c>
      <c r="L177" s="7" t="str">
        <f t="shared" ca="1" si="12"/>
        <v/>
      </c>
      <c r="M177" s="4" t="str">
        <f>IF($I177="Complete","Green",IF($H177="","Amber",IF($H177&lt;'[2]Read Me'!$B$4,"Red",IF($H177-'[2]Read Me'!$B$4&lt;=21,"Amber","Green"))))</f>
        <v>Amber</v>
      </c>
      <c r="N177" s="3"/>
      <c r="O177" t="str">
        <f>IF($I177&lt;&gt;"Complete",IF(COUNTIFS($A$4:$A176,$A177,$B$4:$B176,$B177,$I$4:$I176,"&lt;&gt;Complete")=0,$A177&amp;"|"&amp;$B177,""),"")</f>
        <v>|</v>
      </c>
      <c r="P177" t="str">
        <f ca="1">IF($K177="Yes",COUNTIFS($K$4:$K177,"Yes"),"")</f>
        <v/>
      </c>
      <c r="Q177">
        <f t="shared" ca="1" si="11"/>
        <v>0</v>
      </c>
      <c r="R177" t="str">
        <f ca="1">IF($Q177=1,SUM($Q$4:$Q177),"")</f>
        <v/>
      </c>
    </row>
    <row r="178" spans="1:18" ht="22.5" customHeight="1" x14ac:dyDescent="0.3">
      <c r="A178" s="2"/>
      <c r="B178" s="2"/>
      <c r="C178" s="3"/>
      <c r="D178" s="3"/>
      <c r="E178" s="2"/>
      <c r="F178" s="2"/>
      <c r="G178" s="5"/>
      <c r="H178" s="5"/>
      <c r="I178" s="4"/>
      <c r="J178" s="6" t="str">
        <f t="shared" si="9"/>
        <v/>
      </c>
      <c r="K178" s="4" t="str">
        <f t="shared" ca="1" si="10"/>
        <v/>
      </c>
      <c r="L178" s="7" t="str">
        <f t="shared" ca="1" si="12"/>
        <v/>
      </c>
      <c r="M178" s="4" t="str">
        <f>IF($I178="Complete","Green",IF($H178="","Amber",IF($H178&lt;'[2]Read Me'!$B$4,"Red",IF($H178-'[2]Read Me'!$B$4&lt;=21,"Amber","Green"))))</f>
        <v>Amber</v>
      </c>
      <c r="N178" s="3"/>
      <c r="O178" t="str">
        <f>IF($I178&lt;&gt;"Complete",IF(COUNTIFS($A$4:$A177,$A178,$B$4:$B177,$B178,$I$4:$I177,"&lt;&gt;Complete")=0,$A178&amp;"|"&amp;$B178,""),"")</f>
        <v>|</v>
      </c>
      <c r="P178" t="str">
        <f ca="1">IF($K178="Yes",COUNTIFS($K$4:$K178,"Yes"),"")</f>
        <v/>
      </c>
      <c r="Q178">
        <f t="shared" ca="1" si="11"/>
        <v>0</v>
      </c>
      <c r="R178" t="str">
        <f ca="1">IF($Q178=1,SUM($Q$4:$Q178),"")</f>
        <v/>
      </c>
    </row>
    <row r="179" spans="1:18" ht="22.5" customHeight="1" x14ac:dyDescent="0.3">
      <c r="A179" s="2"/>
      <c r="B179" s="2"/>
      <c r="C179" s="3"/>
      <c r="D179" s="3"/>
      <c r="E179" s="2"/>
      <c r="F179" s="2"/>
      <c r="G179" s="5"/>
      <c r="H179" s="5"/>
      <c r="I179" s="4"/>
      <c r="J179" s="6" t="str">
        <f t="shared" si="9"/>
        <v/>
      </c>
      <c r="K179" s="4" t="str">
        <f t="shared" ca="1" si="10"/>
        <v/>
      </c>
      <c r="L179" s="7" t="str">
        <f t="shared" ca="1" si="12"/>
        <v/>
      </c>
      <c r="M179" s="4" t="str">
        <f>IF($I179="Complete","Green",IF($H179="","Amber",IF($H179&lt;'[2]Read Me'!$B$4,"Red",IF($H179-'[2]Read Me'!$B$4&lt;=21,"Amber","Green"))))</f>
        <v>Amber</v>
      </c>
      <c r="N179" s="3"/>
      <c r="O179" t="str">
        <f>IF($I179&lt;&gt;"Complete",IF(COUNTIFS($A$4:$A178,$A179,$B$4:$B178,$B179,$I$4:$I178,"&lt;&gt;Complete")=0,$A179&amp;"|"&amp;$B179,""),"")</f>
        <v>|</v>
      </c>
      <c r="P179" t="str">
        <f ca="1">IF($K179="Yes",COUNTIFS($K$4:$K179,"Yes"),"")</f>
        <v/>
      </c>
      <c r="Q179">
        <f t="shared" ca="1" si="11"/>
        <v>0</v>
      </c>
      <c r="R179" t="str">
        <f ca="1">IF($Q179=1,SUM($Q$4:$Q179),"")</f>
        <v/>
      </c>
    </row>
    <row r="180" spans="1:18" ht="22.5" customHeight="1" x14ac:dyDescent="0.3">
      <c r="A180" s="2"/>
      <c r="B180" s="2"/>
      <c r="C180" s="3"/>
      <c r="D180" s="3"/>
      <c r="E180" s="2"/>
      <c r="F180" s="2"/>
      <c r="G180" s="5"/>
      <c r="H180" s="5"/>
      <c r="I180" s="4"/>
      <c r="J180" s="6" t="str">
        <f t="shared" si="9"/>
        <v/>
      </c>
      <c r="K180" s="4" t="str">
        <f t="shared" ca="1" si="10"/>
        <v/>
      </c>
      <c r="L180" s="7" t="str">
        <f t="shared" ca="1" si="12"/>
        <v/>
      </c>
      <c r="M180" s="4" t="str">
        <f>IF($I180="Complete","Green",IF($H180="","Amber",IF($H180&lt;'[2]Read Me'!$B$4,"Red",IF($H180-'[2]Read Me'!$B$4&lt;=21,"Amber","Green"))))</f>
        <v>Amber</v>
      </c>
      <c r="N180" s="3"/>
      <c r="O180" t="str">
        <f>IF($I180&lt;&gt;"Complete",IF(COUNTIFS($A$4:$A179,$A180,$B$4:$B179,$B180,$I$4:$I179,"&lt;&gt;Complete")=0,$A180&amp;"|"&amp;$B180,""),"")</f>
        <v>|</v>
      </c>
      <c r="P180" t="str">
        <f ca="1">IF($K180="Yes",COUNTIFS($K$4:$K180,"Yes"),"")</f>
        <v/>
      </c>
      <c r="Q180">
        <f t="shared" ca="1" si="11"/>
        <v>0</v>
      </c>
      <c r="R180" t="str">
        <f ca="1">IF($Q180=1,SUM($Q$4:$Q180),"")</f>
        <v/>
      </c>
    </row>
    <row r="181" spans="1:18" ht="22.5" customHeight="1" x14ac:dyDescent="0.3">
      <c r="A181" s="2"/>
      <c r="B181" s="2"/>
      <c r="C181" s="3"/>
      <c r="D181" s="3"/>
      <c r="E181" s="2"/>
      <c r="F181" s="2"/>
      <c r="G181" s="5"/>
      <c r="H181" s="5"/>
      <c r="I181" s="4"/>
      <c r="J181" s="6" t="str">
        <f t="shared" si="9"/>
        <v/>
      </c>
      <c r="K181" s="4" t="str">
        <f t="shared" ca="1" si="10"/>
        <v/>
      </c>
      <c r="L181" s="7" t="str">
        <f t="shared" ca="1" si="12"/>
        <v/>
      </c>
      <c r="M181" s="4" t="str">
        <f>IF($I181="Complete","Green",IF($H181="","Amber",IF($H181&lt;'[2]Read Me'!$B$4,"Red",IF($H181-'[2]Read Me'!$B$4&lt;=21,"Amber","Green"))))</f>
        <v>Amber</v>
      </c>
      <c r="N181" s="3"/>
      <c r="O181" t="str">
        <f>IF($I181&lt;&gt;"Complete",IF(COUNTIFS($A$4:$A180,$A181,$B$4:$B180,$B181,$I$4:$I180,"&lt;&gt;Complete")=0,$A181&amp;"|"&amp;$B181,""),"")</f>
        <v>|</v>
      </c>
      <c r="P181" t="str">
        <f ca="1">IF($K181="Yes",COUNTIFS($K$4:$K181,"Yes"),"")</f>
        <v/>
      </c>
      <c r="Q181">
        <f t="shared" ca="1" si="11"/>
        <v>0</v>
      </c>
      <c r="R181" t="str">
        <f ca="1">IF($Q181=1,SUM($Q$4:$Q181),"")</f>
        <v/>
      </c>
    </row>
    <row r="182" spans="1:18" ht="22.5" customHeight="1" x14ac:dyDescent="0.3">
      <c r="A182" s="2"/>
      <c r="B182" s="2"/>
      <c r="C182" s="3"/>
      <c r="D182" s="3"/>
      <c r="E182" s="2"/>
      <c r="F182" s="2"/>
      <c r="G182" s="5"/>
      <c r="H182" s="5"/>
      <c r="I182" s="4"/>
      <c r="J182" s="6" t="str">
        <f t="shared" si="9"/>
        <v/>
      </c>
      <c r="K182" s="4" t="str">
        <f t="shared" ca="1" si="10"/>
        <v/>
      </c>
      <c r="L182" s="7" t="str">
        <f t="shared" ca="1" si="12"/>
        <v/>
      </c>
      <c r="M182" s="4" t="str">
        <f>IF($I182="Complete","Green",IF($H182="","Amber",IF($H182&lt;'[2]Read Me'!$B$4,"Red",IF($H182-'[2]Read Me'!$B$4&lt;=21,"Amber","Green"))))</f>
        <v>Amber</v>
      </c>
      <c r="N182" s="3"/>
      <c r="O182" t="str">
        <f>IF($I182&lt;&gt;"Complete",IF(COUNTIFS($A$4:$A181,$A182,$B$4:$B181,$B182,$I$4:$I181,"&lt;&gt;Complete")=0,$A182&amp;"|"&amp;$B182,""),"")</f>
        <v>|</v>
      </c>
      <c r="P182" t="str">
        <f ca="1">IF($K182="Yes",COUNTIFS($K$4:$K182,"Yes"),"")</f>
        <v/>
      </c>
      <c r="Q182">
        <f t="shared" ca="1" si="11"/>
        <v>0</v>
      </c>
      <c r="R182" t="str">
        <f ca="1">IF($Q182=1,SUM($Q$4:$Q182),"")</f>
        <v/>
      </c>
    </row>
    <row r="183" spans="1:18" ht="22.5" customHeight="1" x14ac:dyDescent="0.3">
      <c r="A183" s="2"/>
      <c r="B183" s="2"/>
      <c r="C183" s="3"/>
      <c r="D183" s="3"/>
      <c r="E183" s="2"/>
      <c r="F183" s="2"/>
      <c r="G183" s="5"/>
      <c r="H183" s="5"/>
      <c r="I183" s="4"/>
      <c r="J183" s="6" t="str">
        <f t="shared" si="9"/>
        <v/>
      </c>
      <c r="K183" s="4" t="str">
        <f t="shared" ca="1" si="10"/>
        <v/>
      </c>
      <c r="L183" s="7" t="str">
        <f t="shared" ca="1" si="12"/>
        <v/>
      </c>
      <c r="M183" s="4" t="str">
        <f>IF($I183="Complete","Green",IF($H183="","Amber",IF($H183&lt;'[2]Read Me'!$B$4,"Red",IF($H183-'[2]Read Me'!$B$4&lt;=21,"Amber","Green"))))</f>
        <v>Amber</v>
      </c>
      <c r="N183" s="3"/>
      <c r="O183" t="str">
        <f>IF($I183&lt;&gt;"Complete",IF(COUNTIFS($A$4:$A182,$A183,$B$4:$B182,$B183,$I$4:$I182,"&lt;&gt;Complete")=0,$A183&amp;"|"&amp;$B183,""),"")</f>
        <v>|</v>
      </c>
      <c r="P183" t="str">
        <f ca="1">IF($K183="Yes",COUNTIFS($K$4:$K183,"Yes"),"")</f>
        <v/>
      </c>
      <c r="Q183">
        <f t="shared" ca="1" si="11"/>
        <v>0</v>
      </c>
      <c r="R183" t="str">
        <f ca="1">IF($Q183=1,SUM($Q$4:$Q183),"")</f>
        <v/>
      </c>
    </row>
    <row r="184" spans="1:18" ht="22.5" customHeight="1" x14ac:dyDescent="0.3">
      <c r="A184" s="2"/>
      <c r="B184" s="2"/>
      <c r="C184" s="3"/>
      <c r="D184" s="3"/>
      <c r="E184" s="2"/>
      <c r="F184" s="2"/>
      <c r="G184" s="5"/>
      <c r="H184" s="5"/>
      <c r="I184" s="4"/>
      <c r="J184" s="6" t="str">
        <f t="shared" si="9"/>
        <v/>
      </c>
      <c r="K184" s="4" t="str">
        <f t="shared" ca="1" si="10"/>
        <v/>
      </c>
      <c r="L184" s="7" t="str">
        <f t="shared" ca="1" si="12"/>
        <v/>
      </c>
      <c r="M184" s="4" t="str">
        <f>IF($I184="Complete","Green",IF($H184="","Amber",IF($H184&lt;'[2]Read Me'!$B$4,"Red",IF($H184-'[2]Read Me'!$B$4&lt;=21,"Amber","Green"))))</f>
        <v>Amber</v>
      </c>
      <c r="N184" s="3"/>
      <c r="O184" t="str">
        <f>IF($I184&lt;&gt;"Complete",IF(COUNTIFS($A$4:$A183,$A184,$B$4:$B183,$B184,$I$4:$I183,"&lt;&gt;Complete")=0,$A184&amp;"|"&amp;$B184,""),"")</f>
        <v>|</v>
      </c>
      <c r="P184" t="str">
        <f ca="1">IF($K184="Yes",COUNTIFS($K$4:$K184,"Yes"),"")</f>
        <v/>
      </c>
      <c r="Q184">
        <f t="shared" ca="1" si="11"/>
        <v>0</v>
      </c>
      <c r="R184" t="str">
        <f ca="1">IF($Q184=1,SUM($Q$4:$Q184),"")</f>
        <v/>
      </c>
    </row>
    <row r="185" spans="1:18" ht="22.5" customHeight="1" x14ac:dyDescent="0.3">
      <c r="A185" s="2"/>
      <c r="B185" s="2"/>
      <c r="C185" s="3"/>
      <c r="D185" s="3"/>
      <c r="E185" s="2"/>
      <c r="F185" s="2"/>
      <c r="G185" s="5"/>
      <c r="H185" s="5"/>
      <c r="I185" s="4"/>
      <c r="J185" s="6" t="str">
        <f t="shared" si="9"/>
        <v/>
      </c>
      <c r="K185" s="4" t="str">
        <f t="shared" ca="1" si="10"/>
        <v/>
      </c>
      <c r="L185" s="7" t="str">
        <f t="shared" ca="1" si="12"/>
        <v/>
      </c>
      <c r="M185" s="4" t="str">
        <f>IF($I185="Complete","Green",IF($H185="","Amber",IF($H185&lt;'[2]Read Me'!$B$4,"Red",IF($H185-'[2]Read Me'!$B$4&lt;=21,"Amber","Green"))))</f>
        <v>Amber</v>
      </c>
      <c r="N185" s="3"/>
      <c r="O185" t="str">
        <f>IF($I185&lt;&gt;"Complete",IF(COUNTIFS($A$4:$A184,$A185,$B$4:$B184,$B185,$I$4:$I184,"&lt;&gt;Complete")=0,$A185&amp;"|"&amp;$B185,""),"")</f>
        <v>|</v>
      </c>
      <c r="P185" t="str">
        <f ca="1">IF($K185="Yes",COUNTIFS($K$4:$K185,"Yes"),"")</f>
        <v/>
      </c>
      <c r="Q185">
        <f t="shared" ca="1" si="11"/>
        <v>0</v>
      </c>
      <c r="R185" t="str">
        <f ca="1">IF($Q185=1,SUM($Q$4:$Q185),"")</f>
        <v/>
      </c>
    </row>
    <row r="186" spans="1:18" ht="22.5" customHeight="1" x14ac:dyDescent="0.3">
      <c r="A186" s="2"/>
      <c r="B186" s="2"/>
      <c r="C186" s="3"/>
      <c r="D186" s="3"/>
      <c r="E186" s="2"/>
      <c r="F186" s="2"/>
      <c r="G186" s="5"/>
      <c r="H186" s="5"/>
      <c r="I186" s="4"/>
      <c r="J186" s="6" t="str">
        <f t="shared" si="9"/>
        <v/>
      </c>
      <c r="K186" s="4" t="str">
        <f t="shared" ca="1" si="10"/>
        <v/>
      </c>
      <c r="L186" s="7" t="str">
        <f t="shared" ca="1" si="12"/>
        <v/>
      </c>
      <c r="M186" s="4" t="str">
        <f>IF($I186="Complete","Green",IF($H186="","Amber",IF($H186&lt;'[2]Read Me'!$B$4,"Red",IF($H186-'[2]Read Me'!$B$4&lt;=21,"Amber","Green"))))</f>
        <v>Amber</v>
      </c>
      <c r="N186" s="3"/>
      <c r="O186" t="str">
        <f>IF($I186&lt;&gt;"Complete",IF(COUNTIFS($A$4:$A185,$A186,$B$4:$B185,$B186,$I$4:$I185,"&lt;&gt;Complete")=0,$A186&amp;"|"&amp;$B186,""),"")</f>
        <v>|</v>
      </c>
      <c r="P186" t="str">
        <f ca="1">IF($K186="Yes",COUNTIFS($K$4:$K186,"Yes"),"")</f>
        <v/>
      </c>
      <c r="Q186">
        <f t="shared" ca="1" si="11"/>
        <v>0</v>
      </c>
      <c r="R186" t="str">
        <f ca="1">IF($Q186=1,SUM($Q$4:$Q186),"")</f>
        <v/>
      </c>
    </row>
    <row r="187" spans="1:18" ht="22.5" customHeight="1" x14ac:dyDescent="0.3">
      <c r="A187" s="2"/>
      <c r="B187" s="2"/>
      <c r="C187" s="3"/>
      <c r="D187" s="3"/>
      <c r="E187" s="2"/>
      <c r="F187" s="2"/>
      <c r="G187" s="5"/>
      <c r="H187" s="5"/>
      <c r="I187" s="4"/>
      <c r="J187" s="6" t="str">
        <f t="shared" si="9"/>
        <v/>
      </c>
      <c r="K187" s="4" t="str">
        <f t="shared" ca="1" si="10"/>
        <v/>
      </c>
      <c r="L187" s="7" t="str">
        <f t="shared" ca="1" si="12"/>
        <v/>
      </c>
      <c r="M187" s="4" t="str">
        <f>IF($I187="Complete","Green",IF($H187="","Amber",IF($H187&lt;'[2]Read Me'!$B$4,"Red",IF($H187-'[2]Read Me'!$B$4&lt;=21,"Amber","Green"))))</f>
        <v>Amber</v>
      </c>
      <c r="N187" s="3"/>
      <c r="O187" t="str">
        <f>IF($I187&lt;&gt;"Complete",IF(COUNTIFS($A$4:$A186,$A187,$B$4:$B186,$B187,$I$4:$I186,"&lt;&gt;Complete")=0,$A187&amp;"|"&amp;$B187,""),"")</f>
        <v>|</v>
      </c>
      <c r="P187" t="str">
        <f ca="1">IF($K187="Yes",COUNTIFS($K$4:$K187,"Yes"),"")</f>
        <v/>
      </c>
      <c r="Q187">
        <f t="shared" ca="1" si="11"/>
        <v>0</v>
      </c>
      <c r="R187" t="str">
        <f ca="1">IF($Q187=1,SUM($Q$4:$Q187),"")</f>
        <v/>
      </c>
    </row>
    <row r="188" spans="1:18" ht="22.5" customHeight="1" x14ac:dyDescent="0.3">
      <c r="A188" s="2"/>
      <c r="B188" s="2"/>
      <c r="C188" s="3"/>
      <c r="D188" s="3"/>
      <c r="E188" s="2"/>
      <c r="F188" s="2"/>
      <c r="G188" s="5"/>
      <c r="H188" s="5"/>
      <c r="I188" s="4"/>
      <c r="J188" s="6" t="str">
        <f t="shared" si="9"/>
        <v/>
      </c>
      <c r="K188" s="4" t="str">
        <f t="shared" ca="1" si="10"/>
        <v/>
      </c>
      <c r="L188" s="7" t="str">
        <f t="shared" ca="1" si="12"/>
        <v/>
      </c>
      <c r="M188" s="4" t="str">
        <f>IF($I188="Complete","Green",IF($H188="","Amber",IF($H188&lt;'[2]Read Me'!$B$4,"Red",IF($H188-'[2]Read Me'!$B$4&lt;=21,"Amber","Green"))))</f>
        <v>Amber</v>
      </c>
      <c r="N188" s="3"/>
      <c r="O188" t="str">
        <f>IF($I188&lt;&gt;"Complete",IF(COUNTIFS($A$4:$A187,$A188,$B$4:$B187,$B188,$I$4:$I187,"&lt;&gt;Complete")=0,$A188&amp;"|"&amp;$B188,""),"")</f>
        <v>|</v>
      </c>
      <c r="P188" t="str">
        <f ca="1">IF($K188="Yes",COUNTIFS($K$4:$K188,"Yes"),"")</f>
        <v/>
      </c>
      <c r="Q188">
        <f t="shared" ca="1" si="11"/>
        <v>0</v>
      </c>
      <c r="R188" t="str">
        <f ca="1">IF($Q188=1,SUM($Q$4:$Q188),"")</f>
        <v/>
      </c>
    </row>
    <row r="189" spans="1:18" ht="22.5" customHeight="1" x14ac:dyDescent="0.3">
      <c r="A189" s="2"/>
      <c r="B189" s="2"/>
      <c r="C189" s="3"/>
      <c r="D189" s="3"/>
      <c r="E189" s="2"/>
      <c r="F189" s="2"/>
      <c r="G189" s="5"/>
      <c r="H189" s="5"/>
      <c r="I189" s="4"/>
      <c r="J189" s="6" t="str">
        <f t="shared" si="9"/>
        <v/>
      </c>
      <c r="K189" s="4" t="str">
        <f t="shared" ca="1" si="10"/>
        <v/>
      </c>
      <c r="L189" s="7" t="str">
        <f t="shared" ca="1" si="12"/>
        <v/>
      </c>
      <c r="M189" s="4" t="str">
        <f>IF($I189="Complete","Green",IF($H189="","Amber",IF($H189&lt;'[2]Read Me'!$B$4,"Red",IF($H189-'[2]Read Me'!$B$4&lt;=21,"Amber","Green"))))</f>
        <v>Amber</v>
      </c>
      <c r="N189" s="3"/>
      <c r="O189" t="str">
        <f>IF($I189&lt;&gt;"Complete",IF(COUNTIFS($A$4:$A188,$A189,$B$4:$B188,$B189,$I$4:$I188,"&lt;&gt;Complete")=0,$A189&amp;"|"&amp;$B189,""),"")</f>
        <v>|</v>
      </c>
      <c r="P189" t="str">
        <f ca="1">IF($K189="Yes",COUNTIFS($K$4:$K189,"Yes"),"")</f>
        <v/>
      </c>
      <c r="Q189">
        <f t="shared" ca="1" si="11"/>
        <v>0</v>
      </c>
      <c r="R189" t="str">
        <f ca="1">IF($Q189=1,SUM($Q$4:$Q189),"")</f>
        <v/>
      </c>
    </row>
    <row r="190" spans="1:18" ht="22.5" customHeight="1" x14ac:dyDescent="0.3">
      <c r="A190" s="2"/>
      <c r="B190" s="2"/>
      <c r="C190" s="3"/>
      <c r="D190" s="3"/>
      <c r="E190" s="2"/>
      <c r="F190" s="2"/>
      <c r="G190" s="5"/>
      <c r="H190" s="5"/>
      <c r="I190" s="4"/>
      <c r="J190" s="6" t="str">
        <f t="shared" si="9"/>
        <v/>
      </c>
      <c r="K190" s="4" t="str">
        <f t="shared" ca="1" si="10"/>
        <v/>
      </c>
      <c r="L190" s="7" t="str">
        <f t="shared" ca="1" si="12"/>
        <v/>
      </c>
      <c r="M190" s="4" t="str">
        <f>IF($I190="Complete","Green",IF($H190="","Amber",IF($H190&lt;'[2]Read Me'!$B$4,"Red",IF($H190-'[2]Read Me'!$B$4&lt;=21,"Amber","Green"))))</f>
        <v>Amber</v>
      </c>
      <c r="N190" s="3"/>
      <c r="O190" t="str">
        <f>IF($I190&lt;&gt;"Complete",IF(COUNTIFS($A$4:$A189,$A190,$B$4:$B189,$B190,$I$4:$I189,"&lt;&gt;Complete")=0,$A190&amp;"|"&amp;$B190,""),"")</f>
        <v>|</v>
      </c>
      <c r="P190" t="str">
        <f ca="1">IF($K190="Yes",COUNTIFS($K$4:$K190,"Yes"),"")</f>
        <v/>
      </c>
      <c r="Q190">
        <f t="shared" ca="1" si="11"/>
        <v>0</v>
      </c>
      <c r="R190" t="str">
        <f ca="1">IF($Q190=1,SUM($Q$4:$Q190),"")</f>
        <v/>
      </c>
    </row>
    <row r="191" spans="1:18" ht="22.5" customHeight="1" x14ac:dyDescent="0.3">
      <c r="A191" s="2"/>
      <c r="B191" s="2"/>
      <c r="C191" s="3"/>
      <c r="D191" s="3"/>
      <c r="E191" s="2"/>
      <c r="F191" s="2"/>
      <c r="G191" s="5"/>
      <c r="H191" s="5"/>
      <c r="I191" s="4"/>
      <c r="J191" s="6" t="str">
        <f t="shared" si="9"/>
        <v/>
      </c>
      <c r="K191" s="4" t="str">
        <f t="shared" ca="1" si="10"/>
        <v/>
      </c>
      <c r="L191" s="7" t="str">
        <f t="shared" ca="1" si="12"/>
        <v/>
      </c>
      <c r="M191" s="4" t="str">
        <f>IF($I191="Complete","Green",IF($H191="","Amber",IF($H191&lt;'[2]Read Me'!$B$4,"Red",IF($H191-'[2]Read Me'!$B$4&lt;=21,"Amber","Green"))))</f>
        <v>Amber</v>
      </c>
      <c r="N191" s="3"/>
      <c r="O191" t="str">
        <f>IF($I191&lt;&gt;"Complete",IF(COUNTIFS($A$4:$A190,$A191,$B$4:$B190,$B191,$I$4:$I190,"&lt;&gt;Complete")=0,$A191&amp;"|"&amp;$B191,""),"")</f>
        <v>|</v>
      </c>
      <c r="P191" t="str">
        <f ca="1">IF($K191="Yes",COUNTIFS($K$4:$K191,"Yes"),"")</f>
        <v/>
      </c>
      <c r="Q191">
        <f t="shared" ca="1" si="11"/>
        <v>0</v>
      </c>
      <c r="R191" t="str">
        <f ca="1">IF($Q191=1,SUM($Q$4:$Q191),"")</f>
        <v/>
      </c>
    </row>
    <row r="192" spans="1:18" ht="33.75" customHeight="1" x14ac:dyDescent="0.3">
      <c r="A192" s="2"/>
      <c r="B192" s="2"/>
      <c r="C192" s="3"/>
      <c r="D192" s="3"/>
      <c r="E192" s="2"/>
      <c r="F192" s="2"/>
      <c r="G192" s="5"/>
      <c r="H192" s="5"/>
      <c r="I192" s="4"/>
      <c r="J192" s="6" t="str">
        <f t="shared" si="9"/>
        <v/>
      </c>
      <c r="K192" s="4" t="str">
        <f t="shared" ca="1" si="10"/>
        <v/>
      </c>
      <c r="L192" s="7" t="str">
        <f t="shared" ca="1" si="12"/>
        <v/>
      </c>
      <c r="M192" s="4" t="str">
        <f>IF($I192="Complete","Green",IF($H192="","Amber",IF($H192&lt;'[2]Read Me'!$B$4,"Red",IF($H192-'[2]Read Me'!$B$4&lt;=21,"Amber","Green"))))</f>
        <v>Amber</v>
      </c>
      <c r="N192" s="3"/>
      <c r="O192" t="str">
        <f>IF($I192&lt;&gt;"Complete",IF(COUNTIFS($A$4:$A191,$A192,$B$4:$B191,$B192,$I$4:$I191,"&lt;&gt;Complete")=0,$A192&amp;"|"&amp;$B192,""),"")</f>
        <v>|</v>
      </c>
      <c r="P192" t="str">
        <f ca="1">IF($K192="Yes",COUNTIFS($K$4:$K192,"Yes"),"")</f>
        <v/>
      </c>
      <c r="Q192">
        <f t="shared" ca="1" si="11"/>
        <v>0</v>
      </c>
      <c r="R192" t="str">
        <f ca="1">IF($Q192=1,SUM($Q$4:$Q192),"")</f>
        <v/>
      </c>
    </row>
    <row r="193" spans="1:18" ht="33.75" customHeight="1" x14ac:dyDescent="0.3">
      <c r="A193" s="2"/>
      <c r="B193" s="2"/>
      <c r="C193" s="3"/>
      <c r="D193" s="3"/>
      <c r="E193" s="2"/>
      <c r="F193" s="2"/>
      <c r="G193" s="5"/>
      <c r="H193" s="5"/>
      <c r="I193" s="4"/>
      <c r="J193" s="6" t="str">
        <f t="shared" si="9"/>
        <v/>
      </c>
      <c r="K193" s="4" t="str">
        <f t="shared" ca="1" si="10"/>
        <v/>
      </c>
      <c r="L193" s="7" t="str">
        <f t="shared" ca="1" si="12"/>
        <v/>
      </c>
      <c r="M193" s="4" t="str">
        <f>IF($I193="Complete","Green",IF($H193="","Amber",IF($H193&lt;'[2]Read Me'!$B$4,"Red",IF($H193-'[2]Read Me'!$B$4&lt;=21,"Amber","Green"))))</f>
        <v>Amber</v>
      </c>
      <c r="N193" s="3"/>
      <c r="O193" t="str">
        <f>IF($I193&lt;&gt;"Complete",IF(COUNTIFS($A$4:$A192,$A193,$B$4:$B192,$B193,$I$4:$I192,"&lt;&gt;Complete")=0,$A193&amp;"|"&amp;$B193,""),"")</f>
        <v>|</v>
      </c>
      <c r="P193" t="str">
        <f ca="1">IF($K193="Yes",COUNTIFS($K$4:$K193,"Yes"),"")</f>
        <v/>
      </c>
      <c r="Q193">
        <f t="shared" ca="1" si="11"/>
        <v>0</v>
      </c>
      <c r="R193" t="str">
        <f ca="1">IF($Q193=1,SUM($Q$4:$Q193),"")</f>
        <v/>
      </c>
    </row>
    <row r="194" spans="1:18" ht="33.75" customHeight="1" x14ac:dyDescent="0.3">
      <c r="A194" s="2"/>
      <c r="B194" s="2"/>
      <c r="C194" s="3"/>
      <c r="D194" s="3"/>
      <c r="E194" s="2"/>
      <c r="F194" s="2"/>
      <c r="G194" s="5"/>
      <c r="H194" s="5"/>
      <c r="I194" s="4"/>
      <c r="J194" s="6" t="str">
        <f t="shared" si="9"/>
        <v/>
      </c>
      <c r="K194" s="4" t="str">
        <f t="shared" ca="1" si="10"/>
        <v/>
      </c>
      <c r="L194" s="7" t="str">
        <f t="shared" ca="1" si="12"/>
        <v/>
      </c>
      <c r="M194" s="4" t="str">
        <f>IF($I194="Complete","Green",IF($H194="","Amber",IF($H194&lt;'[2]Read Me'!$B$4,"Red",IF($H194-'[2]Read Me'!$B$4&lt;=21,"Amber","Green"))))</f>
        <v>Amber</v>
      </c>
      <c r="N194" s="3"/>
      <c r="O194" t="str">
        <f>IF($I194&lt;&gt;"Complete",IF(COUNTIFS($A$4:$A193,$A194,$B$4:$B193,$B194,$I$4:$I193,"&lt;&gt;Complete")=0,$A194&amp;"|"&amp;$B194,""),"")</f>
        <v>|</v>
      </c>
      <c r="P194" t="str">
        <f ca="1">IF($K194="Yes",COUNTIFS($K$4:$K194,"Yes"),"")</f>
        <v/>
      </c>
      <c r="Q194">
        <f t="shared" ca="1" si="11"/>
        <v>0</v>
      </c>
      <c r="R194" t="str">
        <f ca="1">IF($Q194=1,SUM($Q$4:$Q194),"")</f>
        <v/>
      </c>
    </row>
    <row r="195" spans="1:18" ht="33.75" customHeight="1" x14ac:dyDescent="0.3">
      <c r="A195" s="2"/>
      <c r="B195" s="2"/>
      <c r="C195" s="3"/>
      <c r="D195" s="3"/>
      <c r="E195" s="2"/>
      <c r="F195" s="2"/>
      <c r="G195" s="5"/>
      <c r="H195" s="5"/>
      <c r="I195" s="4"/>
      <c r="J195" s="6" t="str">
        <f t="shared" si="9"/>
        <v/>
      </c>
      <c r="K195" s="4" t="str">
        <f t="shared" ca="1" si="10"/>
        <v/>
      </c>
      <c r="L195" s="7" t="str">
        <f t="shared" ca="1" si="12"/>
        <v/>
      </c>
      <c r="M195" s="4" t="str">
        <f>IF($I195="Complete","Green",IF($H195="","Amber",IF($H195&lt;'[2]Read Me'!$B$4,"Red",IF($H195-'[2]Read Me'!$B$4&lt;=21,"Amber","Green"))))</f>
        <v>Amber</v>
      </c>
      <c r="N195" s="3"/>
      <c r="O195" t="str">
        <f>IF($I195&lt;&gt;"Complete",IF(COUNTIFS($A$4:$A194,$A195,$B$4:$B194,$B195,$I$4:$I194,"&lt;&gt;Complete")=0,$A195&amp;"|"&amp;$B195,""),"")</f>
        <v>|</v>
      </c>
      <c r="P195" t="str">
        <f ca="1">IF($K195="Yes",COUNTIFS($K$4:$K195,"Yes"),"")</f>
        <v/>
      </c>
      <c r="Q195">
        <f t="shared" ca="1" si="11"/>
        <v>0</v>
      </c>
      <c r="R195" t="str">
        <f ca="1">IF($Q195=1,SUM($Q$4:$Q195),"")</f>
        <v/>
      </c>
    </row>
    <row r="196" spans="1:18" ht="33.75" customHeight="1" x14ac:dyDescent="0.3">
      <c r="A196" s="2"/>
      <c r="B196" s="2"/>
      <c r="C196" s="3"/>
      <c r="D196" s="3"/>
      <c r="E196" s="2"/>
      <c r="F196" s="2"/>
      <c r="G196" s="5"/>
      <c r="H196" s="5"/>
      <c r="I196" s="4"/>
      <c r="J196" s="6" t="str">
        <f t="shared" ref="J196:J259" si="13">IF(OR($G196="",$H196=""),"",$H196-$G196)</f>
        <v/>
      </c>
      <c r="K196" s="4" t="str">
        <f t="shared" ref="K196:K243" ca="1" si="14">IF(C196="","",IF(H196="","",IF($I196="completed","-",IF($H196&gt;TODAY(),"No","Yes"))))</f>
        <v/>
      </c>
      <c r="L196" s="7" t="str">
        <f t="shared" ca="1" si="12"/>
        <v/>
      </c>
      <c r="M196" s="4" t="str">
        <f>IF($I196="Complete","Green",IF($H196="","Amber",IF($H196&lt;'[2]Read Me'!$B$4,"Red",IF($H196-'[2]Read Me'!$B$4&lt;=21,"Amber","Green"))))</f>
        <v>Amber</v>
      </c>
      <c r="N196" s="3"/>
      <c r="O196" t="str">
        <f>IF($I196&lt;&gt;"Complete",IF(COUNTIFS($A$4:$A195,$A196,$B$4:$B195,$B196,$I$4:$I195,"&lt;&gt;Complete")=0,$A196&amp;"|"&amp;$B196,""),"")</f>
        <v>|</v>
      </c>
      <c r="P196" t="str">
        <f ca="1">IF($K196="Yes",COUNTIFS($K$4:$K196,"Yes"),"")</f>
        <v/>
      </c>
      <c r="Q196">
        <f t="shared" ref="Q196:Q259" ca="1" si="15">IF(OR($I196="In Progress",$K196="Yes"),1,0)</f>
        <v>0</v>
      </c>
      <c r="R196" t="str">
        <f ca="1">IF($Q196=1,SUM($Q$4:$Q196),"")</f>
        <v/>
      </c>
    </row>
    <row r="197" spans="1:18" ht="22.5" customHeight="1" x14ac:dyDescent="0.3">
      <c r="A197" s="2"/>
      <c r="B197" s="2"/>
      <c r="C197" s="3"/>
      <c r="D197" s="3"/>
      <c r="E197" s="2"/>
      <c r="F197" s="2"/>
      <c r="G197" s="5"/>
      <c r="H197" s="5"/>
      <c r="I197" s="4"/>
      <c r="J197" s="6" t="str">
        <f t="shared" si="13"/>
        <v/>
      </c>
      <c r="K197" s="4" t="str">
        <f t="shared" ca="1" si="14"/>
        <v/>
      </c>
      <c r="L197" s="7" t="str">
        <f t="shared" ref="L197:L260" ca="1" si="16">IF(I197="Completed",0,IF(H197="","",H197-TODAY()))</f>
        <v/>
      </c>
      <c r="M197" s="4" t="str">
        <f>IF($I197="Complete","Green",IF($H197="","Amber",IF($H197&lt;'[2]Read Me'!$B$4,"Red",IF($H197-'[2]Read Me'!$B$4&lt;=21,"Amber","Green"))))</f>
        <v>Amber</v>
      </c>
      <c r="N197" s="3"/>
      <c r="O197" t="str">
        <f>IF($I197&lt;&gt;"Complete",IF(COUNTIFS($A$4:$A196,$A197,$B$4:$B196,$B197,$I$4:$I196,"&lt;&gt;Complete")=0,$A197&amp;"|"&amp;$B197,""),"")</f>
        <v>|</v>
      </c>
      <c r="P197" t="str">
        <f ca="1">IF($K197="Yes",COUNTIFS($K$4:$K197,"Yes"),"")</f>
        <v/>
      </c>
      <c r="Q197">
        <f t="shared" ca="1" si="15"/>
        <v>0</v>
      </c>
      <c r="R197" t="str">
        <f ca="1">IF($Q197=1,SUM($Q$4:$Q197),"")</f>
        <v/>
      </c>
    </row>
    <row r="198" spans="1:18" ht="22.5" customHeight="1" x14ac:dyDescent="0.3">
      <c r="A198" s="2"/>
      <c r="B198" s="2"/>
      <c r="C198" s="3"/>
      <c r="D198" s="3"/>
      <c r="E198" s="2"/>
      <c r="F198" s="2"/>
      <c r="G198" s="5"/>
      <c r="H198" s="5"/>
      <c r="I198" s="4"/>
      <c r="J198" s="6" t="str">
        <f t="shared" si="13"/>
        <v/>
      </c>
      <c r="K198" s="4" t="str">
        <f t="shared" ca="1" si="14"/>
        <v/>
      </c>
      <c r="L198" s="7" t="str">
        <f t="shared" ca="1" si="16"/>
        <v/>
      </c>
      <c r="M198" s="4" t="str">
        <f>IF($I198="Complete","Green",IF($H198="","Amber",IF($H198&lt;'[2]Read Me'!$B$4,"Red",IF($H198-'[2]Read Me'!$B$4&lt;=21,"Amber","Green"))))</f>
        <v>Amber</v>
      </c>
      <c r="N198" s="3"/>
      <c r="O198" t="str">
        <f>IF($I198&lt;&gt;"Complete",IF(COUNTIFS($A$4:$A197,$A198,$B$4:$B197,$B198,$I$4:$I197,"&lt;&gt;Complete")=0,$A198&amp;"|"&amp;$B198,""),"")</f>
        <v>|</v>
      </c>
      <c r="P198" t="str">
        <f ca="1">IF($K198="Yes",COUNTIFS($K$4:$K198,"Yes"),"")</f>
        <v/>
      </c>
      <c r="Q198">
        <f t="shared" ca="1" si="15"/>
        <v>0</v>
      </c>
      <c r="R198" t="str">
        <f ca="1">IF($Q198=1,SUM($Q$4:$Q198),"")</f>
        <v/>
      </c>
    </row>
    <row r="199" spans="1:18" ht="22.5" customHeight="1" x14ac:dyDescent="0.3">
      <c r="A199" s="2"/>
      <c r="B199" s="2"/>
      <c r="C199" s="3"/>
      <c r="D199" s="3"/>
      <c r="E199" s="2"/>
      <c r="F199" s="2"/>
      <c r="G199" s="5"/>
      <c r="H199" s="5"/>
      <c r="I199" s="4"/>
      <c r="J199" s="6" t="str">
        <f t="shared" si="13"/>
        <v/>
      </c>
      <c r="K199" s="4" t="str">
        <f t="shared" ca="1" si="14"/>
        <v/>
      </c>
      <c r="L199" s="7" t="str">
        <f t="shared" ca="1" si="16"/>
        <v/>
      </c>
      <c r="M199" s="4" t="str">
        <f>IF($I199="Complete","Green",IF($H199="","Amber",IF($H199&lt;'[2]Read Me'!$B$4,"Red",IF($H199-'[2]Read Me'!$B$4&lt;=21,"Amber","Green"))))</f>
        <v>Amber</v>
      </c>
      <c r="N199" s="3"/>
      <c r="O199" t="str">
        <f>IF($I199&lt;&gt;"Complete",IF(COUNTIFS($A$4:$A198,$A199,$B$4:$B198,$B199,$I$4:$I198,"&lt;&gt;Complete")=0,$A199&amp;"|"&amp;$B199,""),"")</f>
        <v>|</v>
      </c>
      <c r="P199" t="str">
        <f ca="1">IF($K199="Yes",COUNTIFS($K$4:$K199,"Yes"),"")</f>
        <v/>
      </c>
      <c r="Q199">
        <f t="shared" ca="1" si="15"/>
        <v>0</v>
      </c>
      <c r="R199" t="str">
        <f ca="1">IF($Q199=1,SUM($Q$4:$Q199),"")</f>
        <v/>
      </c>
    </row>
    <row r="200" spans="1:18" ht="22.5" customHeight="1" x14ac:dyDescent="0.3">
      <c r="A200" s="2"/>
      <c r="B200" s="2"/>
      <c r="C200" s="3"/>
      <c r="D200" s="3"/>
      <c r="E200" s="2"/>
      <c r="F200" s="2"/>
      <c r="G200" s="5"/>
      <c r="H200" s="5"/>
      <c r="I200" s="4"/>
      <c r="J200" s="6" t="str">
        <f t="shared" si="13"/>
        <v/>
      </c>
      <c r="K200" s="4" t="str">
        <f t="shared" ca="1" si="14"/>
        <v/>
      </c>
      <c r="L200" s="7" t="str">
        <f t="shared" ca="1" si="16"/>
        <v/>
      </c>
      <c r="M200" s="4" t="str">
        <f>IF($I200="Complete","Green",IF($H200="","Amber",IF($H200&lt;'[2]Read Me'!$B$4,"Red",IF($H200-'[2]Read Me'!$B$4&lt;=21,"Amber","Green"))))</f>
        <v>Amber</v>
      </c>
      <c r="N200" s="3"/>
      <c r="O200" t="str">
        <f>IF($I200&lt;&gt;"Complete",IF(COUNTIFS($A$4:$A199,$A200,$B$4:$B199,$B200,$I$4:$I199,"&lt;&gt;Complete")=0,$A200&amp;"|"&amp;$B200,""),"")</f>
        <v>|</v>
      </c>
      <c r="P200" t="str">
        <f ca="1">IF($K200="Yes",COUNTIFS($K$4:$K200,"Yes"),"")</f>
        <v/>
      </c>
      <c r="Q200">
        <f t="shared" ca="1" si="15"/>
        <v>0</v>
      </c>
      <c r="R200" t="str">
        <f ca="1">IF($Q200=1,SUM($Q$4:$Q200),"")</f>
        <v/>
      </c>
    </row>
    <row r="201" spans="1:18" ht="22.5" customHeight="1" x14ac:dyDescent="0.3">
      <c r="A201" s="2"/>
      <c r="B201" s="2"/>
      <c r="C201" s="3"/>
      <c r="D201" s="3"/>
      <c r="E201" s="2"/>
      <c r="F201" s="2"/>
      <c r="G201" s="5"/>
      <c r="H201" s="5"/>
      <c r="I201" s="4"/>
      <c r="J201" s="6" t="str">
        <f t="shared" si="13"/>
        <v/>
      </c>
      <c r="K201" s="4" t="str">
        <f t="shared" ca="1" si="14"/>
        <v/>
      </c>
      <c r="L201" s="7" t="str">
        <f t="shared" ca="1" si="16"/>
        <v/>
      </c>
      <c r="M201" s="4" t="str">
        <f>IF($I201="Complete","Green",IF($H201="","Amber",IF($H201&lt;'[2]Read Me'!$B$4,"Red",IF($H201-'[2]Read Me'!$B$4&lt;=21,"Amber","Green"))))</f>
        <v>Amber</v>
      </c>
      <c r="N201" s="3"/>
      <c r="O201" t="str">
        <f>IF($I201&lt;&gt;"Complete",IF(COUNTIFS($A$4:$A200,$A201,$B$4:$B200,$B201,$I$4:$I200,"&lt;&gt;Complete")=0,$A201&amp;"|"&amp;$B201,""),"")</f>
        <v>|</v>
      </c>
      <c r="P201" t="str">
        <f ca="1">IF($K201="Yes",COUNTIFS($K$4:$K201,"Yes"),"")</f>
        <v/>
      </c>
      <c r="Q201">
        <f t="shared" ca="1" si="15"/>
        <v>0</v>
      </c>
      <c r="R201" t="str">
        <f ca="1">IF($Q201=1,SUM($Q$4:$Q201),"")</f>
        <v/>
      </c>
    </row>
    <row r="202" spans="1:18" ht="22.5" customHeight="1" x14ac:dyDescent="0.3">
      <c r="A202" s="2"/>
      <c r="B202" s="2"/>
      <c r="C202" s="3"/>
      <c r="D202" s="3"/>
      <c r="E202" s="2"/>
      <c r="F202" s="2"/>
      <c r="G202" s="5"/>
      <c r="H202" s="5"/>
      <c r="I202" s="4"/>
      <c r="J202" s="6" t="str">
        <f t="shared" si="13"/>
        <v/>
      </c>
      <c r="K202" s="4" t="str">
        <f t="shared" ca="1" si="14"/>
        <v/>
      </c>
      <c r="L202" s="7" t="str">
        <f t="shared" ca="1" si="16"/>
        <v/>
      </c>
      <c r="M202" s="4" t="str">
        <f>IF($I202="Complete","Green",IF($H202="","Amber",IF($H202&lt;'[2]Read Me'!$B$4,"Red",IF($H202-'[2]Read Me'!$B$4&lt;=21,"Amber","Green"))))</f>
        <v>Amber</v>
      </c>
      <c r="N202" s="3"/>
      <c r="O202" t="str">
        <f>IF($I202&lt;&gt;"Complete",IF(COUNTIFS($A$4:$A201,$A202,$B$4:$B201,$B202,$I$4:$I201,"&lt;&gt;Complete")=0,$A202&amp;"|"&amp;$B202,""),"")</f>
        <v>|</v>
      </c>
      <c r="P202" t="str">
        <f ca="1">IF($K202="Yes",COUNTIFS($K$4:$K202,"Yes"),"")</f>
        <v/>
      </c>
      <c r="Q202">
        <f t="shared" ca="1" si="15"/>
        <v>0</v>
      </c>
      <c r="R202" t="str">
        <f ca="1">IF($Q202=1,SUM($Q$4:$Q202),"")</f>
        <v/>
      </c>
    </row>
    <row r="203" spans="1:18" ht="22.5" customHeight="1" x14ac:dyDescent="0.3">
      <c r="A203" s="2"/>
      <c r="B203" s="2"/>
      <c r="C203" s="3"/>
      <c r="D203" s="3"/>
      <c r="E203" s="2"/>
      <c r="F203" s="2"/>
      <c r="G203" s="5"/>
      <c r="H203" s="5"/>
      <c r="I203" s="4"/>
      <c r="J203" s="6" t="str">
        <f t="shared" si="13"/>
        <v/>
      </c>
      <c r="K203" s="4" t="str">
        <f t="shared" ca="1" si="14"/>
        <v/>
      </c>
      <c r="L203" s="7" t="str">
        <f t="shared" ca="1" si="16"/>
        <v/>
      </c>
      <c r="M203" s="4" t="str">
        <f>IF($I203="Complete","Green",IF($H203="","Amber",IF($H203&lt;'[2]Read Me'!$B$4,"Red",IF($H203-'[2]Read Me'!$B$4&lt;=21,"Amber","Green"))))</f>
        <v>Amber</v>
      </c>
      <c r="N203" s="3"/>
      <c r="O203" t="str">
        <f>IF($I203&lt;&gt;"Complete",IF(COUNTIFS($A$4:$A202,$A203,$B$4:$B202,$B203,$I$4:$I202,"&lt;&gt;Complete")=0,$A203&amp;"|"&amp;$B203,""),"")</f>
        <v>|</v>
      </c>
      <c r="P203" t="str">
        <f ca="1">IF($K203="Yes",COUNTIFS($K$4:$K203,"Yes"),"")</f>
        <v/>
      </c>
      <c r="Q203">
        <f t="shared" ca="1" si="15"/>
        <v>0</v>
      </c>
      <c r="R203" t="str">
        <f ca="1">IF($Q203=1,SUM($Q$4:$Q203),"")</f>
        <v/>
      </c>
    </row>
    <row r="204" spans="1:18" ht="33.75" customHeight="1" x14ac:dyDescent="0.3">
      <c r="A204" s="2"/>
      <c r="B204" s="2"/>
      <c r="C204" s="3"/>
      <c r="D204" s="3"/>
      <c r="E204" s="2"/>
      <c r="F204" s="2"/>
      <c r="G204" s="5"/>
      <c r="H204" s="5"/>
      <c r="I204" s="4"/>
      <c r="J204" s="6" t="str">
        <f t="shared" si="13"/>
        <v/>
      </c>
      <c r="K204" s="4" t="str">
        <f t="shared" ca="1" si="14"/>
        <v/>
      </c>
      <c r="L204" s="7" t="str">
        <f t="shared" ca="1" si="16"/>
        <v/>
      </c>
      <c r="M204" s="4" t="str">
        <f>IF($I204="Complete","Green",IF($H204="","Amber",IF($H204&lt;'[2]Read Me'!$B$4,"Red",IF($H204-'[2]Read Me'!$B$4&lt;=21,"Amber","Green"))))</f>
        <v>Amber</v>
      </c>
      <c r="N204" s="3"/>
      <c r="O204" t="str">
        <f>IF($I204&lt;&gt;"Complete",IF(COUNTIFS($A$4:$A203,$A204,$B$4:$B203,$B204,$I$4:$I203,"&lt;&gt;Complete")=0,$A204&amp;"|"&amp;$B204,""),"")</f>
        <v>|</v>
      </c>
      <c r="P204" t="str">
        <f ca="1">IF($K204="Yes",COUNTIFS($K$4:$K204,"Yes"),"")</f>
        <v/>
      </c>
      <c r="Q204">
        <f t="shared" ca="1" si="15"/>
        <v>0</v>
      </c>
      <c r="R204" t="str">
        <f ca="1">IF($Q204=1,SUM($Q$4:$Q204),"")</f>
        <v/>
      </c>
    </row>
    <row r="205" spans="1:18" ht="33.75" customHeight="1" x14ac:dyDescent="0.3">
      <c r="A205" s="2"/>
      <c r="B205" s="2"/>
      <c r="C205" s="3"/>
      <c r="D205" s="3"/>
      <c r="E205" s="2"/>
      <c r="F205" s="2"/>
      <c r="G205" s="5"/>
      <c r="H205" s="5"/>
      <c r="I205" s="4"/>
      <c r="J205" s="6" t="str">
        <f t="shared" si="13"/>
        <v/>
      </c>
      <c r="K205" s="4" t="str">
        <f t="shared" ca="1" si="14"/>
        <v/>
      </c>
      <c r="L205" s="7" t="str">
        <f t="shared" ca="1" si="16"/>
        <v/>
      </c>
      <c r="M205" s="4" t="str">
        <f>IF($I205="Complete","Green",IF($H205="","Amber",IF($H205&lt;'[2]Read Me'!$B$4,"Red",IF($H205-'[2]Read Me'!$B$4&lt;=21,"Amber","Green"))))</f>
        <v>Amber</v>
      </c>
      <c r="N205" s="3"/>
      <c r="O205" t="str">
        <f>IF($I205&lt;&gt;"Complete",IF(COUNTIFS($A$4:$A204,$A205,$B$4:$B204,$B205,$I$4:$I204,"&lt;&gt;Complete")=0,$A205&amp;"|"&amp;$B205,""),"")</f>
        <v>|</v>
      </c>
      <c r="P205" t="str">
        <f ca="1">IF($K205="Yes",COUNTIFS($K$4:$K205,"Yes"),"")</f>
        <v/>
      </c>
      <c r="Q205">
        <f t="shared" ca="1" si="15"/>
        <v>0</v>
      </c>
      <c r="R205" t="str">
        <f ca="1">IF($Q205=1,SUM($Q$4:$Q205),"")</f>
        <v/>
      </c>
    </row>
    <row r="206" spans="1:18" ht="33.75" customHeight="1" x14ac:dyDescent="0.3">
      <c r="A206" s="2"/>
      <c r="B206" s="2"/>
      <c r="C206" s="3"/>
      <c r="D206" s="3"/>
      <c r="E206" s="2"/>
      <c r="F206" s="2"/>
      <c r="G206" s="5"/>
      <c r="H206" s="5"/>
      <c r="I206" s="4"/>
      <c r="J206" s="6" t="str">
        <f t="shared" si="13"/>
        <v/>
      </c>
      <c r="K206" s="4" t="str">
        <f t="shared" ca="1" si="14"/>
        <v/>
      </c>
      <c r="L206" s="7" t="str">
        <f t="shared" ca="1" si="16"/>
        <v/>
      </c>
      <c r="M206" s="4" t="str">
        <f>IF($I206="Complete","Green",IF($H206="","Amber",IF($H206&lt;'[2]Read Me'!$B$4,"Red",IF($H206-'[2]Read Me'!$B$4&lt;=21,"Amber","Green"))))</f>
        <v>Amber</v>
      </c>
      <c r="N206" s="3"/>
      <c r="O206" t="str">
        <f>IF($I206&lt;&gt;"Complete",IF(COUNTIFS($A$4:$A205,$A206,$B$4:$B205,$B206,$I$4:$I205,"&lt;&gt;Complete")=0,$A206&amp;"|"&amp;$B206,""),"")</f>
        <v>|</v>
      </c>
      <c r="P206" t="str">
        <f ca="1">IF($K206="Yes",COUNTIFS($K$4:$K206,"Yes"),"")</f>
        <v/>
      </c>
      <c r="Q206">
        <f t="shared" ca="1" si="15"/>
        <v>0</v>
      </c>
      <c r="R206" t="str">
        <f ca="1">IF($Q206=1,SUM($Q$4:$Q206),"")</f>
        <v/>
      </c>
    </row>
    <row r="207" spans="1:18" ht="33.75" customHeight="1" x14ac:dyDescent="0.3">
      <c r="A207" s="2"/>
      <c r="B207" s="2"/>
      <c r="C207" s="3"/>
      <c r="D207" s="3"/>
      <c r="E207" s="2"/>
      <c r="F207" s="2"/>
      <c r="G207" s="5"/>
      <c r="H207" s="5"/>
      <c r="I207" s="4"/>
      <c r="J207" s="6" t="str">
        <f t="shared" si="13"/>
        <v/>
      </c>
      <c r="K207" s="4" t="str">
        <f t="shared" ca="1" si="14"/>
        <v/>
      </c>
      <c r="L207" s="7" t="str">
        <f t="shared" ca="1" si="16"/>
        <v/>
      </c>
      <c r="M207" s="4" t="str">
        <f>IF($I207="Complete","Green",IF($H207="","Amber",IF($H207&lt;'[2]Read Me'!$B$4,"Red",IF($H207-'[2]Read Me'!$B$4&lt;=21,"Amber","Green"))))</f>
        <v>Amber</v>
      </c>
      <c r="N207" s="3"/>
      <c r="O207" t="str">
        <f>IF($I207&lt;&gt;"Complete",IF(COUNTIFS($A$4:$A206,$A207,$B$4:$B206,$B207,$I$4:$I206,"&lt;&gt;Complete")=0,$A207&amp;"|"&amp;$B207,""),"")</f>
        <v>|</v>
      </c>
      <c r="P207" t="str">
        <f ca="1">IF($K207="Yes",COUNTIFS($K$4:$K207,"Yes"),"")</f>
        <v/>
      </c>
      <c r="Q207">
        <f t="shared" ca="1" si="15"/>
        <v>0</v>
      </c>
      <c r="R207" t="str">
        <f ca="1">IF($Q207=1,SUM($Q$4:$Q207),"")</f>
        <v/>
      </c>
    </row>
    <row r="208" spans="1:18" ht="33.75" customHeight="1" x14ac:dyDescent="0.3">
      <c r="A208" s="2"/>
      <c r="B208" s="2"/>
      <c r="C208" s="3"/>
      <c r="D208" s="3"/>
      <c r="E208" s="2"/>
      <c r="F208" s="2"/>
      <c r="G208" s="5"/>
      <c r="H208" s="5"/>
      <c r="I208" s="4"/>
      <c r="J208" s="6" t="str">
        <f t="shared" si="13"/>
        <v/>
      </c>
      <c r="K208" s="4" t="str">
        <f t="shared" ca="1" si="14"/>
        <v/>
      </c>
      <c r="L208" s="7" t="str">
        <f t="shared" ca="1" si="16"/>
        <v/>
      </c>
      <c r="M208" s="4" t="str">
        <f>IF($I208="Complete","Green",IF($H208="","Amber",IF($H208&lt;'[2]Read Me'!$B$4,"Red",IF($H208-'[2]Read Me'!$B$4&lt;=21,"Amber","Green"))))</f>
        <v>Amber</v>
      </c>
      <c r="N208" s="3"/>
      <c r="O208" t="str">
        <f>IF($I208&lt;&gt;"Complete",IF(COUNTIFS($A$4:$A207,$A208,$B$4:$B207,$B208,$I$4:$I207,"&lt;&gt;Complete")=0,$A208&amp;"|"&amp;$B208,""),"")</f>
        <v>|</v>
      </c>
      <c r="P208" t="str">
        <f ca="1">IF($K208="Yes",COUNTIFS($K$4:$K208,"Yes"),"")</f>
        <v/>
      </c>
      <c r="Q208">
        <f t="shared" ca="1" si="15"/>
        <v>0</v>
      </c>
      <c r="R208" t="str">
        <f ca="1">IF($Q208=1,SUM($Q$4:$Q208),"")</f>
        <v/>
      </c>
    </row>
    <row r="209" spans="1:18" ht="33.75" customHeight="1" x14ac:dyDescent="0.3">
      <c r="A209" s="2"/>
      <c r="B209" s="2"/>
      <c r="C209" s="3"/>
      <c r="D209" s="3"/>
      <c r="E209" s="2"/>
      <c r="F209" s="2"/>
      <c r="G209" s="5"/>
      <c r="H209" s="5"/>
      <c r="I209" s="4"/>
      <c r="J209" s="6" t="str">
        <f t="shared" si="13"/>
        <v/>
      </c>
      <c r="K209" s="4" t="str">
        <f t="shared" ca="1" si="14"/>
        <v/>
      </c>
      <c r="L209" s="7" t="str">
        <f t="shared" ca="1" si="16"/>
        <v/>
      </c>
      <c r="M209" s="4" t="str">
        <f>IF($I209="Complete","Green",IF($H209="","Amber",IF($H209&lt;'[2]Read Me'!$B$4,"Red",IF($H209-'[2]Read Me'!$B$4&lt;=21,"Amber","Green"))))</f>
        <v>Amber</v>
      </c>
      <c r="N209" s="3"/>
      <c r="O209" t="str">
        <f>IF($I209&lt;&gt;"Complete",IF(COUNTIFS($A$4:$A208,$A209,$B$4:$B208,$B209,$I$4:$I208,"&lt;&gt;Complete")=0,$A209&amp;"|"&amp;$B209,""),"")</f>
        <v>|</v>
      </c>
      <c r="P209" t="str">
        <f ca="1">IF($K209="Yes",COUNTIFS($K$4:$K209,"Yes"),"")</f>
        <v/>
      </c>
      <c r="Q209">
        <f t="shared" ca="1" si="15"/>
        <v>0</v>
      </c>
      <c r="R209" t="str">
        <f ca="1">IF($Q209=1,SUM($Q$4:$Q209),"")</f>
        <v/>
      </c>
    </row>
    <row r="210" spans="1:18" ht="33.75" customHeight="1" x14ac:dyDescent="0.3">
      <c r="A210" s="2"/>
      <c r="B210" s="2"/>
      <c r="C210" s="3"/>
      <c r="D210" s="3"/>
      <c r="E210" s="2"/>
      <c r="F210" s="2"/>
      <c r="G210" s="5"/>
      <c r="H210" s="5"/>
      <c r="I210" s="4"/>
      <c r="J210" s="6" t="str">
        <f t="shared" si="13"/>
        <v/>
      </c>
      <c r="K210" s="4" t="str">
        <f t="shared" ca="1" si="14"/>
        <v/>
      </c>
      <c r="L210" s="7" t="str">
        <f t="shared" ca="1" si="16"/>
        <v/>
      </c>
      <c r="M210" s="4" t="str">
        <f>IF($I210="Complete","Green",IF($H210="","Amber",IF($H210&lt;'[2]Read Me'!$B$4,"Red",IF($H210-'[2]Read Me'!$B$4&lt;=21,"Amber","Green"))))</f>
        <v>Amber</v>
      </c>
      <c r="N210" s="3"/>
      <c r="O210" t="str">
        <f>IF($I210&lt;&gt;"Complete",IF(COUNTIFS($A$4:$A209,$A210,$B$4:$B209,$B210,$I$4:$I209,"&lt;&gt;Complete")=0,$A210&amp;"|"&amp;$B210,""),"")</f>
        <v>|</v>
      </c>
      <c r="P210" t="str">
        <f ca="1">IF($K210="Yes",COUNTIFS($K$4:$K210,"Yes"),"")</f>
        <v/>
      </c>
      <c r="Q210">
        <f t="shared" ca="1" si="15"/>
        <v>0</v>
      </c>
      <c r="R210" t="str">
        <f ca="1">IF($Q210=1,SUM($Q$4:$Q210),"")</f>
        <v/>
      </c>
    </row>
    <row r="211" spans="1:18" ht="22.5" customHeight="1" x14ac:dyDescent="0.3">
      <c r="A211" s="2"/>
      <c r="B211" s="2"/>
      <c r="C211" s="3"/>
      <c r="D211" s="3"/>
      <c r="E211" s="2"/>
      <c r="F211" s="2"/>
      <c r="G211" s="5"/>
      <c r="H211" s="5"/>
      <c r="I211" s="4"/>
      <c r="J211" s="6" t="str">
        <f t="shared" si="13"/>
        <v/>
      </c>
      <c r="K211" s="4" t="str">
        <f t="shared" ca="1" si="14"/>
        <v/>
      </c>
      <c r="L211" s="7" t="str">
        <f t="shared" ca="1" si="16"/>
        <v/>
      </c>
      <c r="M211" s="4" t="str">
        <f>IF($I211="Complete","Green",IF($H211="","Amber",IF($H211&lt;'[2]Read Me'!$B$4,"Red",IF($H211-'[2]Read Me'!$B$4&lt;=21,"Amber","Green"))))</f>
        <v>Amber</v>
      </c>
      <c r="N211" s="3"/>
      <c r="O211" t="str">
        <f>IF($I211&lt;&gt;"Complete",IF(COUNTIFS($A$4:$A210,$A211,$B$4:$B210,$B211,$I$4:$I210,"&lt;&gt;Complete")=0,$A211&amp;"|"&amp;$B211,""),"")</f>
        <v>|</v>
      </c>
      <c r="P211" t="str">
        <f ca="1">IF($K211="Yes",COUNTIFS($K$4:$K211,"Yes"),"")</f>
        <v/>
      </c>
      <c r="Q211">
        <f t="shared" ca="1" si="15"/>
        <v>0</v>
      </c>
      <c r="R211" t="str">
        <f ca="1">IF($Q211=1,SUM($Q$4:$Q211),"")</f>
        <v/>
      </c>
    </row>
    <row r="212" spans="1:18" ht="22.5" customHeight="1" x14ac:dyDescent="0.3">
      <c r="A212" s="2"/>
      <c r="B212" s="2"/>
      <c r="C212" s="3"/>
      <c r="D212" s="3"/>
      <c r="E212" s="2"/>
      <c r="F212" s="2"/>
      <c r="G212" s="5"/>
      <c r="H212" s="5"/>
      <c r="I212" s="4"/>
      <c r="J212" s="6" t="str">
        <f t="shared" si="13"/>
        <v/>
      </c>
      <c r="K212" s="4" t="str">
        <f t="shared" ca="1" si="14"/>
        <v/>
      </c>
      <c r="L212" s="7" t="str">
        <f t="shared" ca="1" si="16"/>
        <v/>
      </c>
      <c r="M212" s="4" t="str">
        <f>IF($I212="Complete","Green",IF($H212="","Amber",IF($H212&lt;'[2]Read Me'!$B$4,"Red",IF($H212-'[2]Read Me'!$B$4&lt;=21,"Amber","Green"))))</f>
        <v>Amber</v>
      </c>
      <c r="N212" s="3"/>
      <c r="O212" t="str">
        <f>IF($I212&lt;&gt;"Complete",IF(COUNTIFS($A$4:$A211,$A212,$B$4:$B211,$B212,$I$4:$I211,"&lt;&gt;Complete")=0,$A212&amp;"|"&amp;$B212,""),"")</f>
        <v>|</v>
      </c>
      <c r="P212" t="str">
        <f ca="1">IF($K212="Yes",COUNTIFS($K$4:$K212,"Yes"),"")</f>
        <v/>
      </c>
      <c r="Q212">
        <f t="shared" ca="1" si="15"/>
        <v>0</v>
      </c>
      <c r="R212" t="str">
        <f ca="1">IF($Q212=1,SUM($Q$4:$Q212),"")</f>
        <v/>
      </c>
    </row>
    <row r="213" spans="1:18" ht="22.5" customHeight="1" x14ac:dyDescent="0.3">
      <c r="A213" s="2"/>
      <c r="B213" s="2"/>
      <c r="C213" s="3"/>
      <c r="D213" s="3"/>
      <c r="E213" s="2"/>
      <c r="F213" s="2"/>
      <c r="G213" s="5"/>
      <c r="H213" s="5"/>
      <c r="I213" s="4"/>
      <c r="J213" s="6" t="str">
        <f t="shared" si="13"/>
        <v/>
      </c>
      <c r="K213" s="4" t="str">
        <f t="shared" ca="1" si="14"/>
        <v/>
      </c>
      <c r="L213" s="7" t="str">
        <f t="shared" ca="1" si="16"/>
        <v/>
      </c>
      <c r="M213" s="4" t="str">
        <f>IF($I213="Complete","Green",IF($H213="","Amber",IF($H213&lt;'[2]Read Me'!$B$4,"Red",IF($H213-'[2]Read Me'!$B$4&lt;=21,"Amber","Green"))))</f>
        <v>Amber</v>
      </c>
      <c r="N213" s="3"/>
      <c r="O213" t="str">
        <f>IF($I213&lt;&gt;"Complete",IF(COUNTIFS($A$4:$A212,$A213,$B$4:$B212,$B213,$I$4:$I212,"&lt;&gt;Complete")=0,$A213&amp;"|"&amp;$B213,""),"")</f>
        <v>|</v>
      </c>
      <c r="P213" t="str">
        <f ca="1">IF($K213="Yes",COUNTIFS($K$4:$K213,"Yes"),"")</f>
        <v/>
      </c>
      <c r="Q213">
        <f t="shared" ca="1" si="15"/>
        <v>0</v>
      </c>
      <c r="R213" t="str">
        <f ca="1">IF($Q213=1,SUM($Q$4:$Q213),"")</f>
        <v/>
      </c>
    </row>
    <row r="214" spans="1:18" ht="22.5" customHeight="1" x14ac:dyDescent="0.3">
      <c r="A214" s="2"/>
      <c r="B214" s="2"/>
      <c r="C214" s="3"/>
      <c r="D214" s="3"/>
      <c r="E214" s="2"/>
      <c r="F214" s="2"/>
      <c r="G214" s="5"/>
      <c r="H214" s="5"/>
      <c r="I214" s="4"/>
      <c r="J214" s="6" t="str">
        <f t="shared" si="13"/>
        <v/>
      </c>
      <c r="K214" s="4" t="str">
        <f t="shared" ca="1" si="14"/>
        <v/>
      </c>
      <c r="L214" s="7" t="str">
        <f t="shared" ca="1" si="16"/>
        <v/>
      </c>
      <c r="M214" s="4" t="str">
        <f>IF($I214="Complete","Green",IF($H214="","Amber",IF($H214&lt;'[2]Read Me'!$B$4,"Red",IF($H214-'[2]Read Me'!$B$4&lt;=21,"Amber","Green"))))</f>
        <v>Amber</v>
      </c>
      <c r="N214" s="3"/>
      <c r="O214" t="str">
        <f>IF($I214&lt;&gt;"Complete",IF(COUNTIFS($A$4:$A213,$A214,$B$4:$B213,$B214,$I$4:$I213,"&lt;&gt;Complete")=0,$A214&amp;"|"&amp;$B214,""),"")</f>
        <v>|</v>
      </c>
      <c r="P214" t="str">
        <f ca="1">IF($K214="Yes",COUNTIFS($K$4:$K214,"Yes"),"")</f>
        <v/>
      </c>
      <c r="Q214">
        <f t="shared" ca="1" si="15"/>
        <v>0</v>
      </c>
      <c r="R214" t="str">
        <f ca="1">IF($Q214=1,SUM($Q$4:$Q214),"")</f>
        <v/>
      </c>
    </row>
    <row r="215" spans="1:18" ht="22.5" customHeight="1" x14ac:dyDescent="0.3">
      <c r="A215" s="2"/>
      <c r="B215" s="2"/>
      <c r="C215" s="3"/>
      <c r="D215" s="3"/>
      <c r="E215" s="2"/>
      <c r="F215" s="2"/>
      <c r="G215" s="5"/>
      <c r="H215" s="5"/>
      <c r="I215" s="4"/>
      <c r="J215" s="6" t="str">
        <f t="shared" si="13"/>
        <v/>
      </c>
      <c r="K215" s="4" t="str">
        <f t="shared" ca="1" si="14"/>
        <v/>
      </c>
      <c r="L215" s="7" t="str">
        <f t="shared" ca="1" si="16"/>
        <v/>
      </c>
      <c r="M215" s="4" t="str">
        <f>IF($I215="Complete","Green",IF($H215="","Amber",IF($H215&lt;'[2]Read Me'!$B$4,"Red",IF($H215-'[2]Read Me'!$B$4&lt;=21,"Amber","Green"))))</f>
        <v>Amber</v>
      </c>
      <c r="N215" s="3"/>
      <c r="O215" t="str">
        <f>IF($I215&lt;&gt;"Complete",IF(COUNTIFS($A$4:$A214,$A215,$B$4:$B214,$B215,$I$4:$I214,"&lt;&gt;Complete")=0,$A215&amp;"|"&amp;$B215,""),"")</f>
        <v>|</v>
      </c>
      <c r="P215" t="str">
        <f ca="1">IF($K215="Yes",COUNTIFS($K$4:$K215,"Yes"),"")</f>
        <v/>
      </c>
      <c r="Q215">
        <f t="shared" ca="1" si="15"/>
        <v>0</v>
      </c>
      <c r="R215" t="str">
        <f ca="1">IF($Q215=1,SUM($Q$4:$Q215),"")</f>
        <v/>
      </c>
    </row>
    <row r="216" spans="1:18" ht="22.5" customHeight="1" x14ac:dyDescent="0.3">
      <c r="A216" s="2"/>
      <c r="B216" s="2"/>
      <c r="C216" s="3"/>
      <c r="D216" s="3"/>
      <c r="E216" s="2"/>
      <c r="F216" s="2"/>
      <c r="G216" s="5"/>
      <c r="H216" s="5"/>
      <c r="I216" s="4"/>
      <c r="J216" s="6" t="str">
        <f t="shared" si="13"/>
        <v/>
      </c>
      <c r="K216" s="4" t="str">
        <f t="shared" ca="1" si="14"/>
        <v/>
      </c>
      <c r="L216" s="7" t="str">
        <f t="shared" ca="1" si="16"/>
        <v/>
      </c>
      <c r="M216" s="4" t="str">
        <f>IF($I216="Complete","Green",IF($H216="","Amber",IF($H216&lt;'[2]Read Me'!$B$4,"Red",IF($H216-'[2]Read Me'!$B$4&lt;=21,"Amber","Green"))))</f>
        <v>Amber</v>
      </c>
      <c r="N216" s="3"/>
      <c r="O216" t="str">
        <f>IF($I216&lt;&gt;"Complete",IF(COUNTIFS($A$4:$A215,$A216,$B$4:$B215,$B216,$I$4:$I215,"&lt;&gt;Complete")=0,$A216&amp;"|"&amp;$B216,""),"")</f>
        <v>|</v>
      </c>
      <c r="P216" t="str">
        <f ca="1">IF($K216="Yes",COUNTIFS($K$4:$K216,"Yes"),"")</f>
        <v/>
      </c>
      <c r="Q216">
        <f t="shared" ca="1" si="15"/>
        <v>0</v>
      </c>
      <c r="R216" t="str">
        <f ca="1">IF($Q216=1,SUM($Q$4:$Q216),"")</f>
        <v/>
      </c>
    </row>
    <row r="217" spans="1:18" ht="22.5" customHeight="1" x14ac:dyDescent="0.3">
      <c r="A217" s="2"/>
      <c r="B217" s="2"/>
      <c r="C217" s="3"/>
      <c r="D217" s="3"/>
      <c r="E217" s="2"/>
      <c r="F217" s="2"/>
      <c r="G217" s="5"/>
      <c r="H217" s="5"/>
      <c r="I217" s="4"/>
      <c r="J217" s="6" t="str">
        <f t="shared" si="13"/>
        <v/>
      </c>
      <c r="K217" s="4" t="str">
        <f t="shared" ca="1" si="14"/>
        <v/>
      </c>
      <c r="L217" s="7" t="str">
        <f t="shared" ca="1" si="16"/>
        <v/>
      </c>
      <c r="M217" s="4" t="str">
        <f>IF($I217="Complete","Green",IF($H217="","Amber",IF($H217&lt;'[2]Read Me'!$B$4,"Red",IF($H217-'[2]Read Me'!$B$4&lt;=21,"Amber","Green"))))</f>
        <v>Amber</v>
      </c>
      <c r="N217" s="3"/>
      <c r="O217" t="str">
        <f>IF($I217&lt;&gt;"Complete",IF(COUNTIFS($A$4:$A216,$A217,$B$4:$B216,$B217,$I$4:$I216,"&lt;&gt;Complete")=0,$A217&amp;"|"&amp;$B217,""),"")</f>
        <v>|</v>
      </c>
      <c r="P217" t="str">
        <f ca="1">IF($K217="Yes",COUNTIFS($K$4:$K217,"Yes"),"")</f>
        <v/>
      </c>
      <c r="Q217">
        <f t="shared" ca="1" si="15"/>
        <v>0</v>
      </c>
      <c r="R217" t="str">
        <f ca="1">IF($Q217=1,SUM($Q$4:$Q217),"")</f>
        <v/>
      </c>
    </row>
    <row r="218" spans="1:18" ht="22.5" customHeight="1" x14ac:dyDescent="0.3">
      <c r="A218" s="2"/>
      <c r="B218" s="2"/>
      <c r="C218" s="3"/>
      <c r="D218" s="3"/>
      <c r="E218" s="2"/>
      <c r="F218" s="2"/>
      <c r="G218" s="5"/>
      <c r="H218" s="5"/>
      <c r="I218" s="4"/>
      <c r="J218" s="6" t="str">
        <f t="shared" si="13"/>
        <v/>
      </c>
      <c r="K218" s="4" t="str">
        <f t="shared" ca="1" si="14"/>
        <v/>
      </c>
      <c r="L218" s="7" t="str">
        <f t="shared" ca="1" si="16"/>
        <v/>
      </c>
      <c r="M218" s="4" t="str">
        <f>IF($I218="Complete","Green",IF($H218="","Amber",IF($H218&lt;'[2]Read Me'!$B$4,"Red",IF($H218-'[2]Read Me'!$B$4&lt;=21,"Amber","Green"))))</f>
        <v>Amber</v>
      </c>
      <c r="N218" s="3"/>
      <c r="O218" t="str">
        <f>IF($I218&lt;&gt;"Complete",IF(COUNTIFS($A$4:$A217,$A218,$B$4:$B217,$B218,$I$4:$I217,"&lt;&gt;Complete")=0,$A218&amp;"|"&amp;$B218,""),"")</f>
        <v>|</v>
      </c>
      <c r="P218" t="str">
        <f ca="1">IF($K218="Yes",COUNTIFS($K$4:$K218,"Yes"),"")</f>
        <v/>
      </c>
      <c r="Q218">
        <f t="shared" ca="1" si="15"/>
        <v>0</v>
      </c>
      <c r="R218" t="str">
        <f ca="1">IF($Q218=1,SUM($Q$4:$Q218),"")</f>
        <v/>
      </c>
    </row>
    <row r="219" spans="1:18" ht="22.5" customHeight="1" x14ac:dyDescent="0.3">
      <c r="A219" s="2"/>
      <c r="B219" s="2"/>
      <c r="C219" s="3"/>
      <c r="D219" s="3"/>
      <c r="E219" s="2"/>
      <c r="F219" s="2"/>
      <c r="G219" s="5"/>
      <c r="H219" s="5"/>
      <c r="I219" s="4"/>
      <c r="J219" s="6" t="str">
        <f t="shared" si="13"/>
        <v/>
      </c>
      <c r="K219" s="4" t="str">
        <f t="shared" ca="1" si="14"/>
        <v/>
      </c>
      <c r="L219" s="7" t="str">
        <f t="shared" ca="1" si="16"/>
        <v/>
      </c>
      <c r="M219" s="4" t="str">
        <f>IF($I219="Complete","Green",IF($H219="","Amber",IF($H219&lt;'[2]Read Me'!$B$4,"Red",IF($H219-'[2]Read Me'!$B$4&lt;=21,"Amber","Green"))))</f>
        <v>Amber</v>
      </c>
      <c r="N219" s="3"/>
      <c r="O219" t="str">
        <f>IF($I219&lt;&gt;"Complete",IF(COUNTIFS($A$4:$A218,$A219,$B$4:$B218,$B219,$I$4:$I218,"&lt;&gt;Complete")=0,$A219&amp;"|"&amp;$B219,""),"")</f>
        <v>|</v>
      </c>
      <c r="P219" t="str">
        <f ca="1">IF($K219="Yes",COUNTIFS($K$4:$K219,"Yes"),"")</f>
        <v/>
      </c>
      <c r="Q219">
        <f t="shared" ca="1" si="15"/>
        <v>0</v>
      </c>
      <c r="R219" t="str">
        <f ca="1">IF($Q219=1,SUM($Q$4:$Q219),"")</f>
        <v/>
      </c>
    </row>
    <row r="220" spans="1:18" ht="22.5" customHeight="1" x14ac:dyDescent="0.3">
      <c r="A220" s="2"/>
      <c r="B220" s="2"/>
      <c r="C220" s="3"/>
      <c r="D220" s="3"/>
      <c r="E220" s="2"/>
      <c r="F220" s="2"/>
      <c r="G220" s="5"/>
      <c r="H220" s="5"/>
      <c r="I220" s="4"/>
      <c r="J220" s="6" t="str">
        <f t="shared" si="13"/>
        <v/>
      </c>
      <c r="K220" s="4" t="str">
        <f t="shared" ca="1" si="14"/>
        <v/>
      </c>
      <c r="L220" s="7" t="str">
        <f t="shared" ca="1" si="16"/>
        <v/>
      </c>
      <c r="M220" s="4" t="str">
        <f>IF($I220="Complete","Green",IF($H220="","Amber",IF($H220&lt;'[2]Read Me'!$B$4,"Red",IF($H220-'[2]Read Me'!$B$4&lt;=21,"Amber","Green"))))</f>
        <v>Amber</v>
      </c>
      <c r="N220" s="3"/>
      <c r="O220" t="str">
        <f>IF($I220&lt;&gt;"Complete",IF(COUNTIFS($A$4:$A219,$A220,$B$4:$B219,$B220,$I$4:$I219,"&lt;&gt;Complete")=0,$A220&amp;"|"&amp;$B220,""),"")</f>
        <v>|</v>
      </c>
      <c r="P220" t="str">
        <f ca="1">IF($K220="Yes",COUNTIFS($K$4:$K220,"Yes"),"")</f>
        <v/>
      </c>
      <c r="Q220">
        <f t="shared" ca="1" si="15"/>
        <v>0</v>
      </c>
      <c r="R220" t="str">
        <f ca="1">IF($Q220=1,SUM($Q$4:$Q220),"")</f>
        <v/>
      </c>
    </row>
    <row r="221" spans="1:18" ht="22.5" customHeight="1" x14ac:dyDescent="0.3">
      <c r="A221" s="2"/>
      <c r="B221" s="2"/>
      <c r="C221" s="3"/>
      <c r="D221" s="3"/>
      <c r="E221" s="2"/>
      <c r="F221" s="2"/>
      <c r="G221" s="5"/>
      <c r="H221" s="5"/>
      <c r="I221" s="4"/>
      <c r="J221" s="6" t="str">
        <f t="shared" si="13"/>
        <v/>
      </c>
      <c r="K221" s="4" t="str">
        <f t="shared" ca="1" si="14"/>
        <v/>
      </c>
      <c r="L221" s="7" t="str">
        <f t="shared" ca="1" si="16"/>
        <v/>
      </c>
      <c r="M221" s="4" t="str">
        <f>IF($I221="Complete","Green",IF($H221="","Amber",IF($H221&lt;'[2]Read Me'!$B$4,"Red",IF($H221-'[2]Read Me'!$B$4&lt;=21,"Amber","Green"))))</f>
        <v>Amber</v>
      </c>
      <c r="N221" s="3"/>
      <c r="O221" t="str">
        <f>IF($I221&lt;&gt;"Complete",IF(COUNTIFS($A$4:$A220,$A221,$B$4:$B220,$B221,$I$4:$I220,"&lt;&gt;Complete")=0,$A221&amp;"|"&amp;$B221,""),"")</f>
        <v>|</v>
      </c>
      <c r="P221" t="str">
        <f ca="1">IF($K221="Yes",COUNTIFS($K$4:$K221,"Yes"),"")</f>
        <v/>
      </c>
      <c r="Q221">
        <f t="shared" ca="1" si="15"/>
        <v>0</v>
      </c>
      <c r="R221" t="str">
        <f ca="1">IF($Q221=1,SUM($Q$4:$Q221),"")</f>
        <v/>
      </c>
    </row>
    <row r="222" spans="1:18" ht="22.5" customHeight="1" x14ac:dyDescent="0.3">
      <c r="A222" s="2"/>
      <c r="B222" s="2"/>
      <c r="C222" s="3"/>
      <c r="D222" s="3"/>
      <c r="E222" s="2"/>
      <c r="F222" s="2"/>
      <c r="G222" s="5"/>
      <c r="H222" s="5"/>
      <c r="I222" s="4"/>
      <c r="J222" s="6" t="str">
        <f t="shared" si="13"/>
        <v/>
      </c>
      <c r="K222" s="4" t="str">
        <f t="shared" ca="1" si="14"/>
        <v/>
      </c>
      <c r="L222" s="7" t="str">
        <f t="shared" ca="1" si="16"/>
        <v/>
      </c>
      <c r="M222" s="4" t="str">
        <f>IF($I222="Complete","Green",IF($H222="","Amber",IF($H222&lt;'[2]Read Me'!$B$4,"Red",IF($H222-'[2]Read Me'!$B$4&lt;=21,"Amber","Green"))))</f>
        <v>Amber</v>
      </c>
      <c r="N222" s="3"/>
      <c r="O222" t="str">
        <f>IF($I222&lt;&gt;"Complete",IF(COUNTIFS($A$4:$A221,$A222,$B$4:$B221,$B222,$I$4:$I221,"&lt;&gt;Complete")=0,$A222&amp;"|"&amp;$B222,""),"")</f>
        <v>|</v>
      </c>
      <c r="P222" t="str">
        <f ca="1">IF($K222="Yes",COUNTIFS($K$4:$K222,"Yes"),"")</f>
        <v/>
      </c>
      <c r="Q222">
        <f t="shared" ca="1" si="15"/>
        <v>0</v>
      </c>
      <c r="R222" t="str">
        <f ca="1">IF($Q222=1,SUM($Q$4:$Q222),"")</f>
        <v/>
      </c>
    </row>
    <row r="223" spans="1:18" ht="22.5" customHeight="1" x14ac:dyDescent="0.3">
      <c r="A223" s="2"/>
      <c r="B223" s="2"/>
      <c r="C223" s="3"/>
      <c r="D223" s="3"/>
      <c r="E223" s="2"/>
      <c r="F223" s="2"/>
      <c r="G223" s="5"/>
      <c r="H223" s="5"/>
      <c r="I223" s="4"/>
      <c r="J223" s="6" t="str">
        <f t="shared" si="13"/>
        <v/>
      </c>
      <c r="K223" s="4" t="str">
        <f t="shared" ca="1" si="14"/>
        <v/>
      </c>
      <c r="L223" s="7" t="str">
        <f t="shared" ca="1" si="16"/>
        <v/>
      </c>
      <c r="M223" s="4" t="str">
        <f>IF($I223="Complete","Green",IF($H223="","Amber",IF($H223&lt;'[2]Read Me'!$B$4,"Red",IF($H223-'[2]Read Me'!$B$4&lt;=21,"Amber","Green"))))</f>
        <v>Amber</v>
      </c>
      <c r="N223" s="3"/>
      <c r="O223" t="str">
        <f>IF($I223&lt;&gt;"Complete",IF(COUNTIFS($A$4:$A222,$A223,$B$4:$B222,$B223,$I$4:$I222,"&lt;&gt;Complete")=0,$A223&amp;"|"&amp;$B223,""),"")</f>
        <v>|</v>
      </c>
      <c r="P223" t="str">
        <f ca="1">IF($K223="Yes",COUNTIFS($K$4:$K223,"Yes"),"")</f>
        <v/>
      </c>
      <c r="Q223">
        <f t="shared" ca="1" si="15"/>
        <v>0</v>
      </c>
      <c r="R223" t="str">
        <f ca="1">IF($Q223=1,SUM($Q$4:$Q223),"")</f>
        <v/>
      </c>
    </row>
    <row r="224" spans="1:18" ht="22.5" customHeight="1" x14ac:dyDescent="0.3">
      <c r="A224" s="2"/>
      <c r="B224" s="2"/>
      <c r="C224" s="3"/>
      <c r="D224" s="3"/>
      <c r="E224" s="2"/>
      <c r="F224" s="2"/>
      <c r="G224" s="5"/>
      <c r="H224" s="5"/>
      <c r="I224" s="4"/>
      <c r="J224" s="6" t="str">
        <f t="shared" si="13"/>
        <v/>
      </c>
      <c r="K224" s="4" t="str">
        <f t="shared" ca="1" si="14"/>
        <v/>
      </c>
      <c r="L224" s="7" t="str">
        <f t="shared" ca="1" si="16"/>
        <v/>
      </c>
      <c r="M224" s="4" t="str">
        <f>IF($I224="Complete","Green",IF($H224="","Amber",IF($H224&lt;'[2]Read Me'!$B$4,"Red",IF($H224-'[2]Read Me'!$B$4&lt;=21,"Amber","Green"))))</f>
        <v>Amber</v>
      </c>
      <c r="N224" s="3"/>
      <c r="O224" t="str">
        <f>IF($I224&lt;&gt;"Complete",IF(COUNTIFS($A$4:$A223,$A224,$B$4:$B223,$B224,$I$4:$I223,"&lt;&gt;Complete")=0,$A224&amp;"|"&amp;$B224,""),"")</f>
        <v>|</v>
      </c>
      <c r="P224" t="str">
        <f ca="1">IF($K224="Yes",COUNTIFS($K$4:$K224,"Yes"),"")</f>
        <v/>
      </c>
      <c r="Q224">
        <f t="shared" ca="1" si="15"/>
        <v>0</v>
      </c>
      <c r="R224" t="str">
        <f ca="1">IF($Q224=1,SUM($Q$4:$Q224),"")</f>
        <v/>
      </c>
    </row>
    <row r="225" spans="1:18" ht="22.5" customHeight="1" x14ac:dyDescent="0.3">
      <c r="A225" s="2"/>
      <c r="B225" s="2"/>
      <c r="C225" s="3"/>
      <c r="D225" s="3"/>
      <c r="E225" s="2"/>
      <c r="F225" s="2"/>
      <c r="G225" s="5"/>
      <c r="H225" s="5"/>
      <c r="I225" s="4"/>
      <c r="J225" s="6" t="str">
        <f t="shared" si="13"/>
        <v/>
      </c>
      <c r="K225" s="4" t="str">
        <f t="shared" ca="1" si="14"/>
        <v/>
      </c>
      <c r="L225" s="7" t="str">
        <f t="shared" ca="1" si="16"/>
        <v/>
      </c>
      <c r="M225" s="4" t="str">
        <f>IF($I225="Complete","Green",IF($H225="","Amber",IF($H225&lt;'[2]Read Me'!$B$4,"Red",IF($H225-'[2]Read Me'!$B$4&lt;=21,"Amber","Green"))))</f>
        <v>Amber</v>
      </c>
      <c r="N225" s="3"/>
      <c r="O225" t="str">
        <f>IF($I225&lt;&gt;"Complete",IF(COUNTIFS($A$4:$A224,$A225,$B$4:$B224,$B225,$I$4:$I224,"&lt;&gt;Complete")=0,$A225&amp;"|"&amp;$B225,""),"")</f>
        <v>|</v>
      </c>
      <c r="P225" t="str">
        <f ca="1">IF($K225="Yes",COUNTIFS($K$4:$K225,"Yes"),"")</f>
        <v/>
      </c>
      <c r="Q225">
        <f t="shared" ca="1" si="15"/>
        <v>0</v>
      </c>
      <c r="R225" t="str">
        <f ca="1">IF($Q225=1,SUM($Q$4:$Q225),"")</f>
        <v/>
      </c>
    </row>
    <row r="226" spans="1:18" ht="22.5" customHeight="1" x14ac:dyDescent="0.3">
      <c r="A226" s="2"/>
      <c r="B226" s="2"/>
      <c r="C226" s="3"/>
      <c r="D226" s="3"/>
      <c r="E226" s="2"/>
      <c r="F226" s="2"/>
      <c r="G226" s="5"/>
      <c r="H226" s="5"/>
      <c r="I226" s="4"/>
      <c r="J226" s="6" t="str">
        <f t="shared" si="13"/>
        <v/>
      </c>
      <c r="K226" s="4" t="str">
        <f t="shared" ca="1" si="14"/>
        <v/>
      </c>
      <c r="L226" s="7" t="str">
        <f t="shared" ca="1" si="16"/>
        <v/>
      </c>
      <c r="M226" s="4" t="str">
        <f>IF($I226="Complete","Green",IF($H226="","Amber",IF($H226&lt;'[2]Read Me'!$B$4,"Red",IF($H226-'[2]Read Me'!$B$4&lt;=21,"Amber","Green"))))</f>
        <v>Amber</v>
      </c>
      <c r="N226" s="3"/>
      <c r="O226" t="str">
        <f>IF($I226&lt;&gt;"Complete",IF(COUNTIFS($A$4:$A225,$A226,$B$4:$B225,$B226,$I$4:$I225,"&lt;&gt;Complete")=0,$A226&amp;"|"&amp;$B226,""),"")</f>
        <v>|</v>
      </c>
      <c r="P226" t="str">
        <f ca="1">IF($K226="Yes",COUNTIFS($K$4:$K226,"Yes"),"")</f>
        <v/>
      </c>
      <c r="Q226">
        <f t="shared" ca="1" si="15"/>
        <v>0</v>
      </c>
      <c r="R226" t="str">
        <f ca="1">IF($Q226=1,SUM($Q$4:$Q226),"")</f>
        <v/>
      </c>
    </row>
    <row r="227" spans="1:18" ht="22.5" customHeight="1" x14ac:dyDescent="0.3">
      <c r="A227" s="2"/>
      <c r="B227" s="2"/>
      <c r="C227" s="3"/>
      <c r="D227" s="3"/>
      <c r="E227" s="2"/>
      <c r="F227" s="2"/>
      <c r="G227" s="5"/>
      <c r="H227" s="5"/>
      <c r="I227" s="4"/>
      <c r="J227" s="6" t="str">
        <f t="shared" si="13"/>
        <v/>
      </c>
      <c r="K227" s="4" t="str">
        <f t="shared" ca="1" si="14"/>
        <v/>
      </c>
      <c r="L227" s="7" t="str">
        <f t="shared" ca="1" si="16"/>
        <v/>
      </c>
      <c r="M227" s="4" t="str">
        <f>IF($I227="Complete","Green",IF($H227="","Amber",IF($H227&lt;'[2]Read Me'!$B$4,"Red",IF($H227-'[2]Read Me'!$B$4&lt;=21,"Amber","Green"))))</f>
        <v>Amber</v>
      </c>
      <c r="N227" s="3"/>
      <c r="O227" t="str">
        <f>IF($I227&lt;&gt;"Complete",IF(COUNTIFS($A$4:$A226,$A227,$B$4:$B226,$B227,$I$4:$I226,"&lt;&gt;Complete")=0,$A227&amp;"|"&amp;$B227,""),"")</f>
        <v>|</v>
      </c>
      <c r="P227" t="str">
        <f ca="1">IF($K227="Yes",COUNTIFS($K$4:$K227,"Yes"),"")</f>
        <v/>
      </c>
      <c r="Q227">
        <f t="shared" ca="1" si="15"/>
        <v>0</v>
      </c>
      <c r="R227" t="str">
        <f ca="1">IF($Q227=1,SUM($Q$4:$Q227),"")</f>
        <v/>
      </c>
    </row>
    <row r="228" spans="1:18" ht="22.5" customHeight="1" x14ac:dyDescent="0.3">
      <c r="A228" s="2"/>
      <c r="B228" s="2"/>
      <c r="C228" s="3"/>
      <c r="D228" s="3"/>
      <c r="E228" s="2"/>
      <c r="F228" s="2"/>
      <c r="G228" s="5"/>
      <c r="H228" s="5"/>
      <c r="I228" s="4"/>
      <c r="J228" s="6" t="str">
        <f t="shared" si="13"/>
        <v/>
      </c>
      <c r="K228" s="4" t="str">
        <f t="shared" ca="1" si="14"/>
        <v/>
      </c>
      <c r="L228" s="7" t="str">
        <f t="shared" ca="1" si="16"/>
        <v/>
      </c>
      <c r="M228" s="4" t="str">
        <f>IF($I228="Complete","Green",IF($H228="","Amber",IF($H228&lt;'[2]Read Me'!$B$4,"Red",IF($H228-'[2]Read Me'!$B$4&lt;=21,"Amber","Green"))))</f>
        <v>Amber</v>
      </c>
      <c r="N228" s="3"/>
      <c r="O228" t="str">
        <f>IF($I228&lt;&gt;"Complete",IF(COUNTIFS($A$4:$A227,$A228,$B$4:$B227,$B228,$I$4:$I227,"&lt;&gt;Complete")=0,$A228&amp;"|"&amp;$B228,""),"")</f>
        <v>|</v>
      </c>
      <c r="P228" t="str">
        <f ca="1">IF($K228="Yes",COUNTIFS($K$4:$K228,"Yes"),"")</f>
        <v/>
      </c>
      <c r="Q228">
        <f t="shared" ca="1" si="15"/>
        <v>0</v>
      </c>
      <c r="R228" t="str">
        <f ca="1">IF($Q228=1,SUM($Q$4:$Q228),"")</f>
        <v/>
      </c>
    </row>
    <row r="229" spans="1:18" ht="22.5" customHeight="1" x14ac:dyDescent="0.3">
      <c r="A229" s="2"/>
      <c r="B229" s="2"/>
      <c r="C229" s="3"/>
      <c r="D229" s="3"/>
      <c r="E229" s="2"/>
      <c r="F229" s="2"/>
      <c r="G229" s="5"/>
      <c r="H229" s="5"/>
      <c r="I229" s="4"/>
      <c r="J229" s="6" t="str">
        <f t="shared" si="13"/>
        <v/>
      </c>
      <c r="K229" s="4" t="str">
        <f t="shared" ca="1" si="14"/>
        <v/>
      </c>
      <c r="L229" s="7" t="str">
        <f t="shared" ca="1" si="16"/>
        <v/>
      </c>
      <c r="M229" s="4" t="str">
        <f>IF($I229="Complete","Green",IF($H229="","Amber",IF($H229&lt;'[2]Read Me'!$B$4,"Red",IF($H229-'[2]Read Me'!$B$4&lt;=21,"Amber","Green"))))</f>
        <v>Amber</v>
      </c>
      <c r="N229" s="3"/>
      <c r="O229" t="str">
        <f>IF($I229&lt;&gt;"Complete",IF(COUNTIFS($A$4:$A228,$A229,$B$4:$B228,$B229,$I$4:$I228,"&lt;&gt;Complete")=0,$A229&amp;"|"&amp;$B229,""),"")</f>
        <v>|</v>
      </c>
      <c r="P229" t="str">
        <f ca="1">IF($K229="Yes",COUNTIFS($K$4:$K229,"Yes"),"")</f>
        <v/>
      </c>
      <c r="Q229">
        <f t="shared" ca="1" si="15"/>
        <v>0</v>
      </c>
      <c r="R229" t="str">
        <f ca="1">IF($Q229=1,SUM($Q$4:$Q229),"")</f>
        <v/>
      </c>
    </row>
    <row r="230" spans="1:18" ht="22.5" customHeight="1" x14ac:dyDescent="0.3">
      <c r="A230" s="2"/>
      <c r="B230" s="2"/>
      <c r="C230" s="3"/>
      <c r="D230" s="3"/>
      <c r="E230" s="2"/>
      <c r="F230" s="2"/>
      <c r="G230" s="5"/>
      <c r="H230" s="5"/>
      <c r="I230" s="4"/>
      <c r="J230" s="6" t="str">
        <f t="shared" si="13"/>
        <v/>
      </c>
      <c r="K230" s="4" t="str">
        <f t="shared" ca="1" si="14"/>
        <v/>
      </c>
      <c r="L230" s="7" t="str">
        <f t="shared" ca="1" si="16"/>
        <v/>
      </c>
      <c r="M230" s="4" t="str">
        <f>IF($I230="Complete","Green",IF($H230="","Amber",IF($H230&lt;'[2]Read Me'!$B$4,"Red",IF($H230-'[2]Read Me'!$B$4&lt;=21,"Amber","Green"))))</f>
        <v>Amber</v>
      </c>
      <c r="N230" s="3"/>
      <c r="O230" t="str">
        <f>IF($I230&lt;&gt;"Complete",IF(COUNTIFS($A$4:$A229,$A230,$B$4:$B229,$B230,$I$4:$I229,"&lt;&gt;Complete")=0,$A230&amp;"|"&amp;$B230,""),"")</f>
        <v>|</v>
      </c>
      <c r="P230" t="str">
        <f ca="1">IF($K230="Yes",COUNTIFS($K$4:$K230,"Yes"),"")</f>
        <v/>
      </c>
      <c r="Q230">
        <f t="shared" ca="1" si="15"/>
        <v>0</v>
      </c>
      <c r="R230" t="str">
        <f ca="1">IF($Q230=1,SUM($Q$4:$Q230),"")</f>
        <v/>
      </c>
    </row>
    <row r="231" spans="1:18" ht="22.5" customHeight="1" x14ac:dyDescent="0.3">
      <c r="A231" s="2"/>
      <c r="B231" s="2"/>
      <c r="C231" s="3"/>
      <c r="D231" s="3"/>
      <c r="E231" s="2"/>
      <c r="F231" s="2"/>
      <c r="G231" s="5"/>
      <c r="H231" s="5"/>
      <c r="I231" s="4"/>
      <c r="J231" s="6" t="str">
        <f t="shared" si="13"/>
        <v/>
      </c>
      <c r="K231" s="4" t="str">
        <f t="shared" ca="1" si="14"/>
        <v/>
      </c>
      <c r="L231" s="7" t="str">
        <f t="shared" ca="1" si="16"/>
        <v/>
      </c>
      <c r="M231" s="4" t="str">
        <f>IF($I231="Complete","Green",IF($H231="","Amber",IF($H231&lt;'[2]Read Me'!$B$4,"Red",IF($H231-'[2]Read Me'!$B$4&lt;=21,"Amber","Green"))))</f>
        <v>Amber</v>
      </c>
      <c r="N231" s="3"/>
      <c r="O231" t="str">
        <f>IF($I231&lt;&gt;"Complete",IF(COUNTIFS($A$4:$A230,$A231,$B$4:$B230,$B231,$I$4:$I230,"&lt;&gt;Complete")=0,$A231&amp;"|"&amp;$B231,""),"")</f>
        <v>|</v>
      </c>
      <c r="P231" t="str">
        <f ca="1">IF($K231="Yes",COUNTIFS($K$4:$K231,"Yes"),"")</f>
        <v/>
      </c>
      <c r="Q231">
        <f t="shared" ca="1" si="15"/>
        <v>0</v>
      </c>
      <c r="R231" t="str">
        <f ca="1">IF($Q231=1,SUM($Q$4:$Q231),"")</f>
        <v/>
      </c>
    </row>
    <row r="232" spans="1:18" ht="22.5" customHeight="1" x14ac:dyDescent="0.3">
      <c r="A232" s="2"/>
      <c r="B232" s="2"/>
      <c r="C232" s="3"/>
      <c r="D232" s="3"/>
      <c r="E232" s="2"/>
      <c r="F232" s="2"/>
      <c r="G232" s="5"/>
      <c r="H232" s="5"/>
      <c r="I232" s="4"/>
      <c r="J232" s="6" t="str">
        <f t="shared" si="13"/>
        <v/>
      </c>
      <c r="K232" s="4" t="str">
        <f t="shared" ca="1" si="14"/>
        <v/>
      </c>
      <c r="L232" s="7" t="str">
        <f t="shared" ca="1" si="16"/>
        <v/>
      </c>
      <c r="M232" s="4" t="str">
        <f>IF($I232="Complete","Green",IF($H232="","Amber",IF($H232&lt;'[2]Read Me'!$B$4,"Red",IF($H232-'[2]Read Me'!$B$4&lt;=21,"Amber","Green"))))</f>
        <v>Amber</v>
      </c>
      <c r="N232" s="3"/>
      <c r="O232" t="str">
        <f>IF($I232&lt;&gt;"Complete",IF(COUNTIFS($A$4:$A231,$A232,$B$4:$B231,$B232,$I$4:$I231,"&lt;&gt;Complete")=0,$A232&amp;"|"&amp;$B232,""),"")</f>
        <v>|</v>
      </c>
      <c r="P232" t="str">
        <f ca="1">IF($K232="Yes",COUNTIFS($K$4:$K232,"Yes"),"")</f>
        <v/>
      </c>
      <c r="Q232">
        <f t="shared" ca="1" si="15"/>
        <v>0</v>
      </c>
      <c r="R232" t="str">
        <f ca="1">IF($Q232=1,SUM($Q$4:$Q232),"")</f>
        <v/>
      </c>
    </row>
    <row r="233" spans="1:18" ht="22.5" customHeight="1" x14ac:dyDescent="0.3">
      <c r="A233" s="2"/>
      <c r="B233" s="2"/>
      <c r="C233" s="3"/>
      <c r="D233" s="3"/>
      <c r="E233" s="2"/>
      <c r="F233" s="2"/>
      <c r="G233" s="5"/>
      <c r="H233" s="5"/>
      <c r="I233" s="4"/>
      <c r="J233" s="6" t="str">
        <f t="shared" si="13"/>
        <v/>
      </c>
      <c r="K233" s="4" t="str">
        <f t="shared" ca="1" si="14"/>
        <v/>
      </c>
      <c r="L233" s="7" t="str">
        <f t="shared" ca="1" si="16"/>
        <v/>
      </c>
      <c r="M233" s="4" t="str">
        <f>IF($I233="Complete","Green",IF($H233="","Amber",IF($H233&lt;'[2]Read Me'!$B$4,"Red",IF($H233-'[2]Read Me'!$B$4&lt;=21,"Amber","Green"))))</f>
        <v>Amber</v>
      </c>
      <c r="N233" s="3"/>
      <c r="O233" t="str">
        <f>IF($I233&lt;&gt;"Complete",IF(COUNTIFS($A$4:$A232,$A233,$B$4:$B232,$B233,$I$4:$I232,"&lt;&gt;Complete")=0,$A233&amp;"|"&amp;$B233,""),"")</f>
        <v>|</v>
      </c>
      <c r="P233" t="str">
        <f ca="1">IF($K233="Yes",COUNTIFS($K$4:$K233,"Yes"),"")</f>
        <v/>
      </c>
      <c r="Q233">
        <f t="shared" ca="1" si="15"/>
        <v>0</v>
      </c>
      <c r="R233" t="str">
        <f ca="1">IF($Q233=1,SUM($Q$4:$Q233),"")</f>
        <v/>
      </c>
    </row>
    <row r="234" spans="1:18" ht="22.5" customHeight="1" x14ac:dyDescent="0.3">
      <c r="A234" s="2"/>
      <c r="B234" s="2"/>
      <c r="C234" s="3"/>
      <c r="D234" s="3"/>
      <c r="E234" s="2"/>
      <c r="F234" s="2"/>
      <c r="G234" s="5"/>
      <c r="H234" s="5"/>
      <c r="I234" s="4"/>
      <c r="J234" s="6" t="str">
        <f t="shared" si="13"/>
        <v/>
      </c>
      <c r="K234" s="4" t="str">
        <f t="shared" ca="1" si="14"/>
        <v/>
      </c>
      <c r="L234" s="7" t="str">
        <f t="shared" ca="1" si="16"/>
        <v/>
      </c>
      <c r="M234" s="4" t="str">
        <f>IF($I234="Complete","Green",IF($H234="","Amber",IF($H234&lt;'[2]Read Me'!$B$4,"Red",IF($H234-'[2]Read Me'!$B$4&lt;=21,"Amber","Green"))))</f>
        <v>Amber</v>
      </c>
      <c r="N234" s="3"/>
      <c r="O234" t="str">
        <f>IF($I234&lt;&gt;"Complete",IF(COUNTIFS($A$4:$A233,$A234,$B$4:$B233,$B234,$I$4:$I233,"&lt;&gt;Complete")=0,$A234&amp;"|"&amp;$B234,""),"")</f>
        <v>|</v>
      </c>
      <c r="P234" t="str">
        <f ca="1">IF($K234="Yes",COUNTIFS($K$4:$K234,"Yes"),"")</f>
        <v/>
      </c>
      <c r="Q234">
        <f t="shared" ca="1" si="15"/>
        <v>0</v>
      </c>
      <c r="R234" t="str">
        <f ca="1">IF($Q234=1,SUM($Q$4:$Q234),"")</f>
        <v/>
      </c>
    </row>
    <row r="235" spans="1:18" ht="22.5" customHeight="1" x14ac:dyDescent="0.3">
      <c r="A235" s="2"/>
      <c r="B235" s="2"/>
      <c r="C235" s="3"/>
      <c r="D235" s="3"/>
      <c r="E235" s="2"/>
      <c r="F235" s="2"/>
      <c r="G235" s="5"/>
      <c r="H235" s="5"/>
      <c r="I235" s="4"/>
      <c r="J235" s="6" t="str">
        <f t="shared" si="13"/>
        <v/>
      </c>
      <c r="K235" s="4" t="str">
        <f t="shared" ca="1" si="14"/>
        <v/>
      </c>
      <c r="L235" s="7" t="str">
        <f t="shared" ca="1" si="16"/>
        <v/>
      </c>
      <c r="M235" s="4" t="str">
        <f>IF($I235="Complete","Green",IF($H235="","Amber",IF($H235&lt;'[2]Read Me'!$B$4,"Red",IF($H235-'[2]Read Me'!$B$4&lt;=21,"Amber","Green"))))</f>
        <v>Amber</v>
      </c>
      <c r="N235" s="3"/>
      <c r="O235" t="str">
        <f>IF($I235&lt;&gt;"Complete",IF(COUNTIFS($A$4:$A234,$A235,$B$4:$B234,$B235,$I$4:$I234,"&lt;&gt;Complete")=0,$A235&amp;"|"&amp;$B235,""),"")</f>
        <v>|</v>
      </c>
      <c r="P235" t="str">
        <f ca="1">IF($K235="Yes",COUNTIFS($K$4:$K235,"Yes"),"")</f>
        <v/>
      </c>
      <c r="Q235">
        <f t="shared" ca="1" si="15"/>
        <v>0</v>
      </c>
      <c r="R235" t="str">
        <f ca="1">IF($Q235=1,SUM($Q$4:$Q235),"")</f>
        <v/>
      </c>
    </row>
    <row r="236" spans="1:18" ht="22.5" customHeight="1" x14ac:dyDescent="0.3">
      <c r="A236" s="2"/>
      <c r="B236" s="2"/>
      <c r="C236" s="3"/>
      <c r="D236" s="3"/>
      <c r="E236" s="2"/>
      <c r="F236" s="2"/>
      <c r="G236" s="5"/>
      <c r="H236" s="5"/>
      <c r="I236" s="4"/>
      <c r="J236" s="6" t="str">
        <f t="shared" si="13"/>
        <v/>
      </c>
      <c r="K236" s="4" t="str">
        <f t="shared" ca="1" si="14"/>
        <v/>
      </c>
      <c r="L236" s="7" t="str">
        <f t="shared" ca="1" si="16"/>
        <v/>
      </c>
      <c r="M236" s="4" t="str">
        <f>IF($I236="Complete","Green",IF($H236="","Amber",IF($H236&lt;'[2]Read Me'!$B$4,"Red",IF($H236-'[2]Read Me'!$B$4&lt;=21,"Amber","Green"))))</f>
        <v>Amber</v>
      </c>
      <c r="N236" s="3"/>
      <c r="O236" t="str">
        <f>IF($I236&lt;&gt;"Complete",IF(COUNTIFS($A$4:$A235,$A236,$B$4:$B235,$B236,$I$4:$I235,"&lt;&gt;Complete")=0,$A236&amp;"|"&amp;$B236,""),"")</f>
        <v>|</v>
      </c>
      <c r="P236" t="str">
        <f ca="1">IF($K236="Yes",COUNTIFS($K$4:$K236,"Yes"),"")</f>
        <v/>
      </c>
      <c r="Q236">
        <f t="shared" ca="1" si="15"/>
        <v>0</v>
      </c>
      <c r="R236" t="str">
        <f ca="1">IF($Q236=1,SUM($Q$4:$Q236),"")</f>
        <v/>
      </c>
    </row>
    <row r="237" spans="1:18" ht="22.5" customHeight="1" x14ac:dyDescent="0.3">
      <c r="A237" s="2"/>
      <c r="B237" s="2"/>
      <c r="C237" s="3"/>
      <c r="D237" s="3"/>
      <c r="E237" s="2"/>
      <c r="F237" s="2"/>
      <c r="G237" s="5"/>
      <c r="H237" s="5"/>
      <c r="I237" s="4"/>
      <c r="J237" s="6" t="str">
        <f t="shared" si="13"/>
        <v/>
      </c>
      <c r="K237" s="4" t="str">
        <f t="shared" ca="1" si="14"/>
        <v/>
      </c>
      <c r="L237" s="7" t="str">
        <f t="shared" ca="1" si="16"/>
        <v/>
      </c>
      <c r="M237" s="4" t="str">
        <f>IF($I237="Complete","Green",IF($H237="","Amber",IF($H237&lt;'[2]Read Me'!$B$4,"Red",IF($H237-'[2]Read Me'!$B$4&lt;=21,"Amber","Green"))))</f>
        <v>Amber</v>
      </c>
      <c r="N237" s="3"/>
      <c r="O237" t="str">
        <f>IF($I237&lt;&gt;"Complete",IF(COUNTIFS($A$4:$A236,$A237,$B$4:$B236,$B237,$I$4:$I236,"&lt;&gt;Complete")=0,$A237&amp;"|"&amp;$B237,""),"")</f>
        <v>|</v>
      </c>
      <c r="P237" t="str">
        <f ca="1">IF($K237="Yes",COUNTIFS($K$4:$K237,"Yes"),"")</f>
        <v/>
      </c>
      <c r="Q237">
        <f t="shared" ca="1" si="15"/>
        <v>0</v>
      </c>
      <c r="R237" t="str">
        <f ca="1">IF($Q237=1,SUM($Q$4:$Q237),"")</f>
        <v/>
      </c>
    </row>
    <row r="238" spans="1:18" ht="22.5" customHeight="1" x14ac:dyDescent="0.3">
      <c r="A238" s="2"/>
      <c r="B238" s="2"/>
      <c r="C238" s="3"/>
      <c r="D238" s="3"/>
      <c r="E238" s="2"/>
      <c r="F238" s="2"/>
      <c r="G238" s="5"/>
      <c r="H238" s="5"/>
      <c r="I238" s="4"/>
      <c r="J238" s="6" t="str">
        <f t="shared" si="13"/>
        <v/>
      </c>
      <c r="K238" s="4" t="str">
        <f t="shared" ca="1" si="14"/>
        <v/>
      </c>
      <c r="L238" s="7" t="str">
        <f t="shared" ca="1" si="16"/>
        <v/>
      </c>
      <c r="M238" s="4" t="str">
        <f>IF($I238="Complete","Green",IF($H238="","Amber",IF($H238&lt;'[2]Read Me'!$B$4,"Red",IF($H238-'[2]Read Me'!$B$4&lt;=21,"Amber","Green"))))</f>
        <v>Amber</v>
      </c>
      <c r="N238" s="3"/>
      <c r="O238" t="str">
        <f>IF($I238&lt;&gt;"Complete",IF(COUNTIFS($A$4:$A237,$A238,$B$4:$B237,$B238,$I$4:$I237,"&lt;&gt;Complete")=0,$A238&amp;"|"&amp;$B238,""),"")</f>
        <v>|</v>
      </c>
      <c r="P238" t="str">
        <f ca="1">IF($K238="Yes",COUNTIFS($K$4:$K238,"Yes"),"")</f>
        <v/>
      </c>
      <c r="Q238">
        <f t="shared" ca="1" si="15"/>
        <v>0</v>
      </c>
      <c r="R238" t="str">
        <f ca="1">IF($Q238=1,SUM($Q$4:$Q238),"")</f>
        <v/>
      </c>
    </row>
    <row r="239" spans="1:18" ht="22.5" customHeight="1" x14ac:dyDescent="0.3">
      <c r="A239" s="2"/>
      <c r="B239" s="2"/>
      <c r="C239" s="3"/>
      <c r="D239" s="3"/>
      <c r="E239" s="2"/>
      <c r="F239" s="2"/>
      <c r="G239" s="5"/>
      <c r="H239" s="5"/>
      <c r="I239" s="4"/>
      <c r="J239" s="6" t="str">
        <f t="shared" si="13"/>
        <v/>
      </c>
      <c r="K239" s="4" t="str">
        <f t="shared" ca="1" si="14"/>
        <v/>
      </c>
      <c r="L239" s="7" t="str">
        <f t="shared" ca="1" si="16"/>
        <v/>
      </c>
      <c r="M239" s="4" t="str">
        <f>IF($I239="Complete","Green",IF($H239="","Amber",IF($H239&lt;'[2]Read Me'!$B$4,"Red",IF($H239-'[2]Read Me'!$B$4&lt;=21,"Amber","Green"))))</f>
        <v>Amber</v>
      </c>
      <c r="N239" s="3"/>
      <c r="O239" t="str">
        <f>IF($I239&lt;&gt;"Complete",IF(COUNTIFS($A$4:$A238,$A239,$B$4:$B238,$B239,$I$4:$I238,"&lt;&gt;Complete")=0,$A239&amp;"|"&amp;$B239,""),"")</f>
        <v>|</v>
      </c>
      <c r="P239" t="str">
        <f ca="1">IF($K239="Yes",COUNTIFS($K$4:$K239,"Yes"),"")</f>
        <v/>
      </c>
      <c r="Q239">
        <f t="shared" ca="1" si="15"/>
        <v>0</v>
      </c>
      <c r="R239" t="str">
        <f ca="1">IF($Q239=1,SUM($Q$4:$Q239),"")</f>
        <v/>
      </c>
    </row>
    <row r="240" spans="1:18" ht="22.5" customHeight="1" x14ac:dyDescent="0.3">
      <c r="A240" s="2"/>
      <c r="B240" s="2"/>
      <c r="C240" s="3"/>
      <c r="D240" s="3"/>
      <c r="E240" s="2"/>
      <c r="F240" s="2"/>
      <c r="G240" s="5"/>
      <c r="H240" s="5"/>
      <c r="I240" s="4"/>
      <c r="J240" s="6" t="str">
        <f t="shared" si="13"/>
        <v/>
      </c>
      <c r="K240" s="4" t="str">
        <f t="shared" ca="1" si="14"/>
        <v/>
      </c>
      <c r="L240" s="7" t="str">
        <f t="shared" ca="1" si="16"/>
        <v/>
      </c>
      <c r="M240" s="4" t="str">
        <f>IF($I240="Complete","Green",IF($H240="","Amber",IF($H240&lt;'[2]Read Me'!$B$4,"Red",IF($H240-'[2]Read Me'!$B$4&lt;=21,"Amber","Green"))))</f>
        <v>Amber</v>
      </c>
      <c r="N240" s="3"/>
      <c r="O240" t="str">
        <f>IF($I240&lt;&gt;"Complete",IF(COUNTIFS($A$4:$A239,$A240,$B$4:$B239,$B240,$I$4:$I239,"&lt;&gt;Complete")=0,$A240&amp;"|"&amp;$B240,""),"")</f>
        <v>|</v>
      </c>
      <c r="P240" t="str">
        <f ca="1">IF($K240="Yes",COUNTIFS($K$4:$K240,"Yes"),"")</f>
        <v/>
      </c>
      <c r="Q240">
        <f t="shared" ca="1" si="15"/>
        <v>0</v>
      </c>
      <c r="R240" t="str">
        <f ca="1">IF($Q240=1,SUM($Q$4:$Q240),"")</f>
        <v/>
      </c>
    </row>
    <row r="241" spans="1:18" ht="22.5" customHeight="1" x14ac:dyDescent="0.3">
      <c r="A241" s="2"/>
      <c r="B241" s="2"/>
      <c r="C241" s="3"/>
      <c r="D241" s="3"/>
      <c r="E241" s="2"/>
      <c r="F241" s="2"/>
      <c r="G241" s="5"/>
      <c r="H241" s="5"/>
      <c r="I241" s="4"/>
      <c r="J241" s="6" t="str">
        <f t="shared" si="13"/>
        <v/>
      </c>
      <c r="K241" s="4" t="str">
        <f t="shared" ca="1" si="14"/>
        <v/>
      </c>
      <c r="L241" s="7" t="str">
        <f t="shared" ca="1" si="16"/>
        <v/>
      </c>
      <c r="M241" s="4" t="str">
        <f>IF($I241="Complete","Green",IF($H241="","Amber",IF($H241&lt;'[2]Read Me'!$B$4,"Red",IF($H241-'[2]Read Me'!$B$4&lt;=21,"Amber","Green"))))</f>
        <v>Amber</v>
      </c>
      <c r="N241" s="3"/>
      <c r="O241" t="str">
        <f>IF($I241&lt;&gt;"Complete",IF(COUNTIFS($A$4:$A240,$A241,$B$4:$B240,$B241,$I$4:$I240,"&lt;&gt;Complete")=0,$A241&amp;"|"&amp;$B241,""),"")</f>
        <v>|</v>
      </c>
      <c r="P241" t="str">
        <f ca="1">IF($K241="Yes",COUNTIFS($K$4:$K241,"Yes"),"")</f>
        <v/>
      </c>
      <c r="Q241">
        <f t="shared" ca="1" si="15"/>
        <v>0</v>
      </c>
      <c r="R241" t="str">
        <f ca="1">IF($Q241=1,SUM($Q$4:$Q241),"")</f>
        <v/>
      </c>
    </row>
    <row r="242" spans="1:18" ht="22.5" customHeight="1" x14ac:dyDescent="0.3">
      <c r="A242" s="2"/>
      <c r="B242" s="2"/>
      <c r="C242" s="3"/>
      <c r="D242" s="3"/>
      <c r="E242" s="2"/>
      <c r="F242" s="2"/>
      <c r="G242" s="5"/>
      <c r="H242" s="5"/>
      <c r="I242" s="4"/>
      <c r="J242" s="6" t="str">
        <f t="shared" si="13"/>
        <v/>
      </c>
      <c r="K242" s="4" t="str">
        <f t="shared" ca="1" si="14"/>
        <v/>
      </c>
      <c r="L242" s="7" t="str">
        <f t="shared" ca="1" si="16"/>
        <v/>
      </c>
      <c r="M242" s="4" t="str">
        <f>IF($I242="Complete","Green",IF($H242="","Amber",IF($H242&lt;'[2]Read Me'!$B$4,"Red",IF($H242-'[2]Read Me'!$B$4&lt;=21,"Amber","Green"))))</f>
        <v>Amber</v>
      </c>
      <c r="N242" s="3"/>
      <c r="O242" t="str">
        <f>IF($I242&lt;&gt;"Complete",IF(COUNTIFS($A$4:$A241,$A242,$B$4:$B241,$B242,$I$4:$I241,"&lt;&gt;Complete")=0,$A242&amp;"|"&amp;$B242,""),"")</f>
        <v>|</v>
      </c>
      <c r="P242" t="str">
        <f ca="1">IF($K242="Yes",COUNTIFS($K$4:$K242,"Yes"),"")</f>
        <v/>
      </c>
      <c r="Q242">
        <f t="shared" ca="1" si="15"/>
        <v>0</v>
      </c>
      <c r="R242" t="str">
        <f ca="1">IF($Q242=1,SUM($Q$4:$Q242),"")</f>
        <v/>
      </c>
    </row>
    <row r="243" spans="1:18" ht="22.5" customHeight="1" x14ac:dyDescent="0.3">
      <c r="A243" s="2"/>
      <c r="B243" s="2"/>
      <c r="C243" s="3"/>
      <c r="D243" s="3"/>
      <c r="E243" s="2"/>
      <c r="F243" s="2"/>
      <c r="G243" s="5"/>
      <c r="H243" s="5"/>
      <c r="I243" s="4"/>
      <c r="J243" s="6" t="str">
        <f t="shared" si="13"/>
        <v/>
      </c>
      <c r="K243" s="4" t="str">
        <f t="shared" ca="1" si="14"/>
        <v/>
      </c>
      <c r="L243" s="7" t="str">
        <f t="shared" ca="1" si="16"/>
        <v/>
      </c>
      <c r="M243" s="4" t="str">
        <f>IF($I243="Complete","Green",IF($H243="","Amber",IF($H243&lt;'[2]Read Me'!$B$4,"Red",IF($H243-'[2]Read Me'!$B$4&lt;=21,"Amber","Green"))))</f>
        <v>Amber</v>
      </c>
      <c r="N243" s="3"/>
      <c r="O243" t="str">
        <f>IF($I243&lt;&gt;"Complete",IF(COUNTIFS($A$4:$A242,$A243,$B$4:$B242,$B243,$I$4:$I242,"&lt;&gt;Complete")=0,$A243&amp;"|"&amp;$B243,""),"")</f>
        <v>|</v>
      </c>
      <c r="P243" t="str">
        <f ca="1">IF($K243="Yes",COUNTIFS($K$4:$K243,"Yes"),"")</f>
        <v/>
      </c>
      <c r="Q243">
        <f t="shared" ca="1" si="15"/>
        <v>0</v>
      </c>
      <c r="R243" t="str">
        <f ca="1">IF($Q243=1,SUM($Q$4:$Q243),"")</f>
        <v/>
      </c>
    </row>
    <row r="244" spans="1:18" ht="22.5" customHeight="1" x14ac:dyDescent="0.3">
      <c r="A244" s="2"/>
      <c r="B244" s="2"/>
      <c r="C244" s="3"/>
      <c r="D244" s="3"/>
      <c r="E244" s="2"/>
      <c r="F244" s="2"/>
      <c r="G244" s="5"/>
      <c r="H244" s="5"/>
      <c r="I244" s="4"/>
      <c r="J244" s="6" t="str">
        <f t="shared" si="13"/>
        <v/>
      </c>
      <c r="K244" s="4" t="str">
        <f t="shared" ref="K244:K264" ca="1" si="17">IF($H244="","",IF($H244&gt;TODAY(),"No","Yes"))</f>
        <v/>
      </c>
      <c r="L244" s="7" t="str">
        <f t="shared" ca="1" si="16"/>
        <v/>
      </c>
      <c r="M244" s="4" t="str">
        <f>IF($I244="Complete","Green",IF($H244="","Amber",IF($H244&lt;'[2]Read Me'!$B$4,"Red",IF($H244-'[2]Read Me'!$B$4&lt;=21,"Amber","Green"))))</f>
        <v>Amber</v>
      </c>
      <c r="N244" s="3"/>
      <c r="O244" t="str">
        <f>IF($I244&lt;&gt;"Complete",IF(COUNTIFS($A$4:$A243,$A244,$B$4:$B243,$B244,$I$4:$I243,"&lt;&gt;Complete")=0,$A244&amp;"|"&amp;$B244,""),"")</f>
        <v>|</v>
      </c>
      <c r="P244" t="str">
        <f ca="1">IF($K244="Yes",COUNTIFS($K$4:$K244,"Yes"),"")</f>
        <v/>
      </c>
      <c r="Q244">
        <f t="shared" ca="1" si="15"/>
        <v>0</v>
      </c>
      <c r="R244" t="str">
        <f ca="1">IF($Q244=1,SUM($Q$4:$Q244),"")</f>
        <v/>
      </c>
    </row>
    <row r="245" spans="1:18" ht="22.5" customHeight="1" x14ac:dyDescent="0.3">
      <c r="A245" s="2"/>
      <c r="B245" s="2"/>
      <c r="C245" s="3"/>
      <c r="D245" s="3"/>
      <c r="E245" s="2"/>
      <c r="F245" s="2"/>
      <c r="G245" s="5"/>
      <c r="H245" s="5"/>
      <c r="I245" s="4"/>
      <c r="J245" s="6" t="str">
        <f t="shared" si="13"/>
        <v/>
      </c>
      <c r="K245" s="4" t="str">
        <f t="shared" ca="1" si="17"/>
        <v/>
      </c>
      <c r="L245" s="7" t="str">
        <f t="shared" ca="1" si="16"/>
        <v/>
      </c>
      <c r="M245" s="4" t="str">
        <f>IF($I245="Complete","Green",IF($H245="","Amber",IF($H245&lt;'[2]Read Me'!$B$4,"Red",IF($H245-'[2]Read Me'!$B$4&lt;=21,"Amber","Green"))))</f>
        <v>Amber</v>
      </c>
      <c r="N245" s="3"/>
      <c r="O245" t="str">
        <f>IF($I245&lt;&gt;"Complete",IF(COUNTIFS($A$4:$A244,$A245,$B$4:$B244,$B245,$I$4:$I244,"&lt;&gt;Complete")=0,$A245&amp;"|"&amp;$B245,""),"")</f>
        <v>|</v>
      </c>
      <c r="P245" t="str">
        <f ca="1">IF($K245="Yes",COUNTIFS($K$4:$K245,"Yes"),"")</f>
        <v/>
      </c>
      <c r="Q245">
        <f t="shared" ca="1" si="15"/>
        <v>0</v>
      </c>
      <c r="R245" t="str">
        <f ca="1">IF($Q245=1,SUM($Q$4:$Q245),"")</f>
        <v/>
      </c>
    </row>
    <row r="246" spans="1:18" ht="22.5" customHeight="1" x14ac:dyDescent="0.3">
      <c r="A246" s="2"/>
      <c r="B246" s="2"/>
      <c r="C246" s="3"/>
      <c r="D246" s="3"/>
      <c r="E246" s="2"/>
      <c r="F246" s="2"/>
      <c r="G246" s="5"/>
      <c r="H246" s="5"/>
      <c r="I246" s="4"/>
      <c r="J246" s="6" t="str">
        <f t="shared" si="13"/>
        <v/>
      </c>
      <c r="K246" s="4" t="str">
        <f t="shared" ca="1" si="17"/>
        <v/>
      </c>
      <c r="L246" s="7" t="str">
        <f t="shared" ca="1" si="16"/>
        <v/>
      </c>
      <c r="M246" s="4" t="str">
        <f>IF($I246="Complete","Green",IF($H246="","Amber",IF($H246&lt;'[2]Read Me'!$B$4,"Red",IF($H246-'[2]Read Me'!$B$4&lt;=21,"Amber","Green"))))</f>
        <v>Amber</v>
      </c>
      <c r="N246" s="3"/>
      <c r="O246" t="str">
        <f>IF($I246&lt;&gt;"Complete",IF(COUNTIFS($A$4:$A245,$A246,$B$4:$B245,$B246,$I$4:$I245,"&lt;&gt;Complete")=0,$A246&amp;"|"&amp;$B246,""),"")</f>
        <v>|</v>
      </c>
      <c r="P246" t="str">
        <f ca="1">IF($K246="Yes",COUNTIFS($K$4:$K246,"Yes"),"")</f>
        <v/>
      </c>
      <c r="Q246">
        <f t="shared" ca="1" si="15"/>
        <v>0</v>
      </c>
      <c r="R246" t="str">
        <f ca="1">IF($Q246=1,SUM($Q$4:$Q246),"")</f>
        <v/>
      </c>
    </row>
    <row r="247" spans="1:18" ht="22.5" customHeight="1" x14ac:dyDescent="0.3">
      <c r="A247" s="2"/>
      <c r="B247" s="2"/>
      <c r="C247" s="3"/>
      <c r="D247" s="3"/>
      <c r="E247" s="2"/>
      <c r="F247" s="2"/>
      <c r="G247" s="5"/>
      <c r="H247" s="5"/>
      <c r="I247" s="4"/>
      <c r="J247" s="6" t="str">
        <f t="shared" si="13"/>
        <v/>
      </c>
      <c r="K247" s="4" t="str">
        <f t="shared" ca="1" si="17"/>
        <v/>
      </c>
      <c r="L247" s="7" t="str">
        <f t="shared" ca="1" si="16"/>
        <v/>
      </c>
      <c r="M247" s="4" t="str">
        <f>IF($I247="Complete","Green",IF($H247="","Amber",IF($H247&lt;'[2]Read Me'!$B$4,"Red",IF($H247-'[2]Read Me'!$B$4&lt;=21,"Amber","Green"))))</f>
        <v>Amber</v>
      </c>
      <c r="N247" s="3"/>
      <c r="O247" t="str">
        <f>IF($I247&lt;&gt;"Complete",IF(COUNTIFS($A$4:$A246,$A247,$B$4:$B246,$B247,$I$4:$I246,"&lt;&gt;Complete")=0,$A247&amp;"|"&amp;$B247,""),"")</f>
        <v>|</v>
      </c>
      <c r="P247" t="str">
        <f ca="1">IF($K247="Yes",COUNTIFS($K$4:$K247,"Yes"),"")</f>
        <v/>
      </c>
      <c r="Q247">
        <f t="shared" ca="1" si="15"/>
        <v>0</v>
      </c>
      <c r="R247" t="str">
        <f ca="1">IF($Q247=1,SUM($Q$4:$Q247),"")</f>
        <v/>
      </c>
    </row>
    <row r="248" spans="1:18" ht="22.5" customHeight="1" x14ac:dyDescent="0.3">
      <c r="A248" s="2"/>
      <c r="B248" s="2"/>
      <c r="C248" s="3"/>
      <c r="D248" s="3"/>
      <c r="E248" s="2"/>
      <c r="F248" s="2"/>
      <c r="G248" s="5"/>
      <c r="H248" s="5"/>
      <c r="I248" s="4"/>
      <c r="J248" s="6" t="str">
        <f t="shared" si="13"/>
        <v/>
      </c>
      <c r="K248" s="4" t="str">
        <f t="shared" ca="1" si="17"/>
        <v/>
      </c>
      <c r="L248" s="7" t="str">
        <f t="shared" ca="1" si="16"/>
        <v/>
      </c>
      <c r="M248" s="4" t="str">
        <f>IF($I248="Complete","Green",IF($H248="","Amber",IF($H248&lt;'[2]Read Me'!$B$4,"Red",IF($H248-'[2]Read Me'!$B$4&lt;=21,"Amber","Green"))))</f>
        <v>Amber</v>
      </c>
      <c r="N248" s="3"/>
      <c r="O248" t="str">
        <f>IF($I248&lt;&gt;"Complete",IF(COUNTIFS($A$4:$A247,$A248,$B$4:$B247,$B248,$I$4:$I247,"&lt;&gt;Complete")=0,$A248&amp;"|"&amp;$B248,""),"")</f>
        <v>|</v>
      </c>
      <c r="P248" t="str">
        <f ca="1">IF($K248="Yes",COUNTIFS($K$4:$K248,"Yes"),"")</f>
        <v/>
      </c>
      <c r="Q248">
        <f t="shared" ca="1" si="15"/>
        <v>0</v>
      </c>
      <c r="R248" t="str">
        <f ca="1">IF($Q248=1,SUM($Q$4:$Q248),"")</f>
        <v/>
      </c>
    </row>
    <row r="249" spans="1:18" ht="22.5" customHeight="1" x14ac:dyDescent="0.3">
      <c r="A249" s="2"/>
      <c r="B249" s="2"/>
      <c r="C249" s="3"/>
      <c r="D249" s="3"/>
      <c r="E249" s="2"/>
      <c r="F249" s="2"/>
      <c r="G249" s="5"/>
      <c r="H249" s="5"/>
      <c r="I249" s="4"/>
      <c r="J249" s="6" t="str">
        <f t="shared" si="13"/>
        <v/>
      </c>
      <c r="K249" s="4" t="str">
        <f t="shared" ca="1" si="17"/>
        <v/>
      </c>
      <c r="L249" s="7" t="str">
        <f t="shared" ca="1" si="16"/>
        <v/>
      </c>
      <c r="M249" s="4" t="str">
        <f>IF($I249="Complete","Green",IF($H249="","Amber",IF($H249&lt;'[2]Read Me'!$B$4,"Red",IF($H249-'[2]Read Me'!$B$4&lt;=21,"Amber","Green"))))</f>
        <v>Amber</v>
      </c>
      <c r="N249" s="3"/>
      <c r="O249" t="str">
        <f>IF($I249&lt;&gt;"Complete",IF(COUNTIFS($A$4:$A248,$A249,$B$4:$B248,$B249,$I$4:$I248,"&lt;&gt;Complete")=0,$A249&amp;"|"&amp;$B249,""),"")</f>
        <v>|</v>
      </c>
      <c r="P249" t="str">
        <f ca="1">IF($K249="Yes",COUNTIFS($K$4:$K249,"Yes"),"")</f>
        <v/>
      </c>
      <c r="Q249">
        <f t="shared" ca="1" si="15"/>
        <v>0</v>
      </c>
      <c r="R249" t="str">
        <f ca="1">IF($Q249=1,SUM($Q$4:$Q249),"")</f>
        <v/>
      </c>
    </row>
    <row r="250" spans="1:18" ht="22.5" customHeight="1" x14ac:dyDescent="0.3">
      <c r="A250" s="2"/>
      <c r="B250" s="2"/>
      <c r="C250" s="3"/>
      <c r="D250" s="3"/>
      <c r="E250" s="2"/>
      <c r="F250" s="2"/>
      <c r="G250" s="5"/>
      <c r="H250" s="5"/>
      <c r="I250" s="4"/>
      <c r="J250" s="6" t="str">
        <f t="shared" si="13"/>
        <v/>
      </c>
      <c r="K250" s="4" t="str">
        <f t="shared" ca="1" si="17"/>
        <v/>
      </c>
      <c r="L250" s="7" t="str">
        <f t="shared" ca="1" si="16"/>
        <v/>
      </c>
      <c r="M250" s="4" t="str">
        <f>IF($I250="Complete","Green",IF($H250="","Amber",IF($H250&lt;'[2]Read Me'!$B$4,"Red",IF($H250-'[2]Read Me'!$B$4&lt;=21,"Amber","Green"))))</f>
        <v>Amber</v>
      </c>
      <c r="N250" s="8"/>
      <c r="O250" t="str">
        <f>IF($I250&lt;&gt;"Complete",IF(COUNTIFS($A$4:$A249,$A250,$B$4:$B249,$B250,$I$4:$I249,"&lt;&gt;Complete")=0,$A250&amp;"|"&amp;$B250,""),"")</f>
        <v>|</v>
      </c>
      <c r="P250" t="str">
        <f ca="1">IF($K250="Yes",COUNTIFS($K$4:$K250,"Yes"),"")</f>
        <v/>
      </c>
      <c r="Q250">
        <f t="shared" ca="1" si="15"/>
        <v>0</v>
      </c>
      <c r="R250" t="str">
        <f ca="1">IF($Q250=1,SUM($Q$4:$Q250),"")</f>
        <v/>
      </c>
    </row>
    <row r="251" spans="1:18" ht="22.5" customHeight="1" x14ac:dyDescent="0.3">
      <c r="A251" s="2"/>
      <c r="B251" s="2"/>
      <c r="C251" s="3"/>
      <c r="D251" s="3"/>
      <c r="E251" s="2"/>
      <c r="F251" s="2"/>
      <c r="G251" s="5"/>
      <c r="H251" s="5"/>
      <c r="I251" s="4"/>
      <c r="J251" s="6" t="str">
        <f t="shared" si="13"/>
        <v/>
      </c>
      <c r="K251" s="4" t="str">
        <f t="shared" ca="1" si="17"/>
        <v/>
      </c>
      <c r="L251" s="7" t="str">
        <f t="shared" ca="1" si="16"/>
        <v/>
      </c>
      <c r="M251" s="4" t="str">
        <f>IF($I251="Complete","Green",IF($H251="","Amber",IF($H251&lt;'[2]Read Me'!$B$4,"Red",IF($H251-'[2]Read Me'!$B$4&lt;=21,"Amber","Green"))))</f>
        <v>Amber</v>
      </c>
      <c r="N251" s="3"/>
      <c r="O251" t="str">
        <f>IF($I251&lt;&gt;"Complete",IF(COUNTIFS($A$4:$A250,$A251,$B$4:$B250,$B251,$I$4:$I250,"&lt;&gt;Complete")=0,$A251&amp;"|"&amp;$B251,""),"")</f>
        <v>|</v>
      </c>
      <c r="P251" t="str">
        <f ca="1">IF($K251="Yes",COUNTIFS($K$4:$K251,"Yes"),"")</f>
        <v/>
      </c>
      <c r="Q251">
        <f t="shared" ca="1" si="15"/>
        <v>0</v>
      </c>
      <c r="R251" t="str">
        <f ca="1">IF($Q251=1,SUM($Q$4:$Q251),"")</f>
        <v/>
      </c>
    </row>
    <row r="252" spans="1:18" ht="22.5" customHeight="1" x14ac:dyDescent="0.3">
      <c r="A252" s="2"/>
      <c r="B252" s="2"/>
      <c r="C252" s="3"/>
      <c r="D252" s="3"/>
      <c r="E252" s="2"/>
      <c r="F252" s="2"/>
      <c r="G252" s="5"/>
      <c r="H252" s="5"/>
      <c r="I252" s="4"/>
      <c r="J252" s="6" t="str">
        <f t="shared" si="13"/>
        <v/>
      </c>
      <c r="K252" s="4" t="str">
        <f t="shared" ca="1" si="17"/>
        <v/>
      </c>
      <c r="L252" s="7" t="str">
        <f t="shared" ca="1" si="16"/>
        <v/>
      </c>
      <c r="M252" s="4" t="str">
        <f>IF($I252="Complete","Green",IF($H252="","Amber",IF($H252&lt;'[2]Read Me'!$B$4,"Red",IF($H252-'[2]Read Me'!$B$4&lt;=21,"Amber","Green"))))</f>
        <v>Amber</v>
      </c>
      <c r="N252" s="3"/>
      <c r="O252" t="str">
        <f>IF($I252&lt;&gt;"Complete",IF(COUNTIFS($A$4:$A251,$A252,$B$4:$B251,$B252,$I$4:$I251,"&lt;&gt;Complete")=0,$A252&amp;"|"&amp;$B252,""),"")</f>
        <v>|</v>
      </c>
      <c r="P252" t="str">
        <f ca="1">IF($K252="Yes",COUNTIFS($K$4:$K252,"Yes"),"")</f>
        <v/>
      </c>
      <c r="Q252">
        <f t="shared" ca="1" si="15"/>
        <v>0</v>
      </c>
      <c r="R252" t="str">
        <f ca="1">IF($Q252=1,SUM($Q$4:$Q252),"")</f>
        <v/>
      </c>
    </row>
    <row r="253" spans="1:18" ht="22.5" customHeight="1" x14ac:dyDescent="0.3">
      <c r="A253" s="2"/>
      <c r="B253" s="2"/>
      <c r="C253" s="3"/>
      <c r="D253" s="3"/>
      <c r="E253" s="2"/>
      <c r="F253" s="2"/>
      <c r="G253" s="5"/>
      <c r="H253" s="5"/>
      <c r="I253" s="4"/>
      <c r="J253" s="6" t="str">
        <f t="shared" si="13"/>
        <v/>
      </c>
      <c r="K253" s="4" t="str">
        <f t="shared" ca="1" si="17"/>
        <v/>
      </c>
      <c r="L253" s="7" t="str">
        <f t="shared" ca="1" si="16"/>
        <v/>
      </c>
      <c r="M253" s="4" t="str">
        <f>IF($I253="Complete","Green",IF($H253="","Amber",IF($H253&lt;'[2]Read Me'!$B$4,"Red",IF($H253-'[2]Read Me'!$B$4&lt;=21,"Amber","Green"))))</f>
        <v>Amber</v>
      </c>
      <c r="N253" s="3"/>
      <c r="O253" t="str">
        <f>IF($I253&lt;&gt;"Complete",IF(COUNTIFS($A$4:$A252,$A253,$B$4:$B252,$B253,$I$4:$I252,"&lt;&gt;Complete")=0,$A253&amp;"|"&amp;$B253,""),"")</f>
        <v>|</v>
      </c>
      <c r="P253" t="str">
        <f ca="1">IF($K253="Yes",COUNTIFS($K$4:$K253,"Yes"),"")</f>
        <v/>
      </c>
      <c r="Q253">
        <f t="shared" ca="1" si="15"/>
        <v>0</v>
      </c>
      <c r="R253" t="str">
        <f ca="1">IF($Q253=1,SUM($Q$4:$Q253),"")</f>
        <v/>
      </c>
    </row>
    <row r="254" spans="1:18" ht="22.5" customHeight="1" x14ac:dyDescent="0.3">
      <c r="A254" s="2"/>
      <c r="B254" s="2"/>
      <c r="C254" s="3"/>
      <c r="D254" s="3"/>
      <c r="E254" s="2"/>
      <c r="F254" s="2"/>
      <c r="G254" s="5"/>
      <c r="H254" s="5"/>
      <c r="I254" s="4"/>
      <c r="J254" s="6" t="str">
        <f t="shared" si="13"/>
        <v/>
      </c>
      <c r="K254" s="4" t="str">
        <f t="shared" ca="1" si="17"/>
        <v/>
      </c>
      <c r="L254" s="7" t="str">
        <f t="shared" ca="1" si="16"/>
        <v/>
      </c>
      <c r="M254" s="4" t="str">
        <f>IF($I254="Complete","Green",IF($H254="","Amber",IF($H254&lt;'[2]Read Me'!$B$4,"Red",IF($H254-'[2]Read Me'!$B$4&lt;=21,"Amber","Green"))))</f>
        <v>Amber</v>
      </c>
      <c r="N254" s="3"/>
      <c r="O254" t="str">
        <f>IF($I254&lt;&gt;"Complete",IF(COUNTIFS($A$4:$A253,$A254,$B$4:$B253,$B254,$I$4:$I253,"&lt;&gt;Complete")=0,$A254&amp;"|"&amp;$B254,""),"")</f>
        <v>|</v>
      </c>
      <c r="P254" t="str">
        <f ca="1">IF($K254="Yes",COUNTIFS($K$4:$K254,"Yes"),"")</f>
        <v/>
      </c>
      <c r="Q254">
        <f t="shared" ca="1" si="15"/>
        <v>0</v>
      </c>
      <c r="R254" t="str">
        <f ca="1">IF($Q254=1,SUM($Q$4:$Q254),"")</f>
        <v/>
      </c>
    </row>
    <row r="255" spans="1:18" ht="22.5" customHeight="1" x14ac:dyDescent="0.3">
      <c r="A255" s="2"/>
      <c r="B255" s="2"/>
      <c r="C255" s="3"/>
      <c r="D255" s="3"/>
      <c r="E255" s="2"/>
      <c r="F255" s="2"/>
      <c r="G255" s="5"/>
      <c r="H255" s="5"/>
      <c r="I255" s="4"/>
      <c r="J255" s="6" t="str">
        <f t="shared" si="13"/>
        <v/>
      </c>
      <c r="K255" s="4" t="str">
        <f t="shared" ca="1" si="17"/>
        <v/>
      </c>
      <c r="L255" s="7" t="str">
        <f t="shared" ca="1" si="16"/>
        <v/>
      </c>
      <c r="M255" s="4" t="str">
        <f>IF($I255="Complete","Green",IF($H255="","Amber",IF($H255&lt;'[2]Read Me'!$B$4,"Red",IF($H255-'[2]Read Me'!$B$4&lt;=21,"Amber","Green"))))</f>
        <v>Amber</v>
      </c>
      <c r="N255" s="3"/>
      <c r="O255" t="str">
        <f>IF($I255&lt;&gt;"Complete",IF(COUNTIFS($A$4:$A254,$A255,$B$4:$B254,$B255,$I$4:$I254,"&lt;&gt;Complete")=0,$A255&amp;"|"&amp;$B255,""),"")</f>
        <v>|</v>
      </c>
      <c r="P255" t="str">
        <f ca="1">IF($K255="Yes",COUNTIFS($K$4:$K255,"Yes"),"")</f>
        <v/>
      </c>
      <c r="Q255">
        <f t="shared" ca="1" si="15"/>
        <v>0</v>
      </c>
      <c r="R255" t="str">
        <f ca="1">IF($Q255=1,SUM($Q$4:$Q255),"")</f>
        <v/>
      </c>
    </row>
    <row r="256" spans="1:18" ht="22.5" customHeight="1" x14ac:dyDescent="0.3">
      <c r="A256" s="2"/>
      <c r="B256" s="2"/>
      <c r="C256" s="3"/>
      <c r="D256" s="3"/>
      <c r="E256" s="2"/>
      <c r="F256" s="2"/>
      <c r="G256" s="5"/>
      <c r="H256" s="5"/>
      <c r="I256" s="4"/>
      <c r="J256" s="6" t="str">
        <f t="shared" si="13"/>
        <v/>
      </c>
      <c r="K256" s="4" t="str">
        <f t="shared" ca="1" si="17"/>
        <v/>
      </c>
      <c r="L256" s="7" t="str">
        <f t="shared" ca="1" si="16"/>
        <v/>
      </c>
      <c r="M256" s="4" t="str">
        <f>IF($I256="Complete","Green",IF($H256="","Amber",IF($H256&lt;'[2]Read Me'!$B$4,"Red",IF($H256-'[2]Read Me'!$B$4&lt;=21,"Amber","Green"))))</f>
        <v>Amber</v>
      </c>
      <c r="N256" s="3"/>
      <c r="O256" t="str">
        <f>IF($I256&lt;&gt;"Complete",IF(COUNTIFS($A$4:$A255,$A256,$B$4:$B255,$B256,$I$4:$I255,"&lt;&gt;Complete")=0,$A256&amp;"|"&amp;$B256,""),"")</f>
        <v>|</v>
      </c>
      <c r="P256" t="str">
        <f ca="1">IF($K256="Yes",COUNTIFS($K$4:$K256,"Yes"),"")</f>
        <v/>
      </c>
      <c r="Q256">
        <f t="shared" ca="1" si="15"/>
        <v>0</v>
      </c>
      <c r="R256" t="str">
        <f ca="1">IF($Q256=1,SUM($Q$4:$Q256),"")</f>
        <v/>
      </c>
    </row>
    <row r="257" spans="1:18" ht="22.5" customHeight="1" x14ac:dyDescent="0.3">
      <c r="A257" s="2"/>
      <c r="B257" s="2"/>
      <c r="C257" s="3"/>
      <c r="D257" s="3"/>
      <c r="E257" s="2"/>
      <c r="F257" s="2"/>
      <c r="G257" s="5"/>
      <c r="H257" s="5"/>
      <c r="I257" s="4"/>
      <c r="J257" s="6" t="str">
        <f t="shared" si="13"/>
        <v/>
      </c>
      <c r="K257" s="4" t="str">
        <f t="shared" ca="1" si="17"/>
        <v/>
      </c>
      <c r="L257" s="7" t="str">
        <f t="shared" ca="1" si="16"/>
        <v/>
      </c>
      <c r="M257" s="4" t="str">
        <f>IF($I257="Complete","Green",IF($H257="","Amber",IF($H257&lt;'[2]Read Me'!$B$4,"Red",IF($H257-'[2]Read Me'!$B$4&lt;=21,"Amber","Green"))))</f>
        <v>Amber</v>
      </c>
      <c r="N257" s="3"/>
      <c r="O257" t="str">
        <f>IF($I257&lt;&gt;"Complete",IF(COUNTIFS($A$4:$A256,$A257,$B$4:$B256,$B257,$I$4:$I256,"&lt;&gt;Complete")=0,$A257&amp;"|"&amp;$B257,""),"")</f>
        <v>|</v>
      </c>
      <c r="P257" t="str">
        <f ca="1">IF($K257="Yes",COUNTIFS($K$4:$K257,"Yes"),"")</f>
        <v/>
      </c>
      <c r="Q257">
        <f t="shared" ca="1" si="15"/>
        <v>0</v>
      </c>
      <c r="R257" t="str">
        <f ca="1">IF($Q257=1,SUM($Q$4:$Q257),"")</f>
        <v/>
      </c>
    </row>
    <row r="258" spans="1:18" ht="45" customHeight="1" x14ac:dyDescent="0.3">
      <c r="A258" s="2"/>
      <c r="B258" s="2"/>
      <c r="C258" s="3"/>
      <c r="D258" s="3"/>
      <c r="E258" s="2"/>
      <c r="F258" s="2"/>
      <c r="G258" s="5"/>
      <c r="H258" s="5"/>
      <c r="I258" s="4"/>
      <c r="J258" s="6" t="str">
        <f t="shared" si="13"/>
        <v/>
      </c>
      <c r="K258" s="4" t="str">
        <f t="shared" ca="1" si="17"/>
        <v/>
      </c>
      <c r="L258" s="7" t="str">
        <f t="shared" ca="1" si="16"/>
        <v/>
      </c>
      <c r="M258" s="4" t="str">
        <f>IF($I258="Complete","Green",IF($H258="","Amber",IF($H258&lt;'[2]Read Me'!$B$4,"Red",IF($H258-'[2]Read Me'!$B$4&lt;=21,"Amber","Green"))))</f>
        <v>Amber</v>
      </c>
      <c r="N258" s="3"/>
      <c r="O258" t="str">
        <f>IF($I258&lt;&gt;"Complete",IF(COUNTIFS($A$4:$A257,$A258,$B$4:$B257,$B258,$I$4:$I257,"&lt;&gt;Complete")=0,$A258&amp;"|"&amp;$B258,""),"")</f>
        <v>|</v>
      </c>
      <c r="P258" t="str">
        <f ca="1">IF($K258="Yes",COUNTIFS($K$4:$K258,"Yes"),"")</f>
        <v/>
      </c>
      <c r="Q258">
        <f t="shared" ca="1" si="15"/>
        <v>0</v>
      </c>
      <c r="R258" t="str">
        <f ca="1">IF($Q258=1,SUM($Q$4:$Q258),"")</f>
        <v/>
      </c>
    </row>
    <row r="259" spans="1:18" ht="45" customHeight="1" x14ac:dyDescent="0.3">
      <c r="A259" s="2"/>
      <c r="B259" s="2"/>
      <c r="C259" s="3"/>
      <c r="D259" s="3"/>
      <c r="E259" s="2"/>
      <c r="F259" s="2"/>
      <c r="G259" s="5"/>
      <c r="H259" s="5"/>
      <c r="I259" s="4"/>
      <c r="J259" s="6" t="str">
        <f t="shared" si="13"/>
        <v/>
      </c>
      <c r="K259" s="4" t="str">
        <f t="shared" ca="1" si="17"/>
        <v/>
      </c>
      <c r="L259" s="7" t="str">
        <f t="shared" ca="1" si="16"/>
        <v/>
      </c>
      <c r="M259" s="4" t="str">
        <f>IF($I259="Complete","Green",IF($H259="","Amber",IF($H259&lt;'[2]Read Me'!$B$4,"Red",IF($H259-'[2]Read Me'!$B$4&lt;=21,"Amber","Green"))))</f>
        <v>Amber</v>
      </c>
      <c r="N259" s="3"/>
      <c r="O259" t="str">
        <f>IF($I259&lt;&gt;"Complete",IF(COUNTIFS($A$4:$A258,$A259,$B$4:$B258,$B259,$I$4:$I258,"&lt;&gt;Complete")=0,$A259&amp;"|"&amp;$B259,""),"")</f>
        <v>|</v>
      </c>
      <c r="P259" t="str">
        <f ca="1">IF($K259="Yes",COUNTIFS($K$4:$K259,"Yes"),"")</f>
        <v/>
      </c>
      <c r="Q259">
        <f t="shared" ca="1" si="15"/>
        <v>0</v>
      </c>
      <c r="R259" t="str">
        <f ca="1">IF($Q259=1,SUM($Q$4:$Q259),"")</f>
        <v/>
      </c>
    </row>
    <row r="260" spans="1:18" ht="45" customHeight="1" x14ac:dyDescent="0.3">
      <c r="A260" s="2"/>
      <c r="B260" s="2"/>
      <c r="C260" s="3"/>
      <c r="D260" s="3"/>
      <c r="E260" s="2"/>
      <c r="F260" s="2"/>
      <c r="G260" s="5"/>
      <c r="H260" s="5"/>
      <c r="I260" s="4"/>
      <c r="J260" s="6" t="str">
        <f t="shared" ref="J260:J312" si="18">IF(OR($G260="",$H260=""),"",$H260-$G260)</f>
        <v/>
      </c>
      <c r="K260" s="4" t="str">
        <f t="shared" ca="1" si="17"/>
        <v/>
      </c>
      <c r="L260" s="7" t="str">
        <f t="shared" ca="1" si="16"/>
        <v/>
      </c>
      <c r="M260" s="4" t="str">
        <f>IF($I260="Complete","Green",IF($H260="","Amber",IF($H260&lt;'[2]Read Me'!$B$4,"Red",IF($H260-'[2]Read Me'!$B$4&lt;=21,"Amber","Green"))))</f>
        <v>Amber</v>
      </c>
      <c r="N260" s="3"/>
      <c r="O260" t="str">
        <f>IF($I260&lt;&gt;"Complete",IF(COUNTIFS($A$4:$A259,$A260,$B$4:$B259,$B260,$I$4:$I259,"&lt;&gt;Complete")=0,$A260&amp;"|"&amp;$B260,""),"")</f>
        <v>|</v>
      </c>
      <c r="P260" t="str">
        <f ca="1">IF($K260="Yes",COUNTIFS($K$4:$K260,"Yes"),"")</f>
        <v/>
      </c>
      <c r="Q260">
        <f t="shared" ref="Q260:Q312" ca="1" si="19">IF(OR($I260="In Progress",$K260="Yes"),1,0)</f>
        <v>0</v>
      </c>
      <c r="R260" t="str">
        <f ca="1">IF($Q260=1,SUM($Q$4:$Q260),"")</f>
        <v/>
      </c>
    </row>
    <row r="261" spans="1:18" ht="45" customHeight="1" x14ac:dyDescent="0.3">
      <c r="A261" s="2"/>
      <c r="B261" s="2"/>
      <c r="C261" s="3"/>
      <c r="D261" s="3"/>
      <c r="E261" s="2"/>
      <c r="F261" s="2"/>
      <c r="G261" s="5"/>
      <c r="H261" s="5"/>
      <c r="I261" s="4"/>
      <c r="J261" s="6" t="str">
        <f t="shared" si="18"/>
        <v/>
      </c>
      <c r="K261" s="4" t="str">
        <f t="shared" ca="1" si="17"/>
        <v/>
      </c>
      <c r="L261" s="7" t="str">
        <f t="shared" ref="L261:L324" ca="1" si="20">IF(I261="Completed",0,IF(H261="","",H261-TODAY()))</f>
        <v/>
      </c>
      <c r="M261" s="4" t="str">
        <f>IF($I261="Complete","Green",IF($H261="","Amber",IF($H261&lt;'[2]Read Me'!$B$4,"Red",IF($H261-'[2]Read Me'!$B$4&lt;=21,"Amber","Green"))))</f>
        <v>Amber</v>
      </c>
      <c r="N261" s="3"/>
      <c r="O261" t="str">
        <f>IF($I261&lt;&gt;"Complete",IF(COUNTIFS($A$4:$A260,$A261,$B$4:$B260,$B261,$I$4:$I260,"&lt;&gt;Complete")=0,$A261&amp;"|"&amp;$B261,""),"")</f>
        <v>|</v>
      </c>
      <c r="P261" t="str">
        <f ca="1">IF($K261="Yes",COUNTIFS($K$4:$K261,"Yes"),"")</f>
        <v/>
      </c>
      <c r="Q261">
        <f t="shared" ca="1" si="19"/>
        <v>0</v>
      </c>
      <c r="R261" t="str">
        <f ca="1">IF($Q261=1,SUM($Q$4:$Q261),"")</f>
        <v/>
      </c>
    </row>
    <row r="262" spans="1:18" ht="45" customHeight="1" x14ac:dyDescent="0.3">
      <c r="A262" s="2"/>
      <c r="B262" s="2"/>
      <c r="C262" s="3"/>
      <c r="D262" s="3"/>
      <c r="E262" s="2"/>
      <c r="F262" s="2"/>
      <c r="G262" s="5"/>
      <c r="H262" s="5"/>
      <c r="I262" s="4"/>
      <c r="J262" s="6" t="str">
        <f t="shared" si="18"/>
        <v/>
      </c>
      <c r="K262" s="4" t="str">
        <f t="shared" ca="1" si="17"/>
        <v/>
      </c>
      <c r="L262" s="7" t="str">
        <f t="shared" ca="1" si="20"/>
        <v/>
      </c>
      <c r="M262" s="4" t="str">
        <f>IF($I262="Complete","Green",IF($H262="","Amber",IF($H262&lt;'[2]Read Me'!$B$4,"Red",IF($H262-'[2]Read Me'!$B$4&lt;=21,"Amber","Green"))))</f>
        <v>Amber</v>
      </c>
      <c r="N262" s="3"/>
      <c r="O262" t="str">
        <f>IF($I262&lt;&gt;"Complete",IF(COUNTIFS($A$4:$A261,$A262,$B$4:$B261,$B262,$I$4:$I261,"&lt;&gt;Complete")=0,$A262&amp;"|"&amp;$B262,""),"")</f>
        <v>|</v>
      </c>
      <c r="P262" t="str">
        <f ca="1">IF($K262="Yes",COUNTIFS($K$4:$K262,"Yes"),"")</f>
        <v/>
      </c>
      <c r="Q262">
        <f t="shared" ca="1" si="19"/>
        <v>0</v>
      </c>
      <c r="R262" t="str">
        <f ca="1">IF($Q262=1,SUM($Q$4:$Q262),"")</f>
        <v/>
      </c>
    </row>
    <row r="263" spans="1:18" ht="45" customHeight="1" x14ac:dyDescent="0.3">
      <c r="A263" s="2"/>
      <c r="B263" s="2"/>
      <c r="C263" s="3"/>
      <c r="D263" s="3"/>
      <c r="E263" s="2"/>
      <c r="F263" s="2"/>
      <c r="G263" s="5"/>
      <c r="H263" s="5"/>
      <c r="I263" s="4"/>
      <c r="J263" s="6" t="str">
        <f t="shared" si="18"/>
        <v/>
      </c>
      <c r="K263" s="4" t="str">
        <f t="shared" ca="1" si="17"/>
        <v/>
      </c>
      <c r="L263" s="7" t="str">
        <f t="shared" ca="1" si="20"/>
        <v/>
      </c>
      <c r="M263" s="4" t="str">
        <f>IF($I263="Complete","Green",IF($H263="","Amber",IF($H263&lt;'[2]Read Me'!$B$4,"Red",IF($H263-'[2]Read Me'!$B$4&lt;=21,"Amber","Green"))))</f>
        <v>Amber</v>
      </c>
      <c r="N263" s="3"/>
      <c r="O263" t="str">
        <f>IF($I263&lt;&gt;"Complete",IF(COUNTIFS($A$4:$A262,$A263,$B$4:$B262,$B263,$I$4:$I262,"&lt;&gt;Complete")=0,$A263&amp;"|"&amp;$B263,""),"")</f>
        <v>|</v>
      </c>
      <c r="P263" t="str">
        <f ca="1">IF($K263="Yes",COUNTIFS($K$4:$K263,"Yes"),"")</f>
        <v/>
      </c>
      <c r="Q263">
        <f t="shared" ca="1" si="19"/>
        <v>0</v>
      </c>
      <c r="R263" t="str">
        <f ca="1">IF($Q263=1,SUM($Q$4:$Q263),"")</f>
        <v/>
      </c>
    </row>
    <row r="264" spans="1:18" ht="45" customHeight="1" x14ac:dyDescent="0.3">
      <c r="A264" s="2"/>
      <c r="B264" s="2"/>
      <c r="C264" s="3"/>
      <c r="D264" s="3"/>
      <c r="E264" s="2"/>
      <c r="F264" s="2"/>
      <c r="G264" s="5"/>
      <c r="H264" s="5"/>
      <c r="I264" s="4"/>
      <c r="J264" s="6" t="str">
        <f t="shared" si="18"/>
        <v/>
      </c>
      <c r="K264" s="4" t="str">
        <f t="shared" ca="1" si="17"/>
        <v/>
      </c>
      <c r="L264" s="7" t="str">
        <f t="shared" ca="1" si="20"/>
        <v/>
      </c>
      <c r="M264" s="4" t="str">
        <f>IF($I264="Complete","Green",IF($H264="","Amber",IF($H264&lt;'[2]Read Me'!$B$4,"Red",IF($H264-'[2]Read Me'!$B$4&lt;=21,"Amber","Green"))))</f>
        <v>Amber</v>
      </c>
      <c r="N264" s="3"/>
      <c r="O264" t="str">
        <f>IF($I264&lt;&gt;"Complete",IF(COUNTIFS($A$4:$A263,$A264,$B$4:$B263,$B264,$I$4:$I263,"&lt;&gt;Complete")=0,$A264&amp;"|"&amp;$B264,""),"")</f>
        <v>|</v>
      </c>
      <c r="P264" t="str">
        <f ca="1">IF($K264="Yes",COUNTIFS($K$4:$K264,"Yes"),"")</f>
        <v/>
      </c>
      <c r="Q264">
        <f t="shared" ca="1" si="19"/>
        <v>0</v>
      </c>
      <c r="R264" t="str">
        <f ca="1">IF($Q264=1,SUM($Q$4:$Q264),"")</f>
        <v/>
      </c>
    </row>
    <row r="265" spans="1:18" ht="45" customHeight="1" x14ac:dyDescent="0.3">
      <c r="A265" s="2"/>
      <c r="B265" s="2"/>
      <c r="C265" s="3"/>
      <c r="D265" s="3"/>
      <c r="E265" s="2"/>
      <c r="F265" s="2"/>
      <c r="G265" s="5"/>
      <c r="H265" s="5"/>
      <c r="I265" s="4"/>
      <c r="J265" s="6" t="str">
        <f t="shared" si="18"/>
        <v/>
      </c>
      <c r="K265" s="4" t="str">
        <f t="shared" ref="K265:K312" ca="1" si="21">IF($H265="","",IF($H265&lt;TODAY(),"No","Yes"))</f>
        <v/>
      </c>
      <c r="L265" s="7" t="str">
        <f t="shared" ca="1" si="20"/>
        <v/>
      </c>
      <c r="M265" s="4" t="str">
        <f>IF($I265="Complete","Green",IF($H265="","Amber",IF($H265&lt;'[2]Read Me'!$B$4,"Red",IF($H265-'[2]Read Me'!$B$4&lt;=21,"Amber","Green"))))</f>
        <v>Amber</v>
      </c>
      <c r="N265" s="3"/>
      <c r="O265" t="str">
        <f>IF($I265&lt;&gt;"Complete",IF(COUNTIFS($A$4:$A264,$A265,$B$4:$B264,$B265,$I$4:$I264,"&lt;&gt;Complete")=0,$A265&amp;"|"&amp;$B265,""),"")</f>
        <v>|</v>
      </c>
      <c r="P265" t="str">
        <f ca="1">IF($K265="Yes",COUNTIFS($K$4:$K265,"Yes"),"")</f>
        <v/>
      </c>
      <c r="Q265">
        <f t="shared" ca="1" si="19"/>
        <v>0</v>
      </c>
      <c r="R265" t="str">
        <f ca="1">IF($Q265=1,SUM($Q$4:$Q265),"")</f>
        <v/>
      </c>
    </row>
    <row r="266" spans="1:18" ht="45" customHeight="1" x14ac:dyDescent="0.3">
      <c r="A266" s="2"/>
      <c r="B266" s="2"/>
      <c r="C266" s="3"/>
      <c r="D266" s="3"/>
      <c r="E266" s="2"/>
      <c r="F266" s="2"/>
      <c r="G266" s="5"/>
      <c r="H266" s="5"/>
      <c r="I266" s="4"/>
      <c r="J266" s="6" t="str">
        <f t="shared" si="18"/>
        <v/>
      </c>
      <c r="K266" s="4" t="str">
        <f t="shared" ca="1" si="21"/>
        <v/>
      </c>
      <c r="L266" s="7" t="str">
        <f t="shared" ca="1" si="20"/>
        <v/>
      </c>
      <c r="M266" s="4" t="str">
        <f>IF($I266="Complete","Green",IF($H266="","Amber",IF($H266&lt;'[2]Read Me'!$B$4,"Red",IF($H266-'[2]Read Me'!$B$4&lt;=21,"Amber","Green"))))</f>
        <v>Amber</v>
      </c>
      <c r="N266" s="3"/>
      <c r="O266" t="str">
        <f>IF($I266&lt;&gt;"Complete",IF(COUNTIFS($A$4:$A265,$A266,$B$4:$B265,$B266,$I$4:$I265,"&lt;&gt;Complete")=0,$A266&amp;"|"&amp;$B266,""),"")</f>
        <v>|</v>
      </c>
      <c r="P266" t="str">
        <f ca="1">IF($K266="Yes",COUNTIFS($K$4:$K266,"Yes"),"")</f>
        <v/>
      </c>
      <c r="Q266">
        <f t="shared" ca="1" si="19"/>
        <v>0</v>
      </c>
      <c r="R266" t="str">
        <f ca="1">IF($Q266=1,SUM($Q$4:$Q266),"")</f>
        <v/>
      </c>
    </row>
    <row r="267" spans="1:18" ht="45" customHeight="1" x14ac:dyDescent="0.3">
      <c r="A267" s="2"/>
      <c r="B267" s="2"/>
      <c r="C267" s="3"/>
      <c r="D267" s="3"/>
      <c r="E267" s="2"/>
      <c r="F267" s="2"/>
      <c r="G267" s="5"/>
      <c r="H267" s="5"/>
      <c r="I267" s="4"/>
      <c r="J267" s="6" t="str">
        <f t="shared" si="18"/>
        <v/>
      </c>
      <c r="K267" s="4" t="str">
        <f t="shared" ca="1" si="21"/>
        <v/>
      </c>
      <c r="L267" s="7" t="str">
        <f t="shared" ca="1" si="20"/>
        <v/>
      </c>
      <c r="M267" s="4" t="str">
        <f>IF($I267="Complete","Green",IF($H267="","Amber",IF($H267&lt;'[2]Read Me'!$B$4,"Red",IF($H267-'[2]Read Me'!$B$4&lt;=21,"Amber","Green"))))</f>
        <v>Amber</v>
      </c>
      <c r="N267" s="3"/>
      <c r="O267" t="str">
        <f>IF($I267&lt;&gt;"Complete",IF(COUNTIFS($A$4:$A266,$A267,$B$4:$B266,$B267,$I$4:$I266,"&lt;&gt;Complete")=0,$A267&amp;"|"&amp;$B267,""),"")</f>
        <v>|</v>
      </c>
      <c r="P267" t="str">
        <f ca="1">IF($K267="Yes",COUNTIFS($K$4:$K267,"Yes"),"")</f>
        <v/>
      </c>
      <c r="Q267">
        <f t="shared" ca="1" si="19"/>
        <v>0</v>
      </c>
      <c r="R267" t="str">
        <f ca="1">IF($Q267=1,SUM($Q$4:$Q267),"")</f>
        <v/>
      </c>
    </row>
    <row r="268" spans="1:18" ht="14.25" customHeight="1" x14ac:dyDescent="0.3">
      <c r="A268" s="2"/>
      <c r="B268" s="2"/>
      <c r="C268" s="3"/>
      <c r="D268" s="3"/>
      <c r="E268" s="2"/>
      <c r="F268" s="2"/>
      <c r="G268" s="5"/>
      <c r="H268" s="5"/>
      <c r="I268" s="4"/>
      <c r="J268" s="6" t="str">
        <f t="shared" si="18"/>
        <v/>
      </c>
      <c r="K268" s="4" t="str">
        <f t="shared" ca="1" si="21"/>
        <v/>
      </c>
      <c r="L268" s="7" t="str">
        <f t="shared" ca="1" si="20"/>
        <v/>
      </c>
      <c r="M268" s="4" t="str">
        <f>IF($I268="Complete","Green",IF($H268="","Amber",IF($H268&lt;'[2]Read Me'!$B$4,"Red",IF($H268-'[2]Read Me'!$B$4&lt;=21,"Amber","Green"))))</f>
        <v>Amber</v>
      </c>
      <c r="N268" s="3"/>
      <c r="O268" t="str">
        <f>IF($I268&lt;&gt;"Complete",IF(COUNTIFS($A$4:$A267,$A268,$B$4:$B267,$B268,$I$4:$I267,"&lt;&gt;Complete")=0,$A268&amp;"|"&amp;$B268,""),"")</f>
        <v>|</v>
      </c>
      <c r="P268" t="str">
        <f ca="1">IF($K268="Yes",COUNTIFS($K$4:$K268,"Yes"),"")</f>
        <v/>
      </c>
      <c r="Q268">
        <f t="shared" ca="1" si="19"/>
        <v>0</v>
      </c>
      <c r="R268" t="str">
        <f ca="1">IF($Q268=1,SUM($Q$4:$Q268),"")</f>
        <v/>
      </c>
    </row>
    <row r="269" spans="1:18" ht="14.25" customHeight="1" x14ac:dyDescent="0.3">
      <c r="A269" s="2"/>
      <c r="B269" s="2"/>
      <c r="C269" s="3"/>
      <c r="D269" s="3"/>
      <c r="E269" s="2"/>
      <c r="F269" s="2"/>
      <c r="G269" s="5"/>
      <c r="H269" s="5"/>
      <c r="I269" s="4"/>
      <c r="J269" s="6" t="str">
        <f t="shared" si="18"/>
        <v/>
      </c>
      <c r="K269" s="4" t="str">
        <f t="shared" ca="1" si="21"/>
        <v/>
      </c>
      <c r="L269" s="7" t="str">
        <f t="shared" ca="1" si="20"/>
        <v/>
      </c>
      <c r="M269" s="4" t="str">
        <f>IF($I269="Complete","Green",IF($H269="","Amber",IF($H269&lt;'[2]Read Me'!$B$4,"Red",IF($H269-'[2]Read Me'!$B$4&lt;=21,"Amber","Green"))))</f>
        <v>Amber</v>
      </c>
      <c r="N269" s="3"/>
      <c r="O269" t="str">
        <f>IF($I269&lt;&gt;"Complete",IF(COUNTIFS($A$4:$A268,$A269,$B$4:$B268,$B269,$I$4:$I268,"&lt;&gt;Complete")=0,$A269&amp;"|"&amp;$B269,""),"")</f>
        <v>|</v>
      </c>
      <c r="P269" t="str">
        <f ca="1">IF($K269="Yes",COUNTIFS($K$4:$K269,"Yes"),"")</f>
        <v/>
      </c>
      <c r="Q269">
        <f t="shared" ca="1" si="19"/>
        <v>0</v>
      </c>
      <c r="R269" t="str">
        <f ca="1">IF($Q269=1,SUM($Q$4:$Q269),"")</f>
        <v/>
      </c>
    </row>
    <row r="270" spans="1:18" ht="14.25" customHeight="1" x14ac:dyDescent="0.3">
      <c r="A270" s="2"/>
      <c r="B270" s="2"/>
      <c r="C270" s="3"/>
      <c r="D270" s="3"/>
      <c r="E270" s="2"/>
      <c r="F270" s="2"/>
      <c r="G270" s="5"/>
      <c r="H270" s="5"/>
      <c r="I270" s="4"/>
      <c r="J270" s="6" t="str">
        <f t="shared" si="18"/>
        <v/>
      </c>
      <c r="K270" s="4" t="str">
        <f t="shared" ca="1" si="21"/>
        <v/>
      </c>
      <c r="L270" s="7" t="str">
        <f t="shared" ca="1" si="20"/>
        <v/>
      </c>
      <c r="M270" s="4" t="str">
        <f>IF($I270="Complete","Green",IF($H270="","Amber",IF($H270&lt;'[2]Read Me'!$B$4,"Red",IF($H270-'[2]Read Me'!$B$4&lt;=21,"Amber","Green"))))</f>
        <v>Amber</v>
      </c>
      <c r="N270" s="3"/>
      <c r="O270" t="str">
        <f>IF($I270&lt;&gt;"Complete",IF(COUNTIFS($A$4:$A269,$A270,$B$4:$B269,$B270,$I$4:$I269,"&lt;&gt;Complete")=0,$A270&amp;"|"&amp;$B270,""),"")</f>
        <v>|</v>
      </c>
      <c r="P270" t="str">
        <f ca="1">IF($K270="Yes",COUNTIFS($K$4:$K270,"Yes"),"")</f>
        <v/>
      </c>
      <c r="Q270">
        <f t="shared" ca="1" si="19"/>
        <v>0</v>
      </c>
      <c r="R270" t="str">
        <f ca="1">IF($Q270=1,SUM($Q$4:$Q270),"")</f>
        <v/>
      </c>
    </row>
    <row r="271" spans="1:18" ht="14.25" customHeight="1" x14ac:dyDescent="0.3">
      <c r="A271" s="2"/>
      <c r="B271" s="2"/>
      <c r="C271" s="3"/>
      <c r="D271" s="3"/>
      <c r="E271" s="2"/>
      <c r="F271" s="2"/>
      <c r="G271" s="5"/>
      <c r="H271" s="5"/>
      <c r="I271" s="4"/>
      <c r="J271" s="6" t="str">
        <f t="shared" si="18"/>
        <v/>
      </c>
      <c r="K271" s="4" t="str">
        <f t="shared" ca="1" si="21"/>
        <v/>
      </c>
      <c r="L271" s="7" t="str">
        <f t="shared" ca="1" si="20"/>
        <v/>
      </c>
      <c r="M271" s="4" t="str">
        <f>IF($I271="Complete","Green",IF($H271="","Amber",IF($H271&lt;'[2]Read Me'!$B$4,"Red",IF($H271-'[2]Read Me'!$B$4&lt;=21,"Amber","Green"))))</f>
        <v>Amber</v>
      </c>
      <c r="N271" s="3"/>
      <c r="O271" t="str">
        <f>IF($I271&lt;&gt;"Complete",IF(COUNTIFS($A$4:$A270,$A271,$B$4:$B270,$B271,$I$4:$I270,"&lt;&gt;Complete")=0,$A271&amp;"|"&amp;$B271,""),"")</f>
        <v>|</v>
      </c>
      <c r="P271" t="str">
        <f ca="1">IF($K271="Yes",COUNTIFS($K$4:$K271,"Yes"),"")</f>
        <v/>
      </c>
      <c r="Q271">
        <f t="shared" ca="1" si="19"/>
        <v>0</v>
      </c>
      <c r="R271" t="str">
        <f ca="1">IF($Q271=1,SUM($Q$4:$Q271),"")</f>
        <v/>
      </c>
    </row>
    <row r="272" spans="1:18" ht="14.25" customHeight="1" x14ac:dyDescent="0.3">
      <c r="A272" s="2"/>
      <c r="B272" s="2"/>
      <c r="C272" s="3"/>
      <c r="D272" s="3"/>
      <c r="E272" s="2"/>
      <c r="F272" s="2"/>
      <c r="G272" s="5"/>
      <c r="H272" s="5"/>
      <c r="I272" s="4"/>
      <c r="J272" s="6" t="str">
        <f t="shared" si="18"/>
        <v/>
      </c>
      <c r="K272" s="4" t="str">
        <f t="shared" ca="1" si="21"/>
        <v/>
      </c>
      <c r="L272" s="7" t="str">
        <f t="shared" ca="1" si="20"/>
        <v/>
      </c>
      <c r="M272" s="4" t="str">
        <f>IF($I272="Complete","Green",IF($H272="","Amber",IF($H272&lt;'[2]Read Me'!$B$4,"Red",IF($H272-'[2]Read Me'!$B$4&lt;=21,"Amber","Green"))))</f>
        <v>Amber</v>
      </c>
      <c r="N272" s="3"/>
      <c r="O272" t="str">
        <f>IF($I272&lt;&gt;"Complete",IF(COUNTIFS($A$4:$A271,$A272,$B$4:$B271,$B272,$I$4:$I271,"&lt;&gt;Complete")=0,$A272&amp;"|"&amp;$B272,""),"")</f>
        <v>|</v>
      </c>
      <c r="P272" t="str">
        <f ca="1">IF($K272="Yes",COUNTIFS($K$4:$K272,"Yes"),"")</f>
        <v/>
      </c>
      <c r="Q272">
        <f t="shared" ca="1" si="19"/>
        <v>0</v>
      </c>
      <c r="R272" t="str">
        <f ca="1">IF($Q272=1,SUM($Q$4:$Q272),"")</f>
        <v/>
      </c>
    </row>
    <row r="273" spans="1:18" ht="14.25" customHeight="1" x14ac:dyDescent="0.3">
      <c r="A273" s="2"/>
      <c r="B273" s="2"/>
      <c r="C273" s="3"/>
      <c r="D273" s="3"/>
      <c r="E273" s="2"/>
      <c r="F273" s="2"/>
      <c r="G273" s="5"/>
      <c r="H273" s="5"/>
      <c r="I273" s="4"/>
      <c r="J273" s="6" t="str">
        <f t="shared" si="18"/>
        <v/>
      </c>
      <c r="K273" s="4" t="str">
        <f t="shared" ca="1" si="21"/>
        <v/>
      </c>
      <c r="L273" s="7" t="str">
        <f t="shared" ca="1" si="20"/>
        <v/>
      </c>
      <c r="M273" s="4" t="str">
        <f>IF($I273="Complete","Green",IF($H273="","Amber",IF($H273&lt;'[2]Read Me'!$B$4,"Red",IF($H273-'[2]Read Me'!$B$4&lt;=21,"Amber","Green"))))</f>
        <v>Amber</v>
      </c>
      <c r="N273" s="3"/>
      <c r="O273" t="str">
        <f>IF($I273&lt;&gt;"Complete",IF(COUNTIFS($A$4:$A272,$A273,$B$4:$B272,$B273,$I$4:$I272,"&lt;&gt;Complete")=0,$A273&amp;"|"&amp;$B273,""),"")</f>
        <v>|</v>
      </c>
      <c r="P273" t="str">
        <f ca="1">IF($K273="Yes",COUNTIFS($K$4:$K273,"Yes"),"")</f>
        <v/>
      </c>
      <c r="Q273">
        <f t="shared" ca="1" si="19"/>
        <v>0</v>
      </c>
      <c r="R273" t="str">
        <f ca="1">IF($Q273=1,SUM($Q$4:$Q273),"")</f>
        <v/>
      </c>
    </row>
    <row r="274" spans="1:18" ht="14.25" customHeight="1" x14ac:dyDescent="0.3">
      <c r="A274" s="2"/>
      <c r="B274" s="2"/>
      <c r="C274" s="3"/>
      <c r="D274" s="3"/>
      <c r="E274" s="2"/>
      <c r="F274" s="2"/>
      <c r="G274" s="5"/>
      <c r="H274" s="5"/>
      <c r="I274" s="4"/>
      <c r="J274" s="6" t="str">
        <f t="shared" si="18"/>
        <v/>
      </c>
      <c r="K274" s="4" t="str">
        <f t="shared" ca="1" si="21"/>
        <v/>
      </c>
      <c r="L274" s="7" t="str">
        <f t="shared" ca="1" si="20"/>
        <v/>
      </c>
      <c r="M274" s="4" t="str">
        <f>IF($I274="Complete","Green",IF($H274="","Amber",IF($H274&lt;'[2]Read Me'!$B$4,"Red",IF($H274-'[2]Read Me'!$B$4&lt;=21,"Amber","Green"))))</f>
        <v>Amber</v>
      </c>
      <c r="N274" s="3"/>
      <c r="O274" t="str">
        <f>IF($I274&lt;&gt;"Complete",IF(COUNTIFS($A$4:$A273,$A274,$B$4:$B273,$B274,$I$4:$I273,"&lt;&gt;Complete")=0,$A274&amp;"|"&amp;$B274,""),"")</f>
        <v>|</v>
      </c>
      <c r="P274" t="str">
        <f ca="1">IF($K274="Yes",COUNTIFS($K$4:$K274,"Yes"),"")</f>
        <v/>
      </c>
      <c r="Q274">
        <f t="shared" ca="1" si="19"/>
        <v>0</v>
      </c>
      <c r="R274" t="str">
        <f ca="1">IF($Q274=1,SUM($Q$4:$Q274),"")</f>
        <v/>
      </c>
    </row>
    <row r="275" spans="1:18" ht="14.25" customHeight="1" x14ac:dyDescent="0.3">
      <c r="A275" s="2"/>
      <c r="B275" s="2"/>
      <c r="C275" s="3"/>
      <c r="D275" s="3"/>
      <c r="E275" s="2"/>
      <c r="F275" s="2"/>
      <c r="G275" s="5"/>
      <c r="H275" s="5"/>
      <c r="I275" s="4"/>
      <c r="J275" s="6" t="str">
        <f t="shared" si="18"/>
        <v/>
      </c>
      <c r="K275" s="4" t="str">
        <f t="shared" ca="1" si="21"/>
        <v/>
      </c>
      <c r="L275" s="7" t="str">
        <f t="shared" ca="1" si="20"/>
        <v/>
      </c>
      <c r="M275" s="4" t="str">
        <f>IF($I275="Complete","Green",IF($H275="","Amber",IF($H275&lt;'[2]Read Me'!$B$4,"Red",IF($H275-'[2]Read Me'!$B$4&lt;=21,"Amber","Green"))))</f>
        <v>Amber</v>
      </c>
      <c r="N275" s="3"/>
      <c r="O275" t="str">
        <f>IF($I275&lt;&gt;"Complete",IF(COUNTIFS($A$4:$A274,$A275,$B$4:$B274,$B275,$I$4:$I274,"&lt;&gt;Complete")=0,$A275&amp;"|"&amp;$B275,""),"")</f>
        <v>|</v>
      </c>
      <c r="P275" t="str">
        <f ca="1">IF($K275="Yes",COUNTIFS($K$4:$K275,"Yes"),"")</f>
        <v/>
      </c>
      <c r="Q275">
        <f t="shared" ca="1" si="19"/>
        <v>0</v>
      </c>
      <c r="R275" t="str">
        <f ca="1">IF($Q275=1,SUM($Q$4:$Q275),"")</f>
        <v/>
      </c>
    </row>
    <row r="276" spans="1:18" ht="14.25" customHeight="1" x14ac:dyDescent="0.3">
      <c r="A276" s="2"/>
      <c r="B276" s="2"/>
      <c r="C276" s="3"/>
      <c r="D276" s="3"/>
      <c r="E276" s="2"/>
      <c r="F276" s="2"/>
      <c r="G276" s="5"/>
      <c r="H276" s="5"/>
      <c r="I276" s="4"/>
      <c r="J276" s="6" t="str">
        <f t="shared" si="18"/>
        <v/>
      </c>
      <c r="K276" s="4" t="str">
        <f t="shared" ca="1" si="21"/>
        <v/>
      </c>
      <c r="L276" s="7" t="str">
        <f t="shared" ca="1" si="20"/>
        <v/>
      </c>
      <c r="M276" s="4" t="str">
        <f>IF($I276="Complete","Green",IF($H276="","Amber",IF($H276&lt;'[2]Read Me'!$B$4,"Red",IF($H276-'[2]Read Me'!$B$4&lt;=21,"Amber","Green"))))</f>
        <v>Amber</v>
      </c>
      <c r="N276" s="3"/>
      <c r="O276" t="str">
        <f>IF($I276&lt;&gt;"Complete",IF(COUNTIFS($A$4:$A275,$A276,$B$4:$B275,$B276,$I$4:$I275,"&lt;&gt;Complete")=0,$A276&amp;"|"&amp;$B276,""),"")</f>
        <v>|</v>
      </c>
      <c r="P276" t="str">
        <f ca="1">IF($K276="Yes",COUNTIFS($K$4:$K276,"Yes"),"")</f>
        <v/>
      </c>
      <c r="Q276">
        <f t="shared" ca="1" si="19"/>
        <v>0</v>
      </c>
      <c r="R276" t="str">
        <f ca="1">IF($Q276=1,SUM($Q$4:$Q276),"")</f>
        <v/>
      </c>
    </row>
    <row r="277" spans="1:18" ht="14.25" customHeight="1" x14ac:dyDescent="0.3">
      <c r="A277" s="2"/>
      <c r="B277" s="2"/>
      <c r="C277" s="3"/>
      <c r="D277" s="3"/>
      <c r="E277" s="2"/>
      <c r="F277" s="2"/>
      <c r="G277" s="5"/>
      <c r="H277" s="5"/>
      <c r="I277" s="4"/>
      <c r="J277" s="6" t="str">
        <f t="shared" si="18"/>
        <v/>
      </c>
      <c r="K277" s="4" t="str">
        <f t="shared" ca="1" si="21"/>
        <v/>
      </c>
      <c r="L277" s="7" t="str">
        <f t="shared" ca="1" si="20"/>
        <v/>
      </c>
      <c r="M277" s="4" t="str">
        <f>IF($I277="Complete","Green",IF($H277="","Amber",IF($H277&lt;'[2]Read Me'!$B$4,"Red",IF($H277-'[2]Read Me'!$B$4&lt;=21,"Amber","Green"))))</f>
        <v>Amber</v>
      </c>
      <c r="N277" s="3"/>
      <c r="O277" t="str">
        <f>IF($I277&lt;&gt;"Complete",IF(COUNTIFS($A$4:$A276,$A277,$B$4:$B276,$B277,$I$4:$I276,"&lt;&gt;Complete")=0,$A277&amp;"|"&amp;$B277,""),"")</f>
        <v>|</v>
      </c>
      <c r="P277" t="str">
        <f ca="1">IF($K277="Yes",COUNTIFS($K$4:$K277,"Yes"),"")</f>
        <v/>
      </c>
      <c r="Q277">
        <f t="shared" ca="1" si="19"/>
        <v>0</v>
      </c>
      <c r="R277" t="str">
        <f ca="1">IF($Q277=1,SUM($Q$4:$Q277),"")</f>
        <v/>
      </c>
    </row>
    <row r="278" spans="1:18" ht="14.25" customHeight="1" x14ac:dyDescent="0.3">
      <c r="A278" s="2"/>
      <c r="B278" s="2"/>
      <c r="C278" s="3"/>
      <c r="D278" s="3"/>
      <c r="E278" s="2"/>
      <c r="F278" s="2"/>
      <c r="G278" s="5"/>
      <c r="H278" s="5"/>
      <c r="I278" s="4"/>
      <c r="J278" s="6" t="str">
        <f t="shared" si="18"/>
        <v/>
      </c>
      <c r="K278" s="4" t="str">
        <f t="shared" ca="1" si="21"/>
        <v/>
      </c>
      <c r="L278" s="7" t="str">
        <f t="shared" ca="1" si="20"/>
        <v/>
      </c>
      <c r="M278" s="4" t="str">
        <f>IF($I278="Complete","Green",IF($H278="","Amber",IF($H278&lt;'[2]Read Me'!$B$4,"Red",IF($H278-'[2]Read Me'!$B$4&lt;=21,"Amber","Green"))))</f>
        <v>Amber</v>
      </c>
      <c r="N278" s="3"/>
      <c r="O278" t="str">
        <f>IF($I278&lt;&gt;"Complete",IF(COUNTIFS($A$4:$A277,$A278,$B$4:$B277,$B278,$I$4:$I277,"&lt;&gt;Complete")=0,$A278&amp;"|"&amp;$B278,""),"")</f>
        <v>|</v>
      </c>
      <c r="P278" t="str">
        <f ca="1">IF($K278="Yes",COUNTIFS($K$4:$K278,"Yes"),"")</f>
        <v/>
      </c>
      <c r="Q278">
        <f t="shared" ca="1" si="19"/>
        <v>0</v>
      </c>
      <c r="R278" t="str">
        <f ca="1">IF($Q278=1,SUM($Q$4:$Q278),"")</f>
        <v/>
      </c>
    </row>
    <row r="279" spans="1:18" ht="14.25" customHeight="1" x14ac:dyDescent="0.3">
      <c r="A279" s="2"/>
      <c r="B279" s="2"/>
      <c r="C279" s="3"/>
      <c r="D279" s="3"/>
      <c r="E279" s="2"/>
      <c r="F279" s="2"/>
      <c r="G279" s="5"/>
      <c r="H279" s="5"/>
      <c r="I279" s="4"/>
      <c r="J279" s="6" t="str">
        <f t="shared" si="18"/>
        <v/>
      </c>
      <c r="K279" s="4" t="str">
        <f t="shared" ca="1" si="21"/>
        <v/>
      </c>
      <c r="L279" s="7" t="str">
        <f t="shared" ca="1" si="20"/>
        <v/>
      </c>
      <c r="M279" s="4" t="str">
        <f>IF($I279="Complete","Green",IF($H279="","Amber",IF($H279&lt;'[2]Read Me'!$B$4,"Red",IF($H279-'[2]Read Me'!$B$4&lt;=21,"Amber","Green"))))</f>
        <v>Amber</v>
      </c>
      <c r="N279" s="3"/>
      <c r="O279" t="str">
        <f>IF($I279&lt;&gt;"Complete",IF(COUNTIFS($A$4:$A278,$A279,$B$4:$B278,$B279,$I$4:$I278,"&lt;&gt;Complete")=0,$A279&amp;"|"&amp;$B279,""),"")</f>
        <v>|</v>
      </c>
      <c r="P279" t="str">
        <f ca="1">IF($K279="Yes",COUNTIFS($K$4:$K279,"Yes"),"")</f>
        <v/>
      </c>
      <c r="Q279">
        <f t="shared" ca="1" si="19"/>
        <v>0</v>
      </c>
      <c r="R279" t="str">
        <f ca="1">IF($Q279=1,SUM($Q$4:$Q279),"")</f>
        <v/>
      </c>
    </row>
    <row r="280" spans="1:18" ht="14.25" customHeight="1" x14ac:dyDescent="0.3">
      <c r="A280" s="2"/>
      <c r="B280" s="2"/>
      <c r="C280" s="3"/>
      <c r="D280" s="3"/>
      <c r="E280" s="2"/>
      <c r="F280" s="2"/>
      <c r="G280" s="5"/>
      <c r="H280" s="5"/>
      <c r="I280" s="4"/>
      <c r="J280" s="6" t="str">
        <f t="shared" si="18"/>
        <v/>
      </c>
      <c r="K280" s="4" t="str">
        <f t="shared" ca="1" si="21"/>
        <v/>
      </c>
      <c r="L280" s="7" t="str">
        <f t="shared" ca="1" si="20"/>
        <v/>
      </c>
      <c r="M280" s="4" t="str">
        <f>IF($I280="Complete","Green",IF($H280="","Amber",IF($H280&lt;'[2]Read Me'!$B$4,"Red",IF($H280-'[2]Read Me'!$B$4&lt;=21,"Amber","Green"))))</f>
        <v>Amber</v>
      </c>
      <c r="N280" s="3"/>
      <c r="O280" t="str">
        <f>IF($I280&lt;&gt;"Complete",IF(COUNTIFS($A$4:$A279,$A280,$B$4:$B279,$B280,$I$4:$I279,"&lt;&gt;Complete")=0,$A280&amp;"|"&amp;$B280,""),"")</f>
        <v>|</v>
      </c>
      <c r="P280" t="str">
        <f ca="1">IF($K280="Yes",COUNTIFS($K$4:$K280,"Yes"),"")</f>
        <v/>
      </c>
      <c r="Q280">
        <f t="shared" ca="1" si="19"/>
        <v>0</v>
      </c>
      <c r="R280" t="str">
        <f ca="1">IF($Q280=1,SUM($Q$4:$Q280),"")</f>
        <v/>
      </c>
    </row>
    <row r="281" spans="1:18" ht="14.25" customHeight="1" x14ac:dyDescent="0.3">
      <c r="A281" s="2"/>
      <c r="B281" s="2"/>
      <c r="C281" s="3"/>
      <c r="D281" s="3"/>
      <c r="E281" s="2"/>
      <c r="F281" s="2"/>
      <c r="G281" s="5"/>
      <c r="H281" s="5"/>
      <c r="I281" s="4"/>
      <c r="J281" s="6" t="str">
        <f t="shared" si="18"/>
        <v/>
      </c>
      <c r="K281" s="4" t="str">
        <f t="shared" ca="1" si="21"/>
        <v/>
      </c>
      <c r="L281" s="7" t="str">
        <f t="shared" ca="1" si="20"/>
        <v/>
      </c>
      <c r="M281" s="4" t="str">
        <f>IF($I281="Complete","Green",IF($H281="","Amber",IF($H281&lt;'[2]Read Me'!$B$4,"Red",IF($H281-'[2]Read Me'!$B$4&lt;=21,"Amber","Green"))))</f>
        <v>Amber</v>
      </c>
      <c r="N281" s="3"/>
      <c r="O281" t="str">
        <f>IF($I281&lt;&gt;"Complete",IF(COUNTIFS($A$4:$A280,$A281,$B$4:$B280,$B281,$I$4:$I280,"&lt;&gt;Complete")=0,$A281&amp;"|"&amp;$B281,""),"")</f>
        <v>|</v>
      </c>
      <c r="P281" t="str">
        <f ca="1">IF($K281="Yes",COUNTIFS($K$4:$K281,"Yes"),"")</f>
        <v/>
      </c>
      <c r="Q281">
        <f t="shared" ca="1" si="19"/>
        <v>0</v>
      </c>
      <c r="R281" t="str">
        <f ca="1">IF($Q281=1,SUM($Q$4:$Q281),"")</f>
        <v/>
      </c>
    </row>
    <row r="282" spans="1:18" ht="14.25" customHeight="1" x14ac:dyDescent="0.3">
      <c r="A282" s="2"/>
      <c r="B282" s="2"/>
      <c r="C282" s="3"/>
      <c r="D282" s="3"/>
      <c r="E282" s="2"/>
      <c r="F282" s="2"/>
      <c r="G282" s="5"/>
      <c r="H282" s="5"/>
      <c r="I282" s="4"/>
      <c r="J282" s="6" t="str">
        <f t="shared" si="18"/>
        <v/>
      </c>
      <c r="K282" s="4" t="str">
        <f t="shared" ca="1" si="21"/>
        <v/>
      </c>
      <c r="L282" s="7" t="str">
        <f t="shared" ca="1" si="20"/>
        <v/>
      </c>
      <c r="M282" s="4" t="str">
        <f>IF($I282="Complete","Green",IF($H282="","Amber",IF($H282&lt;'[2]Read Me'!$B$4,"Red",IF($H282-'[2]Read Me'!$B$4&lt;=21,"Amber","Green"))))</f>
        <v>Amber</v>
      </c>
      <c r="N282" s="3"/>
      <c r="O282" t="str">
        <f>IF($I282&lt;&gt;"Complete",IF(COUNTIFS($A$4:$A281,$A282,$B$4:$B281,$B282,$I$4:$I281,"&lt;&gt;Complete")=0,$A282&amp;"|"&amp;$B282,""),"")</f>
        <v>|</v>
      </c>
      <c r="P282" t="str">
        <f ca="1">IF($K282="Yes",COUNTIFS($K$4:$K282,"Yes"),"")</f>
        <v/>
      </c>
      <c r="Q282">
        <f t="shared" ca="1" si="19"/>
        <v>0</v>
      </c>
      <c r="R282" t="str">
        <f ca="1">IF($Q282=1,SUM($Q$4:$Q282),"")</f>
        <v/>
      </c>
    </row>
    <row r="283" spans="1:18" ht="14.25" customHeight="1" x14ac:dyDescent="0.3">
      <c r="A283" s="2"/>
      <c r="B283" s="2"/>
      <c r="C283" s="3"/>
      <c r="D283" s="3"/>
      <c r="E283" s="2"/>
      <c r="F283" s="2"/>
      <c r="G283" s="5"/>
      <c r="H283" s="5"/>
      <c r="I283" s="4"/>
      <c r="J283" s="6" t="str">
        <f t="shared" si="18"/>
        <v/>
      </c>
      <c r="K283" s="4" t="str">
        <f t="shared" ca="1" si="21"/>
        <v/>
      </c>
      <c r="L283" s="7" t="str">
        <f t="shared" ca="1" si="20"/>
        <v/>
      </c>
      <c r="M283" s="4" t="str">
        <f>IF($I283="Complete","Green",IF($H283="","Amber",IF($H283&lt;'[2]Read Me'!$B$4,"Red",IF($H283-'[2]Read Me'!$B$4&lt;=21,"Amber","Green"))))</f>
        <v>Amber</v>
      </c>
      <c r="N283" s="3"/>
      <c r="O283" t="str">
        <f>IF($I283&lt;&gt;"Complete",IF(COUNTIFS($A$4:$A282,$A283,$B$4:$B282,$B283,$I$4:$I282,"&lt;&gt;Complete")=0,$A283&amp;"|"&amp;$B283,""),"")</f>
        <v>|</v>
      </c>
      <c r="P283" t="str">
        <f ca="1">IF($K283="Yes",COUNTIFS($K$4:$K283,"Yes"),"")</f>
        <v/>
      </c>
      <c r="Q283">
        <f t="shared" ca="1" si="19"/>
        <v>0</v>
      </c>
      <c r="R283" t="str">
        <f ca="1">IF($Q283=1,SUM($Q$4:$Q283),"")</f>
        <v/>
      </c>
    </row>
    <row r="284" spans="1:18" ht="14.25" customHeight="1" x14ac:dyDescent="0.3">
      <c r="A284" s="2"/>
      <c r="B284" s="2"/>
      <c r="C284" s="3"/>
      <c r="D284" s="3"/>
      <c r="E284" s="2"/>
      <c r="F284" s="2"/>
      <c r="G284" s="5"/>
      <c r="H284" s="5"/>
      <c r="I284" s="4"/>
      <c r="J284" s="6" t="str">
        <f t="shared" si="18"/>
        <v/>
      </c>
      <c r="K284" s="4" t="str">
        <f t="shared" ca="1" si="21"/>
        <v/>
      </c>
      <c r="L284" s="7" t="str">
        <f t="shared" ca="1" si="20"/>
        <v/>
      </c>
      <c r="M284" s="4" t="str">
        <f>IF($I284="Complete","Green",IF($H284="","Amber",IF($H284&lt;'[2]Read Me'!$B$4,"Red",IF($H284-'[2]Read Me'!$B$4&lt;=21,"Amber","Green"))))</f>
        <v>Amber</v>
      </c>
      <c r="N284" s="3"/>
      <c r="O284" t="str">
        <f>IF($I284&lt;&gt;"Complete",IF(COUNTIFS($A$4:$A283,$A284,$B$4:$B283,$B284,$I$4:$I283,"&lt;&gt;Complete")=0,$A284&amp;"|"&amp;$B284,""),"")</f>
        <v>|</v>
      </c>
      <c r="P284" t="str">
        <f ca="1">IF($K284="Yes",COUNTIFS($K$4:$K284,"Yes"),"")</f>
        <v/>
      </c>
      <c r="Q284">
        <f t="shared" ca="1" si="19"/>
        <v>0</v>
      </c>
      <c r="R284" t="str">
        <f ca="1">IF($Q284=1,SUM($Q$4:$Q284),"")</f>
        <v/>
      </c>
    </row>
    <row r="285" spans="1:18" ht="14.25" customHeight="1" x14ac:dyDescent="0.3">
      <c r="A285" s="2"/>
      <c r="B285" s="2"/>
      <c r="C285" s="3"/>
      <c r="D285" s="3"/>
      <c r="E285" s="2"/>
      <c r="F285" s="2"/>
      <c r="G285" s="5"/>
      <c r="H285" s="5"/>
      <c r="I285" s="4"/>
      <c r="J285" s="6" t="str">
        <f t="shared" si="18"/>
        <v/>
      </c>
      <c r="K285" s="4" t="str">
        <f t="shared" ca="1" si="21"/>
        <v/>
      </c>
      <c r="L285" s="7" t="str">
        <f t="shared" ca="1" si="20"/>
        <v/>
      </c>
      <c r="M285" s="4" t="str">
        <f>IF($I285="Complete","Green",IF($H285="","Amber",IF($H285&lt;'[2]Read Me'!$B$4,"Red",IF($H285-'[2]Read Me'!$B$4&lt;=21,"Amber","Green"))))</f>
        <v>Amber</v>
      </c>
      <c r="N285" s="3"/>
      <c r="O285" t="str">
        <f>IF($I285&lt;&gt;"Complete",IF(COUNTIFS($A$4:$A284,$A285,$B$4:$B284,$B285,$I$4:$I284,"&lt;&gt;Complete")=0,$A285&amp;"|"&amp;$B285,""),"")</f>
        <v>|</v>
      </c>
      <c r="P285" t="str">
        <f ca="1">IF($K285="Yes",COUNTIFS($K$4:$K285,"Yes"),"")</f>
        <v/>
      </c>
      <c r="Q285">
        <f t="shared" ca="1" si="19"/>
        <v>0</v>
      </c>
      <c r="R285" t="str">
        <f ca="1">IF($Q285=1,SUM($Q$4:$Q285),"")</f>
        <v/>
      </c>
    </row>
    <row r="286" spans="1:18" ht="14.25" customHeight="1" x14ac:dyDescent="0.3">
      <c r="A286" s="2"/>
      <c r="B286" s="2"/>
      <c r="C286" s="3"/>
      <c r="D286" s="3"/>
      <c r="E286" s="2"/>
      <c r="F286" s="2"/>
      <c r="G286" s="5"/>
      <c r="H286" s="5"/>
      <c r="I286" s="4"/>
      <c r="J286" s="6" t="str">
        <f t="shared" si="18"/>
        <v/>
      </c>
      <c r="K286" s="4" t="str">
        <f t="shared" ca="1" si="21"/>
        <v/>
      </c>
      <c r="L286" s="7" t="str">
        <f t="shared" ca="1" si="20"/>
        <v/>
      </c>
      <c r="M286" s="4" t="str">
        <f>IF($I286="Complete","Green",IF($H286="","Amber",IF($H286&lt;'[2]Read Me'!$B$4,"Red",IF($H286-'[2]Read Me'!$B$4&lt;=21,"Amber","Green"))))</f>
        <v>Amber</v>
      </c>
      <c r="N286" s="3"/>
      <c r="O286" t="str">
        <f>IF($I286&lt;&gt;"Complete",IF(COUNTIFS($A$4:$A285,$A286,$B$4:$B285,$B286,$I$4:$I285,"&lt;&gt;Complete")=0,$A286&amp;"|"&amp;$B286,""),"")</f>
        <v>|</v>
      </c>
      <c r="P286" t="str">
        <f ca="1">IF($K286="Yes",COUNTIFS($K$4:$K286,"Yes"),"")</f>
        <v/>
      </c>
      <c r="Q286">
        <f t="shared" ca="1" si="19"/>
        <v>0</v>
      </c>
      <c r="R286" t="str">
        <f ca="1">IF($Q286=1,SUM($Q$4:$Q286),"")</f>
        <v/>
      </c>
    </row>
    <row r="287" spans="1:18" ht="14.25" customHeight="1" x14ac:dyDescent="0.3">
      <c r="A287" s="2"/>
      <c r="B287" s="2"/>
      <c r="C287" s="3"/>
      <c r="D287" s="3"/>
      <c r="E287" s="2"/>
      <c r="F287" s="2"/>
      <c r="G287" s="5"/>
      <c r="H287" s="5"/>
      <c r="I287" s="4"/>
      <c r="J287" s="6" t="str">
        <f t="shared" si="18"/>
        <v/>
      </c>
      <c r="K287" s="4" t="str">
        <f t="shared" ca="1" si="21"/>
        <v/>
      </c>
      <c r="L287" s="7" t="str">
        <f t="shared" ca="1" si="20"/>
        <v/>
      </c>
      <c r="M287" s="4" t="str">
        <f>IF($I287="Complete","Green",IF($H287="","Amber",IF($H287&lt;'[2]Read Me'!$B$4,"Red",IF($H287-'[2]Read Me'!$B$4&lt;=21,"Amber","Green"))))</f>
        <v>Amber</v>
      </c>
      <c r="N287" s="3"/>
      <c r="O287" t="str">
        <f>IF($I287&lt;&gt;"Complete",IF(COUNTIFS($A$4:$A286,$A287,$B$4:$B286,$B287,$I$4:$I286,"&lt;&gt;Complete")=0,$A287&amp;"|"&amp;$B287,""),"")</f>
        <v>|</v>
      </c>
      <c r="P287" t="str">
        <f ca="1">IF($K287="Yes",COUNTIFS($K$4:$K287,"Yes"),"")</f>
        <v/>
      </c>
      <c r="Q287">
        <f t="shared" ca="1" si="19"/>
        <v>0</v>
      </c>
      <c r="R287" t="str">
        <f ca="1">IF($Q287=1,SUM($Q$4:$Q287),"")</f>
        <v/>
      </c>
    </row>
    <row r="288" spans="1:18" ht="14.25" customHeight="1" x14ac:dyDescent="0.3">
      <c r="A288" s="2"/>
      <c r="B288" s="2"/>
      <c r="C288" s="3"/>
      <c r="D288" s="3"/>
      <c r="E288" s="2"/>
      <c r="F288" s="2"/>
      <c r="G288" s="5"/>
      <c r="H288" s="5"/>
      <c r="I288" s="4"/>
      <c r="J288" s="6" t="str">
        <f t="shared" si="18"/>
        <v/>
      </c>
      <c r="K288" s="4" t="str">
        <f t="shared" ca="1" si="21"/>
        <v/>
      </c>
      <c r="L288" s="7" t="str">
        <f t="shared" ca="1" si="20"/>
        <v/>
      </c>
      <c r="M288" s="4" t="str">
        <f>IF($I288="Complete","Green",IF($H288="","Amber",IF($H288&lt;'[2]Read Me'!$B$4,"Red",IF($H288-'[2]Read Me'!$B$4&lt;=21,"Amber","Green"))))</f>
        <v>Amber</v>
      </c>
      <c r="N288" s="3"/>
      <c r="O288" t="str">
        <f>IF($I288&lt;&gt;"Complete",IF(COUNTIFS($A$4:$A287,$A288,$B$4:$B287,$B288,$I$4:$I287,"&lt;&gt;Complete")=0,$A288&amp;"|"&amp;$B288,""),"")</f>
        <v>|</v>
      </c>
      <c r="P288" t="str">
        <f ca="1">IF($K288="Yes",COUNTIFS($K$4:$K288,"Yes"),"")</f>
        <v/>
      </c>
      <c r="Q288">
        <f t="shared" ca="1" si="19"/>
        <v>0</v>
      </c>
      <c r="R288" t="str">
        <f ca="1">IF($Q288=1,SUM($Q$4:$Q288),"")</f>
        <v/>
      </c>
    </row>
    <row r="289" spans="1:18" ht="14.25" customHeight="1" x14ac:dyDescent="0.3">
      <c r="A289" s="2"/>
      <c r="B289" s="2"/>
      <c r="C289" s="3"/>
      <c r="D289" s="3"/>
      <c r="E289" s="2"/>
      <c r="F289" s="2"/>
      <c r="G289" s="5"/>
      <c r="H289" s="5"/>
      <c r="I289" s="4"/>
      <c r="J289" s="6" t="str">
        <f t="shared" si="18"/>
        <v/>
      </c>
      <c r="K289" s="4" t="str">
        <f t="shared" ca="1" si="21"/>
        <v/>
      </c>
      <c r="L289" s="7" t="str">
        <f t="shared" ca="1" si="20"/>
        <v/>
      </c>
      <c r="M289" s="4" t="str">
        <f>IF($I289="Complete","Green",IF($H289="","Amber",IF($H289&lt;'[2]Read Me'!$B$4,"Red",IF($H289-'[2]Read Me'!$B$4&lt;=21,"Amber","Green"))))</f>
        <v>Amber</v>
      </c>
      <c r="N289" s="3"/>
      <c r="O289" t="str">
        <f>IF($I289&lt;&gt;"Complete",IF(COUNTIFS($A$4:$A288,$A289,$B$4:$B288,$B289,$I$4:$I288,"&lt;&gt;Complete")=0,$A289&amp;"|"&amp;$B289,""),"")</f>
        <v>|</v>
      </c>
      <c r="P289" t="str">
        <f ca="1">IF($K289="Yes",COUNTIFS($K$4:$K289,"Yes"),"")</f>
        <v/>
      </c>
      <c r="Q289">
        <f t="shared" ca="1" si="19"/>
        <v>0</v>
      </c>
      <c r="R289" t="str">
        <f ca="1">IF($Q289=1,SUM($Q$4:$Q289),"")</f>
        <v/>
      </c>
    </row>
    <row r="290" spans="1:18" ht="14.25" customHeight="1" x14ac:dyDescent="0.3">
      <c r="A290" s="2"/>
      <c r="B290" s="2"/>
      <c r="C290" s="3"/>
      <c r="D290" s="3"/>
      <c r="E290" s="2"/>
      <c r="F290" s="2"/>
      <c r="G290" s="5"/>
      <c r="H290" s="5"/>
      <c r="I290" s="4"/>
      <c r="J290" s="6" t="str">
        <f t="shared" si="18"/>
        <v/>
      </c>
      <c r="K290" s="4" t="str">
        <f t="shared" ca="1" si="21"/>
        <v/>
      </c>
      <c r="L290" s="7" t="str">
        <f t="shared" ca="1" si="20"/>
        <v/>
      </c>
      <c r="M290" s="4" t="str">
        <f>IF($I290="Complete","Green",IF($H290="","Amber",IF($H290&lt;'[2]Read Me'!$B$4,"Red",IF($H290-'[2]Read Me'!$B$4&lt;=21,"Amber","Green"))))</f>
        <v>Amber</v>
      </c>
      <c r="N290" s="3"/>
      <c r="O290" t="str">
        <f>IF($I290&lt;&gt;"Complete",IF(COUNTIFS($A$4:$A289,$A290,$B$4:$B289,$B290,$I$4:$I289,"&lt;&gt;Complete")=0,$A290&amp;"|"&amp;$B290,""),"")</f>
        <v>|</v>
      </c>
      <c r="P290" t="str">
        <f ca="1">IF($K290="Yes",COUNTIFS($K$4:$K290,"Yes"),"")</f>
        <v/>
      </c>
      <c r="Q290">
        <f t="shared" ca="1" si="19"/>
        <v>0</v>
      </c>
      <c r="R290" t="str">
        <f ca="1">IF($Q290=1,SUM($Q$4:$Q290),"")</f>
        <v/>
      </c>
    </row>
    <row r="291" spans="1:18" ht="14.25" customHeight="1" x14ac:dyDescent="0.3">
      <c r="A291" s="2"/>
      <c r="B291" s="2"/>
      <c r="C291" s="3"/>
      <c r="D291" s="3"/>
      <c r="E291" s="2"/>
      <c r="F291" s="2"/>
      <c r="G291" s="5"/>
      <c r="H291" s="5"/>
      <c r="I291" s="4"/>
      <c r="J291" s="6" t="str">
        <f t="shared" si="18"/>
        <v/>
      </c>
      <c r="K291" s="4" t="str">
        <f t="shared" ca="1" si="21"/>
        <v/>
      </c>
      <c r="L291" s="7" t="str">
        <f t="shared" ca="1" si="20"/>
        <v/>
      </c>
      <c r="M291" s="4" t="str">
        <f>IF($I291="Complete","Green",IF($H291="","Amber",IF($H291&lt;'[2]Read Me'!$B$4,"Red",IF($H291-'[2]Read Me'!$B$4&lt;=21,"Amber","Green"))))</f>
        <v>Amber</v>
      </c>
      <c r="N291" s="3"/>
      <c r="O291" t="str">
        <f>IF($I291&lt;&gt;"Complete",IF(COUNTIFS($A$4:$A290,$A291,$B$4:$B290,$B291,$I$4:$I290,"&lt;&gt;Complete")=0,$A291&amp;"|"&amp;$B291,""),"")</f>
        <v>|</v>
      </c>
      <c r="P291" t="str">
        <f ca="1">IF($K291="Yes",COUNTIFS($K$4:$K291,"Yes"),"")</f>
        <v/>
      </c>
      <c r="Q291">
        <f t="shared" ca="1" si="19"/>
        <v>0</v>
      </c>
      <c r="R291" t="str">
        <f ca="1">IF($Q291=1,SUM($Q$4:$Q291),"")</f>
        <v/>
      </c>
    </row>
    <row r="292" spans="1:18" ht="14.25" customHeight="1" x14ac:dyDescent="0.3">
      <c r="A292" s="2"/>
      <c r="B292" s="2"/>
      <c r="C292" s="3"/>
      <c r="D292" s="3"/>
      <c r="E292" s="2"/>
      <c r="F292" s="2"/>
      <c r="G292" s="5"/>
      <c r="H292" s="5"/>
      <c r="I292" s="4"/>
      <c r="J292" s="6" t="str">
        <f t="shared" si="18"/>
        <v/>
      </c>
      <c r="K292" s="4" t="str">
        <f t="shared" ca="1" si="21"/>
        <v/>
      </c>
      <c r="L292" s="7" t="str">
        <f t="shared" ca="1" si="20"/>
        <v/>
      </c>
      <c r="M292" s="4" t="str">
        <f>IF($I292="Complete","Green",IF($H292="","Amber",IF($H292&lt;'[2]Read Me'!$B$4,"Red",IF($H292-'[2]Read Me'!$B$4&lt;=21,"Amber","Green"))))</f>
        <v>Amber</v>
      </c>
      <c r="N292" s="3"/>
      <c r="O292" t="str">
        <f>IF($I292&lt;&gt;"Complete",IF(COUNTIFS($A$4:$A291,$A292,$B$4:$B291,$B292,$I$4:$I291,"&lt;&gt;Complete")=0,$A292&amp;"|"&amp;$B292,""),"")</f>
        <v>|</v>
      </c>
      <c r="P292" t="str">
        <f ca="1">IF($K292="Yes",COUNTIFS($K$4:$K292,"Yes"),"")</f>
        <v/>
      </c>
      <c r="Q292">
        <f t="shared" ca="1" si="19"/>
        <v>0</v>
      </c>
      <c r="R292" t="str">
        <f ca="1">IF($Q292=1,SUM($Q$4:$Q292),"")</f>
        <v/>
      </c>
    </row>
    <row r="293" spans="1:18" ht="22.5" customHeight="1" x14ac:dyDescent="0.3">
      <c r="A293" s="2"/>
      <c r="B293" s="2"/>
      <c r="C293" s="3"/>
      <c r="D293" s="3"/>
      <c r="E293" s="2"/>
      <c r="F293" s="2"/>
      <c r="G293" s="5"/>
      <c r="H293" s="5"/>
      <c r="I293" s="4"/>
      <c r="J293" s="6" t="str">
        <f t="shared" si="18"/>
        <v/>
      </c>
      <c r="K293" s="4" t="str">
        <f t="shared" ca="1" si="21"/>
        <v/>
      </c>
      <c r="L293" s="7" t="str">
        <f t="shared" ca="1" si="20"/>
        <v/>
      </c>
      <c r="M293" s="4" t="str">
        <f>IF($I293="Complete","Green",IF($H293="","Amber",IF($H293&lt;'[2]Read Me'!$B$4,"Red",IF($H293-'[2]Read Me'!$B$4&lt;=21,"Amber","Green"))))</f>
        <v>Amber</v>
      </c>
      <c r="N293" s="3"/>
      <c r="O293" t="str">
        <f>IF($I293&lt;&gt;"Complete",IF(COUNTIFS($A$4:$A292,$A293,$B$4:$B292,$B293,$I$4:$I292,"&lt;&gt;Complete")=0,$A293&amp;"|"&amp;$B293,""),"")</f>
        <v>|</v>
      </c>
      <c r="P293" t="str">
        <f ca="1">IF($K293="Yes",COUNTIFS($K$4:$K293,"Yes"),"")</f>
        <v/>
      </c>
      <c r="Q293">
        <f t="shared" ca="1" si="19"/>
        <v>0</v>
      </c>
      <c r="R293" t="str">
        <f ca="1">IF($Q293=1,SUM($Q$4:$Q293),"")</f>
        <v/>
      </c>
    </row>
    <row r="294" spans="1:18" ht="22.5" customHeight="1" x14ac:dyDescent="0.3">
      <c r="A294" s="2"/>
      <c r="B294" s="2"/>
      <c r="C294" s="3"/>
      <c r="D294" s="3"/>
      <c r="E294" s="2"/>
      <c r="F294" s="2"/>
      <c r="G294" s="5"/>
      <c r="H294" s="5"/>
      <c r="I294" s="4"/>
      <c r="J294" s="6" t="str">
        <f t="shared" si="18"/>
        <v/>
      </c>
      <c r="K294" s="4" t="str">
        <f t="shared" ca="1" si="21"/>
        <v/>
      </c>
      <c r="L294" s="7" t="str">
        <f t="shared" ca="1" si="20"/>
        <v/>
      </c>
      <c r="M294" s="4" t="str">
        <f>IF($I294="Complete","Green",IF($H294="","Amber",IF($H294&lt;'[2]Read Me'!$B$4,"Red",IF($H294-'[2]Read Me'!$B$4&lt;=21,"Amber","Green"))))</f>
        <v>Amber</v>
      </c>
      <c r="N294" s="3"/>
      <c r="O294" t="str">
        <f>IF($I294&lt;&gt;"Complete",IF(COUNTIFS($A$4:$A293,$A294,$B$4:$B293,$B294,$I$4:$I293,"&lt;&gt;Complete")=0,$A294&amp;"|"&amp;$B294,""),"")</f>
        <v>|</v>
      </c>
      <c r="P294" t="str">
        <f ca="1">IF($K294="Yes",COUNTIFS($K$4:$K294,"Yes"),"")</f>
        <v/>
      </c>
      <c r="Q294">
        <f t="shared" ca="1" si="19"/>
        <v>0</v>
      </c>
      <c r="R294" t="str">
        <f ca="1">IF($Q294=1,SUM($Q$4:$Q294),"")</f>
        <v/>
      </c>
    </row>
    <row r="295" spans="1:18" ht="22.5" customHeight="1" x14ac:dyDescent="0.3">
      <c r="A295" s="2"/>
      <c r="B295" s="2"/>
      <c r="C295" s="3"/>
      <c r="D295" s="3"/>
      <c r="E295" s="2"/>
      <c r="F295" s="2"/>
      <c r="G295" s="5"/>
      <c r="H295" s="5"/>
      <c r="I295" s="4"/>
      <c r="J295" s="6" t="str">
        <f t="shared" si="18"/>
        <v/>
      </c>
      <c r="K295" s="4" t="str">
        <f t="shared" ca="1" si="21"/>
        <v/>
      </c>
      <c r="L295" s="7" t="str">
        <f t="shared" ca="1" si="20"/>
        <v/>
      </c>
      <c r="M295" s="4" t="str">
        <f>IF($I295="Complete","Green",IF($H295="","Amber",IF($H295&lt;'[2]Read Me'!$B$4,"Red",IF($H295-'[2]Read Me'!$B$4&lt;=21,"Amber","Green"))))</f>
        <v>Amber</v>
      </c>
      <c r="N295" s="3"/>
      <c r="O295" t="str">
        <f>IF($I295&lt;&gt;"Complete",IF(COUNTIFS($A$4:$A294,$A295,$B$4:$B294,$B295,$I$4:$I294,"&lt;&gt;Complete")=0,$A295&amp;"|"&amp;$B295,""),"")</f>
        <v>|</v>
      </c>
      <c r="P295" t="str">
        <f ca="1">IF($K295="Yes",COUNTIFS($K$4:$K295,"Yes"),"")</f>
        <v/>
      </c>
      <c r="Q295">
        <f t="shared" ca="1" si="19"/>
        <v>0</v>
      </c>
      <c r="R295" t="str">
        <f ca="1">IF($Q295=1,SUM($Q$4:$Q295),"")</f>
        <v/>
      </c>
    </row>
    <row r="296" spans="1:18" ht="22.5" customHeight="1" x14ac:dyDescent="0.3">
      <c r="A296" s="2"/>
      <c r="B296" s="2"/>
      <c r="C296" s="3"/>
      <c r="D296" s="3"/>
      <c r="E296" s="2"/>
      <c r="F296" s="2"/>
      <c r="G296" s="5"/>
      <c r="H296" s="5"/>
      <c r="I296" s="4"/>
      <c r="J296" s="6" t="str">
        <f t="shared" si="18"/>
        <v/>
      </c>
      <c r="K296" s="4" t="str">
        <f t="shared" ca="1" si="21"/>
        <v/>
      </c>
      <c r="L296" s="7" t="str">
        <f t="shared" ca="1" si="20"/>
        <v/>
      </c>
      <c r="M296" s="4" t="str">
        <f>IF($I296="Complete","Green",IF($H296="","Amber",IF($H296&lt;'[2]Read Me'!$B$4,"Red",IF($H296-'[2]Read Me'!$B$4&lt;=21,"Amber","Green"))))</f>
        <v>Amber</v>
      </c>
      <c r="N296" s="3"/>
      <c r="O296" t="str">
        <f>IF($I296&lt;&gt;"Complete",IF(COUNTIFS($A$4:$A295,$A296,$B$4:$B295,$B296,$I$4:$I295,"&lt;&gt;Complete")=0,$A296&amp;"|"&amp;$B296,""),"")</f>
        <v>|</v>
      </c>
      <c r="P296" t="str">
        <f ca="1">IF($K296="Yes",COUNTIFS($K$4:$K296,"Yes"),"")</f>
        <v/>
      </c>
      <c r="Q296">
        <f t="shared" ca="1" si="19"/>
        <v>0</v>
      </c>
      <c r="R296" t="str">
        <f ca="1">IF($Q296=1,SUM($Q$4:$Q296),"")</f>
        <v/>
      </c>
    </row>
    <row r="297" spans="1:18" ht="22.5" customHeight="1" x14ac:dyDescent="0.3">
      <c r="A297" s="2"/>
      <c r="B297" s="2"/>
      <c r="C297" s="3"/>
      <c r="D297" s="3"/>
      <c r="E297" s="2"/>
      <c r="F297" s="2"/>
      <c r="G297" s="5"/>
      <c r="H297" s="5"/>
      <c r="I297" s="4"/>
      <c r="J297" s="6" t="str">
        <f t="shared" si="18"/>
        <v/>
      </c>
      <c r="K297" s="4" t="str">
        <f t="shared" ca="1" si="21"/>
        <v/>
      </c>
      <c r="L297" s="7" t="str">
        <f t="shared" ca="1" si="20"/>
        <v/>
      </c>
      <c r="M297" s="4" t="str">
        <f>IF($I297="Complete","Green",IF($H297="","Amber",IF($H297&lt;'[2]Read Me'!$B$4,"Red",IF($H297-'[2]Read Me'!$B$4&lt;=21,"Amber","Green"))))</f>
        <v>Amber</v>
      </c>
      <c r="N297" s="3"/>
      <c r="O297" t="str">
        <f>IF($I297&lt;&gt;"Complete",IF(COUNTIFS($A$4:$A296,$A297,$B$4:$B296,$B297,$I$4:$I296,"&lt;&gt;Complete")=0,$A297&amp;"|"&amp;$B297,""),"")</f>
        <v>|</v>
      </c>
      <c r="P297" t="str">
        <f ca="1">IF($K297="Yes",COUNTIFS($K$4:$K297,"Yes"),"")</f>
        <v/>
      </c>
      <c r="Q297">
        <f t="shared" ca="1" si="19"/>
        <v>0</v>
      </c>
      <c r="R297" t="str">
        <f ca="1">IF($Q297=1,SUM($Q$4:$Q297),"")</f>
        <v/>
      </c>
    </row>
    <row r="298" spans="1:18" ht="22.5" customHeight="1" x14ac:dyDescent="0.3">
      <c r="A298" s="2"/>
      <c r="B298" s="2"/>
      <c r="C298" s="3"/>
      <c r="D298" s="3"/>
      <c r="E298" s="2"/>
      <c r="F298" s="2"/>
      <c r="G298" s="5"/>
      <c r="H298" s="5"/>
      <c r="I298" s="4"/>
      <c r="J298" s="6" t="str">
        <f t="shared" si="18"/>
        <v/>
      </c>
      <c r="K298" s="4" t="str">
        <f t="shared" ca="1" si="21"/>
        <v/>
      </c>
      <c r="L298" s="7" t="str">
        <f t="shared" ca="1" si="20"/>
        <v/>
      </c>
      <c r="M298" s="4" t="str">
        <f>IF($I298="Complete","Green",IF($H298="","Amber",IF($H298&lt;'[2]Read Me'!$B$4,"Red",IF($H298-'[2]Read Me'!$B$4&lt;=21,"Amber","Green"))))</f>
        <v>Amber</v>
      </c>
      <c r="N298" s="3"/>
      <c r="O298" t="str">
        <f>IF($I298&lt;&gt;"Complete",IF(COUNTIFS($A$4:$A297,$A298,$B$4:$B297,$B298,$I$4:$I297,"&lt;&gt;Complete")=0,$A298&amp;"|"&amp;$B298,""),"")</f>
        <v>|</v>
      </c>
      <c r="P298" t="str">
        <f ca="1">IF($K298="Yes",COUNTIFS($K$4:$K298,"Yes"),"")</f>
        <v/>
      </c>
      <c r="Q298">
        <f t="shared" ca="1" si="19"/>
        <v>0</v>
      </c>
      <c r="R298" t="str">
        <f ca="1">IF($Q298=1,SUM($Q$4:$Q298),"")</f>
        <v/>
      </c>
    </row>
    <row r="299" spans="1:18" ht="22.5" customHeight="1" x14ac:dyDescent="0.3">
      <c r="A299" s="2"/>
      <c r="B299" s="2"/>
      <c r="C299" s="3"/>
      <c r="D299" s="3"/>
      <c r="E299" s="2"/>
      <c r="F299" s="2"/>
      <c r="G299" s="5"/>
      <c r="H299" s="5"/>
      <c r="I299" s="4"/>
      <c r="J299" s="6" t="str">
        <f t="shared" si="18"/>
        <v/>
      </c>
      <c r="K299" s="4" t="str">
        <f t="shared" ca="1" si="21"/>
        <v/>
      </c>
      <c r="L299" s="7" t="str">
        <f t="shared" ca="1" si="20"/>
        <v/>
      </c>
      <c r="M299" s="4" t="str">
        <f>IF($I299="Complete","Green",IF($H299="","Amber",IF($H299&lt;'[2]Read Me'!$B$4,"Red",IF($H299-'[2]Read Me'!$B$4&lt;=21,"Amber","Green"))))</f>
        <v>Amber</v>
      </c>
      <c r="N299" s="3"/>
      <c r="O299" t="str">
        <f>IF($I299&lt;&gt;"Complete",IF(COUNTIFS($A$4:$A298,$A299,$B$4:$B298,$B299,$I$4:$I298,"&lt;&gt;Complete")=0,$A299&amp;"|"&amp;$B299,""),"")</f>
        <v>|</v>
      </c>
      <c r="P299" t="str">
        <f ca="1">IF($K299="Yes",COUNTIFS($K$4:$K299,"Yes"),"")</f>
        <v/>
      </c>
      <c r="Q299">
        <f t="shared" ca="1" si="19"/>
        <v>0</v>
      </c>
      <c r="R299" t="str">
        <f ca="1">IF($Q299=1,SUM($Q$4:$Q299),"")</f>
        <v/>
      </c>
    </row>
    <row r="300" spans="1:18" ht="22.5" customHeight="1" x14ac:dyDescent="0.3">
      <c r="A300" s="2"/>
      <c r="B300" s="2"/>
      <c r="C300" s="3"/>
      <c r="D300" s="3"/>
      <c r="E300" s="2"/>
      <c r="F300" s="2"/>
      <c r="G300" s="5"/>
      <c r="H300" s="5"/>
      <c r="I300" s="4"/>
      <c r="J300" s="6" t="str">
        <f t="shared" si="18"/>
        <v/>
      </c>
      <c r="K300" s="4" t="str">
        <f t="shared" ca="1" si="21"/>
        <v/>
      </c>
      <c r="L300" s="7" t="str">
        <f t="shared" ca="1" si="20"/>
        <v/>
      </c>
      <c r="M300" s="4" t="str">
        <f>IF($I300="Complete","Green",IF($H300="","Amber",IF($H300&lt;'[2]Read Me'!$B$4,"Red",IF($H300-'[2]Read Me'!$B$4&lt;=21,"Amber","Green"))))</f>
        <v>Amber</v>
      </c>
      <c r="N300" s="3"/>
      <c r="O300" t="str">
        <f>IF($I300&lt;&gt;"Complete",IF(COUNTIFS($A$4:$A299,$A300,$B$4:$B299,$B300,$I$4:$I299,"&lt;&gt;Complete")=0,$A300&amp;"|"&amp;$B300,""),"")</f>
        <v>|</v>
      </c>
      <c r="P300" t="str">
        <f ca="1">IF($K300="Yes",COUNTIFS($K$4:$K300,"Yes"),"")</f>
        <v/>
      </c>
      <c r="Q300">
        <f t="shared" ca="1" si="19"/>
        <v>0</v>
      </c>
      <c r="R300" t="str">
        <f ca="1">IF($Q300=1,SUM($Q$4:$Q300),"")</f>
        <v/>
      </c>
    </row>
    <row r="301" spans="1:18" ht="22.5" customHeight="1" x14ac:dyDescent="0.3">
      <c r="A301" s="2"/>
      <c r="B301" s="2"/>
      <c r="C301" s="3"/>
      <c r="D301" s="3"/>
      <c r="E301" s="2"/>
      <c r="F301" s="2"/>
      <c r="G301" s="5"/>
      <c r="H301" s="5"/>
      <c r="I301" s="4"/>
      <c r="J301" s="6" t="str">
        <f t="shared" si="18"/>
        <v/>
      </c>
      <c r="K301" s="4" t="str">
        <f t="shared" ca="1" si="21"/>
        <v/>
      </c>
      <c r="L301" s="7" t="str">
        <f t="shared" ca="1" si="20"/>
        <v/>
      </c>
      <c r="M301" s="4" t="str">
        <f>IF($I301="Complete","Green",IF($H301="","Amber",IF($H301&lt;'[2]Read Me'!$B$4,"Red",IF($H301-'[2]Read Me'!$B$4&lt;=21,"Amber","Green"))))</f>
        <v>Amber</v>
      </c>
      <c r="N301" s="3"/>
      <c r="O301" t="str">
        <f>IF($I301&lt;&gt;"Complete",IF(COUNTIFS($A$4:$A300,$A301,$B$4:$B300,$B301,$I$4:$I300,"&lt;&gt;Complete")=0,$A301&amp;"|"&amp;$B301,""),"")</f>
        <v>|</v>
      </c>
      <c r="P301" t="str">
        <f ca="1">IF($K301="Yes",COUNTIFS($K$4:$K301,"Yes"),"")</f>
        <v/>
      </c>
      <c r="Q301">
        <f t="shared" ca="1" si="19"/>
        <v>0</v>
      </c>
      <c r="R301" t="str">
        <f ca="1">IF($Q301=1,SUM($Q$4:$Q301),"")</f>
        <v/>
      </c>
    </row>
    <row r="302" spans="1:18" ht="22.5" customHeight="1" x14ac:dyDescent="0.3">
      <c r="A302" s="2"/>
      <c r="B302" s="2"/>
      <c r="C302" s="3"/>
      <c r="D302" s="3"/>
      <c r="E302" s="2"/>
      <c r="F302" s="2"/>
      <c r="G302" s="5"/>
      <c r="H302" s="5"/>
      <c r="I302" s="4"/>
      <c r="J302" s="6" t="str">
        <f t="shared" si="18"/>
        <v/>
      </c>
      <c r="K302" s="4" t="str">
        <f t="shared" ca="1" si="21"/>
        <v/>
      </c>
      <c r="L302" s="7" t="str">
        <f t="shared" ca="1" si="20"/>
        <v/>
      </c>
      <c r="M302" s="4" t="str">
        <f>IF($I302="Complete","Green",IF($H302="","Amber",IF($H302&lt;'[2]Read Me'!$B$4,"Red",IF($H302-'[2]Read Me'!$B$4&lt;=21,"Amber","Green"))))</f>
        <v>Amber</v>
      </c>
      <c r="N302" s="3"/>
      <c r="O302" t="str">
        <f>IF($I302&lt;&gt;"Complete",IF(COUNTIFS($A$4:$A301,$A302,$B$4:$B301,$B302,$I$4:$I301,"&lt;&gt;Complete")=0,$A302&amp;"|"&amp;$B302,""),"")</f>
        <v>|</v>
      </c>
      <c r="P302" t="str">
        <f ca="1">IF($K302="Yes",COUNTIFS($K$4:$K302,"Yes"),"")</f>
        <v/>
      </c>
      <c r="Q302">
        <f t="shared" ca="1" si="19"/>
        <v>0</v>
      </c>
      <c r="R302" t="str">
        <f ca="1">IF($Q302=1,SUM($Q$4:$Q302),"")</f>
        <v/>
      </c>
    </row>
    <row r="303" spans="1:18" ht="22.5" customHeight="1" x14ac:dyDescent="0.3">
      <c r="A303" s="2"/>
      <c r="B303" s="2"/>
      <c r="C303" s="3"/>
      <c r="D303" s="3"/>
      <c r="E303" s="2"/>
      <c r="F303" s="2"/>
      <c r="G303" s="5"/>
      <c r="H303" s="5"/>
      <c r="I303" s="4"/>
      <c r="J303" s="6" t="str">
        <f t="shared" si="18"/>
        <v/>
      </c>
      <c r="K303" s="4" t="str">
        <f t="shared" ca="1" si="21"/>
        <v/>
      </c>
      <c r="L303" s="7" t="str">
        <f t="shared" ca="1" si="20"/>
        <v/>
      </c>
      <c r="M303" s="4" t="str">
        <f>IF($I303="Complete","Green",IF($H303="","Amber",IF($H303&lt;'[2]Read Me'!$B$4,"Red",IF($H303-'[2]Read Me'!$B$4&lt;=21,"Amber","Green"))))</f>
        <v>Amber</v>
      </c>
      <c r="N303" s="3"/>
      <c r="O303" t="str">
        <f>IF($I303&lt;&gt;"Complete",IF(COUNTIFS($A$4:$A302,$A303,$B$4:$B302,$B303,$I$4:$I302,"&lt;&gt;Complete")=0,$A303&amp;"|"&amp;$B303,""),"")</f>
        <v>|</v>
      </c>
      <c r="P303" t="str">
        <f ca="1">IF($K303="Yes",COUNTIFS($K$4:$K303,"Yes"),"")</f>
        <v/>
      </c>
      <c r="Q303">
        <f t="shared" ca="1" si="19"/>
        <v>0</v>
      </c>
      <c r="R303" t="str">
        <f ca="1">IF($Q303=1,SUM($Q$4:$Q303),"")</f>
        <v/>
      </c>
    </row>
    <row r="304" spans="1:18" ht="22.5" customHeight="1" x14ac:dyDescent="0.3">
      <c r="A304" s="2"/>
      <c r="B304" s="2"/>
      <c r="C304" s="3"/>
      <c r="D304" s="3"/>
      <c r="E304" s="2"/>
      <c r="F304" s="2"/>
      <c r="G304" s="5"/>
      <c r="H304" s="5"/>
      <c r="I304" s="4"/>
      <c r="J304" s="6" t="str">
        <f t="shared" si="18"/>
        <v/>
      </c>
      <c r="K304" s="4" t="str">
        <f t="shared" ca="1" si="21"/>
        <v/>
      </c>
      <c r="L304" s="7" t="str">
        <f t="shared" ca="1" si="20"/>
        <v/>
      </c>
      <c r="M304" s="4" t="str">
        <f>IF($I304="Complete","Green",IF($H304="","Amber",IF($H304&lt;'[2]Read Me'!$B$4,"Red",IF($H304-'[2]Read Me'!$B$4&lt;=21,"Amber","Green"))))</f>
        <v>Amber</v>
      </c>
      <c r="N304" s="3"/>
      <c r="O304" t="str">
        <f>IF($I304&lt;&gt;"Complete",IF(COUNTIFS($A$4:$A303,$A304,$B$4:$B303,$B304,$I$4:$I303,"&lt;&gt;Complete")=0,$A304&amp;"|"&amp;$B304,""),"")</f>
        <v>|</v>
      </c>
      <c r="P304" t="str">
        <f ca="1">IF($K304="Yes",COUNTIFS($K$4:$K304,"Yes"),"")</f>
        <v/>
      </c>
      <c r="Q304">
        <f t="shared" ca="1" si="19"/>
        <v>0</v>
      </c>
      <c r="R304" t="str">
        <f ca="1">IF($Q304=1,SUM($Q$4:$Q304),"")</f>
        <v/>
      </c>
    </row>
    <row r="305" spans="1:18" ht="22.5" customHeight="1" x14ac:dyDescent="0.3">
      <c r="A305" s="2"/>
      <c r="B305" s="2"/>
      <c r="C305" s="3"/>
      <c r="D305" s="3"/>
      <c r="E305" s="2"/>
      <c r="F305" s="2"/>
      <c r="G305" s="5"/>
      <c r="H305" s="5"/>
      <c r="I305" s="4"/>
      <c r="J305" s="6" t="str">
        <f t="shared" si="18"/>
        <v/>
      </c>
      <c r="K305" s="4" t="str">
        <f t="shared" ca="1" si="21"/>
        <v/>
      </c>
      <c r="L305" s="7" t="str">
        <f t="shared" ca="1" si="20"/>
        <v/>
      </c>
      <c r="M305" s="4" t="str">
        <f>IF($I305="Complete","Green",IF($H305="","Amber",IF($H305&lt;'[2]Read Me'!$B$4,"Red",IF($H305-'[2]Read Me'!$B$4&lt;=21,"Amber","Green"))))</f>
        <v>Amber</v>
      </c>
      <c r="N305" s="3"/>
      <c r="O305" t="str">
        <f>IF($I305&lt;&gt;"Complete",IF(COUNTIFS($A$4:$A304,$A305,$B$4:$B304,$B305,$I$4:$I304,"&lt;&gt;Complete")=0,$A305&amp;"|"&amp;$B305,""),"")</f>
        <v>|</v>
      </c>
      <c r="P305" t="str">
        <f ca="1">IF($K305="Yes",COUNTIFS($K$4:$K305,"Yes"),"")</f>
        <v/>
      </c>
      <c r="Q305">
        <f t="shared" ca="1" si="19"/>
        <v>0</v>
      </c>
      <c r="R305" t="str">
        <f ca="1">IF($Q305=1,SUM($Q$4:$Q305),"")</f>
        <v/>
      </c>
    </row>
    <row r="306" spans="1:18" ht="22.5" customHeight="1" x14ac:dyDescent="0.3">
      <c r="A306" s="2"/>
      <c r="B306" s="2"/>
      <c r="C306" s="3"/>
      <c r="D306" s="3"/>
      <c r="E306" s="2"/>
      <c r="F306" s="2"/>
      <c r="G306" s="5"/>
      <c r="H306" s="5"/>
      <c r="I306" s="4"/>
      <c r="J306" s="6" t="str">
        <f t="shared" si="18"/>
        <v/>
      </c>
      <c r="K306" s="4" t="str">
        <f t="shared" ca="1" si="21"/>
        <v/>
      </c>
      <c r="L306" s="7" t="str">
        <f t="shared" ca="1" si="20"/>
        <v/>
      </c>
      <c r="M306" s="4" t="str">
        <f>IF($I306="Complete","Green",IF($H306="","Amber",IF($H306&lt;'[2]Read Me'!$B$4,"Red",IF($H306-'[2]Read Me'!$B$4&lt;=21,"Amber","Green"))))</f>
        <v>Amber</v>
      </c>
      <c r="N306" s="3"/>
      <c r="O306" t="str">
        <f>IF($I306&lt;&gt;"Complete",IF(COUNTIFS($A$4:$A305,$A306,$B$4:$B305,$B306,$I$4:$I305,"&lt;&gt;Complete")=0,$A306&amp;"|"&amp;$B306,""),"")</f>
        <v>|</v>
      </c>
      <c r="P306" t="str">
        <f ca="1">IF($K306="Yes",COUNTIFS($K$4:$K306,"Yes"),"")</f>
        <v/>
      </c>
      <c r="Q306">
        <f t="shared" ca="1" si="19"/>
        <v>0</v>
      </c>
      <c r="R306" t="str">
        <f ca="1">IF($Q306=1,SUM($Q$4:$Q306),"")</f>
        <v/>
      </c>
    </row>
    <row r="307" spans="1:18" ht="22.5" customHeight="1" x14ac:dyDescent="0.3">
      <c r="A307" s="2"/>
      <c r="B307" s="2"/>
      <c r="C307" s="3"/>
      <c r="D307" s="3"/>
      <c r="E307" s="2"/>
      <c r="F307" s="2"/>
      <c r="G307" s="5"/>
      <c r="H307" s="5"/>
      <c r="I307" s="4"/>
      <c r="J307" s="6" t="str">
        <f t="shared" si="18"/>
        <v/>
      </c>
      <c r="K307" s="4" t="str">
        <f t="shared" ca="1" si="21"/>
        <v/>
      </c>
      <c r="L307" s="7" t="str">
        <f t="shared" ca="1" si="20"/>
        <v/>
      </c>
      <c r="M307" s="4" t="str">
        <f>IF($I307="Complete","Green",IF($H307="","Amber",IF($H307&lt;'[2]Read Me'!$B$4,"Red",IF($H307-'[2]Read Me'!$B$4&lt;=21,"Amber","Green"))))</f>
        <v>Amber</v>
      </c>
      <c r="N307" s="3"/>
      <c r="O307" t="str">
        <f>IF($I307&lt;&gt;"Complete",IF(COUNTIFS($A$4:$A306,$A307,$B$4:$B306,$B307,$I$4:$I306,"&lt;&gt;Complete")=0,$A307&amp;"|"&amp;$B307,""),"")</f>
        <v>|</v>
      </c>
      <c r="P307" t="str">
        <f ca="1">IF($K307="Yes",COUNTIFS($K$4:$K307,"Yes"),"")</f>
        <v/>
      </c>
      <c r="Q307">
        <f t="shared" ca="1" si="19"/>
        <v>0</v>
      </c>
      <c r="R307" t="str">
        <f ca="1">IF($Q307=1,SUM($Q$4:$Q307),"")</f>
        <v/>
      </c>
    </row>
    <row r="308" spans="1:18" ht="22.5" customHeight="1" x14ac:dyDescent="0.3">
      <c r="A308" s="2"/>
      <c r="B308" s="2"/>
      <c r="C308" s="3"/>
      <c r="D308" s="3"/>
      <c r="E308" s="2"/>
      <c r="F308" s="2"/>
      <c r="G308" s="5"/>
      <c r="H308" s="5"/>
      <c r="I308" s="4"/>
      <c r="J308" s="6" t="str">
        <f t="shared" si="18"/>
        <v/>
      </c>
      <c r="K308" s="4" t="str">
        <f t="shared" ca="1" si="21"/>
        <v/>
      </c>
      <c r="L308" s="7" t="str">
        <f t="shared" ca="1" si="20"/>
        <v/>
      </c>
      <c r="M308" s="4" t="str">
        <f>IF($I308="Complete","Green",IF($H308="","Amber",IF($H308&lt;'[2]Read Me'!$B$4,"Red",IF($H308-'[2]Read Me'!$B$4&lt;=21,"Amber","Green"))))</f>
        <v>Amber</v>
      </c>
      <c r="N308" s="3"/>
      <c r="O308" t="str">
        <f>IF($I308&lt;&gt;"Complete",IF(COUNTIFS($A$4:$A307,$A308,$B$4:$B307,$B308,$I$4:$I307,"&lt;&gt;Complete")=0,$A308&amp;"|"&amp;$B308,""),"")</f>
        <v>|</v>
      </c>
      <c r="P308" t="str">
        <f ca="1">IF($K308="Yes",COUNTIFS($K$4:$K308,"Yes"),"")</f>
        <v/>
      </c>
      <c r="Q308">
        <f t="shared" ca="1" si="19"/>
        <v>0</v>
      </c>
      <c r="R308" t="str">
        <f ca="1">IF($Q308=1,SUM($Q$4:$Q308),"")</f>
        <v/>
      </c>
    </row>
    <row r="309" spans="1:18" ht="22.5" customHeight="1" x14ac:dyDescent="0.3">
      <c r="A309" s="2"/>
      <c r="B309" s="2"/>
      <c r="C309" s="3"/>
      <c r="D309" s="3"/>
      <c r="E309" s="2"/>
      <c r="F309" s="2"/>
      <c r="G309" s="5"/>
      <c r="H309" s="5"/>
      <c r="I309" s="4"/>
      <c r="J309" s="6" t="str">
        <f t="shared" si="18"/>
        <v/>
      </c>
      <c r="K309" s="4" t="str">
        <f t="shared" ca="1" si="21"/>
        <v/>
      </c>
      <c r="L309" s="7" t="str">
        <f t="shared" ca="1" si="20"/>
        <v/>
      </c>
      <c r="M309" s="4" t="str">
        <f>IF($I309="Complete","Green",IF($H309="","Amber",IF($H309&lt;'[2]Read Me'!$B$4,"Red",IF($H309-'[2]Read Me'!$B$4&lt;=21,"Amber","Green"))))</f>
        <v>Amber</v>
      </c>
      <c r="N309" s="3"/>
      <c r="O309" t="str">
        <f>IF($I309&lt;&gt;"Complete",IF(COUNTIFS($A$4:$A308,$A309,$B$4:$B308,$B309,$I$4:$I308,"&lt;&gt;Complete")=0,$A309&amp;"|"&amp;$B309,""),"")</f>
        <v>|</v>
      </c>
      <c r="P309" t="str">
        <f ca="1">IF($K309="Yes",COUNTIFS($K$4:$K309,"Yes"),"")</f>
        <v/>
      </c>
      <c r="Q309">
        <f t="shared" ca="1" si="19"/>
        <v>0</v>
      </c>
      <c r="R309" t="str">
        <f ca="1">IF($Q309=1,SUM($Q$4:$Q309),"")</f>
        <v/>
      </c>
    </row>
    <row r="310" spans="1:18" ht="14.25" customHeight="1" x14ac:dyDescent="0.3">
      <c r="A310" s="2"/>
      <c r="B310" s="2"/>
      <c r="C310" s="3"/>
      <c r="D310" s="3"/>
      <c r="E310" s="2"/>
      <c r="F310" s="2"/>
      <c r="G310" s="5"/>
      <c r="H310" s="5"/>
      <c r="I310" s="4"/>
      <c r="J310" s="6" t="str">
        <f t="shared" si="18"/>
        <v/>
      </c>
      <c r="K310" s="4" t="str">
        <f t="shared" ca="1" si="21"/>
        <v/>
      </c>
      <c r="L310" s="7" t="str">
        <f t="shared" ca="1" si="20"/>
        <v/>
      </c>
      <c r="M310" s="4" t="str">
        <f>IF($I310="Complete","Green",IF($H310="","Amber",IF($H310&lt;'[2]Read Me'!$B$4,"Red",IF($H310-'[2]Read Me'!$B$4&lt;=21,"Amber","Green"))))</f>
        <v>Amber</v>
      </c>
      <c r="N310" s="3"/>
      <c r="O310" t="str">
        <f>IF($I310&lt;&gt;"Complete",IF(COUNTIFS($A$4:$A309,$A310,$B$4:$B309,$B310,$I$4:$I309,"&lt;&gt;Complete")=0,$A310&amp;"|"&amp;$B310,""),"")</f>
        <v>|</v>
      </c>
      <c r="P310" t="str">
        <f ca="1">IF($K310="Yes",COUNTIFS($K$4:$K310,"Yes"),"")</f>
        <v/>
      </c>
      <c r="Q310">
        <f t="shared" ca="1" si="19"/>
        <v>0</v>
      </c>
      <c r="R310" t="str">
        <f ca="1">IF($Q310=1,SUM($Q$4:$Q310),"")</f>
        <v/>
      </c>
    </row>
    <row r="311" spans="1:18" ht="14.25" customHeight="1" x14ac:dyDescent="0.3">
      <c r="A311" s="2"/>
      <c r="B311" s="2"/>
      <c r="C311" s="3"/>
      <c r="D311" s="3"/>
      <c r="E311" s="2"/>
      <c r="F311" s="2"/>
      <c r="G311" s="5"/>
      <c r="H311" s="5"/>
      <c r="I311" s="4"/>
      <c r="J311" s="6" t="str">
        <f t="shared" si="18"/>
        <v/>
      </c>
      <c r="K311" s="4" t="str">
        <f t="shared" ca="1" si="21"/>
        <v/>
      </c>
      <c r="L311" s="7" t="str">
        <f t="shared" ca="1" si="20"/>
        <v/>
      </c>
      <c r="M311" s="4" t="str">
        <f>IF($I311="Complete","Green",IF($H311="","Amber",IF($H311&lt;'[2]Read Me'!$B$4,"Red",IF($H311-'[2]Read Me'!$B$4&lt;=21,"Amber","Green"))))</f>
        <v>Amber</v>
      </c>
      <c r="N311" s="3"/>
      <c r="O311" t="str">
        <f>IF($I311&lt;&gt;"Complete",IF(COUNTIFS($A$4:$A310,$A311,$B$4:$B310,$B311,$I$4:$I310,"&lt;&gt;Complete")=0,$A311&amp;"|"&amp;$B311,""),"")</f>
        <v>|</v>
      </c>
      <c r="P311" t="str">
        <f ca="1">IF($K311="Yes",COUNTIFS($K$4:$K311,"Yes"),"")</f>
        <v/>
      </c>
      <c r="Q311">
        <f t="shared" ca="1" si="19"/>
        <v>0</v>
      </c>
      <c r="R311" t="str">
        <f ca="1">IF($Q311=1,SUM($Q$4:$Q311),"")</f>
        <v/>
      </c>
    </row>
    <row r="312" spans="1:18" ht="14.25" customHeight="1" x14ac:dyDescent="0.3">
      <c r="A312" s="2"/>
      <c r="B312" s="2"/>
      <c r="C312" s="3"/>
      <c r="D312" s="3"/>
      <c r="E312" s="2"/>
      <c r="F312" s="2"/>
      <c r="G312" s="5"/>
      <c r="H312" s="5"/>
      <c r="I312" s="4"/>
      <c r="J312" s="6" t="str">
        <f t="shared" si="18"/>
        <v/>
      </c>
      <c r="K312" s="4" t="str">
        <f t="shared" ca="1" si="21"/>
        <v/>
      </c>
      <c r="L312" s="7" t="str">
        <f t="shared" ca="1" si="20"/>
        <v/>
      </c>
      <c r="M312" s="4" t="str">
        <f>IF($I312="Complete","Green",IF($H312="","Amber",IF($H312&lt;'[2]Read Me'!$B$4,"Red",IF($H312-'[2]Read Me'!$B$4&lt;=21,"Amber","Green"))))</f>
        <v>Amber</v>
      </c>
      <c r="N312" s="3"/>
      <c r="O312" t="str">
        <f>IF($I312&lt;&gt;"Complete",IF(COUNTIFS($A$4:$A311,$A312,$B$4:$B311,$B312,$I$4:$I311,"&lt;&gt;Complete")=0,$A312&amp;"|"&amp;$B312,""),"")</f>
        <v>|</v>
      </c>
      <c r="P312" t="str">
        <f ca="1">IF($K312="Yes",COUNTIFS($K$4:$K312,"Yes"),"")</f>
        <v/>
      </c>
      <c r="Q312">
        <f t="shared" ca="1" si="19"/>
        <v>0</v>
      </c>
      <c r="R312" t="str">
        <f ca="1">IF($Q312=1,SUM($Q$4:$Q312),"")</f>
        <v/>
      </c>
    </row>
    <row r="313" spans="1:18" x14ac:dyDescent="0.3">
      <c r="L313" s="7" t="str">
        <f t="shared" ca="1" si="20"/>
        <v/>
      </c>
    </row>
    <row r="314" spans="1:18" x14ac:dyDescent="0.3">
      <c r="L314" s="7" t="str">
        <f t="shared" ca="1" si="20"/>
        <v/>
      </c>
    </row>
    <row r="315" spans="1:18" x14ac:dyDescent="0.3">
      <c r="L315" s="7" t="str">
        <f t="shared" ca="1" si="20"/>
        <v/>
      </c>
    </row>
    <row r="316" spans="1:18" x14ac:dyDescent="0.3">
      <c r="L316" s="7" t="str">
        <f t="shared" ca="1" si="20"/>
        <v/>
      </c>
    </row>
    <row r="317" spans="1:18" x14ac:dyDescent="0.3">
      <c r="L317" s="7" t="str">
        <f t="shared" ca="1" si="20"/>
        <v/>
      </c>
    </row>
    <row r="318" spans="1:18" x14ac:dyDescent="0.3">
      <c r="L318" s="7" t="str">
        <f t="shared" ca="1" si="20"/>
        <v/>
      </c>
    </row>
    <row r="319" spans="1:18" x14ac:dyDescent="0.3">
      <c r="L319" s="7" t="str">
        <f t="shared" ca="1" si="20"/>
        <v/>
      </c>
    </row>
    <row r="320" spans="1:18" x14ac:dyDescent="0.3">
      <c r="L320" s="7" t="str">
        <f t="shared" ca="1" si="20"/>
        <v/>
      </c>
    </row>
    <row r="321" spans="12:12" x14ac:dyDescent="0.3">
      <c r="L321" s="7" t="str">
        <f t="shared" ca="1" si="20"/>
        <v/>
      </c>
    </row>
    <row r="322" spans="12:12" x14ac:dyDescent="0.3">
      <c r="L322" s="7" t="str">
        <f t="shared" ca="1" si="20"/>
        <v/>
      </c>
    </row>
    <row r="323" spans="12:12" x14ac:dyDescent="0.3">
      <c r="L323" s="7" t="str">
        <f t="shared" ca="1" si="20"/>
        <v/>
      </c>
    </row>
    <row r="324" spans="12:12" x14ac:dyDescent="0.3">
      <c r="L324" s="7" t="str">
        <f t="shared" ca="1" si="20"/>
        <v/>
      </c>
    </row>
    <row r="325" spans="12:12" x14ac:dyDescent="0.3">
      <c r="L325" s="7" t="str">
        <f t="shared" ref="L325:L388" ca="1" si="22">IF(I325="Completed",0,IF(H325="","",H325-TODAY()))</f>
        <v/>
      </c>
    </row>
    <row r="326" spans="12:12" x14ac:dyDescent="0.3">
      <c r="L326" s="7" t="str">
        <f t="shared" ca="1" si="22"/>
        <v/>
      </c>
    </row>
    <row r="327" spans="12:12" x14ac:dyDescent="0.3">
      <c r="L327" s="7" t="str">
        <f t="shared" ca="1" si="22"/>
        <v/>
      </c>
    </row>
    <row r="328" spans="12:12" x14ac:dyDescent="0.3">
      <c r="L328" s="7" t="str">
        <f t="shared" ca="1" si="22"/>
        <v/>
      </c>
    </row>
    <row r="329" spans="12:12" x14ac:dyDescent="0.3">
      <c r="L329" s="7" t="str">
        <f t="shared" ca="1" si="22"/>
        <v/>
      </c>
    </row>
    <row r="330" spans="12:12" x14ac:dyDescent="0.3">
      <c r="L330" s="7" t="str">
        <f t="shared" ca="1" si="22"/>
        <v/>
      </c>
    </row>
    <row r="331" spans="12:12" x14ac:dyDescent="0.3">
      <c r="L331" s="7" t="str">
        <f t="shared" ca="1" si="22"/>
        <v/>
      </c>
    </row>
    <row r="332" spans="12:12" x14ac:dyDescent="0.3">
      <c r="L332" s="7" t="str">
        <f t="shared" ca="1" si="22"/>
        <v/>
      </c>
    </row>
    <row r="333" spans="12:12" x14ac:dyDescent="0.3">
      <c r="L333" s="7" t="str">
        <f t="shared" ca="1" si="22"/>
        <v/>
      </c>
    </row>
    <row r="334" spans="12:12" x14ac:dyDescent="0.3">
      <c r="L334" s="7" t="str">
        <f t="shared" ca="1" si="22"/>
        <v/>
      </c>
    </row>
    <row r="335" spans="12:12" x14ac:dyDescent="0.3">
      <c r="L335" s="7" t="str">
        <f t="shared" ca="1" si="22"/>
        <v/>
      </c>
    </row>
    <row r="336" spans="12:12" x14ac:dyDescent="0.3">
      <c r="L336" s="7" t="str">
        <f t="shared" ca="1" si="22"/>
        <v/>
      </c>
    </row>
    <row r="337" spans="12:12" x14ac:dyDescent="0.3">
      <c r="L337" s="7" t="str">
        <f t="shared" ca="1" si="22"/>
        <v/>
      </c>
    </row>
    <row r="338" spans="12:12" x14ac:dyDescent="0.3">
      <c r="L338" s="7" t="str">
        <f t="shared" ca="1" si="22"/>
        <v/>
      </c>
    </row>
    <row r="339" spans="12:12" x14ac:dyDescent="0.3">
      <c r="L339" s="7" t="str">
        <f t="shared" ca="1" si="22"/>
        <v/>
      </c>
    </row>
    <row r="340" spans="12:12" x14ac:dyDescent="0.3">
      <c r="L340" s="7" t="str">
        <f t="shared" ca="1" si="22"/>
        <v/>
      </c>
    </row>
    <row r="341" spans="12:12" x14ac:dyDescent="0.3">
      <c r="L341" s="7" t="str">
        <f t="shared" ca="1" si="22"/>
        <v/>
      </c>
    </row>
    <row r="342" spans="12:12" x14ac:dyDescent="0.3">
      <c r="L342" s="7" t="str">
        <f t="shared" ca="1" si="22"/>
        <v/>
      </c>
    </row>
    <row r="343" spans="12:12" x14ac:dyDescent="0.3">
      <c r="L343" s="7" t="str">
        <f t="shared" ca="1" si="22"/>
        <v/>
      </c>
    </row>
    <row r="344" spans="12:12" x14ac:dyDescent="0.3">
      <c r="L344" s="7" t="str">
        <f t="shared" ca="1" si="22"/>
        <v/>
      </c>
    </row>
    <row r="345" spans="12:12" x14ac:dyDescent="0.3">
      <c r="L345" s="7" t="str">
        <f t="shared" ca="1" si="22"/>
        <v/>
      </c>
    </row>
    <row r="346" spans="12:12" x14ac:dyDescent="0.3">
      <c r="L346" s="7" t="str">
        <f t="shared" ca="1" si="22"/>
        <v/>
      </c>
    </row>
    <row r="347" spans="12:12" x14ac:dyDescent="0.3">
      <c r="L347" s="7" t="str">
        <f t="shared" ca="1" si="22"/>
        <v/>
      </c>
    </row>
    <row r="348" spans="12:12" x14ac:dyDescent="0.3">
      <c r="L348" s="7" t="str">
        <f t="shared" ca="1" si="22"/>
        <v/>
      </c>
    </row>
    <row r="349" spans="12:12" x14ac:dyDescent="0.3">
      <c r="L349" s="7" t="str">
        <f t="shared" ca="1" si="22"/>
        <v/>
      </c>
    </row>
    <row r="350" spans="12:12" x14ac:dyDescent="0.3">
      <c r="L350" s="7" t="str">
        <f t="shared" ca="1" si="22"/>
        <v/>
      </c>
    </row>
    <row r="351" spans="12:12" x14ac:dyDescent="0.3">
      <c r="L351" s="7" t="str">
        <f t="shared" ca="1" si="22"/>
        <v/>
      </c>
    </row>
    <row r="352" spans="12:12" x14ac:dyDescent="0.3">
      <c r="L352" s="7" t="str">
        <f t="shared" ca="1" si="22"/>
        <v/>
      </c>
    </row>
    <row r="353" spans="12:12" x14ac:dyDescent="0.3">
      <c r="L353" s="7" t="str">
        <f t="shared" ca="1" si="22"/>
        <v/>
      </c>
    </row>
    <row r="354" spans="12:12" x14ac:dyDescent="0.3">
      <c r="L354" s="7" t="str">
        <f t="shared" ca="1" si="22"/>
        <v/>
      </c>
    </row>
    <row r="355" spans="12:12" x14ac:dyDescent="0.3">
      <c r="L355" s="7" t="str">
        <f t="shared" ca="1" si="22"/>
        <v/>
      </c>
    </row>
    <row r="356" spans="12:12" x14ac:dyDescent="0.3">
      <c r="L356" s="7" t="str">
        <f t="shared" ca="1" si="22"/>
        <v/>
      </c>
    </row>
    <row r="357" spans="12:12" x14ac:dyDescent="0.3">
      <c r="L357" s="7" t="str">
        <f t="shared" ca="1" si="22"/>
        <v/>
      </c>
    </row>
    <row r="358" spans="12:12" x14ac:dyDescent="0.3">
      <c r="L358" s="7" t="str">
        <f t="shared" ca="1" si="22"/>
        <v/>
      </c>
    </row>
    <row r="359" spans="12:12" x14ac:dyDescent="0.3">
      <c r="L359" s="7" t="str">
        <f t="shared" ca="1" si="22"/>
        <v/>
      </c>
    </row>
    <row r="360" spans="12:12" x14ac:dyDescent="0.3">
      <c r="L360" s="7" t="str">
        <f t="shared" ca="1" si="22"/>
        <v/>
      </c>
    </row>
    <row r="361" spans="12:12" x14ac:dyDescent="0.3">
      <c r="L361" s="7" t="str">
        <f t="shared" ca="1" si="22"/>
        <v/>
      </c>
    </row>
    <row r="362" spans="12:12" x14ac:dyDescent="0.3">
      <c r="L362" s="7" t="str">
        <f t="shared" ca="1" si="22"/>
        <v/>
      </c>
    </row>
    <row r="363" spans="12:12" x14ac:dyDescent="0.3">
      <c r="L363" s="7" t="str">
        <f t="shared" ca="1" si="22"/>
        <v/>
      </c>
    </row>
    <row r="364" spans="12:12" x14ac:dyDescent="0.3">
      <c r="L364" s="7" t="str">
        <f t="shared" ca="1" si="22"/>
        <v/>
      </c>
    </row>
    <row r="365" spans="12:12" x14ac:dyDescent="0.3">
      <c r="L365" s="7" t="str">
        <f t="shared" ca="1" si="22"/>
        <v/>
      </c>
    </row>
    <row r="366" spans="12:12" x14ac:dyDescent="0.3">
      <c r="L366" s="7" t="str">
        <f t="shared" ca="1" si="22"/>
        <v/>
      </c>
    </row>
    <row r="367" spans="12:12" x14ac:dyDescent="0.3">
      <c r="L367" s="7" t="str">
        <f t="shared" ca="1" si="22"/>
        <v/>
      </c>
    </row>
    <row r="368" spans="12:12" x14ac:dyDescent="0.3">
      <c r="L368" s="7" t="str">
        <f t="shared" ca="1" si="22"/>
        <v/>
      </c>
    </row>
    <row r="369" spans="12:12" x14ac:dyDescent="0.3">
      <c r="L369" s="7" t="str">
        <f t="shared" ca="1" si="22"/>
        <v/>
      </c>
    </row>
    <row r="370" spans="12:12" x14ac:dyDescent="0.3">
      <c r="L370" s="7" t="str">
        <f t="shared" ca="1" si="22"/>
        <v/>
      </c>
    </row>
    <row r="371" spans="12:12" x14ac:dyDescent="0.3">
      <c r="L371" s="7" t="str">
        <f t="shared" ca="1" si="22"/>
        <v/>
      </c>
    </row>
    <row r="372" spans="12:12" x14ac:dyDescent="0.3">
      <c r="L372" s="7" t="str">
        <f t="shared" ca="1" si="22"/>
        <v/>
      </c>
    </row>
    <row r="373" spans="12:12" x14ac:dyDescent="0.3">
      <c r="L373" s="7" t="str">
        <f t="shared" ca="1" si="22"/>
        <v/>
      </c>
    </row>
    <row r="374" spans="12:12" x14ac:dyDescent="0.3">
      <c r="L374" s="7" t="str">
        <f t="shared" ca="1" si="22"/>
        <v/>
      </c>
    </row>
    <row r="375" spans="12:12" x14ac:dyDescent="0.3">
      <c r="L375" s="7" t="str">
        <f t="shared" ca="1" si="22"/>
        <v/>
      </c>
    </row>
    <row r="376" spans="12:12" x14ac:dyDescent="0.3">
      <c r="L376" s="7" t="str">
        <f t="shared" ca="1" si="22"/>
        <v/>
      </c>
    </row>
    <row r="377" spans="12:12" x14ac:dyDescent="0.3">
      <c r="L377" s="7" t="str">
        <f t="shared" ca="1" si="22"/>
        <v/>
      </c>
    </row>
    <row r="378" spans="12:12" x14ac:dyDescent="0.3">
      <c r="L378" s="7" t="str">
        <f t="shared" ca="1" si="22"/>
        <v/>
      </c>
    </row>
    <row r="379" spans="12:12" x14ac:dyDescent="0.3">
      <c r="L379" s="7" t="str">
        <f t="shared" ca="1" si="22"/>
        <v/>
      </c>
    </row>
    <row r="380" spans="12:12" x14ac:dyDescent="0.3">
      <c r="L380" s="7" t="str">
        <f t="shared" ca="1" si="22"/>
        <v/>
      </c>
    </row>
    <row r="381" spans="12:12" x14ac:dyDescent="0.3">
      <c r="L381" s="7" t="str">
        <f t="shared" ca="1" si="22"/>
        <v/>
      </c>
    </row>
    <row r="382" spans="12:12" x14ac:dyDescent="0.3">
      <c r="L382" s="7" t="str">
        <f t="shared" ca="1" si="22"/>
        <v/>
      </c>
    </row>
    <row r="383" spans="12:12" x14ac:dyDescent="0.3">
      <c r="L383" s="7" t="str">
        <f t="shared" ca="1" si="22"/>
        <v/>
      </c>
    </row>
    <row r="384" spans="12:12" x14ac:dyDescent="0.3">
      <c r="L384" s="7" t="str">
        <f t="shared" ca="1" si="22"/>
        <v/>
      </c>
    </row>
    <row r="385" spans="12:12" x14ac:dyDescent="0.3">
      <c r="L385" s="7" t="str">
        <f t="shared" ca="1" si="22"/>
        <v/>
      </c>
    </row>
    <row r="386" spans="12:12" x14ac:dyDescent="0.3">
      <c r="L386" s="7" t="str">
        <f t="shared" ca="1" si="22"/>
        <v/>
      </c>
    </row>
    <row r="387" spans="12:12" x14ac:dyDescent="0.3">
      <c r="L387" s="7" t="str">
        <f t="shared" ca="1" si="22"/>
        <v/>
      </c>
    </row>
    <row r="388" spans="12:12" x14ac:dyDescent="0.3">
      <c r="L388" s="7" t="str">
        <f t="shared" ca="1" si="22"/>
        <v/>
      </c>
    </row>
    <row r="389" spans="12:12" x14ac:dyDescent="0.3">
      <c r="L389" s="7" t="str">
        <f t="shared" ref="L389:L452" ca="1" si="23">IF(I389="Completed",0,IF(H389="","",H389-TODAY()))</f>
        <v/>
      </c>
    </row>
    <row r="390" spans="12:12" x14ac:dyDescent="0.3">
      <c r="L390" s="7" t="str">
        <f t="shared" ca="1" si="23"/>
        <v/>
      </c>
    </row>
    <row r="391" spans="12:12" x14ac:dyDescent="0.3">
      <c r="L391" s="7" t="str">
        <f t="shared" ca="1" si="23"/>
        <v/>
      </c>
    </row>
    <row r="392" spans="12:12" x14ac:dyDescent="0.3">
      <c r="L392" s="7" t="str">
        <f t="shared" ca="1" si="23"/>
        <v/>
      </c>
    </row>
    <row r="393" spans="12:12" x14ac:dyDescent="0.3">
      <c r="L393" s="7" t="str">
        <f t="shared" ca="1" si="23"/>
        <v/>
      </c>
    </row>
    <row r="394" spans="12:12" x14ac:dyDescent="0.3">
      <c r="L394" s="7" t="str">
        <f t="shared" ca="1" si="23"/>
        <v/>
      </c>
    </row>
    <row r="395" spans="12:12" x14ac:dyDescent="0.3">
      <c r="L395" s="7" t="str">
        <f t="shared" ca="1" si="23"/>
        <v/>
      </c>
    </row>
    <row r="396" spans="12:12" x14ac:dyDescent="0.3">
      <c r="L396" s="7" t="str">
        <f t="shared" ca="1" si="23"/>
        <v/>
      </c>
    </row>
    <row r="397" spans="12:12" x14ac:dyDescent="0.3">
      <c r="L397" s="7" t="str">
        <f t="shared" ca="1" si="23"/>
        <v/>
      </c>
    </row>
    <row r="398" spans="12:12" x14ac:dyDescent="0.3">
      <c r="L398" s="7" t="str">
        <f t="shared" ca="1" si="23"/>
        <v/>
      </c>
    </row>
    <row r="399" spans="12:12" x14ac:dyDescent="0.3">
      <c r="L399" s="7" t="str">
        <f t="shared" ca="1" si="23"/>
        <v/>
      </c>
    </row>
    <row r="400" spans="12:12" x14ac:dyDescent="0.3">
      <c r="L400" s="7" t="str">
        <f t="shared" ca="1" si="23"/>
        <v/>
      </c>
    </row>
    <row r="401" spans="12:12" x14ac:dyDescent="0.3">
      <c r="L401" s="7" t="str">
        <f t="shared" ca="1" si="23"/>
        <v/>
      </c>
    </row>
    <row r="402" spans="12:12" x14ac:dyDescent="0.3">
      <c r="L402" s="7" t="str">
        <f t="shared" ca="1" si="23"/>
        <v/>
      </c>
    </row>
    <row r="403" spans="12:12" x14ac:dyDescent="0.3">
      <c r="L403" s="7" t="str">
        <f t="shared" ca="1" si="23"/>
        <v/>
      </c>
    </row>
    <row r="404" spans="12:12" x14ac:dyDescent="0.3">
      <c r="L404" s="7" t="str">
        <f t="shared" ca="1" si="23"/>
        <v/>
      </c>
    </row>
    <row r="405" spans="12:12" x14ac:dyDescent="0.3">
      <c r="L405" s="7" t="str">
        <f t="shared" ca="1" si="23"/>
        <v/>
      </c>
    </row>
    <row r="406" spans="12:12" x14ac:dyDescent="0.3">
      <c r="L406" s="7" t="str">
        <f t="shared" ca="1" si="23"/>
        <v/>
      </c>
    </row>
    <row r="407" spans="12:12" x14ac:dyDescent="0.3">
      <c r="L407" s="7" t="str">
        <f t="shared" ca="1" si="23"/>
        <v/>
      </c>
    </row>
    <row r="408" spans="12:12" x14ac:dyDescent="0.3">
      <c r="L408" s="7" t="str">
        <f t="shared" ca="1" si="23"/>
        <v/>
      </c>
    </row>
    <row r="409" spans="12:12" x14ac:dyDescent="0.3">
      <c r="L409" s="7" t="str">
        <f t="shared" ca="1" si="23"/>
        <v/>
      </c>
    </row>
    <row r="410" spans="12:12" x14ac:dyDescent="0.3">
      <c r="L410" s="7" t="str">
        <f t="shared" ca="1" si="23"/>
        <v/>
      </c>
    </row>
    <row r="411" spans="12:12" x14ac:dyDescent="0.3">
      <c r="L411" s="7" t="str">
        <f t="shared" ca="1" si="23"/>
        <v/>
      </c>
    </row>
    <row r="412" spans="12:12" x14ac:dyDescent="0.3">
      <c r="L412" s="7" t="str">
        <f t="shared" ca="1" si="23"/>
        <v/>
      </c>
    </row>
    <row r="413" spans="12:12" x14ac:dyDescent="0.3">
      <c r="L413" s="7" t="str">
        <f t="shared" ca="1" si="23"/>
        <v/>
      </c>
    </row>
    <row r="414" spans="12:12" x14ac:dyDescent="0.3">
      <c r="L414" s="7" t="str">
        <f t="shared" ca="1" si="23"/>
        <v/>
      </c>
    </row>
    <row r="415" spans="12:12" x14ac:dyDescent="0.3">
      <c r="L415" s="7" t="str">
        <f t="shared" ca="1" si="23"/>
        <v/>
      </c>
    </row>
    <row r="416" spans="12:12" x14ac:dyDescent="0.3">
      <c r="L416" s="7" t="str">
        <f t="shared" ca="1" si="23"/>
        <v/>
      </c>
    </row>
    <row r="417" spans="12:12" x14ac:dyDescent="0.3">
      <c r="L417" s="7" t="str">
        <f t="shared" ca="1" si="23"/>
        <v/>
      </c>
    </row>
    <row r="418" spans="12:12" x14ac:dyDescent="0.3">
      <c r="L418" s="7" t="str">
        <f t="shared" ca="1" si="23"/>
        <v/>
      </c>
    </row>
    <row r="419" spans="12:12" x14ac:dyDescent="0.3">
      <c r="L419" s="7" t="str">
        <f t="shared" ca="1" si="23"/>
        <v/>
      </c>
    </row>
    <row r="420" spans="12:12" x14ac:dyDescent="0.3">
      <c r="L420" s="7" t="str">
        <f t="shared" ca="1" si="23"/>
        <v/>
      </c>
    </row>
    <row r="421" spans="12:12" x14ac:dyDescent="0.3">
      <c r="L421" s="7" t="str">
        <f t="shared" ca="1" si="23"/>
        <v/>
      </c>
    </row>
    <row r="422" spans="12:12" x14ac:dyDescent="0.3">
      <c r="L422" s="7" t="str">
        <f t="shared" ca="1" si="23"/>
        <v/>
      </c>
    </row>
    <row r="423" spans="12:12" x14ac:dyDescent="0.3">
      <c r="L423" s="7" t="str">
        <f t="shared" ca="1" si="23"/>
        <v/>
      </c>
    </row>
    <row r="424" spans="12:12" x14ac:dyDescent="0.3">
      <c r="L424" s="7" t="str">
        <f t="shared" ca="1" si="23"/>
        <v/>
      </c>
    </row>
    <row r="425" spans="12:12" x14ac:dyDescent="0.3">
      <c r="L425" s="7" t="str">
        <f t="shared" ca="1" si="23"/>
        <v/>
      </c>
    </row>
    <row r="426" spans="12:12" x14ac:dyDescent="0.3">
      <c r="L426" s="7" t="str">
        <f t="shared" ca="1" si="23"/>
        <v/>
      </c>
    </row>
    <row r="427" spans="12:12" x14ac:dyDescent="0.3">
      <c r="L427" s="7" t="str">
        <f t="shared" ca="1" si="23"/>
        <v/>
      </c>
    </row>
    <row r="428" spans="12:12" x14ac:dyDescent="0.3">
      <c r="L428" s="7" t="str">
        <f t="shared" ca="1" si="23"/>
        <v/>
      </c>
    </row>
    <row r="429" spans="12:12" x14ac:dyDescent="0.3">
      <c r="L429" s="7" t="str">
        <f t="shared" ca="1" si="23"/>
        <v/>
      </c>
    </row>
    <row r="430" spans="12:12" x14ac:dyDescent="0.3">
      <c r="L430" s="7" t="str">
        <f t="shared" ca="1" si="23"/>
        <v/>
      </c>
    </row>
    <row r="431" spans="12:12" x14ac:dyDescent="0.3">
      <c r="L431" s="7" t="str">
        <f t="shared" ca="1" si="23"/>
        <v/>
      </c>
    </row>
    <row r="432" spans="12:12" x14ac:dyDescent="0.3">
      <c r="L432" s="7" t="str">
        <f t="shared" ca="1" si="23"/>
        <v/>
      </c>
    </row>
    <row r="433" spans="12:12" x14ac:dyDescent="0.3">
      <c r="L433" s="7" t="str">
        <f t="shared" ca="1" si="23"/>
        <v/>
      </c>
    </row>
    <row r="434" spans="12:12" x14ac:dyDescent="0.3">
      <c r="L434" s="7" t="str">
        <f t="shared" ca="1" si="23"/>
        <v/>
      </c>
    </row>
    <row r="435" spans="12:12" x14ac:dyDescent="0.3">
      <c r="L435" s="7" t="str">
        <f t="shared" ca="1" si="23"/>
        <v/>
      </c>
    </row>
    <row r="436" spans="12:12" x14ac:dyDescent="0.3">
      <c r="L436" s="7" t="str">
        <f t="shared" ca="1" si="23"/>
        <v/>
      </c>
    </row>
    <row r="437" spans="12:12" x14ac:dyDescent="0.3">
      <c r="L437" s="7" t="str">
        <f t="shared" ca="1" si="23"/>
        <v/>
      </c>
    </row>
    <row r="438" spans="12:12" x14ac:dyDescent="0.3">
      <c r="L438" s="7" t="str">
        <f t="shared" ca="1" si="23"/>
        <v/>
      </c>
    </row>
    <row r="439" spans="12:12" x14ac:dyDescent="0.3">
      <c r="L439" s="7" t="str">
        <f t="shared" ca="1" si="23"/>
        <v/>
      </c>
    </row>
    <row r="440" spans="12:12" x14ac:dyDescent="0.3">
      <c r="L440" s="7" t="str">
        <f t="shared" ca="1" si="23"/>
        <v/>
      </c>
    </row>
    <row r="441" spans="12:12" x14ac:dyDescent="0.3">
      <c r="L441" s="7" t="str">
        <f t="shared" ca="1" si="23"/>
        <v/>
      </c>
    </row>
    <row r="442" spans="12:12" x14ac:dyDescent="0.3">
      <c r="L442" s="7" t="str">
        <f t="shared" ca="1" si="23"/>
        <v/>
      </c>
    </row>
    <row r="443" spans="12:12" x14ac:dyDescent="0.3">
      <c r="L443" s="7" t="str">
        <f t="shared" ca="1" si="23"/>
        <v/>
      </c>
    </row>
    <row r="444" spans="12:12" x14ac:dyDescent="0.3">
      <c r="L444" s="7" t="str">
        <f t="shared" ca="1" si="23"/>
        <v/>
      </c>
    </row>
    <row r="445" spans="12:12" x14ac:dyDescent="0.3">
      <c r="L445" s="7" t="str">
        <f t="shared" ca="1" si="23"/>
        <v/>
      </c>
    </row>
    <row r="446" spans="12:12" x14ac:dyDescent="0.3">
      <c r="L446" s="7" t="str">
        <f t="shared" ca="1" si="23"/>
        <v/>
      </c>
    </row>
    <row r="447" spans="12:12" x14ac:dyDescent="0.3">
      <c r="L447" s="7" t="str">
        <f t="shared" ca="1" si="23"/>
        <v/>
      </c>
    </row>
    <row r="448" spans="12:12" x14ac:dyDescent="0.3">
      <c r="L448" s="7" t="str">
        <f t="shared" ca="1" si="23"/>
        <v/>
      </c>
    </row>
    <row r="449" spans="12:12" x14ac:dyDescent="0.3">
      <c r="L449" s="7" t="str">
        <f t="shared" ca="1" si="23"/>
        <v/>
      </c>
    </row>
    <row r="450" spans="12:12" x14ac:dyDescent="0.3">
      <c r="L450" s="7" t="str">
        <f t="shared" ca="1" si="23"/>
        <v/>
      </c>
    </row>
    <row r="451" spans="12:12" x14ac:dyDescent="0.3">
      <c r="L451" s="7" t="str">
        <f t="shared" ca="1" si="23"/>
        <v/>
      </c>
    </row>
    <row r="452" spans="12:12" x14ac:dyDescent="0.3">
      <c r="L452" s="7" t="str">
        <f t="shared" ca="1" si="23"/>
        <v/>
      </c>
    </row>
    <row r="453" spans="12:12" x14ac:dyDescent="0.3">
      <c r="L453" s="7" t="str">
        <f t="shared" ref="L453:L516" ca="1" si="24">IF(I453="Completed",0,IF(H453="","",H453-TODAY()))</f>
        <v/>
      </c>
    </row>
    <row r="454" spans="12:12" x14ac:dyDescent="0.3">
      <c r="L454" s="7" t="str">
        <f t="shared" ca="1" si="24"/>
        <v/>
      </c>
    </row>
    <row r="455" spans="12:12" x14ac:dyDescent="0.3">
      <c r="L455" s="7" t="str">
        <f t="shared" ca="1" si="24"/>
        <v/>
      </c>
    </row>
    <row r="456" spans="12:12" x14ac:dyDescent="0.3">
      <c r="L456" s="7" t="str">
        <f t="shared" ca="1" si="24"/>
        <v/>
      </c>
    </row>
    <row r="457" spans="12:12" x14ac:dyDescent="0.3">
      <c r="L457" s="7" t="str">
        <f t="shared" ca="1" si="24"/>
        <v/>
      </c>
    </row>
    <row r="458" spans="12:12" x14ac:dyDescent="0.3">
      <c r="L458" s="7" t="str">
        <f t="shared" ca="1" si="24"/>
        <v/>
      </c>
    </row>
    <row r="459" spans="12:12" x14ac:dyDescent="0.3">
      <c r="L459" s="7" t="str">
        <f t="shared" ca="1" si="24"/>
        <v/>
      </c>
    </row>
    <row r="460" spans="12:12" x14ac:dyDescent="0.3">
      <c r="L460" s="7" t="str">
        <f t="shared" ca="1" si="24"/>
        <v/>
      </c>
    </row>
    <row r="461" spans="12:12" x14ac:dyDescent="0.3">
      <c r="L461" s="7" t="str">
        <f t="shared" ca="1" si="24"/>
        <v/>
      </c>
    </row>
    <row r="462" spans="12:12" x14ac:dyDescent="0.3">
      <c r="L462" s="7" t="str">
        <f t="shared" ca="1" si="24"/>
        <v/>
      </c>
    </row>
    <row r="463" spans="12:12" x14ac:dyDescent="0.3">
      <c r="L463" s="7" t="str">
        <f t="shared" ca="1" si="24"/>
        <v/>
      </c>
    </row>
    <row r="464" spans="12:12" x14ac:dyDescent="0.3">
      <c r="L464" s="7" t="str">
        <f t="shared" ca="1" si="24"/>
        <v/>
      </c>
    </row>
    <row r="465" spans="12:12" x14ac:dyDescent="0.3">
      <c r="L465" s="7" t="str">
        <f t="shared" ca="1" si="24"/>
        <v/>
      </c>
    </row>
    <row r="466" spans="12:12" x14ac:dyDescent="0.3">
      <c r="L466" s="7" t="str">
        <f t="shared" ca="1" si="24"/>
        <v/>
      </c>
    </row>
    <row r="467" spans="12:12" x14ac:dyDescent="0.3">
      <c r="L467" s="7" t="str">
        <f t="shared" ca="1" si="24"/>
        <v/>
      </c>
    </row>
    <row r="468" spans="12:12" x14ac:dyDescent="0.3">
      <c r="L468" s="7" t="str">
        <f t="shared" ca="1" si="24"/>
        <v/>
      </c>
    </row>
    <row r="469" spans="12:12" x14ac:dyDescent="0.3">
      <c r="L469" s="7" t="str">
        <f t="shared" ca="1" si="24"/>
        <v/>
      </c>
    </row>
    <row r="470" spans="12:12" x14ac:dyDescent="0.3">
      <c r="L470" s="7" t="str">
        <f t="shared" ca="1" si="24"/>
        <v/>
      </c>
    </row>
    <row r="471" spans="12:12" x14ac:dyDescent="0.3">
      <c r="L471" s="7" t="str">
        <f t="shared" ca="1" si="24"/>
        <v/>
      </c>
    </row>
    <row r="472" spans="12:12" x14ac:dyDescent="0.3">
      <c r="L472" s="7" t="str">
        <f t="shared" ca="1" si="24"/>
        <v/>
      </c>
    </row>
    <row r="473" spans="12:12" x14ac:dyDescent="0.3">
      <c r="L473" s="7" t="str">
        <f t="shared" ca="1" si="24"/>
        <v/>
      </c>
    </row>
    <row r="474" spans="12:12" x14ac:dyDescent="0.3">
      <c r="L474" s="7" t="str">
        <f t="shared" ca="1" si="24"/>
        <v/>
      </c>
    </row>
    <row r="475" spans="12:12" x14ac:dyDescent="0.3">
      <c r="L475" s="7" t="str">
        <f t="shared" ca="1" si="24"/>
        <v/>
      </c>
    </row>
    <row r="476" spans="12:12" x14ac:dyDescent="0.3">
      <c r="L476" s="7" t="str">
        <f t="shared" ca="1" si="24"/>
        <v/>
      </c>
    </row>
    <row r="477" spans="12:12" x14ac:dyDescent="0.3">
      <c r="L477" s="7" t="str">
        <f t="shared" ca="1" si="24"/>
        <v/>
      </c>
    </row>
    <row r="478" spans="12:12" x14ac:dyDescent="0.3">
      <c r="L478" s="7" t="str">
        <f t="shared" ca="1" si="24"/>
        <v/>
      </c>
    </row>
    <row r="479" spans="12:12" x14ac:dyDescent="0.3">
      <c r="L479" s="7" t="str">
        <f t="shared" ca="1" si="24"/>
        <v/>
      </c>
    </row>
    <row r="480" spans="12:12" x14ac:dyDescent="0.3">
      <c r="L480" s="7" t="str">
        <f t="shared" ca="1" si="24"/>
        <v/>
      </c>
    </row>
    <row r="481" spans="12:12" x14ac:dyDescent="0.3">
      <c r="L481" s="7" t="str">
        <f t="shared" ca="1" si="24"/>
        <v/>
      </c>
    </row>
    <row r="482" spans="12:12" x14ac:dyDescent="0.3">
      <c r="L482" s="7" t="str">
        <f t="shared" ca="1" si="24"/>
        <v/>
      </c>
    </row>
    <row r="483" spans="12:12" x14ac:dyDescent="0.3">
      <c r="L483" s="7" t="str">
        <f t="shared" ca="1" si="24"/>
        <v/>
      </c>
    </row>
    <row r="484" spans="12:12" x14ac:dyDescent="0.3">
      <c r="L484" s="7" t="str">
        <f t="shared" ca="1" si="24"/>
        <v/>
      </c>
    </row>
    <row r="485" spans="12:12" x14ac:dyDescent="0.3">
      <c r="L485" s="7" t="str">
        <f t="shared" ca="1" si="24"/>
        <v/>
      </c>
    </row>
    <row r="486" spans="12:12" x14ac:dyDescent="0.3">
      <c r="L486" s="7" t="str">
        <f t="shared" ca="1" si="24"/>
        <v/>
      </c>
    </row>
    <row r="487" spans="12:12" x14ac:dyDescent="0.3">
      <c r="L487" s="7" t="str">
        <f t="shared" ca="1" si="24"/>
        <v/>
      </c>
    </row>
    <row r="488" spans="12:12" x14ac:dyDescent="0.3">
      <c r="L488" s="7" t="str">
        <f t="shared" ca="1" si="24"/>
        <v/>
      </c>
    </row>
    <row r="489" spans="12:12" x14ac:dyDescent="0.3">
      <c r="L489" s="7" t="str">
        <f t="shared" ca="1" si="24"/>
        <v/>
      </c>
    </row>
    <row r="490" spans="12:12" x14ac:dyDescent="0.3">
      <c r="L490" s="7" t="str">
        <f t="shared" ca="1" si="24"/>
        <v/>
      </c>
    </row>
    <row r="491" spans="12:12" x14ac:dyDescent="0.3">
      <c r="L491" s="7" t="str">
        <f t="shared" ca="1" si="24"/>
        <v/>
      </c>
    </row>
    <row r="492" spans="12:12" x14ac:dyDescent="0.3">
      <c r="L492" s="7" t="str">
        <f t="shared" ca="1" si="24"/>
        <v/>
      </c>
    </row>
    <row r="493" spans="12:12" x14ac:dyDescent="0.3">
      <c r="L493" s="7" t="str">
        <f t="shared" ca="1" si="24"/>
        <v/>
      </c>
    </row>
    <row r="494" spans="12:12" x14ac:dyDescent="0.3">
      <c r="L494" s="7" t="str">
        <f t="shared" ca="1" si="24"/>
        <v/>
      </c>
    </row>
    <row r="495" spans="12:12" x14ac:dyDescent="0.3">
      <c r="L495" s="7" t="str">
        <f t="shared" ca="1" si="24"/>
        <v/>
      </c>
    </row>
    <row r="496" spans="12:12" x14ac:dyDescent="0.3">
      <c r="L496" s="7" t="str">
        <f t="shared" ca="1" si="24"/>
        <v/>
      </c>
    </row>
    <row r="497" spans="12:12" x14ac:dyDescent="0.3">
      <c r="L497" s="7" t="str">
        <f t="shared" ca="1" si="24"/>
        <v/>
      </c>
    </row>
    <row r="498" spans="12:12" x14ac:dyDescent="0.3">
      <c r="L498" s="7" t="str">
        <f t="shared" ca="1" si="24"/>
        <v/>
      </c>
    </row>
    <row r="499" spans="12:12" x14ac:dyDescent="0.3">
      <c r="L499" s="7" t="str">
        <f t="shared" ca="1" si="24"/>
        <v/>
      </c>
    </row>
    <row r="500" spans="12:12" x14ac:dyDescent="0.3">
      <c r="L500" s="7" t="str">
        <f t="shared" ca="1" si="24"/>
        <v/>
      </c>
    </row>
    <row r="501" spans="12:12" x14ac:dyDescent="0.3">
      <c r="L501" s="7" t="str">
        <f t="shared" ca="1" si="24"/>
        <v/>
      </c>
    </row>
    <row r="502" spans="12:12" x14ac:dyDescent="0.3">
      <c r="L502" s="7" t="str">
        <f t="shared" ca="1" si="24"/>
        <v/>
      </c>
    </row>
    <row r="503" spans="12:12" x14ac:dyDescent="0.3">
      <c r="L503" s="7" t="str">
        <f t="shared" ca="1" si="24"/>
        <v/>
      </c>
    </row>
    <row r="504" spans="12:12" x14ac:dyDescent="0.3">
      <c r="L504" s="7" t="str">
        <f t="shared" ca="1" si="24"/>
        <v/>
      </c>
    </row>
    <row r="505" spans="12:12" x14ac:dyDescent="0.3">
      <c r="L505" s="7" t="str">
        <f t="shared" ca="1" si="24"/>
        <v/>
      </c>
    </row>
    <row r="506" spans="12:12" x14ac:dyDescent="0.3">
      <c r="L506" s="7" t="str">
        <f t="shared" ca="1" si="24"/>
        <v/>
      </c>
    </row>
    <row r="507" spans="12:12" x14ac:dyDescent="0.3">
      <c r="L507" s="7" t="str">
        <f t="shared" ca="1" si="24"/>
        <v/>
      </c>
    </row>
    <row r="508" spans="12:12" x14ac:dyDescent="0.3">
      <c r="L508" s="7" t="str">
        <f t="shared" ca="1" si="24"/>
        <v/>
      </c>
    </row>
    <row r="509" spans="12:12" x14ac:dyDescent="0.3">
      <c r="L509" s="7" t="str">
        <f t="shared" ca="1" si="24"/>
        <v/>
      </c>
    </row>
    <row r="510" spans="12:12" x14ac:dyDescent="0.3">
      <c r="L510" s="7" t="str">
        <f t="shared" ca="1" si="24"/>
        <v/>
      </c>
    </row>
    <row r="511" spans="12:12" x14ac:dyDescent="0.3">
      <c r="L511" s="7" t="str">
        <f t="shared" ca="1" si="24"/>
        <v/>
      </c>
    </row>
    <row r="512" spans="12:12" x14ac:dyDescent="0.3">
      <c r="L512" s="7" t="str">
        <f t="shared" ca="1" si="24"/>
        <v/>
      </c>
    </row>
    <row r="513" spans="12:12" x14ac:dyDescent="0.3">
      <c r="L513" s="7" t="str">
        <f t="shared" ca="1" si="24"/>
        <v/>
      </c>
    </row>
    <row r="514" spans="12:12" x14ac:dyDescent="0.3">
      <c r="L514" s="7" t="str">
        <f t="shared" ca="1" si="24"/>
        <v/>
      </c>
    </row>
    <row r="515" spans="12:12" x14ac:dyDescent="0.3">
      <c r="L515" s="7" t="str">
        <f t="shared" ca="1" si="24"/>
        <v/>
      </c>
    </row>
    <row r="516" spans="12:12" x14ac:dyDescent="0.3">
      <c r="L516" s="7" t="str">
        <f t="shared" ca="1" si="24"/>
        <v/>
      </c>
    </row>
    <row r="517" spans="12:12" x14ac:dyDescent="0.3">
      <c r="L517" s="7" t="str">
        <f t="shared" ref="L517:L580" ca="1" si="25">IF(I517="Completed",0,IF(H517="","",H517-TODAY()))</f>
        <v/>
      </c>
    </row>
    <row r="518" spans="12:12" x14ac:dyDescent="0.3">
      <c r="L518" s="7" t="str">
        <f t="shared" ca="1" si="25"/>
        <v/>
      </c>
    </row>
    <row r="519" spans="12:12" x14ac:dyDescent="0.3">
      <c r="L519" s="7" t="str">
        <f t="shared" ca="1" si="25"/>
        <v/>
      </c>
    </row>
    <row r="520" spans="12:12" x14ac:dyDescent="0.3">
      <c r="L520" s="7" t="str">
        <f t="shared" ca="1" si="25"/>
        <v/>
      </c>
    </row>
    <row r="521" spans="12:12" x14ac:dyDescent="0.3">
      <c r="L521" s="7" t="str">
        <f t="shared" ca="1" si="25"/>
        <v/>
      </c>
    </row>
    <row r="522" spans="12:12" x14ac:dyDescent="0.3">
      <c r="L522" s="7" t="str">
        <f t="shared" ca="1" si="25"/>
        <v/>
      </c>
    </row>
    <row r="523" spans="12:12" x14ac:dyDescent="0.3">
      <c r="L523" s="7" t="str">
        <f t="shared" ca="1" si="25"/>
        <v/>
      </c>
    </row>
    <row r="524" spans="12:12" x14ac:dyDescent="0.3">
      <c r="L524" s="7" t="str">
        <f t="shared" ca="1" si="25"/>
        <v/>
      </c>
    </row>
    <row r="525" spans="12:12" x14ac:dyDescent="0.3">
      <c r="L525" s="7" t="str">
        <f t="shared" ca="1" si="25"/>
        <v/>
      </c>
    </row>
    <row r="526" spans="12:12" x14ac:dyDescent="0.3">
      <c r="L526" s="7" t="str">
        <f t="shared" ca="1" si="25"/>
        <v/>
      </c>
    </row>
    <row r="527" spans="12:12" x14ac:dyDescent="0.3">
      <c r="L527" s="7" t="str">
        <f t="shared" ca="1" si="25"/>
        <v/>
      </c>
    </row>
    <row r="528" spans="12:12" x14ac:dyDescent="0.3">
      <c r="L528" s="7" t="str">
        <f t="shared" ca="1" si="25"/>
        <v/>
      </c>
    </row>
    <row r="529" spans="12:12" x14ac:dyDescent="0.3">
      <c r="L529" s="7" t="str">
        <f t="shared" ca="1" si="25"/>
        <v/>
      </c>
    </row>
    <row r="530" spans="12:12" x14ac:dyDescent="0.3">
      <c r="L530" s="7" t="str">
        <f t="shared" ca="1" si="25"/>
        <v/>
      </c>
    </row>
    <row r="531" spans="12:12" x14ac:dyDescent="0.3">
      <c r="L531" s="7" t="str">
        <f t="shared" ca="1" si="25"/>
        <v/>
      </c>
    </row>
    <row r="532" spans="12:12" x14ac:dyDescent="0.3">
      <c r="L532" s="7" t="str">
        <f t="shared" ca="1" si="25"/>
        <v/>
      </c>
    </row>
    <row r="533" spans="12:12" x14ac:dyDescent="0.3">
      <c r="L533" s="7" t="str">
        <f t="shared" ca="1" si="25"/>
        <v/>
      </c>
    </row>
    <row r="534" spans="12:12" x14ac:dyDescent="0.3">
      <c r="L534" s="7" t="str">
        <f t="shared" ca="1" si="25"/>
        <v/>
      </c>
    </row>
    <row r="535" spans="12:12" x14ac:dyDescent="0.3">
      <c r="L535" s="7" t="str">
        <f t="shared" ca="1" si="25"/>
        <v/>
      </c>
    </row>
    <row r="536" spans="12:12" x14ac:dyDescent="0.3">
      <c r="L536" s="7" t="str">
        <f t="shared" ca="1" si="25"/>
        <v/>
      </c>
    </row>
    <row r="537" spans="12:12" x14ac:dyDescent="0.3">
      <c r="L537" s="7" t="str">
        <f t="shared" ca="1" si="25"/>
        <v/>
      </c>
    </row>
    <row r="538" spans="12:12" x14ac:dyDescent="0.3">
      <c r="L538" s="7" t="str">
        <f t="shared" ca="1" si="25"/>
        <v/>
      </c>
    </row>
    <row r="539" spans="12:12" x14ac:dyDescent="0.3">
      <c r="L539" s="7" t="str">
        <f t="shared" ca="1" si="25"/>
        <v/>
      </c>
    </row>
    <row r="540" spans="12:12" x14ac:dyDescent="0.3">
      <c r="L540" s="7" t="str">
        <f t="shared" ca="1" si="25"/>
        <v/>
      </c>
    </row>
    <row r="541" spans="12:12" x14ac:dyDescent="0.3">
      <c r="L541" s="7" t="str">
        <f t="shared" ca="1" si="25"/>
        <v/>
      </c>
    </row>
    <row r="542" spans="12:12" x14ac:dyDescent="0.3">
      <c r="L542" s="7" t="str">
        <f t="shared" ca="1" si="25"/>
        <v/>
      </c>
    </row>
    <row r="543" spans="12:12" x14ac:dyDescent="0.3">
      <c r="L543" s="7" t="str">
        <f t="shared" ca="1" si="25"/>
        <v/>
      </c>
    </row>
    <row r="544" spans="12:12" x14ac:dyDescent="0.3">
      <c r="L544" s="7" t="str">
        <f t="shared" ca="1" si="25"/>
        <v/>
      </c>
    </row>
    <row r="545" spans="12:12" x14ac:dyDescent="0.3">
      <c r="L545" s="7" t="str">
        <f t="shared" ca="1" si="25"/>
        <v/>
      </c>
    </row>
    <row r="546" spans="12:12" x14ac:dyDescent="0.3">
      <c r="L546" s="7" t="str">
        <f t="shared" ca="1" si="25"/>
        <v/>
      </c>
    </row>
    <row r="547" spans="12:12" x14ac:dyDescent="0.3">
      <c r="L547" s="7" t="str">
        <f t="shared" ca="1" si="25"/>
        <v/>
      </c>
    </row>
    <row r="548" spans="12:12" x14ac:dyDescent="0.3">
      <c r="L548" s="7" t="str">
        <f t="shared" ca="1" si="25"/>
        <v/>
      </c>
    </row>
    <row r="549" spans="12:12" x14ac:dyDescent="0.3">
      <c r="L549" s="7" t="str">
        <f t="shared" ca="1" si="25"/>
        <v/>
      </c>
    </row>
    <row r="550" spans="12:12" x14ac:dyDescent="0.3">
      <c r="L550" s="7" t="str">
        <f t="shared" ca="1" si="25"/>
        <v/>
      </c>
    </row>
    <row r="551" spans="12:12" x14ac:dyDescent="0.3">
      <c r="L551" s="7" t="str">
        <f t="shared" ca="1" si="25"/>
        <v/>
      </c>
    </row>
    <row r="552" spans="12:12" x14ac:dyDescent="0.3">
      <c r="L552" s="7" t="str">
        <f t="shared" ca="1" si="25"/>
        <v/>
      </c>
    </row>
    <row r="553" spans="12:12" x14ac:dyDescent="0.3">
      <c r="L553" s="7" t="str">
        <f t="shared" ca="1" si="25"/>
        <v/>
      </c>
    </row>
    <row r="554" spans="12:12" x14ac:dyDescent="0.3">
      <c r="L554" s="7" t="str">
        <f t="shared" ca="1" si="25"/>
        <v/>
      </c>
    </row>
    <row r="555" spans="12:12" x14ac:dyDescent="0.3">
      <c r="L555" s="7" t="str">
        <f t="shared" ca="1" si="25"/>
        <v/>
      </c>
    </row>
    <row r="556" spans="12:12" x14ac:dyDescent="0.3">
      <c r="L556" s="7" t="str">
        <f t="shared" ca="1" si="25"/>
        <v/>
      </c>
    </row>
    <row r="557" spans="12:12" x14ac:dyDescent="0.3">
      <c r="L557" s="7" t="str">
        <f t="shared" ca="1" si="25"/>
        <v/>
      </c>
    </row>
    <row r="558" spans="12:12" x14ac:dyDescent="0.3">
      <c r="L558" s="7" t="str">
        <f t="shared" ca="1" si="25"/>
        <v/>
      </c>
    </row>
    <row r="559" spans="12:12" x14ac:dyDescent="0.3">
      <c r="L559" s="7" t="str">
        <f t="shared" ca="1" si="25"/>
        <v/>
      </c>
    </row>
    <row r="560" spans="12:12" x14ac:dyDescent="0.3">
      <c r="L560" s="7" t="str">
        <f t="shared" ca="1" si="25"/>
        <v/>
      </c>
    </row>
    <row r="561" spans="12:12" x14ac:dyDescent="0.3">
      <c r="L561" s="7" t="str">
        <f t="shared" ca="1" si="25"/>
        <v/>
      </c>
    </row>
    <row r="562" spans="12:12" x14ac:dyDescent="0.3">
      <c r="L562" s="7" t="str">
        <f t="shared" ca="1" si="25"/>
        <v/>
      </c>
    </row>
    <row r="563" spans="12:12" x14ac:dyDescent="0.3">
      <c r="L563" s="7" t="str">
        <f t="shared" ca="1" si="25"/>
        <v/>
      </c>
    </row>
    <row r="564" spans="12:12" x14ac:dyDescent="0.3">
      <c r="L564" s="7" t="str">
        <f t="shared" ca="1" si="25"/>
        <v/>
      </c>
    </row>
    <row r="565" spans="12:12" x14ac:dyDescent="0.3">
      <c r="L565" s="7" t="str">
        <f t="shared" ca="1" si="25"/>
        <v/>
      </c>
    </row>
    <row r="566" spans="12:12" x14ac:dyDescent="0.3">
      <c r="L566" s="7" t="str">
        <f t="shared" ca="1" si="25"/>
        <v/>
      </c>
    </row>
    <row r="567" spans="12:12" x14ac:dyDescent="0.3">
      <c r="L567" s="7" t="str">
        <f t="shared" ca="1" si="25"/>
        <v/>
      </c>
    </row>
    <row r="568" spans="12:12" x14ac:dyDescent="0.3">
      <c r="L568" s="7" t="str">
        <f t="shared" ca="1" si="25"/>
        <v/>
      </c>
    </row>
    <row r="569" spans="12:12" x14ac:dyDescent="0.3">
      <c r="L569" s="7" t="str">
        <f t="shared" ca="1" si="25"/>
        <v/>
      </c>
    </row>
    <row r="570" spans="12:12" x14ac:dyDescent="0.3">
      <c r="L570" s="7" t="str">
        <f t="shared" ca="1" si="25"/>
        <v/>
      </c>
    </row>
    <row r="571" spans="12:12" x14ac:dyDescent="0.3">
      <c r="L571" s="7" t="str">
        <f t="shared" ca="1" si="25"/>
        <v/>
      </c>
    </row>
    <row r="572" spans="12:12" x14ac:dyDescent="0.3">
      <c r="L572" s="7" t="str">
        <f t="shared" ca="1" si="25"/>
        <v/>
      </c>
    </row>
    <row r="573" spans="12:12" x14ac:dyDescent="0.3">
      <c r="L573" s="7" t="str">
        <f t="shared" ca="1" si="25"/>
        <v/>
      </c>
    </row>
    <row r="574" spans="12:12" x14ac:dyDescent="0.3">
      <c r="L574" s="7" t="str">
        <f t="shared" ca="1" si="25"/>
        <v/>
      </c>
    </row>
    <row r="575" spans="12:12" x14ac:dyDescent="0.3">
      <c r="L575" s="7" t="str">
        <f t="shared" ca="1" si="25"/>
        <v/>
      </c>
    </row>
    <row r="576" spans="12:12" x14ac:dyDescent="0.3">
      <c r="L576" s="7" t="str">
        <f t="shared" ca="1" si="25"/>
        <v/>
      </c>
    </row>
    <row r="577" spans="12:12" x14ac:dyDescent="0.3">
      <c r="L577" s="7" t="str">
        <f t="shared" ca="1" si="25"/>
        <v/>
      </c>
    </row>
    <row r="578" spans="12:12" x14ac:dyDescent="0.3">
      <c r="L578" s="7" t="str">
        <f t="shared" ca="1" si="25"/>
        <v/>
      </c>
    </row>
    <row r="579" spans="12:12" x14ac:dyDescent="0.3">
      <c r="L579" s="7" t="str">
        <f t="shared" ca="1" si="25"/>
        <v/>
      </c>
    </row>
    <row r="580" spans="12:12" x14ac:dyDescent="0.3">
      <c r="L580" s="7" t="str">
        <f t="shared" ca="1" si="25"/>
        <v/>
      </c>
    </row>
    <row r="581" spans="12:12" x14ac:dyDescent="0.3">
      <c r="L581" s="7" t="str">
        <f t="shared" ref="L581:L644" ca="1" si="26">IF(I581="Completed",0,IF(H581="","",H581-TODAY()))</f>
        <v/>
      </c>
    </row>
    <row r="582" spans="12:12" x14ac:dyDescent="0.3">
      <c r="L582" s="7" t="str">
        <f t="shared" ca="1" si="26"/>
        <v/>
      </c>
    </row>
    <row r="583" spans="12:12" x14ac:dyDescent="0.3">
      <c r="L583" s="7" t="str">
        <f t="shared" ca="1" si="26"/>
        <v/>
      </c>
    </row>
    <row r="584" spans="12:12" x14ac:dyDescent="0.3">
      <c r="L584" s="7" t="str">
        <f t="shared" ca="1" si="26"/>
        <v/>
      </c>
    </row>
    <row r="585" spans="12:12" x14ac:dyDescent="0.3">
      <c r="L585" s="7" t="str">
        <f t="shared" ca="1" si="26"/>
        <v/>
      </c>
    </row>
    <row r="586" spans="12:12" x14ac:dyDescent="0.3">
      <c r="L586" s="7" t="str">
        <f t="shared" ca="1" si="26"/>
        <v/>
      </c>
    </row>
    <row r="587" spans="12:12" x14ac:dyDescent="0.3">
      <c r="L587" s="7" t="str">
        <f t="shared" ca="1" si="26"/>
        <v/>
      </c>
    </row>
    <row r="588" spans="12:12" x14ac:dyDescent="0.3">
      <c r="L588" s="7" t="str">
        <f t="shared" ca="1" si="26"/>
        <v/>
      </c>
    </row>
    <row r="589" spans="12:12" x14ac:dyDescent="0.3">
      <c r="L589" s="7" t="str">
        <f t="shared" ca="1" si="26"/>
        <v/>
      </c>
    </row>
    <row r="590" spans="12:12" x14ac:dyDescent="0.3">
      <c r="L590" s="7" t="str">
        <f t="shared" ca="1" si="26"/>
        <v/>
      </c>
    </row>
    <row r="591" spans="12:12" x14ac:dyDescent="0.3">
      <c r="L591" s="7" t="str">
        <f t="shared" ca="1" si="26"/>
        <v/>
      </c>
    </row>
    <row r="592" spans="12:12" x14ac:dyDescent="0.3">
      <c r="L592" s="7" t="str">
        <f t="shared" ca="1" si="26"/>
        <v/>
      </c>
    </row>
    <row r="593" spans="12:12" x14ac:dyDescent="0.3">
      <c r="L593" s="7" t="str">
        <f t="shared" ca="1" si="26"/>
        <v/>
      </c>
    </row>
    <row r="594" spans="12:12" x14ac:dyDescent="0.3">
      <c r="L594" s="7" t="str">
        <f t="shared" ca="1" si="26"/>
        <v/>
      </c>
    </row>
    <row r="595" spans="12:12" x14ac:dyDescent="0.3">
      <c r="L595" s="7" t="str">
        <f t="shared" ca="1" si="26"/>
        <v/>
      </c>
    </row>
    <row r="596" spans="12:12" x14ac:dyDescent="0.3">
      <c r="L596" s="7" t="str">
        <f t="shared" ca="1" si="26"/>
        <v/>
      </c>
    </row>
    <row r="597" spans="12:12" x14ac:dyDescent="0.3">
      <c r="L597" s="7" t="str">
        <f t="shared" ca="1" si="26"/>
        <v/>
      </c>
    </row>
    <row r="598" spans="12:12" x14ac:dyDescent="0.3">
      <c r="L598" s="7" t="str">
        <f t="shared" ca="1" si="26"/>
        <v/>
      </c>
    </row>
    <row r="599" spans="12:12" x14ac:dyDescent="0.3">
      <c r="L599" s="7" t="str">
        <f t="shared" ca="1" si="26"/>
        <v/>
      </c>
    </row>
    <row r="600" spans="12:12" x14ac:dyDescent="0.3">
      <c r="L600" s="7" t="str">
        <f t="shared" ca="1" si="26"/>
        <v/>
      </c>
    </row>
    <row r="601" spans="12:12" x14ac:dyDescent="0.3">
      <c r="L601" s="7" t="str">
        <f t="shared" ca="1" si="26"/>
        <v/>
      </c>
    </row>
    <row r="602" spans="12:12" x14ac:dyDescent="0.3">
      <c r="L602" s="7" t="str">
        <f t="shared" ca="1" si="26"/>
        <v/>
      </c>
    </row>
    <row r="603" spans="12:12" x14ac:dyDescent="0.3">
      <c r="L603" s="7" t="str">
        <f t="shared" ca="1" si="26"/>
        <v/>
      </c>
    </row>
    <row r="604" spans="12:12" x14ac:dyDescent="0.3">
      <c r="L604" s="7" t="str">
        <f t="shared" ca="1" si="26"/>
        <v/>
      </c>
    </row>
    <row r="605" spans="12:12" x14ac:dyDescent="0.3">
      <c r="L605" s="7" t="str">
        <f t="shared" ca="1" si="26"/>
        <v/>
      </c>
    </row>
    <row r="606" spans="12:12" x14ac:dyDescent="0.3">
      <c r="L606" s="7" t="str">
        <f t="shared" ca="1" si="26"/>
        <v/>
      </c>
    </row>
    <row r="607" spans="12:12" x14ac:dyDescent="0.3">
      <c r="L607" s="7" t="str">
        <f t="shared" ca="1" si="26"/>
        <v/>
      </c>
    </row>
    <row r="608" spans="12:12" x14ac:dyDescent="0.3">
      <c r="L608" s="7" t="str">
        <f t="shared" ca="1" si="26"/>
        <v/>
      </c>
    </row>
    <row r="609" spans="12:12" x14ac:dyDescent="0.3">
      <c r="L609" s="7" t="str">
        <f t="shared" ca="1" si="26"/>
        <v/>
      </c>
    </row>
    <row r="610" spans="12:12" x14ac:dyDescent="0.3">
      <c r="L610" s="7" t="str">
        <f t="shared" ca="1" si="26"/>
        <v/>
      </c>
    </row>
    <row r="611" spans="12:12" x14ac:dyDescent="0.3">
      <c r="L611" s="7" t="str">
        <f t="shared" ca="1" si="26"/>
        <v/>
      </c>
    </row>
    <row r="612" spans="12:12" x14ac:dyDescent="0.3">
      <c r="L612" s="7" t="str">
        <f t="shared" ca="1" si="26"/>
        <v/>
      </c>
    </row>
    <row r="613" spans="12:12" x14ac:dyDescent="0.3">
      <c r="L613" s="7" t="str">
        <f t="shared" ca="1" si="26"/>
        <v/>
      </c>
    </row>
    <row r="614" spans="12:12" x14ac:dyDescent="0.3">
      <c r="L614" s="7" t="str">
        <f t="shared" ca="1" si="26"/>
        <v/>
      </c>
    </row>
    <row r="615" spans="12:12" x14ac:dyDescent="0.3">
      <c r="L615" s="7" t="str">
        <f t="shared" ca="1" si="26"/>
        <v/>
      </c>
    </row>
    <row r="616" spans="12:12" x14ac:dyDescent="0.3">
      <c r="L616" s="7" t="str">
        <f t="shared" ca="1" si="26"/>
        <v/>
      </c>
    </row>
    <row r="617" spans="12:12" x14ac:dyDescent="0.3">
      <c r="L617" s="7" t="str">
        <f t="shared" ca="1" si="26"/>
        <v/>
      </c>
    </row>
    <row r="618" spans="12:12" x14ac:dyDescent="0.3">
      <c r="L618" s="7" t="str">
        <f t="shared" ca="1" si="26"/>
        <v/>
      </c>
    </row>
    <row r="619" spans="12:12" x14ac:dyDescent="0.3">
      <c r="L619" s="7" t="str">
        <f t="shared" ca="1" si="26"/>
        <v/>
      </c>
    </row>
    <row r="620" spans="12:12" x14ac:dyDescent="0.3">
      <c r="L620" s="7" t="str">
        <f t="shared" ca="1" si="26"/>
        <v/>
      </c>
    </row>
    <row r="621" spans="12:12" x14ac:dyDescent="0.3">
      <c r="L621" s="7" t="str">
        <f t="shared" ca="1" si="26"/>
        <v/>
      </c>
    </row>
    <row r="622" spans="12:12" x14ac:dyDescent="0.3">
      <c r="L622" s="7" t="str">
        <f t="shared" ca="1" si="26"/>
        <v/>
      </c>
    </row>
    <row r="623" spans="12:12" x14ac:dyDescent="0.3">
      <c r="L623" s="7" t="str">
        <f t="shared" ca="1" si="26"/>
        <v/>
      </c>
    </row>
    <row r="624" spans="12:12" x14ac:dyDescent="0.3">
      <c r="L624" s="7" t="str">
        <f t="shared" ca="1" si="26"/>
        <v/>
      </c>
    </row>
    <row r="625" spans="12:12" x14ac:dyDescent="0.3">
      <c r="L625" s="7" t="str">
        <f t="shared" ca="1" si="26"/>
        <v/>
      </c>
    </row>
    <row r="626" spans="12:12" x14ac:dyDescent="0.3">
      <c r="L626" s="7" t="str">
        <f t="shared" ca="1" si="26"/>
        <v/>
      </c>
    </row>
    <row r="627" spans="12:12" x14ac:dyDescent="0.3">
      <c r="L627" s="7" t="str">
        <f t="shared" ca="1" si="26"/>
        <v/>
      </c>
    </row>
    <row r="628" spans="12:12" x14ac:dyDescent="0.3">
      <c r="L628" s="7" t="str">
        <f t="shared" ca="1" si="26"/>
        <v/>
      </c>
    </row>
    <row r="629" spans="12:12" x14ac:dyDescent="0.3">
      <c r="L629" s="7" t="str">
        <f t="shared" ca="1" si="26"/>
        <v/>
      </c>
    </row>
    <row r="630" spans="12:12" x14ac:dyDescent="0.3">
      <c r="L630" s="7" t="str">
        <f t="shared" ca="1" si="26"/>
        <v/>
      </c>
    </row>
    <row r="631" spans="12:12" x14ac:dyDescent="0.3">
      <c r="L631" s="7" t="str">
        <f t="shared" ca="1" si="26"/>
        <v/>
      </c>
    </row>
    <row r="632" spans="12:12" x14ac:dyDescent="0.3">
      <c r="L632" s="7" t="str">
        <f t="shared" ca="1" si="26"/>
        <v/>
      </c>
    </row>
    <row r="633" spans="12:12" x14ac:dyDescent="0.3">
      <c r="L633" s="7" t="str">
        <f t="shared" ca="1" si="26"/>
        <v/>
      </c>
    </row>
    <row r="634" spans="12:12" x14ac:dyDescent="0.3">
      <c r="L634" s="7" t="str">
        <f t="shared" ca="1" si="26"/>
        <v/>
      </c>
    </row>
    <row r="635" spans="12:12" x14ac:dyDescent="0.3">
      <c r="L635" s="7" t="str">
        <f t="shared" ca="1" si="26"/>
        <v/>
      </c>
    </row>
    <row r="636" spans="12:12" x14ac:dyDescent="0.3">
      <c r="L636" s="7" t="str">
        <f t="shared" ca="1" si="26"/>
        <v/>
      </c>
    </row>
    <row r="637" spans="12:12" x14ac:dyDescent="0.3">
      <c r="L637" s="7" t="str">
        <f t="shared" ca="1" si="26"/>
        <v/>
      </c>
    </row>
    <row r="638" spans="12:12" x14ac:dyDescent="0.3">
      <c r="L638" s="7" t="str">
        <f t="shared" ca="1" si="26"/>
        <v/>
      </c>
    </row>
    <row r="639" spans="12:12" x14ac:dyDescent="0.3">
      <c r="L639" s="7" t="str">
        <f t="shared" ca="1" si="26"/>
        <v/>
      </c>
    </row>
    <row r="640" spans="12:12" x14ac:dyDescent="0.3">
      <c r="L640" s="7" t="str">
        <f t="shared" ca="1" si="26"/>
        <v/>
      </c>
    </row>
    <row r="641" spans="12:12" x14ac:dyDescent="0.3">
      <c r="L641" s="7" t="str">
        <f t="shared" ca="1" si="26"/>
        <v/>
      </c>
    </row>
    <row r="642" spans="12:12" x14ac:dyDescent="0.3">
      <c r="L642" s="7" t="str">
        <f t="shared" ca="1" si="26"/>
        <v/>
      </c>
    </row>
    <row r="643" spans="12:12" x14ac:dyDescent="0.3">
      <c r="L643" s="7" t="str">
        <f t="shared" ca="1" si="26"/>
        <v/>
      </c>
    </row>
    <row r="644" spans="12:12" x14ac:dyDescent="0.3">
      <c r="L644" s="7" t="str">
        <f t="shared" ca="1" si="26"/>
        <v/>
      </c>
    </row>
    <row r="645" spans="12:12" x14ac:dyDescent="0.3">
      <c r="L645" s="7" t="str">
        <f t="shared" ref="L645:L708" ca="1" si="27">IF(I645="Completed",0,IF(H645="","",H645-TODAY()))</f>
        <v/>
      </c>
    </row>
    <row r="646" spans="12:12" x14ac:dyDescent="0.3">
      <c r="L646" s="7" t="str">
        <f t="shared" ca="1" si="27"/>
        <v/>
      </c>
    </row>
    <row r="647" spans="12:12" x14ac:dyDescent="0.3">
      <c r="L647" s="7" t="str">
        <f t="shared" ca="1" si="27"/>
        <v/>
      </c>
    </row>
    <row r="648" spans="12:12" x14ac:dyDescent="0.3">
      <c r="L648" s="7" t="str">
        <f t="shared" ca="1" si="27"/>
        <v/>
      </c>
    </row>
    <row r="649" spans="12:12" x14ac:dyDescent="0.3">
      <c r="L649" s="7" t="str">
        <f t="shared" ca="1" si="27"/>
        <v/>
      </c>
    </row>
    <row r="650" spans="12:12" x14ac:dyDescent="0.3">
      <c r="L650" s="7" t="str">
        <f t="shared" ca="1" si="27"/>
        <v/>
      </c>
    </row>
    <row r="651" spans="12:12" x14ac:dyDescent="0.3">
      <c r="L651" s="7" t="str">
        <f t="shared" ca="1" si="27"/>
        <v/>
      </c>
    </row>
    <row r="652" spans="12:12" x14ac:dyDescent="0.3">
      <c r="L652" s="7" t="str">
        <f t="shared" ca="1" si="27"/>
        <v/>
      </c>
    </row>
    <row r="653" spans="12:12" x14ac:dyDescent="0.3">
      <c r="L653" s="7" t="str">
        <f t="shared" ca="1" si="27"/>
        <v/>
      </c>
    </row>
    <row r="654" spans="12:12" x14ac:dyDescent="0.3">
      <c r="L654" s="7" t="str">
        <f t="shared" ca="1" si="27"/>
        <v/>
      </c>
    </row>
    <row r="655" spans="12:12" x14ac:dyDescent="0.3">
      <c r="L655" s="7" t="str">
        <f t="shared" ca="1" si="27"/>
        <v/>
      </c>
    </row>
    <row r="656" spans="12:12" x14ac:dyDescent="0.3">
      <c r="L656" s="7" t="str">
        <f t="shared" ca="1" si="27"/>
        <v/>
      </c>
    </row>
    <row r="657" spans="12:12" x14ac:dyDescent="0.3">
      <c r="L657" s="7" t="str">
        <f t="shared" ca="1" si="27"/>
        <v/>
      </c>
    </row>
    <row r="658" spans="12:12" x14ac:dyDescent="0.3">
      <c r="L658" s="7" t="str">
        <f t="shared" ca="1" si="27"/>
        <v/>
      </c>
    </row>
    <row r="659" spans="12:12" x14ac:dyDescent="0.3">
      <c r="L659" s="7" t="str">
        <f t="shared" ca="1" si="27"/>
        <v/>
      </c>
    </row>
    <row r="660" spans="12:12" x14ac:dyDescent="0.3">
      <c r="L660" s="7" t="str">
        <f t="shared" ca="1" si="27"/>
        <v/>
      </c>
    </row>
    <row r="661" spans="12:12" x14ac:dyDescent="0.3">
      <c r="L661" s="7" t="str">
        <f t="shared" ca="1" si="27"/>
        <v/>
      </c>
    </row>
    <row r="662" spans="12:12" x14ac:dyDescent="0.3">
      <c r="L662" s="7" t="str">
        <f t="shared" ca="1" si="27"/>
        <v/>
      </c>
    </row>
    <row r="663" spans="12:12" x14ac:dyDescent="0.3">
      <c r="L663" s="7" t="str">
        <f t="shared" ca="1" si="27"/>
        <v/>
      </c>
    </row>
    <row r="664" spans="12:12" x14ac:dyDescent="0.3">
      <c r="L664" s="7" t="str">
        <f t="shared" ca="1" si="27"/>
        <v/>
      </c>
    </row>
    <row r="665" spans="12:12" x14ac:dyDescent="0.3">
      <c r="L665" s="7" t="str">
        <f t="shared" ca="1" si="27"/>
        <v/>
      </c>
    </row>
    <row r="666" spans="12:12" x14ac:dyDescent="0.3">
      <c r="L666" s="7" t="str">
        <f t="shared" ca="1" si="27"/>
        <v/>
      </c>
    </row>
    <row r="667" spans="12:12" x14ac:dyDescent="0.3">
      <c r="L667" s="7" t="str">
        <f t="shared" ca="1" si="27"/>
        <v/>
      </c>
    </row>
    <row r="668" spans="12:12" x14ac:dyDescent="0.3">
      <c r="L668" s="7" t="str">
        <f t="shared" ca="1" si="27"/>
        <v/>
      </c>
    </row>
    <row r="669" spans="12:12" x14ac:dyDescent="0.3">
      <c r="L669" s="7" t="str">
        <f t="shared" ca="1" si="27"/>
        <v/>
      </c>
    </row>
    <row r="670" spans="12:12" x14ac:dyDescent="0.3">
      <c r="L670" s="7" t="str">
        <f t="shared" ca="1" si="27"/>
        <v/>
      </c>
    </row>
    <row r="671" spans="12:12" x14ac:dyDescent="0.3">
      <c r="L671" s="7" t="str">
        <f t="shared" ca="1" si="27"/>
        <v/>
      </c>
    </row>
    <row r="672" spans="12:12" x14ac:dyDescent="0.3">
      <c r="L672" s="7" t="str">
        <f t="shared" ca="1" si="27"/>
        <v/>
      </c>
    </row>
    <row r="673" spans="12:12" x14ac:dyDescent="0.3">
      <c r="L673" s="7" t="str">
        <f t="shared" ca="1" si="27"/>
        <v/>
      </c>
    </row>
    <row r="674" spans="12:12" x14ac:dyDescent="0.3">
      <c r="L674" s="7" t="str">
        <f t="shared" ca="1" si="27"/>
        <v/>
      </c>
    </row>
    <row r="675" spans="12:12" x14ac:dyDescent="0.3">
      <c r="L675" s="7" t="str">
        <f t="shared" ca="1" si="27"/>
        <v/>
      </c>
    </row>
    <row r="676" spans="12:12" x14ac:dyDescent="0.3">
      <c r="L676" s="7" t="str">
        <f t="shared" ca="1" si="27"/>
        <v/>
      </c>
    </row>
    <row r="677" spans="12:12" x14ac:dyDescent="0.3">
      <c r="L677" s="7" t="str">
        <f t="shared" ca="1" si="27"/>
        <v/>
      </c>
    </row>
    <row r="678" spans="12:12" x14ac:dyDescent="0.3">
      <c r="L678" s="7" t="str">
        <f t="shared" ca="1" si="27"/>
        <v/>
      </c>
    </row>
    <row r="679" spans="12:12" x14ac:dyDescent="0.3">
      <c r="L679" s="7" t="str">
        <f t="shared" ca="1" si="27"/>
        <v/>
      </c>
    </row>
    <row r="680" spans="12:12" x14ac:dyDescent="0.3">
      <c r="L680" s="7" t="str">
        <f t="shared" ca="1" si="27"/>
        <v/>
      </c>
    </row>
    <row r="681" spans="12:12" x14ac:dyDescent="0.3">
      <c r="L681" s="7" t="str">
        <f t="shared" ca="1" si="27"/>
        <v/>
      </c>
    </row>
    <row r="682" spans="12:12" x14ac:dyDescent="0.3">
      <c r="L682" s="7" t="str">
        <f t="shared" ca="1" si="27"/>
        <v/>
      </c>
    </row>
    <row r="683" spans="12:12" x14ac:dyDescent="0.3">
      <c r="L683" s="7" t="str">
        <f t="shared" ca="1" si="27"/>
        <v/>
      </c>
    </row>
    <row r="684" spans="12:12" x14ac:dyDescent="0.3">
      <c r="L684" s="7" t="str">
        <f t="shared" ca="1" si="27"/>
        <v/>
      </c>
    </row>
    <row r="685" spans="12:12" x14ac:dyDescent="0.3">
      <c r="L685" s="7" t="str">
        <f t="shared" ca="1" si="27"/>
        <v/>
      </c>
    </row>
    <row r="686" spans="12:12" x14ac:dyDescent="0.3">
      <c r="L686" s="7" t="str">
        <f t="shared" ca="1" si="27"/>
        <v/>
      </c>
    </row>
    <row r="687" spans="12:12" x14ac:dyDescent="0.3">
      <c r="L687" s="7" t="str">
        <f t="shared" ca="1" si="27"/>
        <v/>
      </c>
    </row>
    <row r="688" spans="12:12" x14ac:dyDescent="0.3">
      <c r="L688" s="7" t="str">
        <f t="shared" ca="1" si="27"/>
        <v/>
      </c>
    </row>
    <row r="689" spans="12:12" x14ac:dyDescent="0.3">
      <c r="L689" s="7" t="str">
        <f t="shared" ca="1" si="27"/>
        <v/>
      </c>
    </row>
    <row r="690" spans="12:12" x14ac:dyDescent="0.3">
      <c r="L690" s="7" t="str">
        <f t="shared" ca="1" si="27"/>
        <v/>
      </c>
    </row>
    <row r="691" spans="12:12" x14ac:dyDescent="0.3">
      <c r="L691" s="7" t="str">
        <f t="shared" ca="1" si="27"/>
        <v/>
      </c>
    </row>
    <row r="692" spans="12:12" x14ac:dyDescent="0.3">
      <c r="L692" s="7" t="str">
        <f t="shared" ca="1" si="27"/>
        <v/>
      </c>
    </row>
    <row r="693" spans="12:12" x14ac:dyDescent="0.3">
      <c r="L693" s="7" t="str">
        <f t="shared" ca="1" si="27"/>
        <v/>
      </c>
    </row>
    <row r="694" spans="12:12" x14ac:dyDescent="0.3">
      <c r="L694" s="7" t="str">
        <f t="shared" ca="1" si="27"/>
        <v/>
      </c>
    </row>
    <row r="695" spans="12:12" x14ac:dyDescent="0.3">
      <c r="L695" s="7" t="str">
        <f t="shared" ca="1" si="27"/>
        <v/>
      </c>
    </row>
    <row r="696" spans="12:12" x14ac:dyDescent="0.3">
      <c r="L696" s="7" t="str">
        <f t="shared" ca="1" si="27"/>
        <v/>
      </c>
    </row>
    <row r="697" spans="12:12" x14ac:dyDescent="0.3">
      <c r="L697" s="7" t="str">
        <f t="shared" ca="1" si="27"/>
        <v/>
      </c>
    </row>
    <row r="698" spans="12:12" x14ac:dyDescent="0.3">
      <c r="L698" s="7" t="str">
        <f t="shared" ca="1" si="27"/>
        <v/>
      </c>
    </row>
    <row r="699" spans="12:12" x14ac:dyDescent="0.3">
      <c r="L699" s="7" t="str">
        <f t="shared" ca="1" si="27"/>
        <v/>
      </c>
    </row>
    <row r="700" spans="12:12" x14ac:dyDescent="0.3">
      <c r="L700" s="7" t="str">
        <f t="shared" ca="1" si="27"/>
        <v/>
      </c>
    </row>
    <row r="701" spans="12:12" x14ac:dyDescent="0.3">
      <c r="L701" s="7" t="str">
        <f t="shared" ca="1" si="27"/>
        <v/>
      </c>
    </row>
    <row r="702" spans="12:12" x14ac:dyDescent="0.3">
      <c r="L702" s="7" t="str">
        <f t="shared" ca="1" si="27"/>
        <v/>
      </c>
    </row>
    <row r="703" spans="12:12" x14ac:dyDescent="0.3">
      <c r="L703" s="7" t="str">
        <f t="shared" ca="1" si="27"/>
        <v/>
      </c>
    </row>
    <row r="704" spans="12:12" x14ac:dyDescent="0.3">
      <c r="L704" s="7" t="str">
        <f t="shared" ca="1" si="27"/>
        <v/>
      </c>
    </row>
    <row r="705" spans="12:12" x14ac:dyDescent="0.3">
      <c r="L705" s="7" t="str">
        <f t="shared" ca="1" si="27"/>
        <v/>
      </c>
    </row>
    <row r="706" spans="12:12" x14ac:dyDescent="0.3">
      <c r="L706" s="7" t="str">
        <f t="shared" ca="1" si="27"/>
        <v/>
      </c>
    </row>
    <row r="707" spans="12:12" x14ac:dyDescent="0.3">
      <c r="L707" s="7" t="str">
        <f t="shared" ca="1" si="27"/>
        <v/>
      </c>
    </row>
    <row r="708" spans="12:12" x14ac:dyDescent="0.3">
      <c r="L708" s="7" t="str">
        <f t="shared" ca="1" si="27"/>
        <v/>
      </c>
    </row>
    <row r="709" spans="12:12" x14ac:dyDescent="0.3">
      <c r="L709" s="7" t="str">
        <f t="shared" ref="L709:L772" ca="1" si="28">IF(I709="Completed",0,IF(H709="","",H709-TODAY()))</f>
        <v/>
      </c>
    </row>
    <row r="710" spans="12:12" x14ac:dyDescent="0.3">
      <c r="L710" s="7" t="str">
        <f t="shared" ca="1" si="28"/>
        <v/>
      </c>
    </row>
    <row r="711" spans="12:12" x14ac:dyDescent="0.3">
      <c r="L711" s="7" t="str">
        <f t="shared" ca="1" si="28"/>
        <v/>
      </c>
    </row>
    <row r="712" spans="12:12" x14ac:dyDescent="0.3">
      <c r="L712" s="7" t="str">
        <f t="shared" ca="1" si="28"/>
        <v/>
      </c>
    </row>
    <row r="713" spans="12:12" x14ac:dyDescent="0.3">
      <c r="L713" s="7" t="str">
        <f t="shared" ca="1" si="28"/>
        <v/>
      </c>
    </row>
    <row r="714" spans="12:12" x14ac:dyDescent="0.3">
      <c r="L714" s="7" t="str">
        <f t="shared" ca="1" si="28"/>
        <v/>
      </c>
    </row>
    <row r="715" spans="12:12" x14ac:dyDescent="0.3">
      <c r="L715" s="7" t="str">
        <f t="shared" ca="1" si="28"/>
        <v/>
      </c>
    </row>
    <row r="716" spans="12:12" x14ac:dyDescent="0.3">
      <c r="L716" s="7" t="str">
        <f t="shared" ca="1" si="28"/>
        <v/>
      </c>
    </row>
    <row r="717" spans="12:12" x14ac:dyDescent="0.3">
      <c r="L717" s="7" t="str">
        <f t="shared" ca="1" si="28"/>
        <v/>
      </c>
    </row>
    <row r="718" spans="12:12" x14ac:dyDescent="0.3">
      <c r="L718" s="7" t="str">
        <f t="shared" ca="1" si="28"/>
        <v/>
      </c>
    </row>
    <row r="719" spans="12:12" x14ac:dyDescent="0.3">
      <c r="L719" s="7" t="str">
        <f t="shared" ca="1" si="28"/>
        <v/>
      </c>
    </row>
    <row r="720" spans="12:12" x14ac:dyDescent="0.3">
      <c r="L720" s="7" t="str">
        <f t="shared" ca="1" si="28"/>
        <v/>
      </c>
    </row>
    <row r="721" spans="12:12" x14ac:dyDescent="0.3">
      <c r="L721" s="7" t="str">
        <f t="shared" ca="1" si="28"/>
        <v/>
      </c>
    </row>
    <row r="722" spans="12:12" x14ac:dyDescent="0.3">
      <c r="L722" s="7" t="str">
        <f t="shared" ca="1" si="28"/>
        <v/>
      </c>
    </row>
    <row r="723" spans="12:12" x14ac:dyDescent="0.3">
      <c r="L723" s="7" t="str">
        <f t="shared" ca="1" si="28"/>
        <v/>
      </c>
    </row>
    <row r="724" spans="12:12" x14ac:dyDescent="0.3">
      <c r="L724" s="7" t="str">
        <f t="shared" ca="1" si="28"/>
        <v/>
      </c>
    </row>
    <row r="725" spans="12:12" x14ac:dyDescent="0.3">
      <c r="L725" s="7" t="str">
        <f t="shared" ca="1" si="28"/>
        <v/>
      </c>
    </row>
    <row r="726" spans="12:12" x14ac:dyDescent="0.3">
      <c r="L726" s="7" t="str">
        <f t="shared" ca="1" si="28"/>
        <v/>
      </c>
    </row>
    <row r="727" spans="12:12" x14ac:dyDescent="0.3">
      <c r="L727" s="7" t="str">
        <f t="shared" ca="1" si="28"/>
        <v/>
      </c>
    </row>
    <row r="728" spans="12:12" x14ac:dyDescent="0.3">
      <c r="L728" s="7" t="str">
        <f t="shared" ca="1" si="28"/>
        <v/>
      </c>
    </row>
    <row r="729" spans="12:12" x14ac:dyDescent="0.3">
      <c r="L729" s="7" t="str">
        <f t="shared" ca="1" si="28"/>
        <v/>
      </c>
    </row>
    <row r="730" spans="12:12" x14ac:dyDescent="0.3">
      <c r="L730" s="7" t="str">
        <f t="shared" ca="1" si="28"/>
        <v/>
      </c>
    </row>
    <row r="731" spans="12:12" x14ac:dyDescent="0.3">
      <c r="L731" s="7" t="str">
        <f t="shared" ca="1" si="28"/>
        <v/>
      </c>
    </row>
    <row r="732" spans="12:12" x14ac:dyDescent="0.3">
      <c r="L732" s="7" t="str">
        <f t="shared" ca="1" si="28"/>
        <v/>
      </c>
    </row>
    <row r="733" spans="12:12" x14ac:dyDescent="0.3">
      <c r="L733" s="7" t="str">
        <f t="shared" ca="1" si="28"/>
        <v/>
      </c>
    </row>
    <row r="734" spans="12:12" x14ac:dyDescent="0.3">
      <c r="L734" s="7" t="str">
        <f t="shared" ca="1" si="28"/>
        <v/>
      </c>
    </row>
    <row r="735" spans="12:12" x14ac:dyDescent="0.3">
      <c r="L735" s="7" t="str">
        <f t="shared" ca="1" si="28"/>
        <v/>
      </c>
    </row>
    <row r="736" spans="12:12" x14ac:dyDescent="0.3">
      <c r="L736" s="7" t="str">
        <f t="shared" ca="1" si="28"/>
        <v/>
      </c>
    </row>
    <row r="737" spans="12:12" x14ac:dyDescent="0.3">
      <c r="L737" s="7" t="str">
        <f t="shared" ca="1" si="28"/>
        <v/>
      </c>
    </row>
    <row r="738" spans="12:12" x14ac:dyDescent="0.3">
      <c r="L738" s="7" t="str">
        <f t="shared" ca="1" si="28"/>
        <v/>
      </c>
    </row>
    <row r="739" spans="12:12" x14ac:dyDescent="0.3">
      <c r="L739" s="7" t="str">
        <f t="shared" ca="1" si="28"/>
        <v/>
      </c>
    </row>
    <row r="740" spans="12:12" x14ac:dyDescent="0.3">
      <c r="L740" s="7" t="str">
        <f t="shared" ca="1" si="28"/>
        <v/>
      </c>
    </row>
    <row r="741" spans="12:12" x14ac:dyDescent="0.3">
      <c r="L741" s="7" t="str">
        <f t="shared" ca="1" si="28"/>
        <v/>
      </c>
    </row>
    <row r="742" spans="12:12" x14ac:dyDescent="0.3">
      <c r="L742" s="7" t="str">
        <f t="shared" ca="1" si="28"/>
        <v/>
      </c>
    </row>
    <row r="743" spans="12:12" x14ac:dyDescent="0.3">
      <c r="L743" s="7" t="str">
        <f t="shared" ca="1" si="28"/>
        <v/>
      </c>
    </row>
    <row r="744" spans="12:12" x14ac:dyDescent="0.3">
      <c r="L744" s="7" t="str">
        <f t="shared" ca="1" si="28"/>
        <v/>
      </c>
    </row>
    <row r="745" spans="12:12" x14ac:dyDescent="0.3">
      <c r="L745" s="7" t="str">
        <f t="shared" ca="1" si="28"/>
        <v/>
      </c>
    </row>
    <row r="746" spans="12:12" x14ac:dyDescent="0.3">
      <c r="L746" s="7" t="str">
        <f t="shared" ca="1" si="28"/>
        <v/>
      </c>
    </row>
    <row r="747" spans="12:12" x14ac:dyDescent="0.3">
      <c r="L747" s="7" t="str">
        <f t="shared" ca="1" si="28"/>
        <v/>
      </c>
    </row>
    <row r="748" spans="12:12" x14ac:dyDescent="0.3">
      <c r="L748" s="7" t="str">
        <f t="shared" ca="1" si="28"/>
        <v/>
      </c>
    </row>
    <row r="749" spans="12:12" x14ac:dyDescent="0.3">
      <c r="L749" s="7" t="str">
        <f t="shared" ca="1" si="28"/>
        <v/>
      </c>
    </row>
    <row r="750" spans="12:12" x14ac:dyDescent="0.3">
      <c r="L750" s="7" t="str">
        <f t="shared" ca="1" si="28"/>
        <v/>
      </c>
    </row>
    <row r="751" spans="12:12" x14ac:dyDescent="0.3">
      <c r="L751" s="7" t="str">
        <f t="shared" ca="1" si="28"/>
        <v/>
      </c>
    </row>
    <row r="752" spans="12:12" x14ac:dyDescent="0.3">
      <c r="L752" s="7" t="str">
        <f t="shared" ca="1" si="28"/>
        <v/>
      </c>
    </row>
    <row r="753" spans="12:12" x14ac:dyDescent="0.3">
      <c r="L753" s="7" t="str">
        <f t="shared" ca="1" si="28"/>
        <v/>
      </c>
    </row>
    <row r="754" spans="12:12" x14ac:dyDescent="0.3">
      <c r="L754" s="7" t="str">
        <f t="shared" ca="1" si="28"/>
        <v/>
      </c>
    </row>
    <row r="755" spans="12:12" x14ac:dyDescent="0.3">
      <c r="L755" s="7" t="str">
        <f t="shared" ca="1" si="28"/>
        <v/>
      </c>
    </row>
    <row r="756" spans="12:12" x14ac:dyDescent="0.3">
      <c r="L756" s="7" t="str">
        <f t="shared" ca="1" si="28"/>
        <v/>
      </c>
    </row>
    <row r="757" spans="12:12" x14ac:dyDescent="0.3">
      <c r="L757" s="7" t="str">
        <f t="shared" ca="1" si="28"/>
        <v/>
      </c>
    </row>
    <row r="758" spans="12:12" x14ac:dyDescent="0.3">
      <c r="L758" s="7" t="str">
        <f t="shared" ca="1" si="28"/>
        <v/>
      </c>
    </row>
    <row r="759" spans="12:12" x14ac:dyDescent="0.3">
      <c r="L759" s="7" t="str">
        <f t="shared" ca="1" si="28"/>
        <v/>
      </c>
    </row>
    <row r="760" spans="12:12" x14ac:dyDescent="0.3">
      <c r="L760" s="7" t="str">
        <f t="shared" ca="1" si="28"/>
        <v/>
      </c>
    </row>
    <row r="761" spans="12:12" x14ac:dyDescent="0.3">
      <c r="L761" s="7" t="str">
        <f t="shared" ca="1" si="28"/>
        <v/>
      </c>
    </row>
    <row r="762" spans="12:12" x14ac:dyDescent="0.3">
      <c r="L762" s="7" t="str">
        <f t="shared" ca="1" si="28"/>
        <v/>
      </c>
    </row>
    <row r="763" spans="12:12" x14ac:dyDescent="0.3">
      <c r="L763" s="7" t="str">
        <f t="shared" ca="1" si="28"/>
        <v/>
      </c>
    </row>
    <row r="764" spans="12:12" x14ac:dyDescent="0.3">
      <c r="L764" s="7" t="str">
        <f t="shared" ca="1" si="28"/>
        <v/>
      </c>
    </row>
    <row r="765" spans="12:12" x14ac:dyDescent="0.3">
      <c r="L765" s="7" t="str">
        <f t="shared" ca="1" si="28"/>
        <v/>
      </c>
    </row>
    <row r="766" spans="12:12" x14ac:dyDescent="0.3">
      <c r="L766" s="7" t="str">
        <f t="shared" ca="1" si="28"/>
        <v/>
      </c>
    </row>
    <row r="767" spans="12:12" x14ac:dyDescent="0.3">
      <c r="L767" s="7" t="str">
        <f t="shared" ca="1" si="28"/>
        <v/>
      </c>
    </row>
    <row r="768" spans="12:12" x14ac:dyDescent="0.3">
      <c r="L768" s="7" t="str">
        <f t="shared" ca="1" si="28"/>
        <v/>
      </c>
    </row>
    <row r="769" spans="12:12" x14ac:dyDescent="0.3">
      <c r="L769" s="7" t="str">
        <f t="shared" ca="1" si="28"/>
        <v/>
      </c>
    </row>
    <row r="770" spans="12:12" x14ac:dyDescent="0.3">
      <c r="L770" s="7" t="str">
        <f t="shared" ca="1" si="28"/>
        <v/>
      </c>
    </row>
    <row r="771" spans="12:12" x14ac:dyDescent="0.3">
      <c r="L771" s="7" t="str">
        <f t="shared" ca="1" si="28"/>
        <v/>
      </c>
    </row>
    <row r="772" spans="12:12" x14ac:dyDescent="0.3">
      <c r="L772" s="7" t="str">
        <f t="shared" ca="1" si="28"/>
        <v/>
      </c>
    </row>
    <row r="773" spans="12:12" x14ac:dyDescent="0.3">
      <c r="L773" s="7" t="str">
        <f t="shared" ref="L773:L836" ca="1" si="29">IF(I773="Completed",0,IF(H773="","",H773-TODAY()))</f>
        <v/>
      </c>
    </row>
    <row r="774" spans="12:12" x14ac:dyDescent="0.3">
      <c r="L774" s="7" t="str">
        <f t="shared" ca="1" si="29"/>
        <v/>
      </c>
    </row>
    <row r="775" spans="12:12" x14ac:dyDescent="0.3">
      <c r="L775" s="7" t="str">
        <f t="shared" ca="1" si="29"/>
        <v/>
      </c>
    </row>
    <row r="776" spans="12:12" x14ac:dyDescent="0.3">
      <c r="L776" s="7" t="str">
        <f t="shared" ca="1" si="29"/>
        <v/>
      </c>
    </row>
    <row r="777" spans="12:12" x14ac:dyDescent="0.3">
      <c r="L777" s="7" t="str">
        <f t="shared" ca="1" si="29"/>
        <v/>
      </c>
    </row>
    <row r="778" spans="12:12" x14ac:dyDescent="0.3">
      <c r="L778" s="7" t="str">
        <f t="shared" ca="1" si="29"/>
        <v/>
      </c>
    </row>
    <row r="779" spans="12:12" x14ac:dyDescent="0.3">
      <c r="L779" s="7" t="str">
        <f t="shared" ca="1" si="29"/>
        <v/>
      </c>
    </row>
    <row r="780" spans="12:12" x14ac:dyDescent="0.3">
      <c r="L780" s="7" t="str">
        <f t="shared" ca="1" si="29"/>
        <v/>
      </c>
    </row>
    <row r="781" spans="12:12" x14ac:dyDescent="0.3">
      <c r="L781" s="7" t="str">
        <f t="shared" ca="1" si="29"/>
        <v/>
      </c>
    </row>
    <row r="782" spans="12:12" x14ac:dyDescent="0.3">
      <c r="L782" s="7" t="str">
        <f t="shared" ca="1" si="29"/>
        <v/>
      </c>
    </row>
    <row r="783" spans="12:12" x14ac:dyDescent="0.3">
      <c r="L783" s="7" t="str">
        <f t="shared" ca="1" si="29"/>
        <v/>
      </c>
    </row>
    <row r="784" spans="12:12" x14ac:dyDescent="0.3">
      <c r="L784" s="7" t="str">
        <f t="shared" ca="1" si="29"/>
        <v/>
      </c>
    </row>
    <row r="785" spans="12:12" x14ac:dyDescent="0.3">
      <c r="L785" s="7" t="str">
        <f t="shared" ca="1" si="29"/>
        <v/>
      </c>
    </row>
    <row r="786" spans="12:12" x14ac:dyDescent="0.3">
      <c r="L786" s="7" t="str">
        <f t="shared" ca="1" si="29"/>
        <v/>
      </c>
    </row>
    <row r="787" spans="12:12" x14ac:dyDescent="0.3">
      <c r="L787" s="7" t="str">
        <f t="shared" ca="1" si="29"/>
        <v/>
      </c>
    </row>
    <row r="788" spans="12:12" x14ac:dyDescent="0.3">
      <c r="L788" s="7" t="str">
        <f t="shared" ca="1" si="29"/>
        <v/>
      </c>
    </row>
    <row r="789" spans="12:12" x14ac:dyDescent="0.3">
      <c r="L789" s="7" t="str">
        <f t="shared" ca="1" si="29"/>
        <v/>
      </c>
    </row>
    <row r="790" spans="12:12" x14ac:dyDescent="0.3">
      <c r="L790" s="7" t="str">
        <f t="shared" ca="1" si="29"/>
        <v/>
      </c>
    </row>
    <row r="791" spans="12:12" x14ac:dyDescent="0.3">
      <c r="L791" s="7" t="str">
        <f t="shared" ca="1" si="29"/>
        <v/>
      </c>
    </row>
    <row r="792" spans="12:12" x14ac:dyDescent="0.3">
      <c r="L792" s="7" t="str">
        <f t="shared" ca="1" si="29"/>
        <v/>
      </c>
    </row>
    <row r="793" spans="12:12" x14ac:dyDescent="0.3">
      <c r="L793" s="7" t="str">
        <f t="shared" ca="1" si="29"/>
        <v/>
      </c>
    </row>
    <row r="794" spans="12:12" x14ac:dyDescent="0.3">
      <c r="L794" s="7" t="str">
        <f t="shared" ca="1" si="29"/>
        <v/>
      </c>
    </row>
    <row r="795" spans="12:12" x14ac:dyDescent="0.3">
      <c r="L795" s="7" t="str">
        <f t="shared" ca="1" si="29"/>
        <v/>
      </c>
    </row>
    <row r="796" spans="12:12" x14ac:dyDescent="0.3">
      <c r="L796" s="7" t="str">
        <f t="shared" ca="1" si="29"/>
        <v/>
      </c>
    </row>
    <row r="797" spans="12:12" x14ac:dyDescent="0.3">
      <c r="L797" s="7" t="str">
        <f t="shared" ca="1" si="29"/>
        <v/>
      </c>
    </row>
    <row r="798" spans="12:12" x14ac:dyDescent="0.3">
      <c r="L798" s="7" t="str">
        <f t="shared" ca="1" si="29"/>
        <v/>
      </c>
    </row>
    <row r="799" spans="12:12" x14ac:dyDescent="0.3">
      <c r="L799" s="7" t="str">
        <f t="shared" ca="1" si="29"/>
        <v/>
      </c>
    </row>
    <row r="800" spans="12:12" x14ac:dyDescent="0.3">
      <c r="L800" s="7" t="str">
        <f t="shared" ca="1" si="29"/>
        <v/>
      </c>
    </row>
    <row r="801" spans="12:12" x14ac:dyDescent="0.3">
      <c r="L801" s="7" t="str">
        <f t="shared" ca="1" si="29"/>
        <v/>
      </c>
    </row>
    <row r="802" spans="12:12" x14ac:dyDescent="0.3">
      <c r="L802" s="7" t="str">
        <f t="shared" ca="1" si="29"/>
        <v/>
      </c>
    </row>
    <row r="803" spans="12:12" x14ac:dyDescent="0.3">
      <c r="L803" s="7" t="str">
        <f t="shared" ca="1" si="29"/>
        <v/>
      </c>
    </row>
    <row r="804" spans="12:12" x14ac:dyDescent="0.3">
      <c r="L804" s="7" t="str">
        <f t="shared" ca="1" si="29"/>
        <v/>
      </c>
    </row>
    <row r="805" spans="12:12" x14ac:dyDescent="0.3">
      <c r="L805" s="7" t="str">
        <f t="shared" ca="1" si="29"/>
        <v/>
      </c>
    </row>
    <row r="806" spans="12:12" x14ac:dyDescent="0.3">
      <c r="L806" s="7" t="str">
        <f t="shared" ca="1" si="29"/>
        <v/>
      </c>
    </row>
    <row r="807" spans="12:12" x14ac:dyDescent="0.3">
      <c r="L807" s="7" t="str">
        <f t="shared" ca="1" si="29"/>
        <v/>
      </c>
    </row>
    <row r="808" spans="12:12" x14ac:dyDescent="0.3">
      <c r="L808" s="7" t="str">
        <f t="shared" ca="1" si="29"/>
        <v/>
      </c>
    </row>
    <row r="809" spans="12:12" x14ac:dyDescent="0.3">
      <c r="L809" s="7" t="str">
        <f t="shared" ca="1" si="29"/>
        <v/>
      </c>
    </row>
    <row r="810" spans="12:12" x14ac:dyDescent="0.3">
      <c r="L810" s="7" t="str">
        <f t="shared" ca="1" si="29"/>
        <v/>
      </c>
    </row>
    <row r="811" spans="12:12" x14ac:dyDescent="0.3">
      <c r="L811" s="7" t="str">
        <f t="shared" ca="1" si="29"/>
        <v/>
      </c>
    </row>
    <row r="812" spans="12:12" x14ac:dyDescent="0.3">
      <c r="L812" s="7" t="str">
        <f t="shared" ca="1" si="29"/>
        <v/>
      </c>
    </row>
    <row r="813" spans="12:12" x14ac:dyDescent="0.3">
      <c r="L813" s="7" t="str">
        <f t="shared" ca="1" si="29"/>
        <v/>
      </c>
    </row>
    <row r="814" spans="12:12" x14ac:dyDescent="0.3">
      <c r="L814" s="7" t="str">
        <f t="shared" ca="1" si="29"/>
        <v/>
      </c>
    </row>
    <row r="815" spans="12:12" x14ac:dyDescent="0.3">
      <c r="L815" s="7" t="str">
        <f t="shared" ca="1" si="29"/>
        <v/>
      </c>
    </row>
    <row r="816" spans="12:12" x14ac:dyDescent="0.3">
      <c r="L816" s="7" t="str">
        <f t="shared" ca="1" si="29"/>
        <v/>
      </c>
    </row>
    <row r="817" spans="12:12" x14ac:dyDescent="0.3">
      <c r="L817" s="7" t="str">
        <f t="shared" ca="1" si="29"/>
        <v/>
      </c>
    </row>
    <row r="818" spans="12:12" x14ac:dyDescent="0.3">
      <c r="L818" s="7" t="str">
        <f t="shared" ca="1" si="29"/>
        <v/>
      </c>
    </row>
    <row r="819" spans="12:12" x14ac:dyDescent="0.3">
      <c r="L819" s="7" t="str">
        <f t="shared" ca="1" si="29"/>
        <v/>
      </c>
    </row>
    <row r="820" spans="12:12" x14ac:dyDescent="0.3">
      <c r="L820" s="7" t="str">
        <f t="shared" ca="1" si="29"/>
        <v/>
      </c>
    </row>
    <row r="821" spans="12:12" x14ac:dyDescent="0.3">
      <c r="L821" s="7" t="str">
        <f t="shared" ca="1" si="29"/>
        <v/>
      </c>
    </row>
    <row r="822" spans="12:12" x14ac:dyDescent="0.3">
      <c r="L822" s="7" t="str">
        <f t="shared" ca="1" si="29"/>
        <v/>
      </c>
    </row>
    <row r="823" spans="12:12" x14ac:dyDescent="0.3">
      <c r="L823" s="7" t="str">
        <f t="shared" ca="1" si="29"/>
        <v/>
      </c>
    </row>
    <row r="824" spans="12:12" x14ac:dyDescent="0.3">
      <c r="L824" s="7" t="str">
        <f t="shared" ca="1" si="29"/>
        <v/>
      </c>
    </row>
    <row r="825" spans="12:12" x14ac:dyDescent="0.3">
      <c r="L825" s="7" t="str">
        <f t="shared" ca="1" si="29"/>
        <v/>
      </c>
    </row>
    <row r="826" spans="12:12" x14ac:dyDescent="0.3">
      <c r="L826" s="7" t="str">
        <f t="shared" ca="1" si="29"/>
        <v/>
      </c>
    </row>
    <row r="827" spans="12:12" x14ac:dyDescent="0.3">
      <c r="L827" s="7" t="str">
        <f t="shared" ca="1" si="29"/>
        <v/>
      </c>
    </row>
    <row r="828" spans="12:12" x14ac:dyDescent="0.3">
      <c r="L828" s="7" t="str">
        <f t="shared" ca="1" si="29"/>
        <v/>
      </c>
    </row>
    <row r="829" spans="12:12" x14ac:dyDescent="0.3">
      <c r="L829" s="7" t="str">
        <f t="shared" ca="1" si="29"/>
        <v/>
      </c>
    </row>
    <row r="830" spans="12:12" x14ac:dyDescent="0.3">
      <c r="L830" s="7" t="str">
        <f t="shared" ca="1" si="29"/>
        <v/>
      </c>
    </row>
    <row r="831" spans="12:12" x14ac:dyDescent="0.3">
      <c r="L831" s="7" t="str">
        <f t="shared" ca="1" si="29"/>
        <v/>
      </c>
    </row>
    <row r="832" spans="12:12" x14ac:dyDescent="0.3">
      <c r="L832" s="7" t="str">
        <f t="shared" ca="1" si="29"/>
        <v/>
      </c>
    </row>
    <row r="833" spans="12:12" x14ac:dyDescent="0.3">
      <c r="L833" s="7" t="str">
        <f t="shared" ca="1" si="29"/>
        <v/>
      </c>
    </row>
    <row r="834" spans="12:12" x14ac:dyDescent="0.3">
      <c r="L834" s="7" t="str">
        <f t="shared" ca="1" si="29"/>
        <v/>
      </c>
    </row>
    <row r="835" spans="12:12" x14ac:dyDescent="0.3">
      <c r="L835" s="7" t="str">
        <f t="shared" ca="1" si="29"/>
        <v/>
      </c>
    </row>
    <row r="836" spans="12:12" x14ac:dyDescent="0.3">
      <c r="L836" s="7" t="str">
        <f t="shared" ca="1" si="29"/>
        <v/>
      </c>
    </row>
    <row r="837" spans="12:12" x14ac:dyDescent="0.3">
      <c r="L837" s="7" t="str">
        <f t="shared" ref="L837:L900" ca="1" si="30">IF(I837="Completed",0,IF(H837="","",H837-TODAY()))</f>
        <v/>
      </c>
    </row>
    <row r="838" spans="12:12" x14ac:dyDescent="0.3">
      <c r="L838" s="7" t="str">
        <f t="shared" ca="1" si="30"/>
        <v/>
      </c>
    </row>
    <row r="839" spans="12:12" x14ac:dyDescent="0.3">
      <c r="L839" s="7" t="str">
        <f t="shared" ca="1" si="30"/>
        <v/>
      </c>
    </row>
    <row r="840" spans="12:12" x14ac:dyDescent="0.3">
      <c r="L840" s="7" t="str">
        <f t="shared" ca="1" si="30"/>
        <v/>
      </c>
    </row>
    <row r="841" spans="12:12" x14ac:dyDescent="0.3">
      <c r="L841" s="7" t="str">
        <f t="shared" ca="1" si="30"/>
        <v/>
      </c>
    </row>
    <row r="842" spans="12:12" x14ac:dyDescent="0.3">
      <c r="L842" s="7" t="str">
        <f t="shared" ca="1" si="30"/>
        <v/>
      </c>
    </row>
    <row r="843" spans="12:12" x14ac:dyDescent="0.3">
      <c r="L843" s="7" t="str">
        <f t="shared" ca="1" si="30"/>
        <v/>
      </c>
    </row>
    <row r="844" spans="12:12" x14ac:dyDescent="0.3">
      <c r="L844" s="7" t="str">
        <f t="shared" ca="1" si="30"/>
        <v/>
      </c>
    </row>
    <row r="845" spans="12:12" x14ac:dyDescent="0.3">
      <c r="L845" s="7" t="str">
        <f t="shared" ca="1" si="30"/>
        <v/>
      </c>
    </row>
    <row r="846" spans="12:12" x14ac:dyDescent="0.3">
      <c r="L846" s="7" t="str">
        <f t="shared" ca="1" si="30"/>
        <v/>
      </c>
    </row>
    <row r="847" spans="12:12" x14ac:dyDescent="0.3">
      <c r="L847" s="7" t="str">
        <f t="shared" ca="1" si="30"/>
        <v/>
      </c>
    </row>
    <row r="848" spans="12:12" x14ac:dyDescent="0.3">
      <c r="L848" s="7" t="str">
        <f t="shared" ca="1" si="30"/>
        <v/>
      </c>
    </row>
    <row r="849" spans="12:12" x14ac:dyDescent="0.3">
      <c r="L849" s="7" t="str">
        <f t="shared" ca="1" si="30"/>
        <v/>
      </c>
    </row>
    <row r="850" spans="12:12" x14ac:dyDescent="0.3">
      <c r="L850" s="7" t="str">
        <f t="shared" ca="1" si="30"/>
        <v/>
      </c>
    </row>
    <row r="851" spans="12:12" x14ac:dyDescent="0.3">
      <c r="L851" s="7" t="str">
        <f t="shared" ca="1" si="30"/>
        <v/>
      </c>
    </row>
    <row r="852" spans="12:12" x14ac:dyDescent="0.3">
      <c r="L852" s="7" t="str">
        <f t="shared" ca="1" si="30"/>
        <v/>
      </c>
    </row>
    <row r="853" spans="12:12" x14ac:dyDescent="0.3">
      <c r="L853" s="7" t="str">
        <f t="shared" ca="1" si="30"/>
        <v/>
      </c>
    </row>
    <row r="854" spans="12:12" x14ac:dyDescent="0.3">
      <c r="L854" s="7" t="str">
        <f t="shared" ca="1" si="30"/>
        <v/>
      </c>
    </row>
    <row r="855" spans="12:12" x14ac:dyDescent="0.3">
      <c r="L855" s="7" t="str">
        <f t="shared" ca="1" si="30"/>
        <v/>
      </c>
    </row>
    <row r="856" spans="12:12" x14ac:dyDescent="0.3">
      <c r="L856" s="7" t="str">
        <f t="shared" ca="1" si="30"/>
        <v/>
      </c>
    </row>
    <row r="857" spans="12:12" x14ac:dyDescent="0.3">
      <c r="L857" s="7" t="str">
        <f t="shared" ca="1" si="30"/>
        <v/>
      </c>
    </row>
    <row r="858" spans="12:12" x14ac:dyDescent="0.3">
      <c r="L858" s="7" t="str">
        <f t="shared" ca="1" si="30"/>
        <v/>
      </c>
    </row>
    <row r="859" spans="12:12" x14ac:dyDescent="0.3">
      <c r="L859" s="7" t="str">
        <f t="shared" ca="1" si="30"/>
        <v/>
      </c>
    </row>
    <row r="860" spans="12:12" x14ac:dyDescent="0.3">
      <c r="L860" s="7" t="str">
        <f t="shared" ca="1" si="30"/>
        <v/>
      </c>
    </row>
    <row r="861" spans="12:12" x14ac:dyDescent="0.3">
      <c r="L861" s="7" t="str">
        <f t="shared" ca="1" si="30"/>
        <v/>
      </c>
    </row>
    <row r="862" spans="12:12" x14ac:dyDescent="0.3">
      <c r="L862" s="7" t="str">
        <f t="shared" ca="1" si="30"/>
        <v/>
      </c>
    </row>
    <row r="863" spans="12:12" x14ac:dyDescent="0.3">
      <c r="L863" s="7" t="str">
        <f t="shared" ca="1" si="30"/>
        <v/>
      </c>
    </row>
    <row r="864" spans="12:12" x14ac:dyDescent="0.3">
      <c r="L864" s="7" t="str">
        <f t="shared" ca="1" si="30"/>
        <v/>
      </c>
    </row>
    <row r="865" spans="12:12" x14ac:dyDescent="0.3">
      <c r="L865" s="7" t="str">
        <f t="shared" ca="1" si="30"/>
        <v/>
      </c>
    </row>
    <row r="866" spans="12:12" x14ac:dyDescent="0.3">
      <c r="L866" s="7" t="str">
        <f t="shared" ca="1" si="30"/>
        <v/>
      </c>
    </row>
    <row r="867" spans="12:12" x14ac:dyDescent="0.3">
      <c r="L867" s="7" t="str">
        <f t="shared" ca="1" si="30"/>
        <v/>
      </c>
    </row>
    <row r="868" spans="12:12" x14ac:dyDescent="0.3">
      <c r="L868" s="7" t="str">
        <f t="shared" ca="1" si="30"/>
        <v/>
      </c>
    </row>
    <row r="869" spans="12:12" x14ac:dyDescent="0.3">
      <c r="L869" s="7" t="str">
        <f t="shared" ca="1" si="30"/>
        <v/>
      </c>
    </row>
    <row r="870" spans="12:12" x14ac:dyDescent="0.3">
      <c r="L870" s="7" t="str">
        <f t="shared" ca="1" si="30"/>
        <v/>
      </c>
    </row>
    <row r="871" spans="12:12" x14ac:dyDescent="0.3">
      <c r="L871" s="7" t="str">
        <f t="shared" ca="1" si="30"/>
        <v/>
      </c>
    </row>
    <row r="872" spans="12:12" x14ac:dyDescent="0.3">
      <c r="L872" s="7" t="str">
        <f t="shared" ca="1" si="30"/>
        <v/>
      </c>
    </row>
    <row r="873" spans="12:12" x14ac:dyDescent="0.3">
      <c r="L873" s="7" t="str">
        <f t="shared" ca="1" si="30"/>
        <v/>
      </c>
    </row>
    <row r="874" spans="12:12" x14ac:dyDescent="0.3">
      <c r="L874" s="7" t="str">
        <f t="shared" ca="1" si="30"/>
        <v/>
      </c>
    </row>
    <row r="875" spans="12:12" x14ac:dyDescent="0.3">
      <c r="L875" s="7" t="str">
        <f t="shared" ca="1" si="30"/>
        <v/>
      </c>
    </row>
    <row r="876" spans="12:12" x14ac:dyDescent="0.3">
      <c r="L876" s="7" t="str">
        <f t="shared" ca="1" si="30"/>
        <v/>
      </c>
    </row>
    <row r="877" spans="12:12" x14ac:dyDescent="0.3">
      <c r="L877" s="7" t="str">
        <f t="shared" ca="1" si="30"/>
        <v/>
      </c>
    </row>
    <row r="878" spans="12:12" x14ac:dyDescent="0.3">
      <c r="L878" s="7" t="str">
        <f t="shared" ca="1" si="30"/>
        <v/>
      </c>
    </row>
    <row r="879" spans="12:12" x14ac:dyDescent="0.3">
      <c r="L879" s="7" t="str">
        <f t="shared" ca="1" si="30"/>
        <v/>
      </c>
    </row>
    <row r="880" spans="12:12" x14ac:dyDescent="0.3">
      <c r="L880" s="7" t="str">
        <f t="shared" ca="1" si="30"/>
        <v/>
      </c>
    </row>
    <row r="881" spans="12:12" x14ac:dyDescent="0.3">
      <c r="L881" s="7" t="str">
        <f t="shared" ca="1" si="30"/>
        <v/>
      </c>
    </row>
    <row r="882" spans="12:12" x14ac:dyDescent="0.3">
      <c r="L882" s="7" t="str">
        <f t="shared" ca="1" si="30"/>
        <v/>
      </c>
    </row>
    <row r="883" spans="12:12" x14ac:dyDescent="0.3">
      <c r="L883" s="7" t="str">
        <f t="shared" ca="1" si="30"/>
        <v/>
      </c>
    </row>
    <row r="884" spans="12:12" x14ac:dyDescent="0.3">
      <c r="L884" s="7" t="str">
        <f t="shared" ca="1" si="30"/>
        <v/>
      </c>
    </row>
    <row r="885" spans="12:12" x14ac:dyDescent="0.3">
      <c r="L885" s="7" t="str">
        <f t="shared" ca="1" si="30"/>
        <v/>
      </c>
    </row>
    <row r="886" spans="12:12" x14ac:dyDescent="0.3">
      <c r="L886" s="7" t="str">
        <f t="shared" ca="1" si="30"/>
        <v/>
      </c>
    </row>
    <row r="887" spans="12:12" x14ac:dyDescent="0.3">
      <c r="L887" s="7" t="str">
        <f t="shared" ca="1" si="30"/>
        <v/>
      </c>
    </row>
    <row r="888" spans="12:12" x14ac:dyDescent="0.3">
      <c r="L888" s="7" t="str">
        <f t="shared" ca="1" si="30"/>
        <v/>
      </c>
    </row>
    <row r="889" spans="12:12" x14ac:dyDescent="0.3">
      <c r="L889" s="7" t="str">
        <f t="shared" ca="1" si="30"/>
        <v/>
      </c>
    </row>
    <row r="890" spans="12:12" x14ac:dyDescent="0.3">
      <c r="L890" s="7" t="str">
        <f t="shared" ca="1" si="30"/>
        <v/>
      </c>
    </row>
    <row r="891" spans="12:12" x14ac:dyDescent="0.3">
      <c r="L891" s="7" t="str">
        <f t="shared" ca="1" si="30"/>
        <v/>
      </c>
    </row>
    <row r="892" spans="12:12" x14ac:dyDescent="0.3">
      <c r="L892" s="7" t="str">
        <f t="shared" ca="1" si="30"/>
        <v/>
      </c>
    </row>
    <row r="893" spans="12:12" x14ac:dyDescent="0.3">
      <c r="L893" s="7" t="str">
        <f t="shared" ca="1" si="30"/>
        <v/>
      </c>
    </row>
    <row r="894" spans="12:12" x14ac:dyDescent="0.3">
      <c r="L894" s="7" t="str">
        <f t="shared" ca="1" si="30"/>
        <v/>
      </c>
    </row>
    <row r="895" spans="12:12" x14ac:dyDescent="0.3">
      <c r="L895" s="7" t="str">
        <f t="shared" ca="1" si="30"/>
        <v/>
      </c>
    </row>
    <row r="896" spans="12:12" x14ac:dyDescent="0.3">
      <c r="L896" s="7" t="str">
        <f t="shared" ca="1" si="30"/>
        <v/>
      </c>
    </row>
    <row r="897" spans="12:12" x14ac:dyDescent="0.3">
      <c r="L897" s="7" t="str">
        <f t="shared" ca="1" si="30"/>
        <v/>
      </c>
    </row>
    <row r="898" spans="12:12" x14ac:dyDescent="0.3">
      <c r="L898" s="7" t="str">
        <f t="shared" ca="1" si="30"/>
        <v/>
      </c>
    </row>
    <row r="899" spans="12:12" x14ac:dyDescent="0.3">
      <c r="L899" s="7" t="str">
        <f t="shared" ca="1" si="30"/>
        <v/>
      </c>
    </row>
    <row r="900" spans="12:12" x14ac:dyDescent="0.3">
      <c r="L900" s="7" t="str">
        <f t="shared" ca="1" si="30"/>
        <v/>
      </c>
    </row>
    <row r="901" spans="12:12" x14ac:dyDescent="0.3">
      <c r="L901" s="7" t="str">
        <f t="shared" ref="L901:L964" ca="1" si="31">IF(I901="Completed",0,IF(H901="","",H901-TODAY()))</f>
        <v/>
      </c>
    </row>
    <row r="902" spans="12:12" x14ac:dyDescent="0.3">
      <c r="L902" s="7" t="str">
        <f t="shared" ca="1" si="31"/>
        <v/>
      </c>
    </row>
    <row r="903" spans="12:12" x14ac:dyDescent="0.3">
      <c r="L903" s="7" t="str">
        <f t="shared" ca="1" si="31"/>
        <v/>
      </c>
    </row>
    <row r="904" spans="12:12" x14ac:dyDescent="0.3">
      <c r="L904" s="7" t="str">
        <f t="shared" ca="1" si="31"/>
        <v/>
      </c>
    </row>
    <row r="905" spans="12:12" x14ac:dyDescent="0.3">
      <c r="L905" s="7" t="str">
        <f t="shared" ca="1" si="31"/>
        <v/>
      </c>
    </row>
    <row r="906" spans="12:12" x14ac:dyDescent="0.3">
      <c r="L906" s="7" t="str">
        <f t="shared" ca="1" si="31"/>
        <v/>
      </c>
    </row>
    <row r="907" spans="12:12" x14ac:dyDescent="0.3">
      <c r="L907" s="7" t="str">
        <f t="shared" ca="1" si="31"/>
        <v/>
      </c>
    </row>
    <row r="908" spans="12:12" x14ac:dyDescent="0.3">
      <c r="L908" s="7" t="str">
        <f t="shared" ca="1" si="31"/>
        <v/>
      </c>
    </row>
    <row r="909" spans="12:12" x14ac:dyDescent="0.3">
      <c r="L909" s="7" t="str">
        <f t="shared" ca="1" si="31"/>
        <v/>
      </c>
    </row>
    <row r="910" spans="12:12" x14ac:dyDescent="0.3">
      <c r="L910" s="7" t="str">
        <f t="shared" ca="1" si="31"/>
        <v/>
      </c>
    </row>
    <row r="911" spans="12:12" x14ac:dyDescent="0.3">
      <c r="L911" s="7" t="str">
        <f t="shared" ca="1" si="31"/>
        <v/>
      </c>
    </row>
    <row r="912" spans="12:12" x14ac:dyDescent="0.3">
      <c r="L912" s="7" t="str">
        <f t="shared" ca="1" si="31"/>
        <v/>
      </c>
    </row>
    <row r="913" spans="12:12" x14ac:dyDescent="0.3">
      <c r="L913" s="7" t="str">
        <f t="shared" ca="1" si="31"/>
        <v/>
      </c>
    </row>
    <row r="914" spans="12:12" x14ac:dyDescent="0.3">
      <c r="L914" s="7" t="str">
        <f t="shared" ca="1" si="31"/>
        <v/>
      </c>
    </row>
    <row r="915" spans="12:12" x14ac:dyDescent="0.3">
      <c r="L915" s="7" t="str">
        <f t="shared" ca="1" si="31"/>
        <v/>
      </c>
    </row>
    <row r="916" spans="12:12" x14ac:dyDescent="0.3">
      <c r="L916" s="7" t="str">
        <f t="shared" ca="1" si="31"/>
        <v/>
      </c>
    </row>
    <row r="917" spans="12:12" x14ac:dyDescent="0.3">
      <c r="L917" s="7" t="str">
        <f t="shared" ca="1" si="31"/>
        <v/>
      </c>
    </row>
    <row r="918" spans="12:12" x14ac:dyDescent="0.3">
      <c r="L918" s="7" t="str">
        <f t="shared" ca="1" si="31"/>
        <v/>
      </c>
    </row>
    <row r="919" spans="12:12" x14ac:dyDescent="0.3">
      <c r="L919" s="7" t="str">
        <f t="shared" ca="1" si="31"/>
        <v/>
      </c>
    </row>
    <row r="920" spans="12:12" x14ac:dyDescent="0.3">
      <c r="L920" s="7" t="str">
        <f t="shared" ca="1" si="31"/>
        <v/>
      </c>
    </row>
    <row r="921" spans="12:12" x14ac:dyDescent="0.3">
      <c r="L921" s="7" t="str">
        <f t="shared" ca="1" si="31"/>
        <v/>
      </c>
    </row>
    <row r="922" spans="12:12" x14ac:dyDescent="0.3">
      <c r="L922" s="7" t="str">
        <f t="shared" ca="1" si="31"/>
        <v/>
      </c>
    </row>
    <row r="923" spans="12:12" x14ac:dyDescent="0.3">
      <c r="L923" s="7" t="str">
        <f t="shared" ca="1" si="31"/>
        <v/>
      </c>
    </row>
    <row r="924" spans="12:12" x14ac:dyDescent="0.3">
      <c r="L924" s="7" t="str">
        <f t="shared" ca="1" si="31"/>
        <v/>
      </c>
    </row>
    <row r="925" spans="12:12" x14ac:dyDescent="0.3">
      <c r="L925" s="7" t="str">
        <f t="shared" ca="1" si="31"/>
        <v/>
      </c>
    </row>
    <row r="926" spans="12:12" x14ac:dyDescent="0.3">
      <c r="L926" s="7" t="str">
        <f t="shared" ca="1" si="31"/>
        <v/>
      </c>
    </row>
    <row r="927" spans="12:12" x14ac:dyDescent="0.3">
      <c r="L927" s="7" t="str">
        <f t="shared" ca="1" si="31"/>
        <v/>
      </c>
    </row>
    <row r="928" spans="12:12" x14ac:dyDescent="0.3">
      <c r="L928" s="7" t="str">
        <f t="shared" ca="1" si="31"/>
        <v/>
      </c>
    </row>
    <row r="929" spans="12:12" x14ac:dyDescent="0.3">
      <c r="L929" s="7" t="str">
        <f t="shared" ca="1" si="31"/>
        <v/>
      </c>
    </row>
    <row r="930" spans="12:12" x14ac:dyDescent="0.3">
      <c r="L930" s="7" t="str">
        <f t="shared" ca="1" si="31"/>
        <v/>
      </c>
    </row>
    <row r="931" spans="12:12" x14ac:dyDescent="0.3">
      <c r="L931" s="7" t="str">
        <f t="shared" ca="1" si="31"/>
        <v/>
      </c>
    </row>
    <row r="932" spans="12:12" x14ac:dyDescent="0.3">
      <c r="L932" s="7" t="str">
        <f t="shared" ca="1" si="31"/>
        <v/>
      </c>
    </row>
    <row r="933" spans="12:12" x14ac:dyDescent="0.3">
      <c r="L933" s="7" t="str">
        <f t="shared" ca="1" si="31"/>
        <v/>
      </c>
    </row>
    <row r="934" spans="12:12" x14ac:dyDescent="0.3">
      <c r="L934" s="7" t="str">
        <f t="shared" ca="1" si="31"/>
        <v/>
      </c>
    </row>
    <row r="935" spans="12:12" x14ac:dyDescent="0.3">
      <c r="L935" s="7" t="str">
        <f t="shared" ca="1" si="31"/>
        <v/>
      </c>
    </row>
    <row r="936" spans="12:12" x14ac:dyDescent="0.3">
      <c r="L936" s="7" t="str">
        <f t="shared" ca="1" si="31"/>
        <v/>
      </c>
    </row>
    <row r="937" spans="12:12" x14ac:dyDescent="0.3">
      <c r="L937" s="7" t="str">
        <f t="shared" ca="1" si="31"/>
        <v/>
      </c>
    </row>
    <row r="938" spans="12:12" x14ac:dyDescent="0.3">
      <c r="L938" s="7" t="str">
        <f t="shared" ca="1" si="31"/>
        <v/>
      </c>
    </row>
    <row r="939" spans="12:12" x14ac:dyDescent="0.3">
      <c r="L939" s="7" t="str">
        <f t="shared" ca="1" si="31"/>
        <v/>
      </c>
    </row>
    <row r="940" spans="12:12" x14ac:dyDescent="0.3">
      <c r="L940" s="7" t="str">
        <f t="shared" ca="1" si="31"/>
        <v/>
      </c>
    </row>
    <row r="941" spans="12:12" x14ac:dyDescent="0.3">
      <c r="L941" s="7" t="str">
        <f t="shared" ca="1" si="31"/>
        <v/>
      </c>
    </row>
    <row r="942" spans="12:12" x14ac:dyDescent="0.3">
      <c r="L942" s="7" t="str">
        <f t="shared" ca="1" si="31"/>
        <v/>
      </c>
    </row>
    <row r="943" spans="12:12" x14ac:dyDescent="0.3">
      <c r="L943" s="7" t="str">
        <f t="shared" ca="1" si="31"/>
        <v/>
      </c>
    </row>
    <row r="944" spans="12:12" x14ac:dyDescent="0.3">
      <c r="L944" s="7" t="str">
        <f t="shared" ca="1" si="31"/>
        <v/>
      </c>
    </row>
    <row r="945" spans="12:12" x14ac:dyDescent="0.3">
      <c r="L945" s="7" t="str">
        <f t="shared" ca="1" si="31"/>
        <v/>
      </c>
    </row>
    <row r="946" spans="12:12" x14ac:dyDescent="0.3">
      <c r="L946" s="7" t="str">
        <f t="shared" ca="1" si="31"/>
        <v/>
      </c>
    </row>
    <row r="947" spans="12:12" x14ac:dyDescent="0.3">
      <c r="L947" s="7" t="str">
        <f t="shared" ca="1" si="31"/>
        <v/>
      </c>
    </row>
    <row r="948" spans="12:12" x14ac:dyDescent="0.3">
      <c r="L948" s="7" t="str">
        <f t="shared" ca="1" si="31"/>
        <v/>
      </c>
    </row>
    <row r="949" spans="12:12" x14ac:dyDescent="0.3">
      <c r="L949" s="7" t="str">
        <f t="shared" ca="1" si="31"/>
        <v/>
      </c>
    </row>
    <row r="950" spans="12:12" x14ac:dyDescent="0.3">
      <c r="L950" s="7" t="str">
        <f t="shared" ca="1" si="31"/>
        <v/>
      </c>
    </row>
    <row r="951" spans="12:12" x14ac:dyDescent="0.3">
      <c r="L951" s="7" t="str">
        <f t="shared" ca="1" si="31"/>
        <v/>
      </c>
    </row>
    <row r="952" spans="12:12" x14ac:dyDescent="0.3">
      <c r="L952" s="7" t="str">
        <f t="shared" ca="1" si="31"/>
        <v/>
      </c>
    </row>
    <row r="953" spans="12:12" x14ac:dyDescent="0.3">
      <c r="L953" s="7" t="str">
        <f t="shared" ca="1" si="31"/>
        <v/>
      </c>
    </row>
    <row r="954" spans="12:12" x14ac:dyDescent="0.3">
      <c r="L954" s="7" t="str">
        <f t="shared" ca="1" si="31"/>
        <v/>
      </c>
    </row>
    <row r="955" spans="12:12" x14ac:dyDescent="0.3">
      <c r="L955" s="7" t="str">
        <f t="shared" ca="1" si="31"/>
        <v/>
      </c>
    </row>
    <row r="956" spans="12:12" x14ac:dyDescent="0.3">
      <c r="L956" s="7" t="str">
        <f t="shared" ca="1" si="31"/>
        <v/>
      </c>
    </row>
    <row r="957" spans="12:12" x14ac:dyDescent="0.3">
      <c r="L957" s="7" t="str">
        <f t="shared" ca="1" si="31"/>
        <v/>
      </c>
    </row>
    <row r="958" spans="12:12" x14ac:dyDescent="0.3">
      <c r="L958" s="7" t="str">
        <f t="shared" ca="1" si="31"/>
        <v/>
      </c>
    </row>
    <row r="959" spans="12:12" x14ac:dyDescent="0.3">
      <c r="L959" s="7" t="str">
        <f t="shared" ca="1" si="31"/>
        <v/>
      </c>
    </row>
    <row r="960" spans="12:12" x14ac:dyDescent="0.3">
      <c r="L960" s="7" t="str">
        <f t="shared" ca="1" si="31"/>
        <v/>
      </c>
    </row>
    <row r="961" spans="12:12" x14ac:dyDescent="0.3">
      <c r="L961" s="7" t="str">
        <f t="shared" ca="1" si="31"/>
        <v/>
      </c>
    </row>
    <row r="962" spans="12:12" x14ac:dyDescent="0.3">
      <c r="L962" s="7" t="str">
        <f t="shared" ca="1" si="31"/>
        <v/>
      </c>
    </row>
    <row r="963" spans="12:12" x14ac:dyDescent="0.3">
      <c r="L963" s="7" t="str">
        <f t="shared" ca="1" si="31"/>
        <v/>
      </c>
    </row>
    <row r="964" spans="12:12" x14ac:dyDescent="0.3">
      <c r="L964" s="7" t="str">
        <f t="shared" ca="1" si="31"/>
        <v/>
      </c>
    </row>
    <row r="965" spans="12:12" x14ac:dyDescent="0.3">
      <c r="L965" s="7" t="str">
        <f t="shared" ref="L965:L1028" ca="1" si="32">IF(I965="Completed",0,IF(H965="","",H965-TODAY()))</f>
        <v/>
      </c>
    </row>
    <row r="966" spans="12:12" x14ac:dyDescent="0.3">
      <c r="L966" s="7" t="str">
        <f t="shared" ca="1" si="32"/>
        <v/>
      </c>
    </row>
    <row r="967" spans="12:12" x14ac:dyDescent="0.3">
      <c r="L967" s="7" t="str">
        <f t="shared" ca="1" si="32"/>
        <v/>
      </c>
    </row>
    <row r="968" spans="12:12" x14ac:dyDescent="0.3">
      <c r="L968" s="7" t="str">
        <f t="shared" ca="1" si="32"/>
        <v/>
      </c>
    </row>
    <row r="969" spans="12:12" x14ac:dyDescent="0.3">
      <c r="L969" s="7" t="str">
        <f t="shared" ca="1" si="32"/>
        <v/>
      </c>
    </row>
    <row r="970" spans="12:12" x14ac:dyDescent="0.3">
      <c r="L970" s="7" t="str">
        <f t="shared" ca="1" si="32"/>
        <v/>
      </c>
    </row>
    <row r="971" spans="12:12" x14ac:dyDescent="0.3">
      <c r="L971" s="7" t="str">
        <f t="shared" ca="1" si="32"/>
        <v/>
      </c>
    </row>
    <row r="972" spans="12:12" x14ac:dyDescent="0.3">
      <c r="L972" s="7" t="str">
        <f t="shared" ca="1" si="32"/>
        <v/>
      </c>
    </row>
    <row r="973" spans="12:12" x14ac:dyDescent="0.3">
      <c r="L973" s="7" t="str">
        <f t="shared" ca="1" si="32"/>
        <v/>
      </c>
    </row>
    <row r="974" spans="12:12" x14ac:dyDescent="0.3">
      <c r="L974" s="7" t="str">
        <f t="shared" ca="1" si="32"/>
        <v/>
      </c>
    </row>
    <row r="975" spans="12:12" x14ac:dyDescent="0.3">
      <c r="L975" s="7" t="str">
        <f t="shared" ca="1" si="32"/>
        <v/>
      </c>
    </row>
    <row r="976" spans="12:12" x14ac:dyDescent="0.3">
      <c r="L976" s="7" t="str">
        <f t="shared" ca="1" si="32"/>
        <v/>
      </c>
    </row>
    <row r="977" spans="12:12" x14ac:dyDescent="0.3">
      <c r="L977" s="7" t="str">
        <f t="shared" ca="1" si="32"/>
        <v/>
      </c>
    </row>
    <row r="978" spans="12:12" x14ac:dyDescent="0.3">
      <c r="L978" s="7" t="str">
        <f t="shared" ca="1" si="32"/>
        <v/>
      </c>
    </row>
    <row r="979" spans="12:12" x14ac:dyDescent="0.3">
      <c r="L979" s="7" t="str">
        <f t="shared" ca="1" si="32"/>
        <v/>
      </c>
    </row>
    <row r="980" spans="12:12" x14ac:dyDescent="0.3">
      <c r="L980" s="7" t="str">
        <f t="shared" ca="1" si="32"/>
        <v/>
      </c>
    </row>
    <row r="981" spans="12:12" x14ac:dyDescent="0.3">
      <c r="L981" s="7" t="str">
        <f t="shared" ca="1" si="32"/>
        <v/>
      </c>
    </row>
    <row r="982" spans="12:12" x14ac:dyDescent="0.3">
      <c r="L982" s="7" t="str">
        <f t="shared" ca="1" si="32"/>
        <v/>
      </c>
    </row>
    <row r="983" spans="12:12" x14ac:dyDescent="0.3">
      <c r="L983" s="7" t="str">
        <f t="shared" ca="1" si="32"/>
        <v/>
      </c>
    </row>
    <row r="984" spans="12:12" x14ac:dyDescent="0.3">
      <c r="L984" s="7" t="str">
        <f t="shared" ca="1" si="32"/>
        <v/>
      </c>
    </row>
    <row r="985" spans="12:12" x14ac:dyDescent="0.3">
      <c r="L985" s="7" t="str">
        <f t="shared" ca="1" si="32"/>
        <v/>
      </c>
    </row>
    <row r="986" spans="12:12" x14ac:dyDescent="0.3">
      <c r="L986" s="7" t="str">
        <f t="shared" ca="1" si="32"/>
        <v/>
      </c>
    </row>
    <row r="987" spans="12:12" x14ac:dyDescent="0.3">
      <c r="L987" s="7" t="str">
        <f t="shared" ca="1" si="32"/>
        <v/>
      </c>
    </row>
    <row r="988" spans="12:12" x14ac:dyDescent="0.3">
      <c r="L988" s="7" t="str">
        <f t="shared" ca="1" si="32"/>
        <v/>
      </c>
    </row>
    <row r="989" spans="12:12" x14ac:dyDescent="0.3">
      <c r="L989" s="7" t="str">
        <f t="shared" ca="1" si="32"/>
        <v/>
      </c>
    </row>
    <row r="990" spans="12:12" x14ac:dyDescent="0.3">
      <c r="L990" s="7" t="str">
        <f t="shared" ca="1" si="32"/>
        <v/>
      </c>
    </row>
    <row r="991" spans="12:12" x14ac:dyDescent="0.3">
      <c r="L991" s="7" t="str">
        <f t="shared" ca="1" si="32"/>
        <v/>
      </c>
    </row>
    <row r="992" spans="12:12" x14ac:dyDescent="0.3">
      <c r="L992" s="7" t="str">
        <f t="shared" ca="1" si="32"/>
        <v/>
      </c>
    </row>
    <row r="993" spans="12:12" x14ac:dyDescent="0.3">
      <c r="L993" s="7" t="str">
        <f t="shared" ca="1" si="32"/>
        <v/>
      </c>
    </row>
    <row r="994" spans="12:12" x14ac:dyDescent="0.3">
      <c r="L994" s="7" t="str">
        <f t="shared" ca="1" si="32"/>
        <v/>
      </c>
    </row>
    <row r="995" spans="12:12" x14ac:dyDescent="0.3">
      <c r="L995" s="7" t="str">
        <f t="shared" ca="1" si="32"/>
        <v/>
      </c>
    </row>
    <row r="996" spans="12:12" x14ac:dyDescent="0.3">
      <c r="L996" s="7" t="str">
        <f t="shared" ca="1" si="32"/>
        <v/>
      </c>
    </row>
    <row r="997" spans="12:12" x14ac:dyDescent="0.3">
      <c r="L997" s="7" t="str">
        <f t="shared" ca="1" si="32"/>
        <v/>
      </c>
    </row>
    <row r="998" spans="12:12" x14ac:dyDescent="0.3">
      <c r="L998" s="7" t="str">
        <f t="shared" ca="1" si="32"/>
        <v/>
      </c>
    </row>
    <row r="999" spans="12:12" x14ac:dyDescent="0.3">
      <c r="L999" s="7" t="str">
        <f t="shared" ca="1" si="32"/>
        <v/>
      </c>
    </row>
    <row r="1000" spans="12:12" x14ac:dyDescent="0.3">
      <c r="L1000" s="7" t="str">
        <f t="shared" ca="1" si="32"/>
        <v/>
      </c>
    </row>
    <row r="1001" spans="12:12" x14ac:dyDescent="0.3">
      <c r="L1001" s="7" t="str">
        <f t="shared" ca="1" si="32"/>
        <v/>
      </c>
    </row>
    <row r="1002" spans="12:12" x14ac:dyDescent="0.3">
      <c r="L1002" s="7" t="str">
        <f t="shared" ca="1" si="32"/>
        <v/>
      </c>
    </row>
    <row r="1003" spans="12:12" x14ac:dyDescent="0.3">
      <c r="L1003" s="7" t="str">
        <f t="shared" ca="1" si="32"/>
        <v/>
      </c>
    </row>
    <row r="1004" spans="12:12" x14ac:dyDescent="0.3">
      <c r="L1004" s="7" t="str">
        <f t="shared" ca="1" si="32"/>
        <v/>
      </c>
    </row>
    <row r="1005" spans="12:12" x14ac:dyDescent="0.3">
      <c r="L1005" s="7" t="str">
        <f t="shared" ca="1" si="32"/>
        <v/>
      </c>
    </row>
    <row r="1006" spans="12:12" x14ac:dyDescent="0.3">
      <c r="L1006" s="7" t="str">
        <f t="shared" ca="1" si="32"/>
        <v/>
      </c>
    </row>
    <row r="1007" spans="12:12" x14ac:dyDescent="0.3">
      <c r="L1007" s="7" t="str">
        <f t="shared" ca="1" si="32"/>
        <v/>
      </c>
    </row>
    <row r="1008" spans="12:12" x14ac:dyDescent="0.3">
      <c r="L1008" s="7" t="str">
        <f t="shared" ca="1" si="32"/>
        <v/>
      </c>
    </row>
    <row r="1009" spans="12:12" x14ac:dyDescent="0.3">
      <c r="L1009" s="7" t="str">
        <f t="shared" ca="1" si="32"/>
        <v/>
      </c>
    </row>
    <row r="1010" spans="12:12" x14ac:dyDescent="0.3">
      <c r="L1010" s="7" t="str">
        <f t="shared" ca="1" si="32"/>
        <v/>
      </c>
    </row>
    <row r="1011" spans="12:12" x14ac:dyDescent="0.3">
      <c r="L1011" s="7" t="str">
        <f t="shared" ca="1" si="32"/>
        <v/>
      </c>
    </row>
    <row r="1012" spans="12:12" x14ac:dyDescent="0.3">
      <c r="L1012" s="7" t="str">
        <f t="shared" ca="1" si="32"/>
        <v/>
      </c>
    </row>
    <row r="1013" spans="12:12" x14ac:dyDescent="0.3">
      <c r="L1013" s="7" t="str">
        <f t="shared" ca="1" si="32"/>
        <v/>
      </c>
    </row>
    <row r="1014" spans="12:12" x14ac:dyDescent="0.3">
      <c r="L1014" s="7" t="str">
        <f t="shared" ca="1" si="32"/>
        <v/>
      </c>
    </row>
    <row r="1015" spans="12:12" x14ac:dyDescent="0.3">
      <c r="L1015" s="7" t="str">
        <f t="shared" ca="1" si="32"/>
        <v/>
      </c>
    </row>
    <row r="1016" spans="12:12" x14ac:dyDescent="0.3">
      <c r="L1016" s="7" t="str">
        <f t="shared" ca="1" si="32"/>
        <v/>
      </c>
    </row>
    <row r="1017" spans="12:12" x14ac:dyDescent="0.3">
      <c r="L1017" s="7" t="str">
        <f t="shared" ca="1" si="32"/>
        <v/>
      </c>
    </row>
    <row r="1018" spans="12:12" x14ac:dyDescent="0.3">
      <c r="L1018" s="7" t="str">
        <f t="shared" ca="1" si="32"/>
        <v/>
      </c>
    </row>
    <row r="1019" spans="12:12" x14ac:dyDescent="0.3">
      <c r="L1019" s="7" t="str">
        <f t="shared" ca="1" si="32"/>
        <v/>
      </c>
    </row>
    <row r="1020" spans="12:12" x14ac:dyDescent="0.3">
      <c r="L1020" s="7" t="str">
        <f t="shared" ca="1" si="32"/>
        <v/>
      </c>
    </row>
    <row r="1021" spans="12:12" x14ac:dyDescent="0.3">
      <c r="L1021" s="7" t="str">
        <f t="shared" ca="1" si="32"/>
        <v/>
      </c>
    </row>
    <row r="1022" spans="12:12" x14ac:dyDescent="0.3">
      <c r="L1022" s="7" t="str">
        <f t="shared" ca="1" si="32"/>
        <v/>
      </c>
    </row>
    <row r="1023" spans="12:12" x14ac:dyDescent="0.3">
      <c r="L1023" s="7" t="str">
        <f t="shared" ca="1" si="32"/>
        <v/>
      </c>
    </row>
    <row r="1024" spans="12:12" x14ac:dyDescent="0.3">
      <c r="L1024" s="7" t="str">
        <f t="shared" ca="1" si="32"/>
        <v/>
      </c>
    </row>
    <row r="1025" spans="12:12" x14ac:dyDescent="0.3">
      <c r="L1025" s="7" t="str">
        <f t="shared" ca="1" si="32"/>
        <v/>
      </c>
    </row>
    <row r="1026" spans="12:12" x14ac:dyDescent="0.3">
      <c r="L1026" s="7" t="str">
        <f t="shared" ca="1" si="32"/>
        <v/>
      </c>
    </row>
    <row r="1027" spans="12:12" x14ac:dyDescent="0.3">
      <c r="L1027" s="7" t="str">
        <f t="shared" ca="1" si="32"/>
        <v/>
      </c>
    </row>
    <row r="1028" spans="12:12" x14ac:dyDescent="0.3">
      <c r="L1028" s="7" t="str">
        <f t="shared" ca="1" si="32"/>
        <v/>
      </c>
    </row>
    <row r="1029" spans="12:12" x14ac:dyDescent="0.3">
      <c r="L1029" s="7" t="str">
        <f t="shared" ref="L1029:L1092" ca="1" si="33">IF(I1029="Completed",0,IF(H1029="","",H1029-TODAY()))</f>
        <v/>
      </c>
    </row>
    <row r="1030" spans="12:12" x14ac:dyDescent="0.3">
      <c r="L1030" s="7" t="str">
        <f t="shared" ca="1" si="33"/>
        <v/>
      </c>
    </row>
    <row r="1031" spans="12:12" x14ac:dyDescent="0.3">
      <c r="L1031" s="7" t="str">
        <f t="shared" ca="1" si="33"/>
        <v/>
      </c>
    </row>
    <row r="1032" spans="12:12" x14ac:dyDescent="0.3">
      <c r="L1032" s="7" t="str">
        <f t="shared" ca="1" si="33"/>
        <v/>
      </c>
    </row>
    <row r="1033" spans="12:12" x14ac:dyDescent="0.3">
      <c r="L1033" s="7" t="str">
        <f t="shared" ca="1" si="33"/>
        <v/>
      </c>
    </row>
    <row r="1034" spans="12:12" x14ac:dyDescent="0.3">
      <c r="L1034" s="7" t="str">
        <f t="shared" ca="1" si="33"/>
        <v/>
      </c>
    </row>
    <row r="1035" spans="12:12" x14ac:dyDescent="0.3">
      <c r="L1035" s="7" t="str">
        <f t="shared" ca="1" si="33"/>
        <v/>
      </c>
    </row>
    <row r="1036" spans="12:12" x14ac:dyDescent="0.3">
      <c r="L1036" s="7" t="str">
        <f t="shared" ca="1" si="33"/>
        <v/>
      </c>
    </row>
    <row r="1037" spans="12:12" x14ac:dyDescent="0.3">
      <c r="L1037" s="7" t="str">
        <f t="shared" ca="1" si="33"/>
        <v/>
      </c>
    </row>
    <row r="1038" spans="12:12" x14ac:dyDescent="0.3">
      <c r="L1038" s="7" t="str">
        <f t="shared" ca="1" si="33"/>
        <v/>
      </c>
    </row>
    <row r="1039" spans="12:12" x14ac:dyDescent="0.3">
      <c r="L1039" s="7" t="str">
        <f t="shared" ca="1" si="33"/>
        <v/>
      </c>
    </row>
    <row r="1040" spans="12:12" x14ac:dyDescent="0.3">
      <c r="L1040" s="7" t="str">
        <f t="shared" ca="1" si="33"/>
        <v/>
      </c>
    </row>
    <row r="1041" spans="12:12" x14ac:dyDescent="0.3">
      <c r="L1041" s="7" t="str">
        <f t="shared" ca="1" si="33"/>
        <v/>
      </c>
    </row>
    <row r="1042" spans="12:12" x14ac:dyDescent="0.3">
      <c r="L1042" s="7" t="str">
        <f t="shared" ca="1" si="33"/>
        <v/>
      </c>
    </row>
    <row r="1043" spans="12:12" x14ac:dyDescent="0.3">
      <c r="L1043" s="7" t="str">
        <f t="shared" ca="1" si="33"/>
        <v/>
      </c>
    </row>
    <row r="1044" spans="12:12" x14ac:dyDescent="0.3">
      <c r="L1044" s="7" t="str">
        <f t="shared" ca="1" si="33"/>
        <v/>
      </c>
    </row>
    <row r="1045" spans="12:12" x14ac:dyDescent="0.3">
      <c r="L1045" s="7" t="str">
        <f t="shared" ca="1" si="33"/>
        <v/>
      </c>
    </row>
    <row r="1046" spans="12:12" x14ac:dyDescent="0.3">
      <c r="L1046" s="7" t="str">
        <f t="shared" ca="1" si="33"/>
        <v/>
      </c>
    </row>
    <row r="1047" spans="12:12" x14ac:dyDescent="0.3">
      <c r="L1047" s="7" t="str">
        <f t="shared" ca="1" si="33"/>
        <v/>
      </c>
    </row>
    <row r="1048" spans="12:12" x14ac:dyDescent="0.3">
      <c r="L1048" s="7" t="str">
        <f t="shared" ca="1" si="33"/>
        <v/>
      </c>
    </row>
    <row r="1049" spans="12:12" x14ac:dyDescent="0.3">
      <c r="L1049" s="7" t="str">
        <f t="shared" ca="1" si="33"/>
        <v/>
      </c>
    </row>
    <row r="1050" spans="12:12" x14ac:dyDescent="0.3">
      <c r="L1050" s="7" t="str">
        <f t="shared" ca="1" si="33"/>
        <v/>
      </c>
    </row>
    <row r="1051" spans="12:12" x14ac:dyDescent="0.3">
      <c r="L1051" s="7" t="str">
        <f t="shared" ca="1" si="33"/>
        <v/>
      </c>
    </row>
    <row r="1052" spans="12:12" x14ac:dyDescent="0.3">
      <c r="L1052" s="7" t="str">
        <f t="shared" ca="1" si="33"/>
        <v/>
      </c>
    </row>
    <row r="1053" spans="12:12" x14ac:dyDescent="0.3">
      <c r="L1053" s="7" t="str">
        <f t="shared" ca="1" si="33"/>
        <v/>
      </c>
    </row>
    <row r="1054" spans="12:12" x14ac:dyDescent="0.3">
      <c r="L1054" s="7" t="str">
        <f t="shared" ca="1" si="33"/>
        <v/>
      </c>
    </row>
    <row r="1055" spans="12:12" x14ac:dyDescent="0.3">
      <c r="L1055" s="7" t="str">
        <f t="shared" ca="1" si="33"/>
        <v/>
      </c>
    </row>
    <row r="1056" spans="12:12" x14ac:dyDescent="0.3">
      <c r="L1056" s="7" t="str">
        <f t="shared" ca="1" si="33"/>
        <v/>
      </c>
    </row>
    <row r="1057" spans="12:12" x14ac:dyDescent="0.3">
      <c r="L1057" s="7" t="str">
        <f t="shared" ca="1" si="33"/>
        <v/>
      </c>
    </row>
    <row r="1058" spans="12:12" x14ac:dyDescent="0.3">
      <c r="L1058" s="7" t="str">
        <f t="shared" ca="1" si="33"/>
        <v/>
      </c>
    </row>
    <row r="1059" spans="12:12" x14ac:dyDescent="0.3">
      <c r="L1059" s="7" t="str">
        <f t="shared" ca="1" si="33"/>
        <v/>
      </c>
    </row>
    <row r="1060" spans="12:12" x14ac:dyDescent="0.3">
      <c r="L1060" s="7" t="str">
        <f t="shared" ca="1" si="33"/>
        <v/>
      </c>
    </row>
    <row r="1061" spans="12:12" x14ac:dyDescent="0.3">
      <c r="L1061" s="7" t="str">
        <f t="shared" ca="1" si="33"/>
        <v/>
      </c>
    </row>
    <row r="1062" spans="12:12" x14ac:dyDescent="0.3">
      <c r="L1062" s="7" t="str">
        <f t="shared" ca="1" si="33"/>
        <v/>
      </c>
    </row>
    <row r="1063" spans="12:12" x14ac:dyDescent="0.3">
      <c r="L1063" s="7" t="str">
        <f t="shared" ca="1" si="33"/>
        <v/>
      </c>
    </row>
    <row r="1064" spans="12:12" x14ac:dyDescent="0.3">
      <c r="L1064" s="7" t="str">
        <f t="shared" ca="1" si="33"/>
        <v/>
      </c>
    </row>
    <row r="1065" spans="12:12" x14ac:dyDescent="0.3">
      <c r="L1065" s="7" t="str">
        <f t="shared" ca="1" si="33"/>
        <v/>
      </c>
    </row>
    <row r="1066" spans="12:12" x14ac:dyDescent="0.3">
      <c r="L1066" s="7" t="str">
        <f t="shared" ca="1" si="33"/>
        <v/>
      </c>
    </row>
    <row r="1067" spans="12:12" x14ac:dyDescent="0.3">
      <c r="L1067" s="7" t="str">
        <f t="shared" ca="1" si="33"/>
        <v/>
      </c>
    </row>
    <row r="1068" spans="12:12" x14ac:dyDescent="0.3">
      <c r="L1068" s="7" t="str">
        <f t="shared" ca="1" si="33"/>
        <v/>
      </c>
    </row>
    <row r="1069" spans="12:12" x14ac:dyDescent="0.3">
      <c r="L1069" s="7" t="str">
        <f t="shared" ca="1" si="33"/>
        <v/>
      </c>
    </row>
    <row r="1070" spans="12:12" x14ac:dyDescent="0.3">
      <c r="L1070" s="7" t="str">
        <f t="shared" ca="1" si="33"/>
        <v/>
      </c>
    </row>
    <row r="1071" spans="12:12" x14ac:dyDescent="0.3">
      <c r="L1071" s="7" t="str">
        <f t="shared" ca="1" si="33"/>
        <v/>
      </c>
    </row>
    <row r="1072" spans="12:12" x14ac:dyDescent="0.3">
      <c r="L1072" s="7" t="str">
        <f t="shared" ca="1" si="33"/>
        <v/>
      </c>
    </row>
    <row r="1073" spans="12:12" x14ac:dyDescent="0.3">
      <c r="L1073" s="7" t="str">
        <f t="shared" ca="1" si="33"/>
        <v/>
      </c>
    </row>
    <row r="1074" spans="12:12" x14ac:dyDescent="0.3">
      <c r="L1074" s="7" t="str">
        <f t="shared" ca="1" si="33"/>
        <v/>
      </c>
    </row>
    <row r="1075" spans="12:12" x14ac:dyDescent="0.3">
      <c r="L1075" s="7" t="str">
        <f t="shared" ca="1" si="33"/>
        <v/>
      </c>
    </row>
    <row r="1076" spans="12:12" x14ac:dyDescent="0.3">
      <c r="L1076" s="7" t="str">
        <f t="shared" ca="1" si="33"/>
        <v/>
      </c>
    </row>
    <row r="1077" spans="12:12" x14ac:dyDescent="0.3">
      <c r="L1077" s="7" t="str">
        <f t="shared" ca="1" si="33"/>
        <v/>
      </c>
    </row>
    <row r="1078" spans="12:12" x14ac:dyDescent="0.3">
      <c r="L1078" s="7" t="str">
        <f t="shared" ca="1" si="33"/>
        <v/>
      </c>
    </row>
    <row r="1079" spans="12:12" x14ac:dyDescent="0.3">
      <c r="L1079" s="7" t="str">
        <f t="shared" ca="1" si="33"/>
        <v/>
      </c>
    </row>
    <row r="1080" spans="12:12" x14ac:dyDescent="0.3">
      <c r="L1080" s="7" t="str">
        <f t="shared" ca="1" si="33"/>
        <v/>
      </c>
    </row>
    <row r="1081" spans="12:12" x14ac:dyDescent="0.3">
      <c r="L1081" s="7" t="str">
        <f t="shared" ca="1" si="33"/>
        <v/>
      </c>
    </row>
    <row r="1082" spans="12:12" x14ac:dyDescent="0.3">
      <c r="L1082" s="7" t="str">
        <f t="shared" ca="1" si="33"/>
        <v/>
      </c>
    </row>
    <row r="1083" spans="12:12" x14ac:dyDescent="0.3">
      <c r="L1083" s="7" t="str">
        <f t="shared" ca="1" si="33"/>
        <v/>
      </c>
    </row>
    <row r="1084" spans="12:12" x14ac:dyDescent="0.3">
      <c r="L1084" s="7" t="str">
        <f t="shared" ca="1" si="33"/>
        <v/>
      </c>
    </row>
    <row r="1085" spans="12:12" x14ac:dyDescent="0.3">
      <c r="L1085" s="7" t="str">
        <f t="shared" ca="1" si="33"/>
        <v/>
      </c>
    </row>
    <row r="1086" spans="12:12" x14ac:dyDescent="0.3">
      <c r="L1086" s="7" t="str">
        <f t="shared" ca="1" si="33"/>
        <v/>
      </c>
    </row>
    <row r="1087" spans="12:12" x14ac:dyDescent="0.3">
      <c r="L1087" s="7" t="str">
        <f t="shared" ca="1" si="33"/>
        <v/>
      </c>
    </row>
    <row r="1088" spans="12:12" x14ac:dyDescent="0.3">
      <c r="L1088" s="7" t="str">
        <f t="shared" ca="1" si="33"/>
        <v/>
      </c>
    </row>
    <row r="1089" spans="12:12" x14ac:dyDescent="0.3">
      <c r="L1089" s="7" t="str">
        <f t="shared" ca="1" si="33"/>
        <v/>
      </c>
    </row>
    <row r="1090" spans="12:12" x14ac:dyDescent="0.3">
      <c r="L1090" s="7" t="str">
        <f t="shared" ca="1" si="33"/>
        <v/>
      </c>
    </row>
    <row r="1091" spans="12:12" x14ac:dyDescent="0.3">
      <c r="L1091" s="7" t="str">
        <f t="shared" ca="1" si="33"/>
        <v/>
      </c>
    </row>
    <row r="1092" spans="12:12" x14ac:dyDescent="0.3">
      <c r="L1092" s="7" t="str">
        <f t="shared" ca="1" si="33"/>
        <v/>
      </c>
    </row>
    <row r="1093" spans="12:12" x14ac:dyDescent="0.3">
      <c r="L1093" s="7" t="str">
        <f t="shared" ref="L1093:L1109" ca="1" si="34">IF(I1093="Completed",0,IF(H1093="","",H1093-TODAY()))</f>
        <v/>
      </c>
    </row>
    <row r="1094" spans="12:12" x14ac:dyDescent="0.3">
      <c r="L1094" s="7" t="str">
        <f t="shared" ca="1" si="34"/>
        <v/>
      </c>
    </row>
    <row r="1095" spans="12:12" x14ac:dyDescent="0.3">
      <c r="L1095" s="7" t="str">
        <f t="shared" ca="1" si="34"/>
        <v/>
      </c>
    </row>
    <row r="1096" spans="12:12" x14ac:dyDescent="0.3">
      <c r="L1096" s="7" t="str">
        <f t="shared" ca="1" si="34"/>
        <v/>
      </c>
    </row>
    <row r="1097" spans="12:12" x14ac:dyDescent="0.3">
      <c r="L1097" s="7" t="str">
        <f t="shared" ca="1" si="34"/>
        <v/>
      </c>
    </row>
    <row r="1098" spans="12:12" x14ac:dyDescent="0.3">
      <c r="L1098" s="7" t="str">
        <f t="shared" ca="1" si="34"/>
        <v/>
      </c>
    </row>
    <row r="1099" spans="12:12" x14ac:dyDescent="0.3">
      <c r="L1099" s="7" t="str">
        <f t="shared" ca="1" si="34"/>
        <v/>
      </c>
    </row>
    <row r="1100" spans="12:12" x14ac:dyDescent="0.3">
      <c r="L1100" s="7" t="str">
        <f t="shared" ca="1" si="34"/>
        <v/>
      </c>
    </row>
    <row r="1101" spans="12:12" x14ac:dyDescent="0.3">
      <c r="L1101" s="7" t="str">
        <f t="shared" ca="1" si="34"/>
        <v/>
      </c>
    </row>
    <row r="1102" spans="12:12" x14ac:dyDescent="0.3">
      <c r="L1102" s="7" t="str">
        <f t="shared" ca="1" si="34"/>
        <v/>
      </c>
    </row>
    <row r="1103" spans="12:12" x14ac:dyDescent="0.3">
      <c r="L1103" s="7" t="str">
        <f t="shared" ca="1" si="34"/>
        <v/>
      </c>
    </row>
    <row r="1104" spans="12:12" x14ac:dyDescent="0.3">
      <c r="L1104" s="7" t="str">
        <f t="shared" ca="1" si="34"/>
        <v/>
      </c>
    </row>
    <row r="1105" spans="12:12" x14ac:dyDescent="0.3">
      <c r="L1105" s="7" t="str">
        <f t="shared" ca="1" si="34"/>
        <v/>
      </c>
    </row>
    <row r="1106" spans="12:12" x14ac:dyDescent="0.3">
      <c r="L1106" s="7" t="str">
        <f t="shared" ca="1" si="34"/>
        <v/>
      </c>
    </row>
    <row r="1107" spans="12:12" x14ac:dyDescent="0.3">
      <c r="L1107" s="7" t="str">
        <f t="shared" ca="1" si="34"/>
        <v/>
      </c>
    </row>
    <row r="1108" spans="12:12" x14ac:dyDescent="0.3">
      <c r="L1108" s="7" t="str">
        <f t="shared" ca="1" si="34"/>
        <v/>
      </c>
    </row>
    <row r="1109" spans="12:12" x14ac:dyDescent="0.3">
      <c r="L1109" s="7" t="str">
        <f t="shared" ca="1" si="34"/>
        <v/>
      </c>
    </row>
    <row r="1110" spans="12:12" x14ac:dyDescent="0.3">
      <c r="L1110" s="7" t="str">
        <f t="shared" ref="L1110:L1155" ca="1" si="35">IF(I1110="Completed",0,IF(H1110="","",H1110-TODAY()))</f>
        <v/>
      </c>
    </row>
    <row r="1111" spans="12:12" x14ac:dyDescent="0.3">
      <c r="L1111" s="7" t="str">
        <f t="shared" ca="1" si="35"/>
        <v/>
      </c>
    </row>
    <row r="1112" spans="12:12" x14ac:dyDescent="0.3">
      <c r="L1112" s="7" t="str">
        <f t="shared" ca="1" si="35"/>
        <v/>
      </c>
    </row>
    <row r="1113" spans="12:12" x14ac:dyDescent="0.3">
      <c r="L1113" s="7" t="str">
        <f t="shared" ca="1" si="35"/>
        <v/>
      </c>
    </row>
    <row r="1114" spans="12:12" x14ac:dyDescent="0.3">
      <c r="L1114" s="7" t="str">
        <f t="shared" ca="1" si="35"/>
        <v/>
      </c>
    </row>
    <row r="1115" spans="12:12" x14ac:dyDescent="0.3">
      <c r="L1115" s="7" t="str">
        <f t="shared" ca="1" si="35"/>
        <v/>
      </c>
    </row>
    <row r="1116" spans="12:12" x14ac:dyDescent="0.3">
      <c r="L1116" s="7" t="str">
        <f t="shared" ca="1" si="35"/>
        <v/>
      </c>
    </row>
    <row r="1117" spans="12:12" x14ac:dyDescent="0.3">
      <c r="L1117" s="7" t="str">
        <f t="shared" ca="1" si="35"/>
        <v/>
      </c>
    </row>
    <row r="1118" spans="12:12" x14ac:dyDescent="0.3">
      <c r="L1118" s="7" t="str">
        <f t="shared" ca="1" si="35"/>
        <v/>
      </c>
    </row>
    <row r="1119" spans="12:12" x14ac:dyDescent="0.3">
      <c r="L1119" s="7" t="str">
        <f t="shared" ca="1" si="35"/>
        <v/>
      </c>
    </row>
    <row r="1120" spans="12:12" x14ac:dyDescent="0.3">
      <c r="L1120" s="7" t="str">
        <f t="shared" ca="1" si="35"/>
        <v/>
      </c>
    </row>
    <row r="1121" spans="12:12" x14ac:dyDescent="0.3">
      <c r="L1121" s="7" t="str">
        <f t="shared" ca="1" si="35"/>
        <v/>
      </c>
    </row>
    <row r="1122" spans="12:12" x14ac:dyDescent="0.3">
      <c r="L1122" s="7" t="str">
        <f t="shared" ca="1" si="35"/>
        <v/>
      </c>
    </row>
    <row r="1123" spans="12:12" x14ac:dyDescent="0.3">
      <c r="L1123" s="7" t="str">
        <f t="shared" ca="1" si="35"/>
        <v/>
      </c>
    </row>
    <row r="1124" spans="12:12" x14ac:dyDescent="0.3">
      <c r="L1124" s="7" t="str">
        <f t="shared" ca="1" si="35"/>
        <v/>
      </c>
    </row>
    <row r="1125" spans="12:12" x14ac:dyDescent="0.3">
      <c r="L1125" s="7" t="str">
        <f t="shared" ca="1" si="35"/>
        <v/>
      </c>
    </row>
    <row r="1126" spans="12:12" x14ac:dyDescent="0.3">
      <c r="L1126" s="7" t="str">
        <f t="shared" ca="1" si="35"/>
        <v/>
      </c>
    </row>
    <row r="1127" spans="12:12" x14ac:dyDescent="0.3">
      <c r="L1127" s="7" t="str">
        <f t="shared" ca="1" si="35"/>
        <v/>
      </c>
    </row>
    <row r="1128" spans="12:12" x14ac:dyDescent="0.3">
      <c r="L1128" s="7" t="str">
        <f t="shared" ca="1" si="35"/>
        <v/>
      </c>
    </row>
    <row r="1129" spans="12:12" x14ac:dyDescent="0.3">
      <c r="L1129" s="7" t="str">
        <f t="shared" ca="1" si="35"/>
        <v/>
      </c>
    </row>
    <row r="1130" spans="12:12" x14ac:dyDescent="0.3">
      <c r="L1130" s="7" t="str">
        <f t="shared" ca="1" si="35"/>
        <v/>
      </c>
    </row>
    <row r="1131" spans="12:12" x14ac:dyDescent="0.3">
      <c r="L1131" s="7" t="str">
        <f t="shared" ca="1" si="35"/>
        <v/>
      </c>
    </row>
    <row r="1132" spans="12:12" x14ac:dyDescent="0.3">
      <c r="L1132" s="7" t="str">
        <f t="shared" ca="1" si="35"/>
        <v/>
      </c>
    </row>
    <row r="1133" spans="12:12" x14ac:dyDescent="0.3">
      <c r="L1133" s="7" t="str">
        <f t="shared" ca="1" si="35"/>
        <v/>
      </c>
    </row>
    <row r="1134" spans="12:12" x14ac:dyDescent="0.3">
      <c r="L1134" s="7" t="str">
        <f t="shared" ca="1" si="35"/>
        <v/>
      </c>
    </row>
    <row r="1135" spans="12:12" x14ac:dyDescent="0.3">
      <c r="L1135" s="7" t="str">
        <f t="shared" ca="1" si="35"/>
        <v/>
      </c>
    </row>
    <row r="1136" spans="12:12" x14ac:dyDescent="0.3">
      <c r="L1136" s="7" t="str">
        <f t="shared" ca="1" si="35"/>
        <v/>
      </c>
    </row>
    <row r="1137" spans="12:12" x14ac:dyDescent="0.3">
      <c r="L1137" s="7" t="str">
        <f t="shared" ca="1" si="35"/>
        <v/>
      </c>
    </row>
    <row r="1138" spans="12:12" x14ac:dyDescent="0.3">
      <c r="L1138" s="7" t="str">
        <f t="shared" ca="1" si="35"/>
        <v/>
      </c>
    </row>
    <row r="1139" spans="12:12" x14ac:dyDescent="0.3">
      <c r="L1139" s="7" t="str">
        <f t="shared" ca="1" si="35"/>
        <v/>
      </c>
    </row>
    <row r="1140" spans="12:12" x14ac:dyDescent="0.3">
      <c r="L1140" s="7" t="str">
        <f t="shared" ca="1" si="35"/>
        <v/>
      </c>
    </row>
    <row r="1141" spans="12:12" x14ac:dyDescent="0.3">
      <c r="L1141" s="7" t="str">
        <f t="shared" ca="1" si="35"/>
        <v/>
      </c>
    </row>
    <row r="1142" spans="12:12" x14ac:dyDescent="0.3">
      <c r="L1142" s="7" t="str">
        <f t="shared" ca="1" si="35"/>
        <v/>
      </c>
    </row>
    <row r="1143" spans="12:12" x14ac:dyDescent="0.3">
      <c r="L1143" s="7" t="str">
        <f t="shared" ca="1" si="35"/>
        <v/>
      </c>
    </row>
    <row r="1144" spans="12:12" x14ac:dyDescent="0.3">
      <c r="L1144" s="7" t="str">
        <f t="shared" ca="1" si="35"/>
        <v/>
      </c>
    </row>
    <row r="1145" spans="12:12" x14ac:dyDescent="0.3">
      <c r="L1145" s="7" t="str">
        <f t="shared" ca="1" si="35"/>
        <v/>
      </c>
    </row>
    <row r="1146" spans="12:12" x14ac:dyDescent="0.3">
      <c r="L1146" s="7" t="str">
        <f t="shared" ca="1" si="35"/>
        <v/>
      </c>
    </row>
    <row r="1147" spans="12:12" x14ac:dyDescent="0.3">
      <c r="L1147" s="7" t="str">
        <f t="shared" ca="1" si="35"/>
        <v/>
      </c>
    </row>
    <row r="1148" spans="12:12" x14ac:dyDescent="0.3">
      <c r="L1148" s="7" t="str">
        <f t="shared" ca="1" si="35"/>
        <v/>
      </c>
    </row>
    <row r="1149" spans="12:12" x14ac:dyDescent="0.3">
      <c r="L1149" s="7" t="str">
        <f t="shared" ca="1" si="35"/>
        <v/>
      </c>
    </row>
    <row r="1150" spans="12:12" x14ac:dyDescent="0.3">
      <c r="L1150" s="7" t="str">
        <f t="shared" ca="1" si="35"/>
        <v/>
      </c>
    </row>
    <row r="1151" spans="12:12" x14ac:dyDescent="0.3">
      <c r="L1151" s="7" t="str">
        <f t="shared" ca="1" si="35"/>
        <v/>
      </c>
    </row>
    <row r="1152" spans="12:12" x14ac:dyDescent="0.3">
      <c r="L1152" s="7" t="str">
        <f t="shared" ca="1" si="35"/>
        <v/>
      </c>
    </row>
    <row r="1153" spans="12:12" x14ac:dyDescent="0.3">
      <c r="L1153" s="7" t="str">
        <f t="shared" ca="1" si="35"/>
        <v/>
      </c>
    </row>
    <row r="1154" spans="12:12" x14ac:dyDescent="0.3">
      <c r="L1154" s="7" t="str">
        <f t="shared" ca="1" si="35"/>
        <v/>
      </c>
    </row>
    <row r="1155" spans="12:12" x14ac:dyDescent="0.3">
      <c r="L1155" s="7" t="str">
        <f t="shared" ca="1" si="35"/>
        <v/>
      </c>
    </row>
    <row r="1156" spans="12:12" x14ac:dyDescent="0.3">
      <c r="L1156" s="7" t="str">
        <f t="shared" ref="L1156:L1219" ca="1" si="36">IF(I1156="Completed",0,IF(H1156="","",H1156-TODAY()))</f>
        <v/>
      </c>
    </row>
    <row r="1157" spans="12:12" x14ac:dyDescent="0.3">
      <c r="L1157" s="7" t="str">
        <f t="shared" ca="1" si="36"/>
        <v/>
      </c>
    </row>
    <row r="1158" spans="12:12" x14ac:dyDescent="0.3">
      <c r="L1158" s="7" t="str">
        <f t="shared" ca="1" si="36"/>
        <v/>
      </c>
    </row>
    <row r="1159" spans="12:12" x14ac:dyDescent="0.3">
      <c r="L1159" s="7" t="str">
        <f t="shared" ca="1" si="36"/>
        <v/>
      </c>
    </row>
    <row r="1160" spans="12:12" x14ac:dyDescent="0.3">
      <c r="L1160" s="7" t="str">
        <f t="shared" ca="1" si="36"/>
        <v/>
      </c>
    </row>
    <row r="1161" spans="12:12" x14ac:dyDescent="0.3">
      <c r="L1161" s="7" t="str">
        <f t="shared" ca="1" si="36"/>
        <v/>
      </c>
    </row>
    <row r="1162" spans="12:12" x14ac:dyDescent="0.3">
      <c r="L1162" s="7" t="str">
        <f t="shared" ca="1" si="36"/>
        <v/>
      </c>
    </row>
    <row r="1163" spans="12:12" x14ac:dyDescent="0.3">
      <c r="L1163" s="7" t="str">
        <f t="shared" ca="1" si="36"/>
        <v/>
      </c>
    </row>
    <row r="1164" spans="12:12" x14ac:dyDescent="0.3">
      <c r="L1164" s="7" t="str">
        <f t="shared" ca="1" si="36"/>
        <v/>
      </c>
    </row>
    <row r="1165" spans="12:12" x14ac:dyDescent="0.3">
      <c r="L1165" s="7" t="str">
        <f t="shared" ca="1" si="36"/>
        <v/>
      </c>
    </row>
    <row r="1166" spans="12:12" x14ac:dyDescent="0.3">
      <c r="L1166" s="7" t="str">
        <f t="shared" ca="1" si="36"/>
        <v/>
      </c>
    </row>
    <row r="1167" spans="12:12" x14ac:dyDescent="0.3">
      <c r="L1167" s="7" t="str">
        <f t="shared" ca="1" si="36"/>
        <v/>
      </c>
    </row>
    <row r="1168" spans="12:12" x14ac:dyDescent="0.3">
      <c r="L1168" s="7" t="str">
        <f t="shared" ca="1" si="36"/>
        <v/>
      </c>
    </row>
    <row r="1169" spans="12:12" x14ac:dyDescent="0.3">
      <c r="L1169" s="7" t="str">
        <f t="shared" ca="1" si="36"/>
        <v/>
      </c>
    </row>
    <row r="1170" spans="12:12" x14ac:dyDescent="0.3">
      <c r="L1170" s="7" t="str">
        <f t="shared" ca="1" si="36"/>
        <v/>
      </c>
    </row>
    <row r="1171" spans="12:12" x14ac:dyDescent="0.3">
      <c r="L1171" s="7" t="str">
        <f t="shared" ca="1" si="36"/>
        <v/>
      </c>
    </row>
    <row r="1172" spans="12:12" x14ac:dyDescent="0.3">
      <c r="L1172" s="7" t="str">
        <f t="shared" ca="1" si="36"/>
        <v/>
      </c>
    </row>
    <row r="1173" spans="12:12" x14ac:dyDescent="0.3">
      <c r="L1173" s="7" t="str">
        <f t="shared" ca="1" si="36"/>
        <v/>
      </c>
    </row>
    <row r="1174" spans="12:12" x14ac:dyDescent="0.3">
      <c r="L1174" s="7" t="str">
        <f t="shared" ca="1" si="36"/>
        <v/>
      </c>
    </row>
    <row r="1175" spans="12:12" x14ac:dyDescent="0.3">
      <c r="L1175" s="7" t="str">
        <f t="shared" ca="1" si="36"/>
        <v/>
      </c>
    </row>
    <row r="1176" spans="12:12" x14ac:dyDescent="0.3">
      <c r="L1176" s="7" t="str">
        <f t="shared" ca="1" si="36"/>
        <v/>
      </c>
    </row>
    <row r="1177" spans="12:12" x14ac:dyDescent="0.3">
      <c r="L1177" s="7" t="str">
        <f t="shared" ca="1" si="36"/>
        <v/>
      </c>
    </row>
    <row r="1178" spans="12:12" x14ac:dyDescent="0.3">
      <c r="L1178" s="7" t="str">
        <f t="shared" ca="1" si="36"/>
        <v/>
      </c>
    </row>
    <row r="1179" spans="12:12" x14ac:dyDescent="0.3">
      <c r="L1179" s="7" t="str">
        <f t="shared" ca="1" si="36"/>
        <v/>
      </c>
    </row>
    <row r="1180" spans="12:12" x14ac:dyDescent="0.3">
      <c r="L1180" s="7" t="str">
        <f t="shared" ca="1" si="36"/>
        <v/>
      </c>
    </row>
    <row r="1181" spans="12:12" x14ac:dyDescent="0.3">
      <c r="L1181" s="7" t="str">
        <f t="shared" ca="1" si="36"/>
        <v/>
      </c>
    </row>
    <row r="1182" spans="12:12" x14ac:dyDescent="0.3">
      <c r="L1182" s="7" t="str">
        <f t="shared" ca="1" si="36"/>
        <v/>
      </c>
    </row>
    <row r="1183" spans="12:12" x14ac:dyDescent="0.3">
      <c r="L1183" s="7" t="str">
        <f t="shared" ca="1" si="36"/>
        <v/>
      </c>
    </row>
    <row r="1184" spans="12:12" x14ac:dyDescent="0.3">
      <c r="L1184" s="7" t="str">
        <f t="shared" ca="1" si="36"/>
        <v/>
      </c>
    </row>
    <row r="1185" spans="12:12" x14ac:dyDescent="0.3">
      <c r="L1185" s="7" t="str">
        <f t="shared" ca="1" si="36"/>
        <v/>
      </c>
    </row>
    <row r="1186" spans="12:12" x14ac:dyDescent="0.3">
      <c r="L1186" s="7" t="str">
        <f t="shared" ca="1" si="36"/>
        <v/>
      </c>
    </row>
    <row r="1187" spans="12:12" x14ac:dyDescent="0.3">
      <c r="L1187" s="7" t="str">
        <f t="shared" ca="1" si="36"/>
        <v/>
      </c>
    </row>
    <row r="1188" spans="12:12" x14ac:dyDescent="0.3">
      <c r="L1188" s="7" t="str">
        <f t="shared" ca="1" si="36"/>
        <v/>
      </c>
    </row>
    <row r="1189" spans="12:12" x14ac:dyDescent="0.3">
      <c r="L1189" s="7" t="str">
        <f t="shared" ca="1" si="36"/>
        <v/>
      </c>
    </row>
    <row r="1190" spans="12:12" x14ac:dyDescent="0.3">
      <c r="L1190" s="7" t="str">
        <f t="shared" ca="1" si="36"/>
        <v/>
      </c>
    </row>
    <row r="1191" spans="12:12" x14ac:dyDescent="0.3">
      <c r="L1191" s="7" t="str">
        <f t="shared" ca="1" si="36"/>
        <v/>
      </c>
    </row>
    <row r="1192" spans="12:12" x14ac:dyDescent="0.3">
      <c r="L1192" s="7" t="str">
        <f t="shared" ca="1" si="36"/>
        <v/>
      </c>
    </row>
    <row r="1193" spans="12:12" x14ac:dyDescent="0.3">
      <c r="L1193" s="7" t="str">
        <f t="shared" ca="1" si="36"/>
        <v/>
      </c>
    </row>
    <row r="1194" spans="12:12" x14ac:dyDescent="0.3">
      <c r="L1194" s="7" t="str">
        <f t="shared" ca="1" si="36"/>
        <v/>
      </c>
    </row>
    <row r="1195" spans="12:12" x14ac:dyDescent="0.3">
      <c r="L1195" s="7" t="str">
        <f t="shared" ca="1" si="36"/>
        <v/>
      </c>
    </row>
    <row r="1196" spans="12:12" x14ac:dyDescent="0.3">
      <c r="L1196" s="7" t="str">
        <f t="shared" ca="1" si="36"/>
        <v/>
      </c>
    </row>
    <row r="1197" spans="12:12" x14ac:dyDescent="0.3">
      <c r="L1197" s="7" t="str">
        <f t="shared" ca="1" si="36"/>
        <v/>
      </c>
    </row>
    <row r="1198" spans="12:12" x14ac:dyDescent="0.3">
      <c r="L1198" s="7" t="str">
        <f t="shared" ca="1" si="36"/>
        <v/>
      </c>
    </row>
    <row r="1199" spans="12:12" x14ac:dyDescent="0.3">
      <c r="L1199" s="7" t="str">
        <f t="shared" ca="1" si="36"/>
        <v/>
      </c>
    </row>
    <row r="1200" spans="12:12" x14ac:dyDescent="0.3">
      <c r="L1200" s="7" t="str">
        <f t="shared" ca="1" si="36"/>
        <v/>
      </c>
    </row>
    <row r="1201" spans="12:12" x14ac:dyDescent="0.3">
      <c r="L1201" s="7" t="str">
        <f t="shared" ca="1" si="36"/>
        <v/>
      </c>
    </row>
    <row r="1202" spans="12:12" x14ac:dyDescent="0.3">
      <c r="L1202" s="7" t="str">
        <f t="shared" ca="1" si="36"/>
        <v/>
      </c>
    </row>
    <row r="1203" spans="12:12" x14ac:dyDescent="0.3">
      <c r="L1203" s="7" t="str">
        <f t="shared" ca="1" si="36"/>
        <v/>
      </c>
    </row>
    <row r="1204" spans="12:12" x14ac:dyDescent="0.3">
      <c r="L1204" s="7" t="str">
        <f t="shared" ca="1" si="36"/>
        <v/>
      </c>
    </row>
    <row r="1205" spans="12:12" x14ac:dyDescent="0.3">
      <c r="L1205" s="7" t="str">
        <f t="shared" ca="1" si="36"/>
        <v/>
      </c>
    </row>
    <row r="1206" spans="12:12" x14ac:dyDescent="0.3">
      <c r="L1206" s="7" t="str">
        <f t="shared" ca="1" si="36"/>
        <v/>
      </c>
    </row>
    <row r="1207" spans="12:12" x14ac:dyDescent="0.3">
      <c r="L1207" s="7" t="str">
        <f t="shared" ca="1" si="36"/>
        <v/>
      </c>
    </row>
    <row r="1208" spans="12:12" x14ac:dyDescent="0.3">
      <c r="L1208" s="7" t="str">
        <f t="shared" ca="1" si="36"/>
        <v/>
      </c>
    </row>
    <row r="1209" spans="12:12" x14ac:dyDescent="0.3">
      <c r="L1209" s="7" t="str">
        <f t="shared" ca="1" si="36"/>
        <v/>
      </c>
    </row>
    <row r="1210" spans="12:12" x14ac:dyDescent="0.3">
      <c r="L1210" s="7" t="str">
        <f t="shared" ca="1" si="36"/>
        <v/>
      </c>
    </row>
    <row r="1211" spans="12:12" x14ac:dyDescent="0.3">
      <c r="L1211" s="7" t="str">
        <f t="shared" ca="1" si="36"/>
        <v/>
      </c>
    </row>
    <row r="1212" spans="12:12" x14ac:dyDescent="0.3">
      <c r="L1212" s="7" t="str">
        <f t="shared" ca="1" si="36"/>
        <v/>
      </c>
    </row>
    <row r="1213" spans="12:12" x14ac:dyDescent="0.3">
      <c r="L1213" s="7" t="str">
        <f t="shared" ca="1" si="36"/>
        <v/>
      </c>
    </row>
    <row r="1214" spans="12:12" x14ac:dyDescent="0.3">
      <c r="L1214" s="7" t="str">
        <f t="shared" ca="1" si="36"/>
        <v/>
      </c>
    </row>
    <row r="1215" spans="12:12" x14ac:dyDescent="0.3">
      <c r="L1215" s="7" t="str">
        <f t="shared" ca="1" si="36"/>
        <v/>
      </c>
    </row>
    <row r="1216" spans="12:12" x14ac:dyDescent="0.3">
      <c r="L1216" s="7" t="str">
        <f t="shared" ca="1" si="36"/>
        <v/>
      </c>
    </row>
    <row r="1217" spans="12:12" x14ac:dyDescent="0.3">
      <c r="L1217" s="7" t="str">
        <f t="shared" ca="1" si="36"/>
        <v/>
      </c>
    </row>
    <row r="1218" spans="12:12" x14ac:dyDescent="0.3">
      <c r="L1218" s="7" t="str">
        <f t="shared" ca="1" si="36"/>
        <v/>
      </c>
    </row>
    <row r="1219" spans="12:12" x14ac:dyDescent="0.3">
      <c r="L1219" s="7" t="str">
        <f t="shared" ca="1" si="36"/>
        <v/>
      </c>
    </row>
    <row r="1220" spans="12:12" x14ac:dyDescent="0.3">
      <c r="L1220" s="7" t="str">
        <f t="shared" ref="L1220:L1283" ca="1" si="37">IF(I1220="Completed",0,IF(H1220="","",H1220-TODAY()))</f>
        <v/>
      </c>
    </row>
    <row r="1221" spans="12:12" x14ac:dyDescent="0.3">
      <c r="L1221" s="7" t="str">
        <f t="shared" ca="1" si="37"/>
        <v/>
      </c>
    </row>
    <row r="1222" spans="12:12" x14ac:dyDescent="0.3">
      <c r="L1222" s="7" t="str">
        <f t="shared" ca="1" si="37"/>
        <v/>
      </c>
    </row>
    <row r="1223" spans="12:12" x14ac:dyDescent="0.3">
      <c r="L1223" s="7" t="str">
        <f t="shared" ca="1" si="37"/>
        <v/>
      </c>
    </row>
    <row r="1224" spans="12:12" x14ac:dyDescent="0.3">
      <c r="L1224" s="7" t="str">
        <f t="shared" ca="1" si="37"/>
        <v/>
      </c>
    </row>
    <row r="1225" spans="12:12" x14ac:dyDescent="0.3">
      <c r="L1225" s="7" t="str">
        <f t="shared" ca="1" si="37"/>
        <v/>
      </c>
    </row>
    <row r="1226" spans="12:12" x14ac:dyDescent="0.3">
      <c r="L1226" s="7" t="str">
        <f t="shared" ca="1" si="37"/>
        <v/>
      </c>
    </row>
    <row r="1227" spans="12:12" x14ac:dyDescent="0.3">
      <c r="L1227" s="7" t="str">
        <f t="shared" ca="1" si="37"/>
        <v/>
      </c>
    </row>
    <row r="1228" spans="12:12" x14ac:dyDescent="0.3">
      <c r="L1228" s="7" t="str">
        <f t="shared" ca="1" si="37"/>
        <v/>
      </c>
    </row>
    <row r="1229" spans="12:12" x14ac:dyDescent="0.3">
      <c r="L1229" s="7" t="str">
        <f t="shared" ca="1" si="37"/>
        <v/>
      </c>
    </row>
    <row r="1230" spans="12:12" x14ac:dyDescent="0.3">
      <c r="L1230" s="7" t="str">
        <f t="shared" ca="1" si="37"/>
        <v/>
      </c>
    </row>
    <row r="1231" spans="12:12" x14ac:dyDescent="0.3">
      <c r="L1231" s="7" t="str">
        <f t="shared" ca="1" si="37"/>
        <v/>
      </c>
    </row>
    <row r="1232" spans="12:12" x14ac:dyDescent="0.3">
      <c r="L1232" s="7" t="str">
        <f t="shared" ca="1" si="37"/>
        <v/>
      </c>
    </row>
    <row r="1233" spans="12:12" x14ac:dyDescent="0.3">
      <c r="L1233" s="7" t="str">
        <f t="shared" ca="1" si="37"/>
        <v/>
      </c>
    </row>
    <row r="1234" spans="12:12" x14ac:dyDescent="0.3">
      <c r="L1234" s="7" t="str">
        <f t="shared" ca="1" si="37"/>
        <v/>
      </c>
    </row>
    <row r="1235" spans="12:12" x14ac:dyDescent="0.3">
      <c r="L1235" s="7" t="str">
        <f t="shared" ca="1" si="37"/>
        <v/>
      </c>
    </row>
    <row r="1236" spans="12:12" x14ac:dyDescent="0.3">
      <c r="L1236" s="7" t="str">
        <f t="shared" ca="1" si="37"/>
        <v/>
      </c>
    </row>
    <row r="1237" spans="12:12" x14ac:dyDescent="0.3">
      <c r="L1237" s="7" t="str">
        <f t="shared" ca="1" si="37"/>
        <v/>
      </c>
    </row>
    <row r="1238" spans="12:12" x14ac:dyDescent="0.3">
      <c r="L1238" s="7" t="str">
        <f t="shared" ca="1" si="37"/>
        <v/>
      </c>
    </row>
    <row r="1239" spans="12:12" x14ac:dyDescent="0.3">
      <c r="L1239" s="7" t="str">
        <f t="shared" ca="1" si="37"/>
        <v/>
      </c>
    </row>
    <row r="1240" spans="12:12" x14ac:dyDescent="0.3">
      <c r="L1240" s="7" t="str">
        <f t="shared" ca="1" si="37"/>
        <v/>
      </c>
    </row>
    <row r="1241" spans="12:12" x14ac:dyDescent="0.3">
      <c r="L1241" s="7" t="str">
        <f t="shared" ca="1" si="37"/>
        <v/>
      </c>
    </row>
    <row r="1242" spans="12:12" x14ac:dyDescent="0.3">
      <c r="L1242" s="7" t="str">
        <f t="shared" ca="1" si="37"/>
        <v/>
      </c>
    </row>
    <row r="1243" spans="12:12" x14ac:dyDescent="0.3">
      <c r="L1243" s="7" t="str">
        <f t="shared" ca="1" si="37"/>
        <v/>
      </c>
    </row>
    <row r="1244" spans="12:12" x14ac:dyDescent="0.3">
      <c r="L1244" s="7" t="str">
        <f t="shared" ca="1" si="37"/>
        <v/>
      </c>
    </row>
    <row r="1245" spans="12:12" x14ac:dyDescent="0.3">
      <c r="L1245" s="7" t="str">
        <f t="shared" ca="1" si="37"/>
        <v/>
      </c>
    </row>
    <row r="1246" spans="12:12" x14ac:dyDescent="0.3">
      <c r="L1246" s="7" t="str">
        <f t="shared" ca="1" si="37"/>
        <v/>
      </c>
    </row>
    <row r="1247" spans="12:12" x14ac:dyDescent="0.3">
      <c r="L1247" s="7" t="str">
        <f t="shared" ca="1" si="37"/>
        <v/>
      </c>
    </row>
    <row r="1248" spans="12:12" x14ac:dyDescent="0.3">
      <c r="L1248" s="7" t="str">
        <f t="shared" ca="1" si="37"/>
        <v/>
      </c>
    </row>
    <row r="1249" spans="12:12" x14ac:dyDescent="0.3">
      <c r="L1249" s="7" t="str">
        <f t="shared" ca="1" si="37"/>
        <v/>
      </c>
    </row>
    <row r="1250" spans="12:12" x14ac:dyDescent="0.3">
      <c r="L1250" s="7" t="str">
        <f t="shared" ca="1" si="37"/>
        <v/>
      </c>
    </row>
    <row r="1251" spans="12:12" x14ac:dyDescent="0.3">
      <c r="L1251" s="7" t="str">
        <f t="shared" ca="1" si="37"/>
        <v/>
      </c>
    </row>
    <row r="1252" spans="12:12" x14ac:dyDescent="0.3">
      <c r="L1252" s="7" t="str">
        <f t="shared" ca="1" si="37"/>
        <v/>
      </c>
    </row>
    <row r="1253" spans="12:12" x14ac:dyDescent="0.3">
      <c r="L1253" s="7" t="str">
        <f t="shared" ca="1" si="37"/>
        <v/>
      </c>
    </row>
    <row r="1254" spans="12:12" x14ac:dyDescent="0.3">
      <c r="L1254" s="7" t="str">
        <f t="shared" ca="1" si="37"/>
        <v/>
      </c>
    </row>
    <row r="1255" spans="12:12" x14ac:dyDescent="0.3">
      <c r="L1255" s="7" t="str">
        <f t="shared" ca="1" si="37"/>
        <v/>
      </c>
    </row>
    <row r="1256" spans="12:12" x14ac:dyDescent="0.3">
      <c r="L1256" s="7" t="str">
        <f t="shared" ca="1" si="37"/>
        <v/>
      </c>
    </row>
    <row r="1257" spans="12:12" x14ac:dyDescent="0.3">
      <c r="L1257" s="7" t="str">
        <f t="shared" ca="1" si="37"/>
        <v/>
      </c>
    </row>
    <row r="1258" spans="12:12" x14ac:dyDescent="0.3">
      <c r="L1258" s="7" t="str">
        <f t="shared" ca="1" si="37"/>
        <v/>
      </c>
    </row>
    <row r="1259" spans="12:12" x14ac:dyDescent="0.3">
      <c r="L1259" s="7" t="str">
        <f t="shared" ca="1" si="37"/>
        <v/>
      </c>
    </row>
    <row r="1260" spans="12:12" x14ac:dyDescent="0.3">
      <c r="L1260" s="7" t="str">
        <f t="shared" ca="1" si="37"/>
        <v/>
      </c>
    </row>
    <row r="1261" spans="12:12" x14ac:dyDescent="0.3">
      <c r="L1261" s="7" t="str">
        <f t="shared" ca="1" si="37"/>
        <v/>
      </c>
    </row>
    <row r="1262" spans="12:12" x14ac:dyDescent="0.3">
      <c r="L1262" s="7" t="str">
        <f t="shared" ca="1" si="37"/>
        <v/>
      </c>
    </row>
    <row r="1263" spans="12:12" x14ac:dyDescent="0.3">
      <c r="L1263" s="7" t="str">
        <f t="shared" ca="1" si="37"/>
        <v/>
      </c>
    </row>
    <row r="1264" spans="12:12" x14ac:dyDescent="0.3">
      <c r="L1264" s="7" t="str">
        <f t="shared" ca="1" si="37"/>
        <v/>
      </c>
    </row>
    <row r="1265" spans="12:12" x14ac:dyDescent="0.3">
      <c r="L1265" s="7" t="str">
        <f t="shared" ca="1" si="37"/>
        <v/>
      </c>
    </row>
    <row r="1266" spans="12:12" x14ac:dyDescent="0.3">
      <c r="L1266" s="7" t="str">
        <f t="shared" ca="1" si="37"/>
        <v/>
      </c>
    </row>
    <row r="1267" spans="12:12" x14ac:dyDescent="0.3">
      <c r="L1267" s="7" t="str">
        <f t="shared" ca="1" si="37"/>
        <v/>
      </c>
    </row>
    <row r="1268" spans="12:12" x14ac:dyDescent="0.3">
      <c r="L1268" s="7" t="str">
        <f t="shared" ca="1" si="37"/>
        <v/>
      </c>
    </row>
    <row r="1269" spans="12:12" x14ac:dyDescent="0.3">
      <c r="L1269" s="7" t="str">
        <f t="shared" ca="1" si="37"/>
        <v/>
      </c>
    </row>
    <row r="1270" spans="12:12" x14ac:dyDescent="0.3">
      <c r="L1270" s="7" t="str">
        <f t="shared" ca="1" si="37"/>
        <v/>
      </c>
    </row>
    <row r="1271" spans="12:12" x14ac:dyDescent="0.3">
      <c r="L1271" s="7" t="str">
        <f t="shared" ca="1" si="37"/>
        <v/>
      </c>
    </row>
    <row r="1272" spans="12:12" x14ac:dyDescent="0.3">
      <c r="L1272" s="7" t="str">
        <f t="shared" ca="1" si="37"/>
        <v/>
      </c>
    </row>
    <row r="1273" spans="12:12" x14ac:dyDescent="0.3">
      <c r="L1273" s="7" t="str">
        <f t="shared" ca="1" si="37"/>
        <v/>
      </c>
    </row>
    <row r="1274" spans="12:12" x14ac:dyDescent="0.3">
      <c r="L1274" s="7" t="str">
        <f t="shared" ca="1" si="37"/>
        <v/>
      </c>
    </row>
    <row r="1275" spans="12:12" x14ac:dyDescent="0.3">
      <c r="L1275" s="7" t="str">
        <f t="shared" ca="1" si="37"/>
        <v/>
      </c>
    </row>
    <row r="1276" spans="12:12" x14ac:dyDescent="0.3">
      <c r="L1276" s="7" t="str">
        <f t="shared" ca="1" si="37"/>
        <v/>
      </c>
    </row>
    <row r="1277" spans="12:12" x14ac:dyDescent="0.3">
      <c r="L1277" s="7" t="str">
        <f t="shared" ca="1" si="37"/>
        <v/>
      </c>
    </row>
    <row r="1278" spans="12:12" x14ac:dyDescent="0.3">
      <c r="L1278" s="7" t="str">
        <f t="shared" ca="1" si="37"/>
        <v/>
      </c>
    </row>
    <row r="1279" spans="12:12" x14ac:dyDescent="0.3">
      <c r="L1279" s="7" t="str">
        <f t="shared" ca="1" si="37"/>
        <v/>
      </c>
    </row>
    <row r="1280" spans="12:12" x14ac:dyDescent="0.3">
      <c r="L1280" s="7" t="str">
        <f t="shared" ca="1" si="37"/>
        <v/>
      </c>
    </row>
    <row r="1281" spans="12:12" x14ac:dyDescent="0.3">
      <c r="L1281" s="7" t="str">
        <f t="shared" ca="1" si="37"/>
        <v/>
      </c>
    </row>
    <row r="1282" spans="12:12" x14ac:dyDescent="0.3">
      <c r="L1282" s="7" t="str">
        <f t="shared" ca="1" si="37"/>
        <v/>
      </c>
    </row>
    <row r="1283" spans="12:12" x14ac:dyDescent="0.3">
      <c r="L1283" s="7" t="str">
        <f t="shared" ca="1" si="37"/>
        <v/>
      </c>
    </row>
    <row r="1284" spans="12:12" x14ac:dyDescent="0.3">
      <c r="L1284" s="7" t="str">
        <f t="shared" ref="L1284:L1347" ca="1" si="38">IF(I1284="Completed",0,IF(H1284="","",H1284-TODAY()))</f>
        <v/>
      </c>
    </row>
    <row r="1285" spans="12:12" x14ac:dyDescent="0.3">
      <c r="L1285" s="7" t="str">
        <f t="shared" ca="1" si="38"/>
        <v/>
      </c>
    </row>
    <row r="1286" spans="12:12" x14ac:dyDescent="0.3">
      <c r="L1286" s="7" t="str">
        <f t="shared" ca="1" si="38"/>
        <v/>
      </c>
    </row>
    <row r="1287" spans="12:12" x14ac:dyDescent="0.3">
      <c r="L1287" s="7" t="str">
        <f t="shared" ca="1" si="38"/>
        <v/>
      </c>
    </row>
    <row r="1288" spans="12:12" x14ac:dyDescent="0.3">
      <c r="L1288" s="7" t="str">
        <f t="shared" ca="1" si="38"/>
        <v/>
      </c>
    </row>
    <row r="1289" spans="12:12" x14ac:dyDescent="0.3">
      <c r="L1289" s="7" t="str">
        <f t="shared" ca="1" si="38"/>
        <v/>
      </c>
    </row>
    <row r="1290" spans="12:12" x14ac:dyDescent="0.3">
      <c r="L1290" s="7" t="str">
        <f t="shared" ca="1" si="38"/>
        <v/>
      </c>
    </row>
    <row r="1291" spans="12:12" x14ac:dyDescent="0.3">
      <c r="L1291" s="7" t="str">
        <f t="shared" ca="1" si="38"/>
        <v/>
      </c>
    </row>
    <row r="1292" spans="12:12" x14ac:dyDescent="0.3">
      <c r="L1292" s="7" t="str">
        <f t="shared" ca="1" si="38"/>
        <v/>
      </c>
    </row>
    <row r="1293" spans="12:12" x14ac:dyDescent="0.3">
      <c r="L1293" s="7" t="str">
        <f t="shared" ca="1" si="38"/>
        <v/>
      </c>
    </row>
    <row r="1294" spans="12:12" x14ac:dyDescent="0.3">
      <c r="L1294" s="7" t="str">
        <f t="shared" ca="1" si="38"/>
        <v/>
      </c>
    </row>
    <row r="1295" spans="12:12" x14ac:dyDescent="0.3">
      <c r="L1295" s="7" t="str">
        <f t="shared" ca="1" si="38"/>
        <v/>
      </c>
    </row>
    <row r="1296" spans="12:12" x14ac:dyDescent="0.3">
      <c r="L1296" s="7" t="str">
        <f t="shared" ca="1" si="38"/>
        <v/>
      </c>
    </row>
    <row r="1297" spans="12:12" x14ac:dyDescent="0.3">
      <c r="L1297" s="7" t="str">
        <f t="shared" ca="1" si="38"/>
        <v/>
      </c>
    </row>
    <row r="1298" spans="12:12" x14ac:dyDescent="0.3">
      <c r="L1298" s="7" t="str">
        <f t="shared" ca="1" si="38"/>
        <v/>
      </c>
    </row>
    <row r="1299" spans="12:12" x14ac:dyDescent="0.3">
      <c r="L1299" s="7" t="str">
        <f t="shared" ca="1" si="38"/>
        <v/>
      </c>
    </row>
    <row r="1300" spans="12:12" x14ac:dyDescent="0.3">
      <c r="L1300" s="7" t="str">
        <f t="shared" ca="1" si="38"/>
        <v/>
      </c>
    </row>
    <row r="1301" spans="12:12" x14ac:dyDescent="0.3">
      <c r="L1301" s="7" t="str">
        <f t="shared" ca="1" si="38"/>
        <v/>
      </c>
    </row>
    <row r="1302" spans="12:12" x14ac:dyDescent="0.3">
      <c r="L1302" s="7" t="str">
        <f t="shared" ca="1" si="38"/>
        <v/>
      </c>
    </row>
    <row r="1303" spans="12:12" x14ac:dyDescent="0.3">
      <c r="L1303" s="7" t="str">
        <f t="shared" ca="1" si="38"/>
        <v/>
      </c>
    </row>
    <row r="1304" spans="12:12" x14ac:dyDescent="0.3">
      <c r="L1304" s="7" t="str">
        <f t="shared" ca="1" si="38"/>
        <v/>
      </c>
    </row>
    <row r="1305" spans="12:12" x14ac:dyDescent="0.3">
      <c r="L1305" s="7" t="str">
        <f t="shared" ca="1" si="38"/>
        <v/>
      </c>
    </row>
    <row r="1306" spans="12:12" x14ac:dyDescent="0.3">
      <c r="L1306" s="7" t="str">
        <f t="shared" ca="1" si="38"/>
        <v/>
      </c>
    </row>
    <row r="1307" spans="12:12" x14ac:dyDescent="0.3">
      <c r="L1307" s="7" t="str">
        <f t="shared" ca="1" si="38"/>
        <v/>
      </c>
    </row>
    <row r="1308" spans="12:12" x14ac:dyDescent="0.3">
      <c r="L1308" s="7" t="str">
        <f t="shared" ca="1" si="38"/>
        <v/>
      </c>
    </row>
    <row r="1309" spans="12:12" x14ac:dyDescent="0.3">
      <c r="L1309" s="7" t="str">
        <f t="shared" ca="1" si="38"/>
        <v/>
      </c>
    </row>
    <row r="1310" spans="12:12" x14ac:dyDescent="0.3">
      <c r="L1310" s="7" t="str">
        <f t="shared" ca="1" si="38"/>
        <v/>
      </c>
    </row>
    <row r="1311" spans="12:12" x14ac:dyDescent="0.3">
      <c r="L1311" s="7" t="str">
        <f t="shared" ca="1" si="38"/>
        <v/>
      </c>
    </row>
    <row r="1312" spans="12:12" x14ac:dyDescent="0.3">
      <c r="L1312" s="7" t="str">
        <f t="shared" ca="1" si="38"/>
        <v/>
      </c>
    </row>
    <row r="1313" spans="12:12" x14ac:dyDescent="0.3">
      <c r="L1313" s="7" t="str">
        <f t="shared" ca="1" si="38"/>
        <v/>
      </c>
    </row>
    <row r="1314" spans="12:12" x14ac:dyDescent="0.3">
      <c r="L1314" s="7" t="str">
        <f t="shared" ca="1" si="38"/>
        <v/>
      </c>
    </row>
    <row r="1315" spans="12:12" x14ac:dyDescent="0.3">
      <c r="L1315" s="7" t="str">
        <f t="shared" ca="1" si="38"/>
        <v/>
      </c>
    </row>
    <row r="1316" spans="12:12" x14ac:dyDescent="0.3">
      <c r="L1316" s="7" t="str">
        <f t="shared" ca="1" si="38"/>
        <v/>
      </c>
    </row>
    <row r="1317" spans="12:12" x14ac:dyDescent="0.3">
      <c r="L1317" s="7" t="str">
        <f t="shared" ca="1" si="38"/>
        <v/>
      </c>
    </row>
    <row r="1318" spans="12:12" x14ac:dyDescent="0.3">
      <c r="L1318" s="7" t="str">
        <f t="shared" ca="1" si="38"/>
        <v/>
      </c>
    </row>
    <row r="1319" spans="12:12" x14ac:dyDescent="0.3">
      <c r="L1319" s="7" t="str">
        <f t="shared" ca="1" si="38"/>
        <v/>
      </c>
    </row>
    <row r="1320" spans="12:12" x14ac:dyDescent="0.3">
      <c r="L1320" s="7" t="str">
        <f t="shared" ca="1" si="38"/>
        <v/>
      </c>
    </row>
    <row r="1321" spans="12:12" x14ac:dyDescent="0.3">
      <c r="L1321" s="7" t="str">
        <f t="shared" ca="1" si="38"/>
        <v/>
      </c>
    </row>
    <row r="1322" spans="12:12" x14ac:dyDescent="0.3">
      <c r="L1322" s="7" t="str">
        <f t="shared" ca="1" si="38"/>
        <v/>
      </c>
    </row>
    <row r="1323" spans="12:12" x14ac:dyDescent="0.3">
      <c r="L1323" s="7" t="str">
        <f t="shared" ca="1" si="38"/>
        <v/>
      </c>
    </row>
    <row r="1324" spans="12:12" x14ac:dyDescent="0.3">
      <c r="L1324" s="7" t="str">
        <f t="shared" ca="1" si="38"/>
        <v/>
      </c>
    </row>
    <row r="1325" spans="12:12" x14ac:dyDescent="0.3">
      <c r="L1325" s="7" t="str">
        <f t="shared" ca="1" si="38"/>
        <v/>
      </c>
    </row>
    <row r="1326" spans="12:12" x14ac:dyDescent="0.3">
      <c r="L1326" s="7" t="str">
        <f t="shared" ca="1" si="38"/>
        <v/>
      </c>
    </row>
    <row r="1327" spans="12:12" x14ac:dyDescent="0.3">
      <c r="L1327" s="7" t="str">
        <f t="shared" ca="1" si="38"/>
        <v/>
      </c>
    </row>
    <row r="1328" spans="12:12" x14ac:dyDescent="0.3">
      <c r="L1328" s="7" t="str">
        <f t="shared" ca="1" si="38"/>
        <v/>
      </c>
    </row>
    <row r="1329" spans="12:12" x14ac:dyDescent="0.3">
      <c r="L1329" s="7" t="str">
        <f t="shared" ca="1" si="38"/>
        <v/>
      </c>
    </row>
    <row r="1330" spans="12:12" x14ac:dyDescent="0.3">
      <c r="L1330" s="7" t="str">
        <f t="shared" ca="1" si="38"/>
        <v/>
      </c>
    </row>
    <row r="1331" spans="12:12" x14ac:dyDescent="0.3">
      <c r="L1331" s="7" t="str">
        <f t="shared" ca="1" si="38"/>
        <v/>
      </c>
    </row>
    <row r="1332" spans="12:12" x14ac:dyDescent="0.3">
      <c r="L1332" s="7" t="str">
        <f t="shared" ca="1" si="38"/>
        <v/>
      </c>
    </row>
    <row r="1333" spans="12:12" x14ac:dyDescent="0.3">
      <c r="L1333" s="7" t="str">
        <f t="shared" ca="1" si="38"/>
        <v/>
      </c>
    </row>
    <row r="1334" spans="12:12" x14ac:dyDescent="0.3">
      <c r="L1334" s="7" t="str">
        <f t="shared" ca="1" si="38"/>
        <v/>
      </c>
    </row>
    <row r="1335" spans="12:12" x14ac:dyDescent="0.3">
      <c r="L1335" s="7" t="str">
        <f t="shared" ca="1" si="38"/>
        <v/>
      </c>
    </row>
    <row r="1336" spans="12:12" x14ac:dyDescent="0.3">
      <c r="L1336" s="7" t="str">
        <f t="shared" ca="1" si="38"/>
        <v/>
      </c>
    </row>
    <row r="1337" spans="12:12" x14ac:dyDescent="0.3">
      <c r="L1337" s="7" t="str">
        <f t="shared" ca="1" si="38"/>
        <v/>
      </c>
    </row>
    <row r="1338" spans="12:12" x14ac:dyDescent="0.3">
      <c r="L1338" s="7" t="str">
        <f t="shared" ca="1" si="38"/>
        <v/>
      </c>
    </row>
    <row r="1339" spans="12:12" x14ac:dyDescent="0.3">
      <c r="L1339" s="7" t="str">
        <f t="shared" ca="1" si="38"/>
        <v/>
      </c>
    </row>
    <row r="1340" spans="12:12" x14ac:dyDescent="0.3">
      <c r="L1340" s="7" t="str">
        <f t="shared" ca="1" si="38"/>
        <v/>
      </c>
    </row>
    <row r="1341" spans="12:12" x14ac:dyDescent="0.3">
      <c r="L1341" s="7" t="str">
        <f t="shared" ca="1" si="38"/>
        <v/>
      </c>
    </row>
    <row r="1342" spans="12:12" x14ac:dyDescent="0.3">
      <c r="L1342" s="7" t="str">
        <f t="shared" ca="1" si="38"/>
        <v/>
      </c>
    </row>
    <row r="1343" spans="12:12" x14ac:dyDescent="0.3">
      <c r="L1343" s="7" t="str">
        <f t="shared" ca="1" si="38"/>
        <v/>
      </c>
    </row>
    <row r="1344" spans="12:12" x14ac:dyDescent="0.3">
      <c r="L1344" s="7" t="str">
        <f t="shared" ca="1" si="38"/>
        <v/>
      </c>
    </row>
    <row r="1345" spans="12:12" x14ac:dyDescent="0.3">
      <c r="L1345" s="7" t="str">
        <f t="shared" ca="1" si="38"/>
        <v/>
      </c>
    </row>
    <row r="1346" spans="12:12" x14ac:dyDescent="0.3">
      <c r="L1346" s="7" t="str">
        <f t="shared" ca="1" si="38"/>
        <v/>
      </c>
    </row>
    <row r="1347" spans="12:12" x14ac:dyDescent="0.3">
      <c r="L1347" s="7" t="str">
        <f t="shared" ca="1" si="38"/>
        <v/>
      </c>
    </row>
    <row r="1348" spans="12:12" x14ac:dyDescent="0.3">
      <c r="L1348" s="7" t="str">
        <f t="shared" ref="L1348:L1411" ca="1" si="39">IF(I1348="Completed",0,IF(H1348="","",H1348-TODAY()))</f>
        <v/>
      </c>
    </row>
    <row r="1349" spans="12:12" x14ac:dyDescent="0.3">
      <c r="L1349" s="7" t="str">
        <f t="shared" ca="1" si="39"/>
        <v/>
      </c>
    </row>
    <row r="1350" spans="12:12" x14ac:dyDescent="0.3">
      <c r="L1350" s="7" t="str">
        <f t="shared" ca="1" si="39"/>
        <v/>
      </c>
    </row>
    <row r="1351" spans="12:12" x14ac:dyDescent="0.3">
      <c r="L1351" s="7" t="str">
        <f t="shared" ca="1" si="39"/>
        <v/>
      </c>
    </row>
    <row r="1352" spans="12:12" x14ac:dyDescent="0.3">
      <c r="L1352" s="7" t="str">
        <f t="shared" ca="1" si="39"/>
        <v/>
      </c>
    </row>
    <row r="1353" spans="12:12" x14ac:dyDescent="0.3">
      <c r="L1353" s="7" t="str">
        <f t="shared" ca="1" si="39"/>
        <v/>
      </c>
    </row>
    <row r="1354" spans="12:12" x14ac:dyDescent="0.3">
      <c r="L1354" s="7" t="str">
        <f t="shared" ca="1" si="39"/>
        <v/>
      </c>
    </row>
    <row r="1355" spans="12:12" x14ac:dyDescent="0.3">
      <c r="L1355" s="7" t="str">
        <f t="shared" ca="1" si="39"/>
        <v/>
      </c>
    </row>
    <row r="1356" spans="12:12" x14ac:dyDescent="0.3">
      <c r="L1356" s="7" t="str">
        <f t="shared" ca="1" si="39"/>
        <v/>
      </c>
    </row>
    <row r="1357" spans="12:12" x14ac:dyDescent="0.3">
      <c r="L1357" s="7" t="str">
        <f t="shared" ca="1" si="39"/>
        <v/>
      </c>
    </row>
    <row r="1358" spans="12:12" x14ac:dyDescent="0.3">
      <c r="L1358" s="7" t="str">
        <f t="shared" ca="1" si="39"/>
        <v/>
      </c>
    </row>
    <row r="1359" spans="12:12" x14ac:dyDescent="0.3">
      <c r="L1359" s="7" t="str">
        <f t="shared" ca="1" si="39"/>
        <v/>
      </c>
    </row>
    <row r="1360" spans="12:12" x14ac:dyDescent="0.3">
      <c r="L1360" s="7" t="str">
        <f t="shared" ca="1" si="39"/>
        <v/>
      </c>
    </row>
    <row r="1361" spans="12:12" x14ac:dyDescent="0.3">
      <c r="L1361" s="7" t="str">
        <f t="shared" ca="1" si="39"/>
        <v/>
      </c>
    </row>
    <row r="1362" spans="12:12" x14ac:dyDescent="0.3">
      <c r="L1362" s="7" t="str">
        <f t="shared" ca="1" si="39"/>
        <v/>
      </c>
    </row>
    <row r="1363" spans="12:12" x14ac:dyDescent="0.3">
      <c r="L1363" s="7" t="str">
        <f t="shared" ca="1" si="39"/>
        <v/>
      </c>
    </row>
    <row r="1364" spans="12:12" x14ac:dyDescent="0.3">
      <c r="L1364" s="7" t="str">
        <f t="shared" ca="1" si="39"/>
        <v/>
      </c>
    </row>
    <row r="1365" spans="12:12" x14ac:dyDescent="0.3">
      <c r="L1365" s="7" t="str">
        <f t="shared" ca="1" si="39"/>
        <v/>
      </c>
    </row>
    <row r="1366" spans="12:12" x14ac:dyDescent="0.3">
      <c r="L1366" s="7" t="str">
        <f t="shared" ca="1" si="39"/>
        <v/>
      </c>
    </row>
    <row r="1367" spans="12:12" x14ac:dyDescent="0.3">
      <c r="L1367" s="7" t="str">
        <f t="shared" ca="1" si="39"/>
        <v/>
      </c>
    </row>
    <row r="1368" spans="12:12" x14ac:dyDescent="0.3">
      <c r="L1368" s="7" t="str">
        <f t="shared" ca="1" si="39"/>
        <v/>
      </c>
    </row>
    <row r="1369" spans="12:12" x14ac:dyDescent="0.3">
      <c r="L1369" s="7" t="str">
        <f t="shared" ca="1" si="39"/>
        <v/>
      </c>
    </row>
    <row r="1370" spans="12:12" x14ac:dyDescent="0.3">
      <c r="L1370" s="7" t="str">
        <f t="shared" ca="1" si="39"/>
        <v/>
      </c>
    </row>
    <row r="1371" spans="12:12" x14ac:dyDescent="0.3">
      <c r="L1371" s="7" t="str">
        <f t="shared" ca="1" si="39"/>
        <v/>
      </c>
    </row>
    <row r="1372" spans="12:12" x14ac:dyDescent="0.3">
      <c r="L1372" s="7" t="str">
        <f t="shared" ca="1" si="39"/>
        <v/>
      </c>
    </row>
    <row r="1373" spans="12:12" x14ac:dyDescent="0.3">
      <c r="L1373" s="7" t="str">
        <f t="shared" ca="1" si="39"/>
        <v/>
      </c>
    </row>
    <row r="1374" spans="12:12" x14ac:dyDescent="0.3">
      <c r="L1374" s="7" t="str">
        <f t="shared" ca="1" si="39"/>
        <v/>
      </c>
    </row>
    <row r="1375" spans="12:12" x14ac:dyDescent="0.3">
      <c r="L1375" s="7" t="str">
        <f t="shared" ca="1" si="39"/>
        <v/>
      </c>
    </row>
    <row r="1376" spans="12:12" x14ac:dyDescent="0.3">
      <c r="L1376" s="7" t="str">
        <f t="shared" ca="1" si="39"/>
        <v/>
      </c>
    </row>
    <row r="1377" spans="12:12" x14ac:dyDescent="0.3">
      <c r="L1377" s="7" t="str">
        <f t="shared" ca="1" si="39"/>
        <v/>
      </c>
    </row>
    <row r="1378" spans="12:12" x14ac:dyDescent="0.3">
      <c r="L1378" s="7" t="str">
        <f t="shared" ca="1" si="39"/>
        <v/>
      </c>
    </row>
    <row r="1379" spans="12:12" x14ac:dyDescent="0.3">
      <c r="L1379" s="7" t="str">
        <f t="shared" ca="1" si="39"/>
        <v/>
      </c>
    </row>
    <row r="1380" spans="12:12" x14ac:dyDescent="0.3">
      <c r="L1380" s="7" t="str">
        <f t="shared" ca="1" si="39"/>
        <v/>
      </c>
    </row>
    <row r="1381" spans="12:12" x14ac:dyDescent="0.3">
      <c r="L1381" s="7" t="str">
        <f t="shared" ca="1" si="39"/>
        <v/>
      </c>
    </row>
    <row r="1382" spans="12:12" x14ac:dyDescent="0.3">
      <c r="L1382" s="7" t="str">
        <f t="shared" ca="1" si="39"/>
        <v/>
      </c>
    </row>
    <row r="1383" spans="12:12" x14ac:dyDescent="0.3">
      <c r="L1383" s="7" t="str">
        <f t="shared" ca="1" si="39"/>
        <v/>
      </c>
    </row>
    <row r="1384" spans="12:12" x14ac:dyDescent="0.3">
      <c r="L1384" s="7" t="str">
        <f t="shared" ca="1" si="39"/>
        <v/>
      </c>
    </row>
    <row r="1385" spans="12:12" x14ac:dyDescent="0.3">
      <c r="L1385" s="7" t="str">
        <f t="shared" ca="1" si="39"/>
        <v/>
      </c>
    </row>
    <row r="1386" spans="12:12" x14ac:dyDescent="0.3">
      <c r="L1386" s="7" t="str">
        <f t="shared" ca="1" si="39"/>
        <v/>
      </c>
    </row>
    <row r="1387" spans="12:12" x14ac:dyDescent="0.3">
      <c r="L1387" s="7" t="str">
        <f t="shared" ca="1" si="39"/>
        <v/>
      </c>
    </row>
    <row r="1388" spans="12:12" x14ac:dyDescent="0.3">
      <c r="L1388" s="7" t="str">
        <f t="shared" ca="1" si="39"/>
        <v/>
      </c>
    </row>
    <row r="1389" spans="12:12" x14ac:dyDescent="0.3">
      <c r="L1389" s="7" t="str">
        <f t="shared" ca="1" si="39"/>
        <v/>
      </c>
    </row>
    <row r="1390" spans="12:12" x14ac:dyDescent="0.3">
      <c r="L1390" s="7" t="str">
        <f t="shared" ca="1" si="39"/>
        <v/>
      </c>
    </row>
    <row r="1391" spans="12:12" x14ac:dyDescent="0.3">
      <c r="L1391" s="7" t="str">
        <f t="shared" ca="1" si="39"/>
        <v/>
      </c>
    </row>
    <row r="1392" spans="12:12" x14ac:dyDescent="0.3">
      <c r="L1392" s="7" t="str">
        <f t="shared" ca="1" si="39"/>
        <v/>
      </c>
    </row>
    <row r="1393" spans="12:12" x14ac:dyDescent="0.3">
      <c r="L1393" s="7" t="str">
        <f t="shared" ca="1" si="39"/>
        <v/>
      </c>
    </row>
    <row r="1394" spans="12:12" x14ac:dyDescent="0.3">
      <c r="L1394" s="7" t="str">
        <f t="shared" ca="1" si="39"/>
        <v/>
      </c>
    </row>
    <row r="1395" spans="12:12" x14ac:dyDescent="0.3">
      <c r="L1395" s="7" t="str">
        <f t="shared" ca="1" si="39"/>
        <v/>
      </c>
    </row>
    <row r="1396" spans="12:12" x14ac:dyDescent="0.3">
      <c r="L1396" s="7" t="str">
        <f t="shared" ca="1" si="39"/>
        <v/>
      </c>
    </row>
    <row r="1397" spans="12:12" x14ac:dyDescent="0.3">
      <c r="L1397" s="7" t="str">
        <f t="shared" ca="1" si="39"/>
        <v/>
      </c>
    </row>
    <row r="1398" spans="12:12" x14ac:dyDescent="0.3">
      <c r="L1398" s="7" t="str">
        <f t="shared" ca="1" si="39"/>
        <v/>
      </c>
    </row>
    <row r="1399" spans="12:12" x14ac:dyDescent="0.3">
      <c r="L1399" s="7" t="str">
        <f t="shared" ca="1" si="39"/>
        <v/>
      </c>
    </row>
    <row r="1400" spans="12:12" x14ac:dyDescent="0.3">
      <c r="L1400" s="7" t="str">
        <f t="shared" ca="1" si="39"/>
        <v/>
      </c>
    </row>
    <row r="1401" spans="12:12" x14ac:dyDescent="0.3">
      <c r="L1401" s="7" t="str">
        <f t="shared" ca="1" si="39"/>
        <v/>
      </c>
    </row>
    <row r="1402" spans="12:12" x14ac:dyDescent="0.3">
      <c r="L1402" s="7" t="str">
        <f t="shared" ca="1" si="39"/>
        <v/>
      </c>
    </row>
    <row r="1403" spans="12:12" x14ac:dyDescent="0.3">
      <c r="L1403" s="7" t="str">
        <f t="shared" ca="1" si="39"/>
        <v/>
      </c>
    </row>
    <row r="1404" spans="12:12" x14ac:dyDescent="0.3">
      <c r="L1404" s="7" t="str">
        <f t="shared" ca="1" si="39"/>
        <v/>
      </c>
    </row>
    <row r="1405" spans="12:12" x14ac:dyDescent="0.3">
      <c r="L1405" s="7" t="str">
        <f t="shared" ca="1" si="39"/>
        <v/>
      </c>
    </row>
    <row r="1406" spans="12:12" x14ac:dyDescent="0.3">
      <c r="L1406" s="7" t="str">
        <f t="shared" ca="1" si="39"/>
        <v/>
      </c>
    </row>
    <row r="1407" spans="12:12" x14ac:dyDescent="0.3">
      <c r="L1407" s="7" t="str">
        <f t="shared" ca="1" si="39"/>
        <v/>
      </c>
    </row>
    <row r="1408" spans="12:12" x14ac:dyDescent="0.3">
      <c r="L1408" s="7" t="str">
        <f t="shared" ca="1" si="39"/>
        <v/>
      </c>
    </row>
    <row r="1409" spans="12:12" x14ac:dyDescent="0.3">
      <c r="L1409" s="7" t="str">
        <f t="shared" ca="1" si="39"/>
        <v/>
      </c>
    </row>
    <row r="1410" spans="12:12" x14ac:dyDescent="0.3">
      <c r="L1410" s="7" t="str">
        <f t="shared" ca="1" si="39"/>
        <v/>
      </c>
    </row>
    <row r="1411" spans="12:12" x14ac:dyDescent="0.3">
      <c r="L1411" s="7" t="str">
        <f t="shared" ca="1" si="39"/>
        <v/>
      </c>
    </row>
    <row r="1412" spans="12:12" x14ac:dyDescent="0.3">
      <c r="L1412" s="7" t="str">
        <f t="shared" ref="L1412:L1475" ca="1" si="40">IF(I1412="Completed",0,IF(H1412="","",H1412-TODAY()))</f>
        <v/>
      </c>
    </row>
    <row r="1413" spans="12:12" x14ac:dyDescent="0.3">
      <c r="L1413" s="7" t="str">
        <f t="shared" ca="1" si="40"/>
        <v/>
      </c>
    </row>
    <row r="1414" spans="12:12" x14ac:dyDescent="0.3">
      <c r="L1414" s="7" t="str">
        <f t="shared" ca="1" si="40"/>
        <v/>
      </c>
    </row>
    <row r="1415" spans="12:12" x14ac:dyDescent="0.3">
      <c r="L1415" s="7" t="str">
        <f t="shared" ca="1" si="40"/>
        <v/>
      </c>
    </row>
    <row r="1416" spans="12:12" x14ac:dyDescent="0.3">
      <c r="L1416" s="7" t="str">
        <f t="shared" ca="1" si="40"/>
        <v/>
      </c>
    </row>
    <row r="1417" spans="12:12" x14ac:dyDescent="0.3">
      <c r="L1417" s="7" t="str">
        <f t="shared" ca="1" si="40"/>
        <v/>
      </c>
    </row>
    <row r="1418" spans="12:12" x14ac:dyDescent="0.3">
      <c r="L1418" s="7" t="str">
        <f t="shared" ca="1" si="40"/>
        <v/>
      </c>
    </row>
    <row r="1419" spans="12:12" x14ac:dyDescent="0.3">
      <c r="L1419" s="7" t="str">
        <f t="shared" ca="1" si="40"/>
        <v/>
      </c>
    </row>
    <row r="1420" spans="12:12" x14ac:dyDescent="0.3">
      <c r="L1420" s="7" t="str">
        <f t="shared" ca="1" si="40"/>
        <v/>
      </c>
    </row>
    <row r="1421" spans="12:12" x14ac:dyDescent="0.3">
      <c r="L1421" s="7" t="str">
        <f t="shared" ca="1" si="40"/>
        <v/>
      </c>
    </row>
    <row r="1422" spans="12:12" x14ac:dyDescent="0.3">
      <c r="L1422" s="7" t="str">
        <f t="shared" ca="1" si="40"/>
        <v/>
      </c>
    </row>
    <row r="1423" spans="12:12" x14ac:dyDescent="0.3">
      <c r="L1423" s="7" t="str">
        <f t="shared" ca="1" si="40"/>
        <v/>
      </c>
    </row>
    <row r="1424" spans="12:12" x14ac:dyDescent="0.3">
      <c r="L1424" s="7" t="str">
        <f t="shared" ca="1" si="40"/>
        <v/>
      </c>
    </row>
    <row r="1425" spans="12:12" x14ac:dyDescent="0.3">
      <c r="L1425" s="7" t="str">
        <f t="shared" ca="1" si="40"/>
        <v/>
      </c>
    </row>
    <row r="1426" spans="12:12" x14ac:dyDescent="0.3">
      <c r="L1426" s="7" t="str">
        <f t="shared" ca="1" si="40"/>
        <v/>
      </c>
    </row>
    <row r="1427" spans="12:12" x14ac:dyDescent="0.3">
      <c r="L1427" s="7" t="str">
        <f t="shared" ca="1" si="40"/>
        <v/>
      </c>
    </row>
    <row r="1428" spans="12:12" x14ac:dyDescent="0.3">
      <c r="L1428" s="7" t="str">
        <f t="shared" ca="1" si="40"/>
        <v/>
      </c>
    </row>
    <row r="1429" spans="12:12" x14ac:dyDescent="0.3">
      <c r="L1429" s="7" t="str">
        <f t="shared" ca="1" si="40"/>
        <v/>
      </c>
    </row>
    <row r="1430" spans="12:12" x14ac:dyDescent="0.3">
      <c r="L1430" s="7" t="str">
        <f t="shared" ca="1" si="40"/>
        <v/>
      </c>
    </row>
    <row r="1431" spans="12:12" x14ac:dyDescent="0.3">
      <c r="L1431" s="7" t="str">
        <f t="shared" ca="1" si="40"/>
        <v/>
      </c>
    </row>
    <row r="1432" spans="12:12" x14ac:dyDescent="0.3">
      <c r="L1432" s="7" t="str">
        <f t="shared" ca="1" si="40"/>
        <v/>
      </c>
    </row>
    <row r="1433" spans="12:12" x14ac:dyDescent="0.3">
      <c r="L1433" s="7" t="str">
        <f t="shared" ca="1" si="40"/>
        <v/>
      </c>
    </row>
    <row r="1434" spans="12:12" x14ac:dyDescent="0.3">
      <c r="L1434" s="7" t="str">
        <f t="shared" ca="1" si="40"/>
        <v/>
      </c>
    </row>
    <row r="1435" spans="12:12" x14ac:dyDescent="0.3">
      <c r="L1435" s="7" t="str">
        <f t="shared" ca="1" si="40"/>
        <v/>
      </c>
    </row>
    <row r="1436" spans="12:12" x14ac:dyDescent="0.3">
      <c r="L1436" s="7" t="str">
        <f t="shared" ca="1" si="40"/>
        <v/>
      </c>
    </row>
    <row r="1437" spans="12:12" x14ac:dyDescent="0.3">
      <c r="L1437" s="7" t="str">
        <f t="shared" ca="1" si="40"/>
        <v/>
      </c>
    </row>
    <row r="1438" spans="12:12" x14ac:dyDescent="0.3">
      <c r="L1438" s="7" t="str">
        <f t="shared" ca="1" si="40"/>
        <v/>
      </c>
    </row>
    <row r="1439" spans="12:12" x14ac:dyDescent="0.3">
      <c r="L1439" s="7" t="str">
        <f t="shared" ca="1" si="40"/>
        <v/>
      </c>
    </row>
    <row r="1440" spans="12:12" x14ac:dyDescent="0.3">
      <c r="L1440" s="7" t="str">
        <f t="shared" ca="1" si="40"/>
        <v/>
      </c>
    </row>
    <row r="1441" spans="12:12" x14ac:dyDescent="0.3">
      <c r="L1441" s="7" t="str">
        <f t="shared" ca="1" si="40"/>
        <v/>
      </c>
    </row>
    <row r="1442" spans="12:12" x14ac:dyDescent="0.3">
      <c r="L1442" s="7" t="str">
        <f t="shared" ca="1" si="40"/>
        <v/>
      </c>
    </row>
    <row r="1443" spans="12:12" x14ac:dyDescent="0.3">
      <c r="L1443" s="7" t="str">
        <f t="shared" ca="1" si="40"/>
        <v/>
      </c>
    </row>
    <row r="1444" spans="12:12" x14ac:dyDescent="0.3">
      <c r="L1444" s="7" t="str">
        <f t="shared" ca="1" si="40"/>
        <v/>
      </c>
    </row>
    <row r="1445" spans="12:12" x14ac:dyDescent="0.3">
      <c r="L1445" s="7" t="str">
        <f t="shared" ca="1" si="40"/>
        <v/>
      </c>
    </row>
    <row r="1446" spans="12:12" x14ac:dyDescent="0.3">
      <c r="L1446" s="7" t="str">
        <f t="shared" ca="1" si="40"/>
        <v/>
      </c>
    </row>
    <row r="1447" spans="12:12" x14ac:dyDescent="0.3">
      <c r="L1447" s="7" t="str">
        <f t="shared" ca="1" si="40"/>
        <v/>
      </c>
    </row>
    <row r="1448" spans="12:12" x14ac:dyDescent="0.3">
      <c r="L1448" s="7" t="str">
        <f t="shared" ca="1" si="40"/>
        <v/>
      </c>
    </row>
    <row r="1449" spans="12:12" x14ac:dyDescent="0.3">
      <c r="L1449" s="7" t="str">
        <f t="shared" ca="1" si="40"/>
        <v/>
      </c>
    </row>
    <row r="1450" spans="12:12" x14ac:dyDescent="0.3">
      <c r="L1450" s="7" t="str">
        <f t="shared" ca="1" si="40"/>
        <v/>
      </c>
    </row>
    <row r="1451" spans="12:12" x14ac:dyDescent="0.3">
      <c r="L1451" s="7" t="str">
        <f t="shared" ca="1" si="40"/>
        <v/>
      </c>
    </row>
    <row r="1452" spans="12:12" x14ac:dyDescent="0.3">
      <c r="L1452" s="7" t="str">
        <f t="shared" ca="1" si="40"/>
        <v/>
      </c>
    </row>
    <row r="1453" spans="12:12" x14ac:dyDescent="0.3">
      <c r="L1453" s="7" t="str">
        <f t="shared" ca="1" si="40"/>
        <v/>
      </c>
    </row>
    <row r="1454" spans="12:12" x14ac:dyDescent="0.3">
      <c r="L1454" s="7" t="str">
        <f t="shared" ca="1" si="40"/>
        <v/>
      </c>
    </row>
    <row r="1455" spans="12:12" x14ac:dyDescent="0.3">
      <c r="L1455" s="7" t="str">
        <f t="shared" ca="1" si="40"/>
        <v/>
      </c>
    </row>
    <row r="1456" spans="12:12" x14ac:dyDescent="0.3">
      <c r="L1456" s="7" t="str">
        <f t="shared" ca="1" si="40"/>
        <v/>
      </c>
    </row>
    <row r="1457" spans="12:12" x14ac:dyDescent="0.3">
      <c r="L1457" s="7" t="str">
        <f t="shared" ca="1" si="40"/>
        <v/>
      </c>
    </row>
    <row r="1458" spans="12:12" x14ac:dyDescent="0.3">
      <c r="L1458" s="7" t="str">
        <f t="shared" ca="1" si="40"/>
        <v/>
      </c>
    </row>
    <row r="1459" spans="12:12" x14ac:dyDescent="0.3">
      <c r="L1459" s="7" t="str">
        <f t="shared" ca="1" si="40"/>
        <v/>
      </c>
    </row>
    <row r="1460" spans="12:12" x14ac:dyDescent="0.3">
      <c r="L1460" s="7" t="str">
        <f t="shared" ca="1" si="40"/>
        <v/>
      </c>
    </row>
    <row r="1461" spans="12:12" x14ac:dyDescent="0.3">
      <c r="L1461" s="7" t="str">
        <f t="shared" ca="1" si="40"/>
        <v/>
      </c>
    </row>
    <row r="1462" spans="12:12" x14ac:dyDescent="0.3">
      <c r="L1462" s="7" t="str">
        <f t="shared" ca="1" si="40"/>
        <v/>
      </c>
    </row>
    <row r="1463" spans="12:12" x14ac:dyDescent="0.3">
      <c r="L1463" s="7" t="str">
        <f t="shared" ca="1" si="40"/>
        <v/>
      </c>
    </row>
    <row r="1464" spans="12:12" x14ac:dyDescent="0.3">
      <c r="L1464" s="7" t="str">
        <f t="shared" ca="1" si="40"/>
        <v/>
      </c>
    </row>
    <row r="1465" spans="12:12" x14ac:dyDescent="0.3">
      <c r="L1465" s="7" t="str">
        <f t="shared" ca="1" si="40"/>
        <v/>
      </c>
    </row>
    <row r="1466" spans="12:12" x14ac:dyDescent="0.3">
      <c r="L1466" s="7" t="str">
        <f t="shared" ca="1" si="40"/>
        <v/>
      </c>
    </row>
    <row r="1467" spans="12:12" x14ac:dyDescent="0.3">
      <c r="L1467" s="7" t="str">
        <f t="shared" ca="1" si="40"/>
        <v/>
      </c>
    </row>
    <row r="1468" spans="12:12" x14ac:dyDescent="0.3">
      <c r="L1468" s="7" t="str">
        <f t="shared" ca="1" si="40"/>
        <v/>
      </c>
    </row>
    <row r="1469" spans="12:12" x14ac:dyDescent="0.3">
      <c r="L1469" s="7" t="str">
        <f t="shared" ca="1" si="40"/>
        <v/>
      </c>
    </row>
    <row r="1470" spans="12:12" x14ac:dyDescent="0.3">
      <c r="L1470" s="7" t="str">
        <f t="shared" ca="1" si="40"/>
        <v/>
      </c>
    </row>
    <row r="1471" spans="12:12" x14ac:dyDescent="0.3">
      <c r="L1471" s="7" t="str">
        <f t="shared" ca="1" si="40"/>
        <v/>
      </c>
    </row>
    <row r="1472" spans="12:12" x14ac:dyDescent="0.3">
      <c r="L1472" s="7" t="str">
        <f t="shared" ca="1" si="40"/>
        <v/>
      </c>
    </row>
    <row r="1473" spans="12:12" x14ac:dyDescent="0.3">
      <c r="L1473" s="7" t="str">
        <f t="shared" ca="1" si="40"/>
        <v/>
      </c>
    </row>
    <row r="1474" spans="12:12" x14ac:dyDescent="0.3">
      <c r="L1474" s="7" t="str">
        <f t="shared" ca="1" si="40"/>
        <v/>
      </c>
    </row>
    <row r="1475" spans="12:12" x14ac:dyDescent="0.3">
      <c r="L1475" s="7" t="str">
        <f t="shared" ca="1" si="40"/>
        <v/>
      </c>
    </row>
    <row r="1476" spans="12:12" x14ac:dyDescent="0.3">
      <c r="L1476" s="7" t="str">
        <f t="shared" ref="L1476:L1539" ca="1" si="41">IF(I1476="Completed",0,IF(H1476="","",H1476-TODAY()))</f>
        <v/>
      </c>
    </row>
    <row r="1477" spans="12:12" x14ac:dyDescent="0.3">
      <c r="L1477" s="7" t="str">
        <f t="shared" ca="1" si="41"/>
        <v/>
      </c>
    </row>
    <row r="1478" spans="12:12" x14ac:dyDescent="0.3">
      <c r="L1478" s="7" t="str">
        <f t="shared" ca="1" si="41"/>
        <v/>
      </c>
    </row>
    <row r="1479" spans="12:12" x14ac:dyDescent="0.3">
      <c r="L1479" s="7" t="str">
        <f t="shared" ca="1" si="41"/>
        <v/>
      </c>
    </row>
    <row r="1480" spans="12:12" x14ac:dyDescent="0.3">
      <c r="L1480" s="7" t="str">
        <f t="shared" ca="1" si="41"/>
        <v/>
      </c>
    </row>
    <row r="1481" spans="12:12" x14ac:dyDescent="0.3">
      <c r="L1481" s="7" t="str">
        <f t="shared" ca="1" si="41"/>
        <v/>
      </c>
    </row>
    <row r="1482" spans="12:12" x14ac:dyDescent="0.3">
      <c r="L1482" s="7" t="str">
        <f t="shared" ca="1" si="41"/>
        <v/>
      </c>
    </row>
    <row r="1483" spans="12:12" x14ac:dyDescent="0.3">
      <c r="L1483" s="7" t="str">
        <f t="shared" ca="1" si="41"/>
        <v/>
      </c>
    </row>
    <row r="1484" spans="12:12" x14ac:dyDescent="0.3">
      <c r="L1484" s="7" t="str">
        <f t="shared" ca="1" si="41"/>
        <v/>
      </c>
    </row>
    <row r="1485" spans="12:12" x14ac:dyDescent="0.3">
      <c r="L1485" s="7" t="str">
        <f t="shared" ca="1" si="41"/>
        <v/>
      </c>
    </row>
    <row r="1486" spans="12:12" x14ac:dyDescent="0.3">
      <c r="L1486" s="7" t="str">
        <f t="shared" ca="1" si="41"/>
        <v/>
      </c>
    </row>
    <row r="1487" spans="12:12" x14ac:dyDescent="0.3">
      <c r="L1487" s="7" t="str">
        <f t="shared" ca="1" si="41"/>
        <v/>
      </c>
    </row>
    <row r="1488" spans="12:12" x14ac:dyDescent="0.3">
      <c r="L1488" s="7" t="str">
        <f t="shared" ca="1" si="41"/>
        <v/>
      </c>
    </row>
    <row r="1489" spans="12:12" x14ac:dyDescent="0.3">
      <c r="L1489" s="7" t="str">
        <f t="shared" ca="1" si="41"/>
        <v/>
      </c>
    </row>
    <row r="1490" spans="12:12" x14ac:dyDescent="0.3">
      <c r="L1490" s="7" t="str">
        <f t="shared" ca="1" si="41"/>
        <v/>
      </c>
    </row>
    <row r="1491" spans="12:12" x14ac:dyDescent="0.3">
      <c r="L1491" s="7" t="str">
        <f t="shared" ca="1" si="41"/>
        <v/>
      </c>
    </row>
    <row r="1492" spans="12:12" x14ac:dyDescent="0.3">
      <c r="L1492" s="7" t="str">
        <f t="shared" ca="1" si="41"/>
        <v/>
      </c>
    </row>
    <row r="1493" spans="12:12" x14ac:dyDescent="0.3">
      <c r="L1493" s="7" t="str">
        <f t="shared" ca="1" si="41"/>
        <v/>
      </c>
    </row>
    <row r="1494" spans="12:12" x14ac:dyDescent="0.3">
      <c r="L1494" s="7" t="str">
        <f t="shared" ca="1" si="41"/>
        <v/>
      </c>
    </row>
    <row r="1495" spans="12:12" x14ac:dyDescent="0.3">
      <c r="L1495" s="7" t="str">
        <f t="shared" ca="1" si="41"/>
        <v/>
      </c>
    </row>
    <row r="1496" spans="12:12" x14ac:dyDescent="0.3">
      <c r="L1496" s="7" t="str">
        <f t="shared" ca="1" si="41"/>
        <v/>
      </c>
    </row>
    <row r="1497" spans="12:12" x14ac:dyDescent="0.3">
      <c r="L1497" s="7" t="str">
        <f t="shared" ca="1" si="41"/>
        <v/>
      </c>
    </row>
    <row r="1498" spans="12:12" x14ac:dyDescent="0.3">
      <c r="L1498" s="7" t="str">
        <f t="shared" ca="1" si="41"/>
        <v/>
      </c>
    </row>
    <row r="1499" spans="12:12" x14ac:dyDescent="0.3">
      <c r="L1499" s="7" t="str">
        <f t="shared" ca="1" si="41"/>
        <v/>
      </c>
    </row>
    <row r="1500" spans="12:12" x14ac:dyDescent="0.3">
      <c r="L1500" s="7" t="str">
        <f t="shared" ca="1" si="41"/>
        <v/>
      </c>
    </row>
    <row r="1501" spans="12:12" x14ac:dyDescent="0.3">
      <c r="L1501" s="7" t="str">
        <f t="shared" ca="1" si="41"/>
        <v/>
      </c>
    </row>
    <row r="1502" spans="12:12" x14ac:dyDescent="0.3">
      <c r="L1502" s="7" t="str">
        <f t="shared" ca="1" si="41"/>
        <v/>
      </c>
    </row>
    <row r="1503" spans="12:12" x14ac:dyDescent="0.3">
      <c r="L1503" s="7" t="str">
        <f t="shared" ca="1" si="41"/>
        <v/>
      </c>
    </row>
    <row r="1504" spans="12:12" x14ac:dyDescent="0.3">
      <c r="L1504" s="7" t="str">
        <f t="shared" ca="1" si="41"/>
        <v/>
      </c>
    </row>
    <row r="1505" spans="12:12" x14ac:dyDescent="0.3">
      <c r="L1505" s="7" t="str">
        <f t="shared" ca="1" si="41"/>
        <v/>
      </c>
    </row>
    <row r="1506" spans="12:12" x14ac:dyDescent="0.3">
      <c r="L1506" s="7" t="str">
        <f t="shared" ca="1" si="41"/>
        <v/>
      </c>
    </row>
    <row r="1507" spans="12:12" x14ac:dyDescent="0.3">
      <c r="L1507" s="7" t="str">
        <f t="shared" ca="1" si="41"/>
        <v/>
      </c>
    </row>
    <row r="1508" spans="12:12" x14ac:dyDescent="0.3">
      <c r="L1508" s="7" t="str">
        <f t="shared" ca="1" si="41"/>
        <v/>
      </c>
    </row>
    <row r="1509" spans="12:12" x14ac:dyDescent="0.3">
      <c r="L1509" s="7" t="str">
        <f t="shared" ca="1" si="41"/>
        <v/>
      </c>
    </row>
    <row r="1510" spans="12:12" x14ac:dyDescent="0.3">
      <c r="L1510" s="7" t="str">
        <f t="shared" ca="1" si="41"/>
        <v/>
      </c>
    </row>
    <row r="1511" spans="12:12" x14ac:dyDescent="0.3">
      <c r="L1511" s="7" t="str">
        <f t="shared" ca="1" si="41"/>
        <v/>
      </c>
    </row>
    <row r="1512" spans="12:12" x14ac:dyDescent="0.3">
      <c r="L1512" s="7" t="str">
        <f t="shared" ca="1" si="41"/>
        <v/>
      </c>
    </row>
    <row r="1513" spans="12:12" x14ac:dyDescent="0.3">
      <c r="L1513" s="7" t="str">
        <f t="shared" ca="1" si="41"/>
        <v/>
      </c>
    </row>
    <row r="1514" spans="12:12" x14ac:dyDescent="0.3">
      <c r="L1514" s="7" t="str">
        <f t="shared" ca="1" si="41"/>
        <v/>
      </c>
    </row>
    <row r="1515" spans="12:12" x14ac:dyDescent="0.3">
      <c r="L1515" s="7" t="str">
        <f t="shared" ca="1" si="41"/>
        <v/>
      </c>
    </row>
    <row r="1516" spans="12:12" x14ac:dyDescent="0.3">
      <c r="L1516" s="7" t="str">
        <f t="shared" ca="1" si="41"/>
        <v/>
      </c>
    </row>
    <row r="1517" spans="12:12" x14ac:dyDescent="0.3">
      <c r="L1517" s="7" t="str">
        <f t="shared" ca="1" si="41"/>
        <v/>
      </c>
    </row>
    <row r="1518" spans="12:12" x14ac:dyDescent="0.3">
      <c r="L1518" s="7" t="str">
        <f t="shared" ca="1" si="41"/>
        <v/>
      </c>
    </row>
    <row r="1519" spans="12:12" x14ac:dyDescent="0.3">
      <c r="L1519" s="7" t="str">
        <f t="shared" ca="1" si="41"/>
        <v/>
      </c>
    </row>
    <row r="1520" spans="12:12" x14ac:dyDescent="0.3">
      <c r="L1520" s="7" t="str">
        <f t="shared" ca="1" si="41"/>
        <v/>
      </c>
    </row>
    <row r="1521" spans="12:12" x14ac:dyDescent="0.3">
      <c r="L1521" s="7" t="str">
        <f t="shared" ca="1" si="41"/>
        <v/>
      </c>
    </row>
    <row r="1522" spans="12:12" x14ac:dyDescent="0.3">
      <c r="L1522" s="7" t="str">
        <f t="shared" ca="1" si="41"/>
        <v/>
      </c>
    </row>
    <row r="1523" spans="12:12" x14ac:dyDescent="0.3">
      <c r="L1523" s="7" t="str">
        <f t="shared" ca="1" si="41"/>
        <v/>
      </c>
    </row>
    <row r="1524" spans="12:12" x14ac:dyDescent="0.3">
      <c r="L1524" s="7" t="str">
        <f t="shared" ca="1" si="41"/>
        <v/>
      </c>
    </row>
    <row r="1525" spans="12:12" x14ac:dyDescent="0.3">
      <c r="L1525" s="7" t="str">
        <f t="shared" ca="1" si="41"/>
        <v/>
      </c>
    </row>
    <row r="1526" spans="12:12" x14ac:dyDescent="0.3">
      <c r="L1526" s="7" t="str">
        <f t="shared" ca="1" si="41"/>
        <v/>
      </c>
    </row>
    <row r="1527" spans="12:12" x14ac:dyDescent="0.3">
      <c r="L1527" s="7" t="str">
        <f t="shared" ca="1" si="41"/>
        <v/>
      </c>
    </row>
    <row r="1528" spans="12:12" x14ac:dyDescent="0.3">
      <c r="L1528" s="7" t="str">
        <f t="shared" ca="1" si="41"/>
        <v/>
      </c>
    </row>
    <row r="1529" spans="12:12" x14ac:dyDescent="0.3">
      <c r="L1529" s="7" t="str">
        <f t="shared" ca="1" si="41"/>
        <v/>
      </c>
    </row>
    <row r="1530" spans="12:12" x14ac:dyDescent="0.3">
      <c r="L1530" s="7" t="str">
        <f t="shared" ca="1" si="41"/>
        <v/>
      </c>
    </row>
    <row r="1531" spans="12:12" x14ac:dyDescent="0.3">
      <c r="L1531" s="7" t="str">
        <f t="shared" ca="1" si="41"/>
        <v/>
      </c>
    </row>
    <row r="1532" spans="12:12" x14ac:dyDescent="0.3">
      <c r="L1532" s="7" t="str">
        <f t="shared" ca="1" si="41"/>
        <v/>
      </c>
    </row>
    <row r="1533" spans="12:12" x14ac:dyDescent="0.3">
      <c r="L1533" s="7" t="str">
        <f t="shared" ca="1" si="41"/>
        <v/>
      </c>
    </row>
    <row r="1534" spans="12:12" x14ac:dyDescent="0.3">
      <c r="L1534" s="7" t="str">
        <f t="shared" ca="1" si="41"/>
        <v/>
      </c>
    </row>
    <row r="1535" spans="12:12" x14ac:dyDescent="0.3">
      <c r="L1535" s="7" t="str">
        <f t="shared" ca="1" si="41"/>
        <v/>
      </c>
    </row>
    <row r="1536" spans="12:12" x14ac:dyDescent="0.3">
      <c r="L1536" s="7" t="str">
        <f t="shared" ca="1" si="41"/>
        <v/>
      </c>
    </row>
    <row r="1537" spans="12:12" x14ac:dyDescent="0.3">
      <c r="L1537" s="7" t="str">
        <f t="shared" ca="1" si="41"/>
        <v/>
      </c>
    </row>
    <row r="1538" spans="12:12" x14ac:dyDescent="0.3">
      <c r="L1538" s="7" t="str">
        <f t="shared" ca="1" si="41"/>
        <v/>
      </c>
    </row>
    <row r="1539" spans="12:12" x14ac:dyDescent="0.3">
      <c r="L1539" s="7" t="str">
        <f t="shared" ca="1" si="41"/>
        <v/>
      </c>
    </row>
    <row r="1540" spans="12:12" x14ac:dyDescent="0.3">
      <c r="L1540" s="7" t="str">
        <f t="shared" ref="L1540:L1603" ca="1" si="42">IF(I1540="Completed",0,IF(H1540="","",H1540-TODAY()))</f>
        <v/>
      </c>
    </row>
    <row r="1541" spans="12:12" x14ac:dyDescent="0.3">
      <c r="L1541" s="7" t="str">
        <f t="shared" ca="1" si="42"/>
        <v/>
      </c>
    </row>
    <row r="1542" spans="12:12" x14ac:dyDescent="0.3">
      <c r="L1542" s="7" t="str">
        <f t="shared" ca="1" si="42"/>
        <v/>
      </c>
    </row>
    <row r="1543" spans="12:12" x14ac:dyDescent="0.3">
      <c r="L1543" s="7" t="str">
        <f t="shared" ca="1" si="42"/>
        <v/>
      </c>
    </row>
    <row r="1544" spans="12:12" x14ac:dyDescent="0.3">
      <c r="L1544" s="7" t="str">
        <f t="shared" ca="1" si="42"/>
        <v/>
      </c>
    </row>
    <row r="1545" spans="12:12" x14ac:dyDescent="0.3">
      <c r="L1545" s="7" t="str">
        <f t="shared" ca="1" si="42"/>
        <v/>
      </c>
    </row>
    <row r="1546" spans="12:12" x14ac:dyDescent="0.3">
      <c r="L1546" s="7" t="str">
        <f t="shared" ca="1" si="42"/>
        <v/>
      </c>
    </row>
    <row r="1547" spans="12:12" x14ac:dyDescent="0.3">
      <c r="L1547" s="7" t="str">
        <f t="shared" ca="1" si="42"/>
        <v/>
      </c>
    </row>
    <row r="1548" spans="12:12" x14ac:dyDescent="0.3">
      <c r="L1548" s="7" t="str">
        <f t="shared" ca="1" si="42"/>
        <v/>
      </c>
    </row>
    <row r="1549" spans="12:12" x14ac:dyDescent="0.3">
      <c r="L1549" s="7" t="str">
        <f t="shared" ca="1" si="42"/>
        <v/>
      </c>
    </row>
    <row r="1550" spans="12:12" x14ac:dyDescent="0.3">
      <c r="L1550" s="7" t="str">
        <f t="shared" ca="1" si="42"/>
        <v/>
      </c>
    </row>
    <row r="1551" spans="12:12" x14ac:dyDescent="0.3">
      <c r="L1551" s="7" t="str">
        <f t="shared" ca="1" si="42"/>
        <v/>
      </c>
    </row>
    <row r="1552" spans="12:12" x14ac:dyDescent="0.3">
      <c r="L1552" s="7" t="str">
        <f t="shared" ca="1" si="42"/>
        <v/>
      </c>
    </row>
    <row r="1553" spans="12:12" x14ac:dyDescent="0.3">
      <c r="L1553" s="7" t="str">
        <f t="shared" ca="1" si="42"/>
        <v/>
      </c>
    </row>
    <row r="1554" spans="12:12" x14ac:dyDescent="0.3">
      <c r="L1554" s="7" t="str">
        <f t="shared" ca="1" si="42"/>
        <v/>
      </c>
    </row>
    <row r="1555" spans="12:12" x14ac:dyDescent="0.3">
      <c r="L1555" s="7" t="str">
        <f t="shared" ca="1" si="42"/>
        <v/>
      </c>
    </row>
    <row r="1556" spans="12:12" x14ac:dyDescent="0.3">
      <c r="L1556" s="7" t="str">
        <f t="shared" ca="1" si="42"/>
        <v/>
      </c>
    </row>
    <row r="1557" spans="12:12" x14ac:dyDescent="0.3">
      <c r="L1557" s="7" t="str">
        <f t="shared" ca="1" si="42"/>
        <v/>
      </c>
    </row>
    <row r="1558" spans="12:12" x14ac:dyDescent="0.3">
      <c r="L1558" s="7" t="str">
        <f t="shared" ca="1" si="42"/>
        <v/>
      </c>
    </row>
    <row r="1559" spans="12:12" x14ac:dyDescent="0.3">
      <c r="L1559" s="7" t="str">
        <f t="shared" ca="1" si="42"/>
        <v/>
      </c>
    </row>
    <row r="1560" spans="12:12" x14ac:dyDescent="0.3">
      <c r="L1560" s="7" t="str">
        <f t="shared" ca="1" si="42"/>
        <v/>
      </c>
    </row>
    <row r="1561" spans="12:12" x14ac:dyDescent="0.3">
      <c r="L1561" s="7" t="str">
        <f t="shared" ca="1" si="42"/>
        <v/>
      </c>
    </row>
    <row r="1562" spans="12:12" x14ac:dyDescent="0.3">
      <c r="L1562" s="7" t="str">
        <f t="shared" ca="1" si="42"/>
        <v/>
      </c>
    </row>
    <row r="1563" spans="12:12" x14ac:dyDescent="0.3">
      <c r="L1563" s="7" t="str">
        <f t="shared" ca="1" si="42"/>
        <v/>
      </c>
    </row>
    <row r="1564" spans="12:12" x14ac:dyDescent="0.3">
      <c r="L1564" s="7" t="str">
        <f t="shared" ca="1" si="42"/>
        <v/>
      </c>
    </row>
    <row r="1565" spans="12:12" x14ac:dyDescent="0.3">
      <c r="L1565" s="7" t="str">
        <f t="shared" ca="1" si="42"/>
        <v/>
      </c>
    </row>
    <row r="1566" spans="12:12" x14ac:dyDescent="0.3">
      <c r="L1566" s="7" t="str">
        <f t="shared" ca="1" si="42"/>
        <v/>
      </c>
    </row>
    <row r="1567" spans="12:12" x14ac:dyDescent="0.3">
      <c r="L1567" s="7" t="str">
        <f t="shared" ca="1" si="42"/>
        <v/>
      </c>
    </row>
    <row r="1568" spans="12:12" x14ac:dyDescent="0.3">
      <c r="L1568" s="7" t="str">
        <f t="shared" ca="1" si="42"/>
        <v/>
      </c>
    </row>
    <row r="1569" spans="12:12" x14ac:dyDescent="0.3">
      <c r="L1569" s="7" t="str">
        <f t="shared" ca="1" si="42"/>
        <v/>
      </c>
    </row>
    <row r="1570" spans="12:12" x14ac:dyDescent="0.3">
      <c r="L1570" s="7" t="str">
        <f t="shared" ca="1" si="42"/>
        <v/>
      </c>
    </row>
    <row r="1571" spans="12:12" x14ac:dyDescent="0.3">
      <c r="L1571" s="7" t="str">
        <f t="shared" ca="1" si="42"/>
        <v/>
      </c>
    </row>
    <row r="1572" spans="12:12" x14ac:dyDescent="0.3">
      <c r="L1572" s="7" t="str">
        <f t="shared" ca="1" si="42"/>
        <v/>
      </c>
    </row>
    <row r="1573" spans="12:12" x14ac:dyDescent="0.3">
      <c r="L1573" s="7" t="str">
        <f t="shared" ca="1" si="42"/>
        <v/>
      </c>
    </row>
    <row r="1574" spans="12:12" x14ac:dyDescent="0.3">
      <c r="L1574" s="7" t="str">
        <f t="shared" ca="1" si="42"/>
        <v/>
      </c>
    </row>
    <row r="1575" spans="12:12" x14ac:dyDescent="0.3">
      <c r="L1575" s="7" t="str">
        <f t="shared" ca="1" si="42"/>
        <v/>
      </c>
    </row>
    <row r="1576" spans="12:12" x14ac:dyDescent="0.3">
      <c r="L1576" s="7" t="str">
        <f t="shared" ca="1" si="42"/>
        <v/>
      </c>
    </row>
    <row r="1577" spans="12:12" x14ac:dyDescent="0.3">
      <c r="L1577" s="7" t="str">
        <f t="shared" ca="1" si="42"/>
        <v/>
      </c>
    </row>
    <row r="1578" spans="12:12" x14ac:dyDescent="0.3">
      <c r="L1578" s="7" t="str">
        <f t="shared" ca="1" si="42"/>
        <v/>
      </c>
    </row>
    <row r="1579" spans="12:12" x14ac:dyDescent="0.3">
      <c r="L1579" s="7" t="str">
        <f t="shared" ca="1" si="42"/>
        <v/>
      </c>
    </row>
    <row r="1580" spans="12:12" x14ac:dyDescent="0.3">
      <c r="L1580" s="7" t="str">
        <f t="shared" ca="1" si="42"/>
        <v/>
      </c>
    </row>
    <row r="1581" spans="12:12" x14ac:dyDescent="0.3">
      <c r="L1581" s="7" t="str">
        <f t="shared" ca="1" si="42"/>
        <v/>
      </c>
    </row>
    <row r="1582" spans="12:12" x14ac:dyDescent="0.3">
      <c r="L1582" s="7" t="str">
        <f t="shared" ca="1" si="42"/>
        <v/>
      </c>
    </row>
    <row r="1583" spans="12:12" x14ac:dyDescent="0.3">
      <c r="L1583" s="7" t="str">
        <f t="shared" ca="1" si="42"/>
        <v/>
      </c>
    </row>
    <row r="1584" spans="12:12" x14ac:dyDescent="0.3">
      <c r="L1584" s="7" t="str">
        <f t="shared" ca="1" si="42"/>
        <v/>
      </c>
    </row>
    <row r="1585" spans="12:12" x14ac:dyDescent="0.3">
      <c r="L1585" s="7" t="str">
        <f t="shared" ca="1" si="42"/>
        <v/>
      </c>
    </row>
    <row r="1586" spans="12:12" x14ac:dyDescent="0.3">
      <c r="L1586" s="7" t="str">
        <f t="shared" ca="1" si="42"/>
        <v/>
      </c>
    </row>
    <row r="1587" spans="12:12" x14ac:dyDescent="0.3">
      <c r="L1587" s="7" t="str">
        <f t="shared" ca="1" si="42"/>
        <v/>
      </c>
    </row>
    <row r="1588" spans="12:12" x14ac:dyDescent="0.3">
      <c r="L1588" s="7" t="str">
        <f t="shared" ca="1" si="42"/>
        <v/>
      </c>
    </row>
    <row r="1589" spans="12:12" x14ac:dyDescent="0.3">
      <c r="L1589" s="7" t="str">
        <f t="shared" ca="1" si="42"/>
        <v/>
      </c>
    </row>
    <row r="1590" spans="12:12" x14ac:dyDescent="0.3">
      <c r="L1590" s="7" t="str">
        <f t="shared" ca="1" si="42"/>
        <v/>
      </c>
    </row>
    <row r="1591" spans="12:12" x14ac:dyDescent="0.3">
      <c r="L1591" s="7" t="str">
        <f t="shared" ca="1" si="42"/>
        <v/>
      </c>
    </row>
    <row r="1592" spans="12:12" x14ac:dyDescent="0.3">
      <c r="L1592" s="7" t="str">
        <f t="shared" ca="1" si="42"/>
        <v/>
      </c>
    </row>
    <row r="1593" spans="12:12" x14ac:dyDescent="0.3">
      <c r="L1593" s="7" t="str">
        <f t="shared" ca="1" si="42"/>
        <v/>
      </c>
    </row>
    <row r="1594" spans="12:12" x14ac:dyDescent="0.3">
      <c r="L1594" s="7" t="str">
        <f t="shared" ca="1" si="42"/>
        <v/>
      </c>
    </row>
    <row r="1595" spans="12:12" x14ac:dyDescent="0.3">
      <c r="L1595" s="7" t="str">
        <f t="shared" ca="1" si="42"/>
        <v/>
      </c>
    </row>
    <row r="1596" spans="12:12" x14ac:dyDescent="0.3">
      <c r="L1596" s="7" t="str">
        <f t="shared" ca="1" si="42"/>
        <v/>
      </c>
    </row>
    <row r="1597" spans="12:12" x14ac:dyDescent="0.3">
      <c r="L1597" s="7" t="str">
        <f t="shared" ca="1" si="42"/>
        <v/>
      </c>
    </row>
    <row r="1598" spans="12:12" x14ac:dyDescent="0.3">
      <c r="L1598" s="7" t="str">
        <f t="shared" ca="1" si="42"/>
        <v/>
      </c>
    </row>
    <row r="1599" spans="12:12" x14ac:dyDescent="0.3">
      <c r="L1599" s="7" t="str">
        <f t="shared" ca="1" si="42"/>
        <v/>
      </c>
    </row>
    <row r="1600" spans="12:12" x14ac:dyDescent="0.3">
      <c r="L1600" s="7" t="str">
        <f t="shared" ca="1" si="42"/>
        <v/>
      </c>
    </row>
    <row r="1601" spans="12:12" x14ac:dyDescent="0.3">
      <c r="L1601" s="7" t="str">
        <f t="shared" ca="1" si="42"/>
        <v/>
      </c>
    </row>
    <row r="1602" spans="12:12" x14ac:dyDescent="0.3">
      <c r="L1602" s="7" t="str">
        <f t="shared" ca="1" si="42"/>
        <v/>
      </c>
    </row>
    <row r="1603" spans="12:12" x14ac:dyDescent="0.3">
      <c r="L1603" s="7" t="str">
        <f t="shared" ca="1" si="42"/>
        <v/>
      </c>
    </row>
    <row r="1604" spans="12:12" x14ac:dyDescent="0.3">
      <c r="L1604" s="7" t="str">
        <f t="shared" ref="L1604:L1606" ca="1" si="43">IF(I1604="Completed",0,IF(H1604="","",H1604-TODAY()))</f>
        <v/>
      </c>
    </row>
    <row r="1605" spans="12:12" x14ac:dyDescent="0.3">
      <c r="L1605" s="7" t="str">
        <f t="shared" ca="1" si="43"/>
        <v/>
      </c>
    </row>
    <row r="1606" spans="12:12" x14ac:dyDescent="0.3">
      <c r="L1606" s="7" t="str">
        <f t="shared" ca="1" si="43"/>
        <v/>
      </c>
    </row>
  </sheetData>
  <autoFilter ref="A3:N312" xr:uid="{00000000-0001-0000-0700-000000000000}"/>
  <mergeCells count="1">
    <mergeCell ref="A2:N2"/>
  </mergeCells>
  <conditionalFormatting sqref="M4:M312">
    <cfRule type="cellIs" dxfId="149" priority="29" operator="equal">
      <formula>"Green"</formula>
    </cfRule>
    <cfRule type="cellIs" dxfId="148" priority="30" operator="equal">
      <formula>"Amber"</formula>
    </cfRule>
    <cfRule type="cellIs" dxfId="147" priority="31" operator="equal">
      <formula>"Red"</formula>
    </cfRule>
  </conditionalFormatting>
  <conditionalFormatting sqref="I4:I142">
    <cfRule type="expression" dxfId="146" priority="11">
      <formula>EXACT($I4,"Completed")</formula>
    </cfRule>
  </conditionalFormatting>
  <conditionalFormatting sqref="I4:I142">
    <cfRule type="expression" dxfId="145" priority="12">
      <formula>EXACT($I4,"Inprogress")</formula>
    </cfRule>
  </conditionalFormatting>
  <conditionalFormatting sqref="I4:I142">
    <cfRule type="expression" dxfId="144" priority="32">
      <formula>EXACT($I4,"Not Started")</formula>
    </cfRule>
  </conditionalFormatting>
  <conditionalFormatting sqref="I4:I142">
    <cfRule type="expression" dxfId="143" priority="33">
      <formula>EXACT($I4,"Overdue")</formula>
    </cfRule>
  </conditionalFormatting>
  <conditionalFormatting sqref="K4:K243">
    <cfRule type="expression" dxfId="142" priority="7">
      <formula>EXACT($K4,"No")</formula>
    </cfRule>
  </conditionalFormatting>
  <conditionalFormatting sqref="K4:K243">
    <cfRule type="expression" dxfId="141" priority="8">
      <formula>EXACT($K4,"Yes")</formula>
    </cfRule>
  </conditionalFormatting>
  <conditionalFormatting sqref="K4:K243">
    <cfRule type="expression" dxfId="140" priority="36">
      <formula>EXACT($K4,"-")</formula>
    </cfRule>
  </conditionalFormatting>
  <conditionalFormatting sqref="A4:A2000">
    <cfRule type="expression" dxfId="139" priority="26" stopIfTrue="1">
      <formula>A4=""</formula>
    </cfRule>
    <cfRule type="expression" dxfId="138" priority="28">
      <formula>C4=""</formula>
    </cfRule>
  </conditionalFormatting>
  <conditionalFormatting sqref="B4:B2000">
    <cfRule type="expression" dxfId="137" priority="23" stopIfTrue="1">
      <formula>$A4=""</formula>
    </cfRule>
    <cfRule type="expression" dxfId="136" priority="24">
      <formula>$C4=""</formula>
    </cfRule>
  </conditionalFormatting>
  <conditionalFormatting sqref="C4:C2000">
    <cfRule type="expression" dxfId="135" priority="25" stopIfTrue="1">
      <formula>$A4=""</formula>
    </cfRule>
    <cfRule type="expression" dxfId="134" priority="27">
      <formula>$C4=""</formula>
    </cfRule>
  </conditionalFormatting>
  <conditionalFormatting sqref="D4:D2000">
    <cfRule type="expression" dxfId="133" priority="21" stopIfTrue="1">
      <formula>$A4=""</formula>
    </cfRule>
    <cfRule type="expression" dxfId="132" priority="22">
      <formula>$C4=""</formula>
    </cfRule>
  </conditionalFormatting>
  <conditionalFormatting sqref="E4:E2000">
    <cfRule type="expression" dxfId="131" priority="19" stopIfTrue="1">
      <formula>$A4=""</formula>
    </cfRule>
    <cfRule type="expression" dxfId="130" priority="20">
      <formula>$C4=""</formula>
    </cfRule>
  </conditionalFormatting>
  <conditionalFormatting sqref="F4:F2000">
    <cfRule type="expression" dxfId="129" priority="17" stopIfTrue="1">
      <formula>$A4=""</formula>
    </cfRule>
    <cfRule type="expression" dxfId="128" priority="18">
      <formula>$C4=""</formula>
    </cfRule>
  </conditionalFormatting>
  <conditionalFormatting sqref="G4:G2000">
    <cfRule type="expression" dxfId="127" priority="15" stopIfTrue="1">
      <formula>$A4=""</formula>
    </cfRule>
    <cfRule type="expression" dxfId="126" priority="16">
      <formula>$C4=""</formula>
    </cfRule>
  </conditionalFormatting>
  <conditionalFormatting sqref="H4:H2000">
    <cfRule type="expression" dxfId="125" priority="13" stopIfTrue="1">
      <formula>$A4=""</formula>
    </cfRule>
    <cfRule type="expression" dxfId="124" priority="14">
      <formula>$C4=""</formula>
    </cfRule>
  </conditionalFormatting>
  <conditionalFormatting sqref="I4:I2000">
    <cfRule type="expression" dxfId="123" priority="34" stopIfTrue="1">
      <formula>$A4=""</formula>
    </cfRule>
    <cfRule type="expression" dxfId="122" priority="35">
      <formula>$C4=""</formula>
    </cfRule>
  </conditionalFormatting>
  <conditionalFormatting sqref="J4:J2000">
    <cfRule type="expression" dxfId="121" priority="9" stopIfTrue="1">
      <formula>$A4=""</formula>
    </cfRule>
    <cfRule type="expression" dxfId="120" priority="10">
      <formula>$C4=""</formula>
    </cfRule>
  </conditionalFormatting>
  <conditionalFormatting sqref="K4:K2000">
    <cfRule type="expression" dxfId="119" priority="37" stopIfTrue="1">
      <formula>$A4=""</formula>
    </cfRule>
    <cfRule type="expression" dxfId="118" priority="38">
      <formula>$C4=""</formula>
    </cfRule>
  </conditionalFormatting>
  <conditionalFormatting sqref="L1607:L2000">
    <cfRule type="expression" dxfId="117" priority="5" stopIfTrue="1">
      <formula>$A1607=""</formula>
    </cfRule>
    <cfRule type="expression" dxfId="116" priority="6">
      <formula>$C1607=""</formula>
    </cfRule>
  </conditionalFormatting>
  <conditionalFormatting sqref="L1110:L1606">
    <cfRule type="expression" dxfId="115" priority="3" stopIfTrue="1">
      <formula>$A1110=""</formula>
    </cfRule>
    <cfRule type="expression" dxfId="114" priority="4">
      <formula>$C1110=""</formula>
    </cfRule>
  </conditionalFormatting>
  <conditionalFormatting sqref="L4:L1109">
    <cfRule type="expression" dxfId="113" priority="1" stopIfTrue="1">
      <formula>$A4=""</formula>
    </cfRule>
    <cfRule type="expression" dxfId="112" priority="2">
      <formula>$C4=""</formula>
    </cfRule>
  </conditionalFormatting>
  <dataValidations count="1">
    <dataValidation type="list" allowBlank="1" sqref="I4:I312" xr:uid="{61B3DA4A-A2FC-40CE-9FB2-B4EE1C9FE37E}">
      <formula1>"Not Started,In Progress,Complete"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A4621-262C-4F26-BDA2-EFA579B2262E}">
  <sheetPr codeName="Sheet3">
    <tabColor rgb="FF777777"/>
  </sheetPr>
  <dimension ref="A1:R1636"/>
  <sheetViews>
    <sheetView showGridLines="0" zoomScaleNormal="10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G4" sqref="G4:H4"/>
    </sheetView>
  </sheetViews>
  <sheetFormatPr defaultColWidth="8.6640625" defaultRowHeight="14.4" x14ac:dyDescent="0.3"/>
  <cols>
    <col min="1" max="1" width="20" customWidth="1"/>
    <col min="2" max="2" width="17" customWidth="1"/>
    <col min="3" max="3" width="34" customWidth="1"/>
    <col min="4" max="4" width="30" customWidth="1"/>
    <col min="5" max="5" width="12" customWidth="1"/>
    <col min="6" max="6" width="11" customWidth="1"/>
    <col min="7" max="7" width="15.109375" bestFit="1" customWidth="1"/>
    <col min="8" max="8" width="16.77734375" customWidth="1"/>
    <col min="9" max="9" width="12" customWidth="1"/>
    <col min="10" max="11" width="8" customWidth="1"/>
    <col min="12" max="13" width="7" customWidth="1"/>
    <col min="14" max="14" width="26" customWidth="1"/>
    <col min="15" max="18" width="3" hidden="1" customWidth="1"/>
  </cols>
  <sheetData>
    <row r="1" spans="1:18" ht="24" customHeight="1" x14ac:dyDescent="0.3">
      <c r="A1" s="10" t="s">
        <v>60</v>
      </c>
      <c r="B1" s="10"/>
      <c r="C1" s="10"/>
      <c r="D1" s="10"/>
      <c r="E1" s="10"/>
      <c r="F1" s="10"/>
      <c r="G1" s="11">
        <f>+MAX(G4:G2000)</f>
        <v>46901</v>
      </c>
      <c r="H1" s="11">
        <f>+MAX(H4:H2000)</f>
        <v>46936</v>
      </c>
      <c r="I1" s="12">
        <f t="shared" ref="I1" si="0">IF(OR($G1="",$H1=""),"",$H1-$G1)</f>
        <v>35</v>
      </c>
      <c r="J1" s="10"/>
      <c r="K1" s="10"/>
      <c r="L1" s="10"/>
      <c r="M1" s="10"/>
      <c r="N1" s="10"/>
    </row>
    <row r="2" spans="1:18" ht="14.25" customHeight="1" x14ac:dyDescent="0.3">
      <c r="A2" s="17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8" ht="30" customHeight="1" x14ac:dyDescent="0.3">
      <c r="A3" s="1" t="s">
        <v>0</v>
      </c>
      <c r="B3" s="1" t="s">
        <v>24</v>
      </c>
      <c r="C3" s="1" t="s">
        <v>25</v>
      </c>
      <c r="D3" s="1" t="s">
        <v>26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59</v>
      </c>
      <c r="M3" s="1" t="s">
        <v>8</v>
      </c>
      <c r="N3" s="1" t="s">
        <v>9</v>
      </c>
      <c r="O3" s="1" t="s">
        <v>10</v>
      </c>
      <c r="P3" s="1" t="s">
        <v>11</v>
      </c>
      <c r="Q3" s="1" t="s">
        <v>12</v>
      </c>
      <c r="R3" s="1" t="s">
        <v>13</v>
      </c>
    </row>
    <row r="4" spans="1:18" ht="33.75" customHeight="1" x14ac:dyDescent="0.3">
      <c r="A4" s="2" t="s">
        <v>61</v>
      </c>
      <c r="B4" s="2" t="s">
        <v>62</v>
      </c>
      <c r="C4" s="3"/>
      <c r="D4" s="3"/>
      <c r="E4" s="2"/>
      <c r="F4" s="2"/>
      <c r="G4" s="5">
        <v>46418</v>
      </c>
      <c r="H4" s="5">
        <v>46453</v>
      </c>
      <c r="I4" s="2"/>
      <c r="J4" s="6">
        <f t="shared" ref="J4:J67" si="1">IF(OR($G4="",$H4=""),"",$H4-$G4)</f>
        <v>35</v>
      </c>
      <c r="K4" s="4" t="str">
        <f t="shared" ref="K4:K67" ca="1" si="2">IF(C4="","",IF(H4="","",IF($I4="completed","-",IF($H4&gt;TODAY(),"No","Yes"))))</f>
        <v/>
      </c>
      <c r="L4" s="7">
        <f ca="1">IF(I4="Completed",0,IF(H4="","",H4-TODAY()))</f>
        <v>245</v>
      </c>
      <c r="M4" s="4" t="str">
        <f>IF($I4="Complete","Green",IF($H4="","Amber",IF($H4&lt;'[2]Read Me'!$B$4,"Red",IF($H4-'[2]Read Me'!$B$4&lt;=21,"Amber","Green"))))</f>
        <v>Green</v>
      </c>
      <c r="N4" s="3"/>
      <c r="O4" t="e">
        <f>IF($I4&lt;&gt;"Complete",IF(COUNTIFS(#REF!,$A4,#REF!,$B4,#REF!,"&lt;&gt;Complete")=0,$A4&amp;"|"&amp;$B4,""),"")</f>
        <v>#REF!</v>
      </c>
      <c r="P4" t="str">
        <f ca="1">IF($K4="Yes",COUNTIFS($K$4:$K4,"Yes"),"")</f>
        <v/>
      </c>
      <c r="Q4">
        <f t="shared" ref="Q4:Q67" ca="1" si="3">IF(OR($I4="In Progress",$K4="Yes"),1,0)</f>
        <v>0</v>
      </c>
      <c r="R4" t="str">
        <f ca="1">IF($Q4=1,SUM($Q$4:$Q4),"")</f>
        <v/>
      </c>
    </row>
    <row r="5" spans="1:18" ht="33.75" customHeight="1" x14ac:dyDescent="0.3">
      <c r="A5" s="2" t="s">
        <v>61</v>
      </c>
      <c r="B5" s="2" t="s">
        <v>62</v>
      </c>
      <c r="C5" s="3" t="s">
        <v>63</v>
      </c>
      <c r="D5" s="3" t="s">
        <v>64</v>
      </c>
      <c r="E5" s="2" t="s">
        <v>65</v>
      </c>
      <c r="F5" s="2" t="s">
        <v>66</v>
      </c>
      <c r="G5" s="5">
        <v>46159</v>
      </c>
      <c r="H5" s="5">
        <v>46187</v>
      </c>
      <c r="I5" s="2" t="s">
        <v>31</v>
      </c>
      <c r="J5" s="6">
        <f t="shared" si="1"/>
        <v>28</v>
      </c>
      <c r="K5" s="4" t="str">
        <f t="shared" ca="1" si="2"/>
        <v>-</v>
      </c>
      <c r="L5" s="7">
        <f t="shared" ref="L5:L68" ca="1" si="4">IF(I5="Completed",0,IF(H5="","",H5-TODAY()))</f>
        <v>0</v>
      </c>
      <c r="M5" s="4" t="str">
        <f>IF($I5="Complete","Green",IF($H5="","Amber",IF($H5&lt;'[2]Read Me'!$B$4,"Red",IF($H5-'[2]Read Me'!$B$4&lt;=21,"Amber","Green"))))</f>
        <v>Amber</v>
      </c>
      <c r="N5" s="3"/>
      <c r="O5" t="str">
        <f>IF($I5&lt;&gt;"Complete",IF(COUNTIFS($A$4:$A4,$A5,$B$4:$B4,$B5,$I$4:$I4,"&lt;&gt;Complete")=0,$A5&amp;"|"&amp;$B5,""),"")</f>
        <v/>
      </c>
      <c r="P5" t="str">
        <f ca="1">IF($K5="Yes",COUNTIFS($K$4:$K5,"Yes"),"")</f>
        <v/>
      </c>
      <c r="Q5">
        <f t="shared" ca="1" si="3"/>
        <v>0</v>
      </c>
      <c r="R5" t="str">
        <f ca="1">IF($Q5=1,SUM($Q$4:$Q5),"")</f>
        <v/>
      </c>
    </row>
    <row r="6" spans="1:18" ht="33.75" customHeight="1" x14ac:dyDescent="0.3">
      <c r="A6" s="2" t="s">
        <v>61</v>
      </c>
      <c r="B6" s="2" t="s">
        <v>62</v>
      </c>
      <c r="C6" s="3" t="s">
        <v>63</v>
      </c>
      <c r="D6" s="3" t="s">
        <v>67</v>
      </c>
      <c r="E6" s="2" t="s">
        <v>65</v>
      </c>
      <c r="F6" s="2" t="s">
        <v>68</v>
      </c>
      <c r="G6" s="5">
        <v>46159</v>
      </c>
      <c r="H6" s="5">
        <v>46187</v>
      </c>
      <c r="I6" s="2" t="s">
        <v>31</v>
      </c>
      <c r="J6" s="6">
        <f t="shared" si="1"/>
        <v>28</v>
      </c>
      <c r="K6" s="4" t="str">
        <f t="shared" ca="1" si="2"/>
        <v>-</v>
      </c>
      <c r="L6" s="7">
        <f t="shared" ca="1" si="4"/>
        <v>0</v>
      </c>
      <c r="M6" s="4" t="str">
        <f>IF($I6="Complete","Green",IF($H6="","Amber",IF($H6&lt;'[2]Read Me'!$B$4,"Red",IF($H6-'[2]Read Me'!$B$4&lt;=21,"Amber","Green"))))</f>
        <v>Amber</v>
      </c>
      <c r="N6" s="3"/>
      <c r="O6" t="str">
        <f>IF($I6&lt;&gt;"Complete",IF(COUNTIFS($A$4:$A5,$A6,$B$4:$B5,$B6,$I$4:$I5,"&lt;&gt;Complete")=0,$A6&amp;"|"&amp;$B6,""),"")</f>
        <v/>
      </c>
      <c r="P6" t="str">
        <f ca="1">IF($K6="Yes",COUNTIFS($K$4:$K6,"Yes"),"")</f>
        <v/>
      </c>
      <c r="Q6">
        <f t="shared" ca="1" si="3"/>
        <v>0</v>
      </c>
      <c r="R6" t="str">
        <f ca="1">IF($Q6=1,SUM($Q$4:$Q6),"")</f>
        <v/>
      </c>
    </row>
    <row r="7" spans="1:18" ht="33.75" customHeight="1" x14ac:dyDescent="0.3">
      <c r="A7" s="2" t="s">
        <v>61</v>
      </c>
      <c r="B7" s="2" t="s">
        <v>62</v>
      </c>
      <c r="C7" s="3" t="s">
        <v>63</v>
      </c>
      <c r="D7" s="3" t="s">
        <v>69</v>
      </c>
      <c r="E7" s="2" t="s">
        <v>65</v>
      </c>
      <c r="F7" s="2" t="s">
        <v>66</v>
      </c>
      <c r="G7" s="5">
        <v>46180</v>
      </c>
      <c r="H7" s="5">
        <v>46201</v>
      </c>
      <c r="I7" s="2" t="s">
        <v>46</v>
      </c>
      <c r="J7" s="6">
        <f t="shared" si="1"/>
        <v>21</v>
      </c>
      <c r="K7" s="4" t="str">
        <f t="shared" ca="1" si="2"/>
        <v>Yes</v>
      </c>
      <c r="L7" s="7">
        <f t="shared" ca="1" si="4"/>
        <v>-7</v>
      </c>
      <c r="M7" s="4" t="str">
        <f>IF($I7="Complete","Green",IF($H7="","Amber",IF($H7&lt;'[2]Read Me'!$B$4,"Red",IF($H7-'[2]Read Me'!$B$4&lt;=21,"Amber","Green"))))</f>
        <v>Amber</v>
      </c>
      <c r="N7" s="3"/>
      <c r="O7" t="str">
        <f>IF($I7&lt;&gt;"Complete",IF(COUNTIFS($A$4:$A6,$A7,$B$4:$B6,$B7,$I$4:$I6,"&lt;&gt;Complete")=0,$A7&amp;"|"&amp;$B7,""),"")</f>
        <v/>
      </c>
      <c r="P7">
        <f ca="1">IF($K7="Yes",COUNTIFS($K$4:$K7,"Yes"),"")</f>
        <v>1</v>
      </c>
      <c r="Q7">
        <f t="shared" ca="1" si="3"/>
        <v>1</v>
      </c>
      <c r="R7">
        <f ca="1">IF($Q7=1,SUM($Q$4:$Q7),"")</f>
        <v>1</v>
      </c>
    </row>
    <row r="8" spans="1:18" ht="33.75" customHeight="1" x14ac:dyDescent="0.3">
      <c r="A8" s="2" t="s">
        <v>61</v>
      </c>
      <c r="B8" s="2" t="s">
        <v>62</v>
      </c>
      <c r="C8" s="3" t="s">
        <v>63</v>
      </c>
      <c r="D8" s="3" t="s">
        <v>70</v>
      </c>
      <c r="E8" s="2" t="s">
        <v>65</v>
      </c>
      <c r="F8" s="2" t="s">
        <v>68</v>
      </c>
      <c r="G8" s="5">
        <v>46194</v>
      </c>
      <c r="H8" s="5">
        <v>46215</v>
      </c>
      <c r="I8" s="2" t="s">
        <v>17</v>
      </c>
      <c r="J8" s="6">
        <f t="shared" si="1"/>
        <v>21</v>
      </c>
      <c r="K8" s="4" t="str">
        <f t="shared" ca="1" si="2"/>
        <v>No</v>
      </c>
      <c r="L8" s="7">
        <f t="shared" ca="1" si="4"/>
        <v>7</v>
      </c>
      <c r="M8" s="4" t="str">
        <f>IF($I8="Complete","Green",IF($H8="","Amber",IF($H8&lt;'[2]Read Me'!$B$4,"Red",IF($H8-'[2]Read Me'!$B$4&lt;=21,"Amber","Green"))))</f>
        <v>Green</v>
      </c>
      <c r="N8" s="3"/>
      <c r="O8" t="str">
        <f>IF($I8&lt;&gt;"Complete",IF(COUNTIFS($A$4:$A7,$A8,$B$4:$B7,$B8,$I$4:$I7,"&lt;&gt;Complete")=0,$A8&amp;"|"&amp;$B8,""),"")</f>
        <v/>
      </c>
      <c r="P8" t="str">
        <f ca="1">IF($K8="Yes",COUNTIFS($K$4:$K8,"Yes"),"")</f>
        <v/>
      </c>
      <c r="Q8">
        <f t="shared" ca="1" si="3"/>
        <v>0</v>
      </c>
      <c r="R8" t="str">
        <f ca="1">IF($Q8=1,SUM($Q$4:$Q8),"")</f>
        <v/>
      </c>
    </row>
    <row r="9" spans="1:18" ht="33.75" customHeight="1" x14ac:dyDescent="0.3">
      <c r="A9" s="2" t="s">
        <v>61</v>
      </c>
      <c r="B9" s="2" t="s">
        <v>62</v>
      </c>
      <c r="C9" s="3" t="s">
        <v>63</v>
      </c>
      <c r="D9" s="3" t="s">
        <v>71</v>
      </c>
      <c r="E9" s="2" t="s">
        <v>65</v>
      </c>
      <c r="F9" s="2" t="s">
        <v>66</v>
      </c>
      <c r="G9" s="5">
        <v>46173</v>
      </c>
      <c r="H9" s="5">
        <v>46229</v>
      </c>
      <c r="I9" s="2" t="s">
        <v>17</v>
      </c>
      <c r="J9" s="6">
        <f t="shared" si="1"/>
        <v>56</v>
      </c>
      <c r="K9" s="4" t="str">
        <f t="shared" ca="1" si="2"/>
        <v>No</v>
      </c>
      <c r="L9" s="7">
        <f t="shared" ca="1" si="4"/>
        <v>21</v>
      </c>
      <c r="M9" s="4" t="str">
        <f>IF($I9="Complete","Green",IF($H9="","Amber",IF($H9&lt;'[2]Read Me'!$B$4,"Red",IF($H9-'[2]Read Me'!$B$4&lt;=21,"Amber","Green"))))</f>
        <v>Green</v>
      </c>
      <c r="N9" s="3"/>
      <c r="O9" t="str">
        <f>IF($I9&lt;&gt;"Complete",IF(COUNTIFS($A$4:$A8,$A9,$B$4:$B8,$B9,$I$4:$I8,"&lt;&gt;Complete")=0,$A9&amp;"|"&amp;$B9,""),"")</f>
        <v/>
      </c>
      <c r="P9" t="str">
        <f ca="1">IF($K9="Yes",COUNTIFS($K$4:$K9,"Yes"),"")</f>
        <v/>
      </c>
      <c r="Q9">
        <f t="shared" ca="1" si="3"/>
        <v>0</v>
      </c>
      <c r="R9" t="str">
        <f ca="1">IF($Q9=1,SUM($Q$4:$Q9),"")</f>
        <v/>
      </c>
    </row>
    <row r="10" spans="1:18" ht="33.75" customHeight="1" x14ac:dyDescent="0.3">
      <c r="A10" s="2" t="s">
        <v>61</v>
      </c>
      <c r="B10" s="2" t="s">
        <v>62</v>
      </c>
      <c r="C10" s="3" t="s">
        <v>63</v>
      </c>
      <c r="D10" s="3" t="s">
        <v>47</v>
      </c>
      <c r="E10" s="2" t="s">
        <v>65</v>
      </c>
      <c r="F10" s="2" t="s">
        <v>68</v>
      </c>
      <c r="G10" s="5">
        <v>46187</v>
      </c>
      <c r="H10" s="5">
        <v>46243</v>
      </c>
      <c r="I10" s="2" t="s">
        <v>17</v>
      </c>
      <c r="J10" s="6">
        <f t="shared" si="1"/>
        <v>56</v>
      </c>
      <c r="K10" s="4" t="str">
        <f t="shared" ca="1" si="2"/>
        <v>No</v>
      </c>
      <c r="L10" s="7">
        <f t="shared" ca="1" si="4"/>
        <v>35</v>
      </c>
      <c r="M10" s="4" t="str">
        <f>IF($I10="Complete","Green",IF($H10="","Amber",IF($H10&lt;'[2]Read Me'!$B$4,"Red",IF($H10-'[2]Read Me'!$B$4&lt;=21,"Amber","Green"))))</f>
        <v>Green</v>
      </c>
      <c r="N10" s="3"/>
      <c r="O10" t="str">
        <f>IF($I10&lt;&gt;"Complete",IF(COUNTIFS($A$4:$A9,$A10,$B$4:$B9,$B10,$I$4:$I9,"&lt;&gt;Complete")=0,$A10&amp;"|"&amp;$B10,""),"")</f>
        <v/>
      </c>
      <c r="P10" t="str">
        <f ca="1">IF($K10="Yes",COUNTIFS($K$4:$K10,"Yes"),"")</f>
        <v/>
      </c>
      <c r="Q10">
        <f t="shared" ca="1" si="3"/>
        <v>0</v>
      </c>
      <c r="R10" t="str">
        <f ca="1">IF($Q10=1,SUM($Q$4:$Q10),"")</f>
        <v/>
      </c>
    </row>
    <row r="11" spans="1:18" ht="33.75" customHeight="1" x14ac:dyDescent="0.3">
      <c r="A11" s="2" t="s">
        <v>61</v>
      </c>
      <c r="B11" s="2" t="s">
        <v>62</v>
      </c>
      <c r="C11" s="3" t="s">
        <v>63</v>
      </c>
      <c r="D11" s="3" t="s">
        <v>72</v>
      </c>
      <c r="E11" s="2" t="s">
        <v>65</v>
      </c>
      <c r="F11" s="2" t="s">
        <v>66</v>
      </c>
      <c r="G11" s="5">
        <v>46180</v>
      </c>
      <c r="H11" s="5">
        <v>46215</v>
      </c>
      <c r="I11" s="2" t="s">
        <v>17</v>
      </c>
      <c r="J11" s="6">
        <f t="shared" si="1"/>
        <v>35</v>
      </c>
      <c r="K11" s="4" t="str">
        <f t="shared" ca="1" si="2"/>
        <v>No</v>
      </c>
      <c r="L11" s="7">
        <f t="shared" ca="1" si="4"/>
        <v>7</v>
      </c>
      <c r="M11" s="4" t="str">
        <f>IF($I11="Complete","Green",IF($H11="","Amber",IF($H11&lt;'[2]Read Me'!$B$4,"Red",IF($H11-'[2]Read Me'!$B$4&lt;=21,"Amber","Green"))))</f>
        <v>Green</v>
      </c>
      <c r="N11" s="3"/>
      <c r="O11" t="str">
        <f>IF($I11&lt;&gt;"Complete",IF(COUNTIFS($A$4:$A10,$A11,$B$4:$B10,$B11,$I$4:$I10,"&lt;&gt;Complete")=0,$A11&amp;"|"&amp;$B11,""),"")</f>
        <v/>
      </c>
      <c r="P11" t="str">
        <f ca="1">IF($K11="Yes",COUNTIFS($K$4:$K11,"Yes"),"")</f>
        <v/>
      </c>
      <c r="Q11">
        <f t="shared" ca="1" si="3"/>
        <v>0</v>
      </c>
      <c r="R11" t="str">
        <f ca="1">IF($Q11=1,SUM($Q$4:$Q11),"")</f>
        <v/>
      </c>
    </row>
    <row r="12" spans="1:18" ht="33.75" customHeight="1" x14ac:dyDescent="0.3">
      <c r="A12" s="2" t="s">
        <v>61</v>
      </c>
      <c r="B12" s="2" t="s">
        <v>62</v>
      </c>
      <c r="C12" s="3" t="s">
        <v>63</v>
      </c>
      <c r="D12" s="3" t="s">
        <v>70</v>
      </c>
      <c r="E12" s="2" t="s">
        <v>65</v>
      </c>
      <c r="F12" s="2" t="s">
        <v>68</v>
      </c>
      <c r="G12" s="5">
        <v>46194</v>
      </c>
      <c r="H12" s="5">
        <v>46229</v>
      </c>
      <c r="I12" s="2" t="s">
        <v>17</v>
      </c>
      <c r="J12" s="6">
        <f t="shared" si="1"/>
        <v>35</v>
      </c>
      <c r="K12" s="4" t="str">
        <f t="shared" ca="1" si="2"/>
        <v>No</v>
      </c>
      <c r="L12" s="7">
        <f t="shared" ca="1" si="4"/>
        <v>21</v>
      </c>
      <c r="M12" s="4" t="str">
        <f>IF($I12="Complete","Green",IF($H12="","Amber",IF($H12&lt;'[2]Read Me'!$B$4,"Red",IF($H12-'[2]Read Me'!$B$4&lt;=21,"Amber","Green"))))</f>
        <v>Green</v>
      </c>
      <c r="N12" s="3"/>
      <c r="O12" t="str">
        <f>IF($I12&lt;&gt;"Complete",IF(COUNTIFS($A$4:$A11,$A12,$B$4:$B11,$B12,$I$4:$I11,"&lt;&gt;Complete")=0,$A12&amp;"|"&amp;$B12,""),"")</f>
        <v/>
      </c>
      <c r="P12" t="str">
        <f ca="1">IF($K12="Yes",COUNTIFS($K$4:$K12,"Yes"),"")</f>
        <v/>
      </c>
      <c r="Q12">
        <f t="shared" ca="1" si="3"/>
        <v>0</v>
      </c>
      <c r="R12" t="str">
        <f ca="1">IF($Q12=1,SUM($Q$4:$Q12),"")</f>
        <v/>
      </c>
    </row>
    <row r="13" spans="1:18" ht="33.75" customHeight="1" x14ac:dyDescent="0.3">
      <c r="A13" s="2" t="s">
        <v>61</v>
      </c>
      <c r="B13" s="2" t="s">
        <v>62</v>
      </c>
      <c r="C13" s="3" t="s">
        <v>63</v>
      </c>
      <c r="D13" s="3" t="s">
        <v>73</v>
      </c>
      <c r="E13" s="2" t="s">
        <v>65</v>
      </c>
      <c r="F13" s="2" t="s">
        <v>66</v>
      </c>
      <c r="G13" s="5">
        <v>46236</v>
      </c>
      <c r="H13" s="5">
        <v>46243</v>
      </c>
      <c r="I13" s="2" t="s">
        <v>17</v>
      </c>
      <c r="J13" s="6">
        <f t="shared" si="1"/>
        <v>7</v>
      </c>
      <c r="K13" s="4" t="str">
        <f t="shared" ca="1" si="2"/>
        <v>No</v>
      </c>
      <c r="L13" s="7">
        <f t="shared" ca="1" si="4"/>
        <v>35</v>
      </c>
      <c r="M13" s="4" t="str">
        <f>IF($I13="Complete","Green",IF($H13="","Amber",IF($H13&lt;'[2]Read Me'!$B$4,"Red",IF($H13-'[2]Read Me'!$B$4&lt;=21,"Amber","Green"))))</f>
        <v>Green</v>
      </c>
      <c r="N13" s="3"/>
      <c r="O13" t="str">
        <f>IF($I13&lt;&gt;"Complete",IF(COUNTIFS($A$4:$A12,$A13,$B$4:$B12,$B13,$I$4:$I12,"&lt;&gt;Complete")=0,$A13&amp;"|"&amp;$B13,""),"")</f>
        <v/>
      </c>
      <c r="P13" t="str">
        <f ca="1">IF($K13="Yes",COUNTIFS($K$4:$K13,"Yes"),"")</f>
        <v/>
      </c>
      <c r="Q13">
        <f t="shared" ca="1" si="3"/>
        <v>0</v>
      </c>
      <c r="R13" t="str">
        <f ca="1">IF($Q13=1,SUM($Q$4:$Q13),"")</f>
        <v/>
      </c>
    </row>
    <row r="14" spans="1:18" ht="33.75" customHeight="1" x14ac:dyDescent="0.3">
      <c r="A14" s="2" t="s">
        <v>61</v>
      </c>
      <c r="B14" s="2" t="s">
        <v>62</v>
      </c>
      <c r="C14" s="3" t="s">
        <v>63</v>
      </c>
      <c r="D14" s="3" t="s">
        <v>47</v>
      </c>
      <c r="E14" s="2" t="s">
        <v>65</v>
      </c>
      <c r="F14" s="2" t="s">
        <v>68</v>
      </c>
      <c r="G14" s="5">
        <v>46250</v>
      </c>
      <c r="H14" s="5">
        <v>46257</v>
      </c>
      <c r="I14" s="2" t="s">
        <v>17</v>
      </c>
      <c r="J14" s="6">
        <f t="shared" si="1"/>
        <v>7</v>
      </c>
      <c r="K14" s="4" t="str">
        <f t="shared" ca="1" si="2"/>
        <v>No</v>
      </c>
      <c r="L14" s="7">
        <f t="shared" ca="1" si="4"/>
        <v>49</v>
      </c>
      <c r="M14" s="4" t="str">
        <f>IF($I14="Complete","Green",IF($H14="","Amber",IF($H14&lt;'[2]Read Me'!$B$4,"Red",IF($H14-'[2]Read Me'!$B$4&lt;=21,"Amber","Green"))))</f>
        <v>Green</v>
      </c>
      <c r="N14" s="3"/>
      <c r="O14" t="str">
        <f>IF($I14&lt;&gt;"Complete",IF(COUNTIFS($A$4:$A13,$A14,$B$4:$B13,$B14,$I$4:$I13,"&lt;&gt;Complete")=0,$A14&amp;"|"&amp;$B14,""),"")</f>
        <v/>
      </c>
      <c r="P14" t="str">
        <f ca="1">IF($K14="Yes",COUNTIFS($K$4:$K14,"Yes"),"")</f>
        <v/>
      </c>
      <c r="Q14">
        <f t="shared" ca="1" si="3"/>
        <v>0</v>
      </c>
      <c r="R14" t="str">
        <f ca="1">IF($Q14=1,SUM($Q$4:$Q14),"")</f>
        <v/>
      </c>
    </row>
    <row r="15" spans="1:18" ht="33.75" customHeight="1" x14ac:dyDescent="0.3">
      <c r="A15" s="2" t="s">
        <v>61</v>
      </c>
      <c r="B15" s="2" t="s">
        <v>62</v>
      </c>
      <c r="C15" s="3" t="s">
        <v>63</v>
      </c>
      <c r="D15" s="3" t="s">
        <v>74</v>
      </c>
      <c r="E15" s="2" t="s">
        <v>75</v>
      </c>
      <c r="F15" s="2" t="s">
        <v>76</v>
      </c>
      <c r="G15" s="5">
        <v>46173</v>
      </c>
      <c r="H15" s="5">
        <v>46271</v>
      </c>
      <c r="I15" s="2" t="s">
        <v>17</v>
      </c>
      <c r="J15" s="6">
        <f t="shared" si="1"/>
        <v>98</v>
      </c>
      <c r="K15" s="4" t="str">
        <f t="shared" ca="1" si="2"/>
        <v>No</v>
      </c>
      <c r="L15" s="7">
        <f t="shared" ca="1" si="4"/>
        <v>63</v>
      </c>
      <c r="M15" s="4" t="str">
        <f>IF($I15="Complete","Green",IF($H15="","Amber",IF($H15&lt;'[2]Read Me'!$B$4,"Red",IF($H15-'[2]Read Me'!$B$4&lt;=21,"Amber","Green"))))</f>
        <v>Green</v>
      </c>
      <c r="N15" s="3"/>
      <c r="O15" t="str">
        <f>IF($I15&lt;&gt;"Complete",IF(COUNTIFS($A$4:$A14,$A15,$B$4:$B14,$B15,$I$4:$I14,"&lt;&gt;Complete")=0,$A15&amp;"|"&amp;$B15,""),"")</f>
        <v/>
      </c>
      <c r="P15" t="str">
        <f ca="1">IF($K15="Yes",COUNTIFS($K$4:$K15,"Yes"),"")</f>
        <v/>
      </c>
      <c r="Q15">
        <f t="shared" ca="1" si="3"/>
        <v>0</v>
      </c>
      <c r="R15" t="str">
        <f ca="1">IF($Q15=1,SUM($Q$4:$Q15),"")</f>
        <v/>
      </c>
    </row>
    <row r="16" spans="1:18" ht="33.75" customHeight="1" x14ac:dyDescent="0.3">
      <c r="A16" s="2" t="s">
        <v>61</v>
      </c>
      <c r="B16" s="2" t="s">
        <v>62</v>
      </c>
      <c r="C16" s="3" t="s">
        <v>63</v>
      </c>
      <c r="D16" s="3" t="s">
        <v>67</v>
      </c>
      <c r="E16" s="2" t="s">
        <v>75</v>
      </c>
      <c r="F16" s="2" t="s">
        <v>77</v>
      </c>
      <c r="G16" s="5">
        <v>46173</v>
      </c>
      <c r="H16" s="5">
        <v>46271</v>
      </c>
      <c r="I16" s="2" t="s">
        <v>17</v>
      </c>
      <c r="J16" s="6">
        <f t="shared" si="1"/>
        <v>98</v>
      </c>
      <c r="K16" s="4" t="str">
        <f t="shared" ca="1" si="2"/>
        <v>No</v>
      </c>
      <c r="L16" s="7">
        <f t="shared" ca="1" si="4"/>
        <v>63</v>
      </c>
      <c r="M16" s="4" t="str">
        <f>IF($I16="Complete","Green",IF($H16="","Amber",IF($H16&lt;'[2]Read Me'!$B$4,"Red",IF($H16-'[2]Read Me'!$B$4&lt;=21,"Amber","Green"))))</f>
        <v>Green</v>
      </c>
      <c r="N16" s="3"/>
      <c r="O16" t="str">
        <f>IF($I16&lt;&gt;"Complete",IF(COUNTIFS($A$4:$A15,$A16,$B$4:$B15,$B16,$I$4:$I15,"&lt;&gt;Complete")=0,$A16&amp;"|"&amp;$B16,""),"")</f>
        <v/>
      </c>
      <c r="P16" t="str">
        <f ca="1">IF($K16="Yes",COUNTIFS($K$4:$K16,"Yes"),"")</f>
        <v/>
      </c>
      <c r="Q16">
        <f t="shared" ca="1" si="3"/>
        <v>0</v>
      </c>
      <c r="R16" t="str">
        <f ca="1">IF($Q16=1,SUM($Q$4:$Q16),"")</f>
        <v/>
      </c>
    </row>
    <row r="17" spans="1:18" ht="33.75" customHeight="1" x14ac:dyDescent="0.3">
      <c r="A17" s="2" t="s">
        <v>61</v>
      </c>
      <c r="B17" s="2" t="s">
        <v>62</v>
      </c>
      <c r="C17" s="3" t="s">
        <v>63</v>
      </c>
      <c r="D17" s="3" t="s">
        <v>78</v>
      </c>
      <c r="E17" s="2" t="s">
        <v>75</v>
      </c>
      <c r="F17" s="2" t="s">
        <v>79</v>
      </c>
      <c r="G17" s="5">
        <v>46215</v>
      </c>
      <c r="H17" s="5">
        <v>46292</v>
      </c>
      <c r="I17" s="2" t="s">
        <v>17</v>
      </c>
      <c r="J17" s="6">
        <f t="shared" si="1"/>
        <v>77</v>
      </c>
      <c r="K17" s="4" t="str">
        <f t="shared" ca="1" si="2"/>
        <v>No</v>
      </c>
      <c r="L17" s="7">
        <f t="shared" ca="1" si="4"/>
        <v>84</v>
      </c>
      <c r="M17" s="4" t="str">
        <f>IF($I17="Complete","Green",IF($H17="","Amber",IF($H17&lt;'[2]Read Me'!$B$4,"Red",IF($H17-'[2]Read Me'!$B$4&lt;=21,"Amber","Green"))))</f>
        <v>Green</v>
      </c>
      <c r="N17" s="3"/>
      <c r="O17" t="str">
        <f>IF($I17&lt;&gt;"Complete",IF(COUNTIFS($A$4:$A16,$A17,$B$4:$B16,$B17,$I$4:$I16,"&lt;&gt;Complete")=0,$A17&amp;"|"&amp;$B17,""),"")</f>
        <v/>
      </c>
      <c r="P17" t="str">
        <f ca="1">IF($K17="Yes",COUNTIFS($K$4:$K17,"Yes"),"")</f>
        <v/>
      </c>
      <c r="Q17">
        <f t="shared" ca="1" si="3"/>
        <v>0</v>
      </c>
      <c r="R17" t="str">
        <f ca="1">IF($Q17=1,SUM($Q$4:$Q17),"")</f>
        <v/>
      </c>
    </row>
    <row r="18" spans="1:18" ht="33.75" customHeight="1" x14ac:dyDescent="0.3">
      <c r="A18" s="2" t="s">
        <v>61</v>
      </c>
      <c r="B18" s="2" t="s">
        <v>62</v>
      </c>
      <c r="C18" s="3" t="s">
        <v>63</v>
      </c>
      <c r="D18" s="3" t="s">
        <v>80</v>
      </c>
      <c r="E18" s="2" t="s">
        <v>75</v>
      </c>
      <c r="F18" s="2" t="s">
        <v>77</v>
      </c>
      <c r="G18" s="5">
        <v>46222</v>
      </c>
      <c r="H18" s="5">
        <v>46299</v>
      </c>
      <c r="I18" s="2" t="s">
        <v>17</v>
      </c>
      <c r="J18" s="6">
        <f t="shared" si="1"/>
        <v>77</v>
      </c>
      <c r="K18" s="4" t="str">
        <f t="shared" ca="1" si="2"/>
        <v>No</v>
      </c>
      <c r="L18" s="7">
        <f t="shared" ca="1" si="4"/>
        <v>91</v>
      </c>
      <c r="M18" s="4" t="str">
        <f>IF($I18="Complete","Green",IF($H18="","Amber",IF($H18&lt;'[2]Read Me'!$B$4,"Red",IF($H18-'[2]Read Me'!$B$4&lt;=21,"Amber","Green"))))</f>
        <v>Green</v>
      </c>
      <c r="N18" s="3"/>
      <c r="O18" t="str">
        <f>IF($I18&lt;&gt;"Complete",IF(COUNTIFS($A$4:$A17,$A18,$B$4:$B17,$B18,$I$4:$I17,"&lt;&gt;Complete")=0,$A18&amp;"|"&amp;$B18,""),"")</f>
        <v/>
      </c>
      <c r="P18" t="str">
        <f ca="1">IF($K18="Yes",COUNTIFS($K$4:$K18,"Yes"),"")</f>
        <v/>
      </c>
      <c r="Q18">
        <f t="shared" ca="1" si="3"/>
        <v>0</v>
      </c>
      <c r="R18" t="str">
        <f ca="1">IF($Q18=1,SUM($Q$4:$Q18),"")</f>
        <v/>
      </c>
    </row>
    <row r="19" spans="1:18" ht="33.75" customHeight="1" x14ac:dyDescent="0.3">
      <c r="A19" s="2" t="s">
        <v>61</v>
      </c>
      <c r="B19" s="2" t="s">
        <v>62</v>
      </c>
      <c r="C19" s="3" t="s">
        <v>63</v>
      </c>
      <c r="D19" s="3" t="s">
        <v>18</v>
      </c>
      <c r="E19" s="2" t="s">
        <v>75</v>
      </c>
      <c r="F19" s="2" t="s">
        <v>79</v>
      </c>
      <c r="G19" s="5">
        <v>46285</v>
      </c>
      <c r="H19" s="5">
        <v>46320</v>
      </c>
      <c r="I19" s="2" t="s">
        <v>17</v>
      </c>
      <c r="J19" s="6">
        <f t="shared" si="1"/>
        <v>35</v>
      </c>
      <c r="K19" s="4" t="str">
        <f t="shared" ca="1" si="2"/>
        <v>No</v>
      </c>
      <c r="L19" s="7">
        <f t="shared" ca="1" si="4"/>
        <v>112</v>
      </c>
      <c r="M19" s="4" t="str">
        <f>IF($I19="Complete","Green",IF($H19="","Amber",IF($H19&lt;'[2]Read Me'!$B$4,"Red",IF($H19-'[2]Read Me'!$B$4&lt;=21,"Amber","Green"))))</f>
        <v>Green</v>
      </c>
      <c r="N19" s="3"/>
      <c r="O19" t="str">
        <f>IF($I19&lt;&gt;"Complete",IF(COUNTIFS($A$4:$A18,$A19,$B$4:$B18,$B19,$I$4:$I18,"&lt;&gt;Complete")=0,$A19&amp;"|"&amp;$B19,""),"")</f>
        <v/>
      </c>
      <c r="P19" t="str">
        <f ca="1">IF($K19="Yes",COUNTIFS($K$4:$K19,"Yes"),"")</f>
        <v/>
      </c>
      <c r="Q19">
        <f t="shared" ca="1" si="3"/>
        <v>0</v>
      </c>
      <c r="R19" t="str">
        <f ca="1">IF($Q19=1,SUM($Q$4:$Q19),"")</f>
        <v/>
      </c>
    </row>
    <row r="20" spans="1:18" ht="33.75" customHeight="1" x14ac:dyDescent="0.3">
      <c r="A20" s="2" t="s">
        <v>61</v>
      </c>
      <c r="B20" s="2" t="s">
        <v>62</v>
      </c>
      <c r="C20" s="3" t="s">
        <v>63</v>
      </c>
      <c r="D20" s="3" t="s">
        <v>32</v>
      </c>
      <c r="E20" s="2" t="s">
        <v>75</v>
      </c>
      <c r="F20" s="2" t="s">
        <v>77</v>
      </c>
      <c r="G20" s="5">
        <v>46299</v>
      </c>
      <c r="H20" s="5">
        <v>46334</v>
      </c>
      <c r="I20" s="2" t="s">
        <v>17</v>
      </c>
      <c r="J20" s="6">
        <f t="shared" si="1"/>
        <v>35</v>
      </c>
      <c r="K20" s="4" t="str">
        <f t="shared" ca="1" si="2"/>
        <v>No</v>
      </c>
      <c r="L20" s="7">
        <f t="shared" ca="1" si="4"/>
        <v>126</v>
      </c>
      <c r="M20" s="4" t="str">
        <f>IF($I20="Complete","Green",IF($H20="","Amber",IF($H20&lt;'[2]Read Me'!$B$4,"Red",IF($H20-'[2]Read Me'!$B$4&lt;=21,"Amber","Green"))))</f>
        <v>Green</v>
      </c>
      <c r="N20" s="3"/>
      <c r="O20" t="str">
        <f>IF($I20&lt;&gt;"Complete",IF(COUNTIFS($A$4:$A19,$A20,$B$4:$B19,$B20,$I$4:$I19,"&lt;&gt;Complete")=0,$A20&amp;"|"&amp;$B20,""),"")</f>
        <v/>
      </c>
      <c r="P20" t="str">
        <f ca="1">IF($K20="Yes",COUNTIFS($K$4:$K20,"Yes"),"")</f>
        <v/>
      </c>
      <c r="Q20">
        <f t="shared" ca="1" si="3"/>
        <v>0</v>
      </c>
      <c r="R20" t="str">
        <f ca="1">IF($Q20=1,SUM($Q$4:$Q20),"")</f>
        <v/>
      </c>
    </row>
    <row r="21" spans="1:18" ht="33.75" customHeight="1" x14ac:dyDescent="0.3">
      <c r="A21" s="2" t="s">
        <v>61</v>
      </c>
      <c r="B21" s="2" t="s">
        <v>62</v>
      </c>
      <c r="C21" s="3" t="s">
        <v>63</v>
      </c>
      <c r="D21" s="3" t="s">
        <v>19</v>
      </c>
      <c r="E21" s="2" t="s">
        <v>33</v>
      </c>
      <c r="F21" s="2" t="s">
        <v>81</v>
      </c>
      <c r="G21" s="5">
        <v>46306</v>
      </c>
      <c r="H21" s="5">
        <v>46341</v>
      </c>
      <c r="I21" s="2" t="s">
        <v>17</v>
      </c>
      <c r="J21" s="6">
        <f t="shared" si="1"/>
        <v>35</v>
      </c>
      <c r="K21" s="4" t="str">
        <f t="shared" ca="1" si="2"/>
        <v>No</v>
      </c>
      <c r="L21" s="7">
        <f t="shared" ca="1" si="4"/>
        <v>133</v>
      </c>
      <c r="M21" s="4" t="str">
        <f>IF($I21="Complete","Green",IF($H21="","Amber",IF($H21&lt;'[2]Read Me'!$B$4,"Red",IF($H21-'[2]Read Me'!$B$4&lt;=21,"Amber","Green"))))</f>
        <v>Green</v>
      </c>
      <c r="N21" s="3"/>
      <c r="O21" t="str">
        <f>IF($I21&lt;&gt;"Complete",IF(COUNTIFS($A$4:$A20,$A21,$B$4:$B20,$B21,$I$4:$I20,"&lt;&gt;Complete")=0,$A21&amp;"|"&amp;$B21,""),"")</f>
        <v/>
      </c>
      <c r="P21" t="str">
        <f ca="1">IF($K21="Yes",COUNTIFS($K$4:$K21,"Yes"),"")</f>
        <v/>
      </c>
      <c r="Q21">
        <f t="shared" ca="1" si="3"/>
        <v>0</v>
      </c>
      <c r="R21" t="str">
        <f ca="1">IF($Q21=1,SUM($Q$4:$Q21),"")</f>
        <v/>
      </c>
    </row>
    <row r="22" spans="1:18" ht="33.75" customHeight="1" x14ac:dyDescent="0.3">
      <c r="A22" s="2" t="s">
        <v>61</v>
      </c>
      <c r="B22" s="2" t="s">
        <v>62</v>
      </c>
      <c r="C22" s="3" t="s">
        <v>63</v>
      </c>
      <c r="D22" s="3" t="s">
        <v>82</v>
      </c>
      <c r="E22" s="2" t="s">
        <v>65</v>
      </c>
      <c r="F22" s="2"/>
      <c r="G22" s="5">
        <v>46313</v>
      </c>
      <c r="H22" s="5">
        <v>46348</v>
      </c>
      <c r="I22" s="2" t="s">
        <v>17</v>
      </c>
      <c r="J22" s="6">
        <f t="shared" si="1"/>
        <v>35</v>
      </c>
      <c r="K22" s="4" t="str">
        <f t="shared" ca="1" si="2"/>
        <v>No</v>
      </c>
      <c r="L22" s="7">
        <f t="shared" ca="1" si="4"/>
        <v>140</v>
      </c>
      <c r="M22" s="4" t="str">
        <f>IF($I22="Complete","Green",IF($H22="","Amber",IF($H22&lt;'[2]Read Me'!$B$4,"Red",IF($H22-'[2]Read Me'!$B$4&lt;=21,"Amber","Green"))))</f>
        <v>Green</v>
      </c>
      <c r="N22" s="3"/>
      <c r="O22" t="str">
        <f>IF($I22&lt;&gt;"Complete",IF(COUNTIFS($A$4:$A21,$A22,$B$4:$B21,$B22,$I$4:$I21,"&lt;&gt;Complete")=0,$A22&amp;"|"&amp;$B22,""),"")</f>
        <v/>
      </c>
      <c r="P22" t="str">
        <f ca="1">IF($K22="Yes",COUNTIFS($K$4:$K22,"Yes"),"")</f>
        <v/>
      </c>
      <c r="Q22">
        <f t="shared" ca="1" si="3"/>
        <v>0</v>
      </c>
      <c r="R22" t="str">
        <f ca="1">IF($Q22=1,SUM($Q$4:$Q22),"")</f>
        <v/>
      </c>
    </row>
    <row r="23" spans="1:18" ht="33.75" customHeight="1" x14ac:dyDescent="0.3">
      <c r="A23" s="2" t="s">
        <v>61</v>
      </c>
      <c r="B23" s="2" t="s">
        <v>62</v>
      </c>
      <c r="C23" s="3" t="s">
        <v>63</v>
      </c>
      <c r="D23" s="3" t="s">
        <v>14</v>
      </c>
      <c r="E23" s="2" t="s">
        <v>75</v>
      </c>
      <c r="F23" s="2" t="s">
        <v>79</v>
      </c>
      <c r="G23" s="5">
        <v>46327</v>
      </c>
      <c r="H23" s="5">
        <v>46362</v>
      </c>
      <c r="I23" s="2" t="s">
        <v>17</v>
      </c>
      <c r="J23" s="6">
        <f t="shared" si="1"/>
        <v>35</v>
      </c>
      <c r="K23" s="4" t="str">
        <f t="shared" ca="1" si="2"/>
        <v>No</v>
      </c>
      <c r="L23" s="7">
        <f t="shared" ca="1" si="4"/>
        <v>154</v>
      </c>
      <c r="M23" s="4" t="str">
        <f>IF($I23="Complete","Green",IF($H23="","Amber",IF($H23&lt;'[2]Read Me'!$B$4,"Red",IF($H23-'[2]Read Me'!$B$4&lt;=21,"Amber","Green"))))</f>
        <v>Green</v>
      </c>
      <c r="N23" s="3"/>
      <c r="O23" t="str">
        <f>IF($I23&lt;&gt;"Complete",IF(COUNTIFS($A$4:$A22,$A23,$B$4:$B22,$B23,$I$4:$I22,"&lt;&gt;Complete")=0,$A23&amp;"|"&amp;$B23,""),"")</f>
        <v/>
      </c>
      <c r="P23" t="str">
        <f ca="1">IF($K23="Yes",COUNTIFS($K$4:$K23,"Yes"),"")</f>
        <v/>
      </c>
      <c r="Q23">
        <f t="shared" ca="1" si="3"/>
        <v>0</v>
      </c>
      <c r="R23" t="str">
        <f ca="1">IF($Q23=1,SUM($Q$4:$Q23),"")</f>
        <v/>
      </c>
    </row>
    <row r="24" spans="1:18" ht="33.75" customHeight="1" x14ac:dyDescent="0.3">
      <c r="A24" s="2" t="s">
        <v>61</v>
      </c>
      <c r="B24" s="2" t="s">
        <v>62</v>
      </c>
      <c r="C24" s="3" t="s">
        <v>63</v>
      </c>
      <c r="D24" s="3" t="s">
        <v>34</v>
      </c>
      <c r="E24" s="2" t="s">
        <v>75</v>
      </c>
      <c r="F24" s="2" t="s">
        <v>77</v>
      </c>
      <c r="G24" s="5">
        <v>46341</v>
      </c>
      <c r="H24" s="5">
        <v>46376</v>
      </c>
      <c r="I24" s="2" t="s">
        <v>17</v>
      </c>
      <c r="J24" s="6">
        <f t="shared" si="1"/>
        <v>35</v>
      </c>
      <c r="K24" s="4" t="str">
        <f t="shared" ca="1" si="2"/>
        <v>No</v>
      </c>
      <c r="L24" s="7">
        <f t="shared" ca="1" si="4"/>
        <v>168</v>
      </c>
      <c r="M24" s="4" t="str">
        <f>IF($I24="Complete","Green",IF($H24="","Amber",IF($H24&lt;'[2]Read Me'!$B$4,"Red",IF($H24-'[2]Read Me'!$B$4&lt;=21,"Amber","Green"))))</f>
        <v>Green</v>
      </c>
      <c r="N24" s="3"/>
      <c r="O24" t="str">
        <f>IF($I24&lt;&gt;"Complete",IF(COUNTIFS($A$4:$A23,$A24,$B$4:$B23,$B24,$I$4:$I23,"&lt;&gt;Complete")=0,$A24&amp;"|"&amp;$B24,""),"")</f>
        <v/>
      </c>
      <c r="P24" t="str">
        <f ca="1">IF($K24="Yes",COUNTIFS($K$4:$K24,"Yes"),"")</f>
        <v/>
      </c>
      <c r="Q24">
        <f t="shared" ca="1" si="3"/>
        <v>0</v>
      </c>
      <c r="R24" t="str">
        <f ca="1">IF($Q24=1,SUM($Q$4:$Q24),"")</f>
        <v/>
      </c>
    </row>
    <row r="25" spans="1:18" ht="33.75" customHeight="1" x14ac:dyDescent="0.3">
      <c r="A25" s="2" t="s">
        <v>61</v>
      </c>
      <c r="B25" s="2" t="s">
        <v>62</v>
      </c>
      <c r="C25" s="3" t="s">
        <v>63</v>
      </c>
      <c r="D25" s="3" t="s">
        <v>83</v>
      </c>
      <c r="E25" s="2" t="s">
        <v>75</v>
      </c>
      <c r="F25" s="2" t="s">
        <v>79</v>
      </c>
      <c r="G25" s="5">
        <v>46355</v>
      </c>
      <c r="H25" s="5">
        <v>46390</v>
      </c>
      <c r="I25" s="2" t="s">
        <v>17</v>
      </c>
      <c r="J25" s="6">
        <f t="shared" si="1"/>
        <v>35</v>
      </c>
      <c r="K25" s="4" t="str">
        <f t="shared" ca="1" si="2"/>
        <v>No</v>
      </c>
      <c r="L25" s="7">
        <f t="shared" ca="1" si="4"/>
        <v>182</v>
      </c>
      <c r="M25" s="4" t="str">
        <f>IF($I25="Complete","Green",IF($H25="","Amber",IF($H25&lt;'[2]Read Me'!$B$4,"Red",IF($H25-'[2]Read Me'!$B$4&lt;=21,"Amber","Green"))))</f>
        <v>Green</v>
      </c>
      <c r="N25" s="3"/>
      <c r="O25" t="str">
        <f>IF($I25&lt;&gt;"Complete",IF(COUNTIFS($A$4:$A24,$A25,$B$4:$B24,$B25,$I$4:$I24,"&lt;&gt;Complete")=0,$A25&amp;"|"&amp;$B25,""),"")</f>
        <v/>
      </c>
      <c r="P25" t="str">
        <f ca="1">IF($K25="Yes",COUNTIFS($K$4:$K25,"Yes"),"")</f>
        <v/>
      </c>
      <c r="Q25">
        <f t="shared" ca="1" si="3"/>
        <v>0</v>
      </c>
      <c r="R25" t="str">
        <f ca="1">IF($Q25=1,SUM($Q$4:$Q25),"")</f>
        <v/>
      </c>
    </row>
    <row r="26" spans="1:18" ht="33.75" customHeight="1" x14ac:dyDescent="0.3">
      <c r="A26" s="2" t="s">
        <v>61</v>
      </c>
      <c r="B26" s="2" t="s">
        <v>62</v>
      </c>
      <c r="C26" s="3" t="s">
        <v>63</v>
      </c>
      <c r="D26" s="3" t="s">
        <v>84</v>
      </c>
      <c r="E26" s="2" t="s">
        <v>75</v>
      </c>
      <c r="F26" s="2" t="s">
        <v>77</v>
      </c>
      <c r="G26" s="5">
        <v>46362</v>
      </c>
      <c r="H26" s="5">
        <v>46397</v>
      </c>
      <c r="I26" s="2" t="s">
        <v>17</v>
      </c>
      <c r="J26" s="6">
        <f t="shared" si="1"/>
        <v>35</v>
      </c>
      <c r="K26" s="4" t="str">
        <f t="shared" ca="1" si="2"/>
        <v>No</v>
      </c>
      <c r="L26" s="7">
        <f t="shared" ca="1" si="4"/>
        <v>189</v>
      </c>
      <c r="M26" s="4" t="str">
        <f>IF($I26="Complete","Green",IF($H26="","Amber",IF($H26&lt;'[2]Read Me'!$B$4,"Red",IF($H26-'[2]Read Me'!$B$4&lt;=21,"Amber","Green"))))</f>
        <v>Green</v>
      </c>
      <c r="N26" s="3"/>
      <c r="O26" t="str">
        <f>IF($I26&lt;&gt;"Complete",IF(COUNTIFS($A$4:$A25,$A26,$B$4:$B25,$B26,$I$4:$I25,"&lt;&gt;Complete")=0,$A26&amp;"|"&amp;$B26,""),"")</f>
        <v/>
      </c>
      <c r="P26" t="str">
        <f ca="1">IF($K26="Yes",COUNTIFS($K$4:$K26,"Yes"),"")</f>
        <v/>
      </c>
      <c r="Q26">
        <f t="shared" ca="1" si="3"/>
        <v>0</v>
      </c>
      <c r="R26" t="str">
        <f ca="1">IF($Q26=1,SUM($Q$4:$Q26),"")</f>
        <v/>
      </c>
    </row>
    <row r="27" spans="1:18" ht="33.75" customHeight="1" x14ac:dyDescent="0.3">
      <c r="A27" s="2" t="s">
        <v>61</v>
      </c>
      <c r="B27" s="2" t="s">
        <v>62</v>
      </c>
      <c r="C27" s="3" t="s">
        <v>63</v>
      </c>
      <c r="D27" s="3" t="s">
        <v>15</v>
      </c>
      <c r="E27" s="2" t="s">
        <v>75</v>
      </c>
      <c r="F27" s="2" t="s">
        <v>79</v>
      </c>
      <c r="G27" s="5">
        <v>46369</v>
      </c>
      <c r="H27" s="5">
        <v>46404</v>
      </c>
      <c r="I27" s="2" t="s">
        <v>17</v>
      </c>
      <c r="J27" s="6">
        <f t="shared" si="1"/>
        <v>35</v>
      </c>
      <c r="K27" s="4" t="str">
        <f t="shared" ca="1" si="2"/>
        <v>No</v>
      </c>
      <c r="L27" s="7">
        <f t="shared" ca="1" si="4"/>
        <v>196</v>
      </c>
      <c r="M27" s="4" t="str">
        <f>IF($I27="Complete","Green",IF($H27="","Amber",IF($H27&lt;'[2]Read Me'!$B$4,"Red",IF($H27-'[2]Read Me'!$B$4&lt;=21,"Amber","Green"))))</f>
        <v>Green</v>
      </c>
      <c r="N27" s="3"/>
      <c r="O27" t="str">
        <f>IF($I27&lt;&gt;"Complete",IF(COUNTIFS($A$4:$A26,$A27,$B$4:$B26,$B27,$I$4:$I26,"&lt;&gt;Complete")=0,$A27&amp;"|"&amp;$B27,""),"")</f>
        <v/>
      </c>
      <c r="P27" t="str">
        <f ca="1">IF($K27="Yes",COUNTIFS($K$4:$K27,"Yes"),"")</f>
        <v/>
      </c>
      <c r="Q27">
        <f t="shared" ca="1" si="3"/>
        <v>0</v>
      </c>
      <c r="R27" t="str">
        <f ca="1">IF($Q27=1,SUM($Q$4:$Q27),"")</f>
        <v/>
      </c>
    </row>
    <row r="28" spans="1:18" ht="33.75" customHeight="1" x14ac:dyDescent="0.3">
      <c r="A28" s="2" t="s">
        <v>61</v>
      </c>
      <c r="B28" s="2" t="s">
        <v>62</v>
      </c>
      <c r="C28" s="3" t="s">
        <v>63</v>
      </c>
      <c r="D28" s="3" t="s">
        <v>35</v>
      </c>
      <c r="E28" s="2" t="s">
        <v>75</v>
      </c>
      <c r="F28" s="2" t="s">
        <v>77</v>
      </c>
      <c r="G28" s="5">
        <v>46383</v>
      </c>
      <c r="H28" s="5">
        <v>46418</v>
      </c>
      <c r="I28" s="2" t="s">
        <v>17</v>
      </c>
      <c r="J28" s="6">
        <f t="shared" si="1"/>
        <v>35</v>
      </c>
      <c r="K28" s="4" t="str">
        <f t="shared" ca="1" si="2"/>
        <v>No</v>
      </c>
      <c r="L28" s="7">
        <f t="shared" ca="1" si="4"/>
        <v>210</v>
      </c>
      <c r="M28" s="4" t="str">
        <f>IF($I28="Complete","Green",IF($H28="","Amber",IF($H28&lt;'[2]Read Me'!$B$4,"Red",IF($H28-'[2]Read Me'!$B$4&lt;=21,"Amber","Green"))))</f>
        <v>Green</v>
      </c>
      <c r="N28" s="3"/>
      <c r="O28" t="str">
        <f>IF($I28&lt;&gt;"Complete",IF(COUNTIFS($A$4:$A27,$A28,$B$4:$B27,$B28,$I$4:$I27,"&lt;&gt;Complete")=0,$A28&amp;"|"&amp;$B28,""),"")</f>
        <v/>
      </c>
      <c r="P28" t="str">
        <f ca="1">IF($K28="Yes",COUNTIFS($K$4:$K28,"Yes"),"")</f>
        <v/>
      </c>
      <c r="Q28">
        <f t="shared" ca="1" si="3"/>
        <v>0</v>
      </c>
      <c r="R28" t="str">
        <f ca="1">IF($Q28=1,SUM($Q$4:$Q28),"")</f>
        <v/>
      </c>
    </row>
    <row r="29" spans="1:18" ht="33.75" customHeight="1" x14ac:dyDescent="0.3">
      <c r="A29" s="2" t="s">
        <v>61</v>
      </c>
      <c r="B29" s="2" t="s">
        <v>62</v>
      </c>
      <c r="C29" s="3" t="s">
        <v>63</v>
      </c>
      <c r="D29" s="3" t="s">
        <v>20</v>
      </c>
      <c r="E29" s="2" t="s">
        <v>33</v>
      </c>
      <c r="F29" s="2" t="s">
        <v>81</v>
      </c>
      <c r="G29" s="5">
        <v>46390</v>
      </c>
      <c r="H29" s="5">
        <v>46425</v>
      </c>
      <c r="I29" s="2" t="s">
        <v>17</v>
      </c>
      <c r="J29" s="6">
        <f t="shared" si="1"/>
        <v>35</v>
      </c>
      <c r="K29" s="4" t="str">
        <f t="shared" ca="1" si="2"/>
        <v>No</v>
      </c>
      <c r="L29" s="7">
        <f t="shared" ca="1" si="4"/>
        <v>217</v>
      </c>
      <c r="M29" s="4" t="str">
        <f>IF($I29="Complete","Green",IF($H29="","Amber",IF($H29&lt;'[2]Read Me'!$B$4,"Red",IF($H29-'[2]Read Me'!$B$4&lt;=21,"Amber","Green"))))</f>
        <v>Green</v>
      </c>
      <c r="N29" s="3"/>
      <c r="O29" t="str">
        <f>IF($I29&lt;&gt;"Complete",IF(COUNTIFS($A$4:$A28,$A29,$B$4:$B28,$B29,$I$4:$I28,"&lt;&gt;Complete")=0,$A29&amp;"|"&amp;$B29,""),"")</f>
        <v/>
      </c>
      <c r="P29" t="str">
        <f ca="1">IF($K29="Yes",COUNTIFS($K$4:$K29,"Yes"),"")</f>
        <v/>
      </c>
      <c r="Q29">
        <f t="shared" ca="1" si="3"/>
        <v>0</v>
      </c>
      <c r="R29" t="str">
        <f ca="1">IF($Q29=1,SUM($Q$4:$Q29),"")</f>
        <v/>
      </c>
    </row>
    <row r="30" spans="1:18" ht="33.75" customHeight="1" x14ac:dyDescent="0.3">
      <c r="A30" s="2" t="s">
        <v>61</v>
      </c>
      <c r="B30" s="2" t="s">
        <v>62</v>
      </c>
      <c r="C30" s="3" t="s">
        <v>63</v>
      </c>
      <c r="D30" s="3" t="s">
        <v>16</v>
      </c>
      <c r="E30" s="2" t="s">
        <v>75</v>
      </c>
      <c r="F30" s="2" t="s">
        <v>79</v>
      </c>
      <c r="G30" s="5">
        <v>46404</v>
      </c>
      <c r="H30" s="5">
        <v>46439</v>
      </c>
      <c r="I30" s="2" t="s">
        <v>17</v>
      </c>
      <c r="J30" s="6">
        <f t="shared" si="1"/>
        <v>35</v>
      </c>
      <c r="K30" s="4" t="str">
        <f t="shared" ca="1" si="2"/>
        <v>No</v>
      </c>
      <c r="L30" s="7">
        <f t="shared" ca="1" si="4"/>
        <v>231</v>
      </c>
      <c r="M30" s="4" t="str">
        <f>IF($I30="Complete","Green",IF($H30="","Amber",IF($H30&lt;'[2]Read Me'!$B$4,"Red",IF($H30-'[2]Read Me'!$B$4&lt;=21,"Amber","Green"))))</f>
        <v>Green</v>
      </c>
      <c r="N30" s="3"/>
      <c r="O30" t="str">
        <f>IF($I30&lt;&gt;"Complete",IF(COUNTIFS($A$4:$A29,$A30,$B$4:$B29,$B30,$I$4:$I29,"&lt;&gt;Complete")=0,$A30&amp;"|"&amp;$B30,""),"")</f>
        <v/>
      </c>
      <c r="P30" t="str">
        <f ca="1">IF($K30="Yes",COUNTIFS($K$4:$K30,"Yes"),"")</f>
        <v/>
      </c>
      <c r="Q30">
        <f t="shared" ca="1" si="3"/>
        <v>0</v>
      </c>
      <c r="R30" t="str">
        <f ca="1">IF($Q30=1,SUM($Q$4:$Q30),"")</f>
        <v/>
      </c>
    </row>
    <row r="31" spans="1:18" ht="14.25" customHeight="1" x14ac:dyDescent="0.3">
      <c r="A31" s="2" t="s">
        <v>61</v>
      </c>
      <c r="B31" s="2" t="s">
        <v>62</v>
      </c>
      <c r="C31" s="3" t="s">
        <v>63</v>
      </c>
      <c r="D31" s="3" t="s">
        <v>37</v>
      </c>
      <c r="E31" s="2" t="s">
        <v>75</v>
      </c>
      <c r="F31" s="2" t="s">
        <v>77</v>
      </c>
      <c r="G31" s="5">
        <v>46418</v>
      </c>
      <c r="H31" s="5">
        <v>46453</v>
      </c>
      <c r="I31" s="2" t="s">
        <v>17</v>
      </c>
      <c r="J31" s="6">
        <f t="shared" si="1"/>
        <v>35</v>
      </c>
      <c r="K31" s="4" t="str">
        <f t="shared" ca="1" si="2"/>
        <v>No</v>
      </c>
      <c r="L31" s="7">
        <f t="shared" ca="1" si="4"/>
        <v>245</v>
      </c>
      <c r="M31" s="4" t="str">
        <f>IF($I31="Complete","Green",IF($H31="","Amber",IF($H31&lt;'[2]Read Me'!$B$4,"Red",IF($H31-'[2]Read Me'!$B$4&lt;=21,"Amber","Green"))))</f>
        <v>Green</v>
      </c>
      <c r="N31" s="3"/>
      <c r="O31" t="str">
        <f>IF($I31&lt;&gt;"Complete",IF(COUNTIFS($A$4:$A30,$A31,$B$4:$B30,$B31,$I$4:$I30,"&lt;&gt;Complete")=0,$A31&amp;"|"&amp;$B31,""),"")</f>
        <v/>
      </c>
      <c r="P31" t="str">
        <f ca="1">IF($K31="Yes",COUNTIFS($K$4:$K31,"Yes"),"")</f>
        <v/>
      </c>
      <c r="Q31">
        <f t="shared" ca="1" si="3"/>
        <v>0</v>
      </c>
      <c r="R31" t="str">
        <f ca="1">IF($Q31=1,SUM($Q$4:$Q31),"")</f>
        <v/>
      </c>
    </row>
    <row r="32" spans="1:18" ht="14.25" customHeight="1" x14ac:dyDescent="0.3">
      <c r="A32" s="2" t="s">
        <v>85</v>
      </c>
      <c r="B32" s="2" t="s">
        <v>86</v>
      </c>
      <c r="C32" s="3"/>
      <c r="D32" s="3"/>
      <c r="E32" s="2"/>
      <c r="F32" s="2"/>
      <c r="G32" s="5">
        <v>46301</v>
      </c>
      <c r="H32" s="5">
        <v>46336</v>
      </c>
      <c r="I32" s="2"/>
      <c r="J32" s="6">
        <f t="shared" si="1"/>
        <v>35</v>
      </c>
      <c r="K32" s="4" t="str">
        <f t="shared" ca="1" si="2"/>
        <v/>
      </c>
      <c r="L32" s="7">
        <f t="shared" ca="1" si="4"/>
        <v>128</v>
      </c>
      <c r="M32" s="4" t="str">
        <f>IF($I32="Complete","Green",IF($H32="","Amber",IF($H32&lt;'[2]Read Me'!$B$4,"Red",IF($H32-'[2]Read Me'!$B$4&lt;=21,"Amber","Green"))))</f>
        <v>Green</v>
      </c>
      <c r="N32" s="3"/>
      <c r="O32" t="str">
        <f>IF($I32&lt;&gt;"Complete",IF(COUNTIFS($A$4:$A31,$A32,$B$4:$B31,$B32,$I$4:$I31,"&lt;&gt;Complete")=0,$A32&amp;"|"&amp;$B32,""),"")</f>
        <v>lotus|Payment</v>
      </c>
      <c r="P32" t="str">
        <f ca="1">IF($K32="Yes",COUNTIFS($K$4:$K32,"Yes"),"")</f>
        <v/>
      </c>
      <c r="Q32">
        <f t="shared" ca="1" si="3"/>
        <v>0</v>
      </c>
      <c r="R32" t="str">
        <f ca="1">IF($Q32=1,SUM($Q$4:$Q32),"")</f>
        <v/>
      </c>
    </row>
    <row r="33" spans="1:18" ht="14.25" customHeight="1" x14ac:dyDescent="0.3">
      <c r="A33" s="2" t="s">
        <v>85</v>
      </c>
      <c r="B33" s="2" t="s">
        <v>86</v>
      </c>
      <c r="C33" s="3" t="s">
        <v>87</v>
      </c>
      <c r="D33" s="3" t="s">
        <v>88</v>
      </c>
      <c r="E33" s="2"/>
      <c r="F33" s="2"/>
      <c r="G33" s="5">
        <v>46301</v>
      </c>
      <c r="H33" s="5">
        <v>46336</v>
      </c>
      <c r="I33" s="2" t="s">
        <v>17</v>
      </c>
      <c r="J33" s="6">
        <f t="shared" si="1"/>
        <v>35</v>
      </c>
      <c r="K33" s="4" t="str">
        <f t="shared" ca="1" si="2"/>
        <v>No</v>
      </c>
      <c r="L33" s="7">
        <f t="shared" ca="1" si="4"/>
        <v>128</v>
      </c>
      <c r="M33" s="4" t="str">
        <f>IF($I33="Complete","Green",IF($H33="","Amber",IF($H33&lt;'[2]Read Me'!$B$4,"Red",IF($H33-'[2]Read Me'!$B$4&lt;=21,"Amber","Green"))))</f>
        <v>Green</v>
      </c>
      <c r="N33" s="3"/>
      <c r="O33" t="str">
        <f>IF($I33&lt;&gt;"Complete",IF(COUNTIFS($A$4:$A32,$A33,$B$4:$B32,$B33,$I$4:$I32,"&lt;&gt;Complete")=0,$A33&amp;"|"&amp;$B33,""),"")</f>
        <v/>
      </c>
      <c r="P33" t="str">
        <f ca="1">IF($K33="Yes",COUNTIFS($K$4:$K33,"Yes"),"")</f>
        <v/>
      </c>
      <c r="Q33">
        <f t="shared" ca="1" si="3"/>
        <v>0</v>
      </c>
      <c r="R33" t="str">
        <f ca="1">IF($Q33=1,SUM($Q$4:$Q33),"")</f>
        <v/>
      </c>
    </row>
    <row r="34" spans="1:18" ht="14.25" customHeight="1" x14ac:dyDescent="0.3">
      <c r="A34" s="2" t="s">
        <v>89</v>
      </c>
      <c r="B34" s="2" t="s">
        <v>49</v>
      </c>
      <c r="C34" s="3"/>
      <c r="D34" s="3"/>
      <c r="E34" s="2"/>
      <c r="F34" s="2"/>
      <c r="G34" s="5">
        <v>46502</v>
      </c>
      <c r="H34" s="5">
        <v>46537</v>
      </c>
      <c r="I34" s="2"/>
      <c r="J34" s="6">
        <f t="shared" si="1"/>
        <v>35</v>
      </c>
      <c r="K34" s="4" t="str">
        <f t="shared" ca="1" si="2"/>
        <v/>
      </c>
      <c r="L34" s="7">
        <f t="shared" ca="1" si="4"/>
        <v>329</v>
      </c>
      <c r="M34" s="4" t="str">
        <f>IF($I34="Complete","Green",IF($H34="","Amber",IF($H34&lt;'[2]Read Me'!$B$4,"Red",IF($H34-'[2]Read Me'!$B$4&lt;=21,"Amber","Green"))))</f>
        <v>Green</v>
      </c>
      <c r="N34" s="3"/>
      <c r="O34" t="str">
        <f>IF($I34&lt;&gt;"Complete",IF(COUNTIFS($A$4:$A33,$A34,$B$4:$B33,$B34,$I$4:$I33,"&lt;&gt;Complete")=0,$A34&amp;"|"&amp;$B34,""),"")</f>
        <v>Authorities (Phase.01)|Authorities</v>
      </c>
      <c r="P34" t="str">
        <f ca="1">IF($K34="Yes",COUNTIFS($K$4:$K34,"Yes"),"")</f>
        <v/>
      </c>
      <c r="Q34">
        <f t="shared" ca="1" si="3"/>
        <v>0</v>
      </c>
      <c r="R34" t="str">
        <f ca="1">IF($Q34=1,SUM($Q$4:$Q34),"")</f>
        <v/>
      </c>
    </row>
    <row r="35" spans="1:18" ht="14.25" customHeight="1" x14ac:dyDescent="0.3">
      <c r="A35" s="2" t="s">
        <v>89</v>
      </c>
      <c r="B35" s="2" t="s">
        <v>49</v>
      </c>
      <c r="C35" s="3" t="s">
        <v>90</v>
      </c>
      <c r="D35" s="3" t="s">
        <v>91</v>
      </c>
      <c r="E35" s="2" t="s">
        <v>92</v>
      </c>
      <c r="F35" s="2"/>
      <c r="G35" s="5">
        <v>46404</v>
      </c>
      <c r="H35" s="5">
        <v>46439</v>
      </c>
      <c r="I35" s="2" t="s">
        <v>17</v>
      </c>
      <c r="J35" s="6">
        <f t="shared" si="1"/>
        <v>35</v>
      </c>
      <c r="K35" s="4" t="str">
        <f t="shared" ca="1" si="2"/>
        <v>No</v>
      </c>
      <c r="L35" s="7">
        <f t="shared" ca="1" si="4"/>
        <v>231</v>
      </c>
      <c r="M35" s="4" t="str">
        <f>IF($I35="Complete","Green",IF($H35="","Amber",IF($H35&lt;'[2]Read Me'!$B$4,"Red",IF($H35-'[2]Read Me'!$B$4&lt;=21,"Amber","Green"))))</f>
        <v>Green</v>
      </c>
      <c r="N35" s="3"/>
      <c r="O35" t="str">
        <f>IF($I35&lt;&gt;"Complete",IF(COUNTIFS($A$4:$A34,$A35,$B$4:$B34,$B35,$I$4:$I34,"&lt;&gt;Complete")=0,$A35&amp;"|"&amp;$B35,""),"")</f>
        <v/>
      </c>
      <c r="P35" t="str">
        <f ca="1">IF($K35="Yes",COUNTIFS($K$4:$K35,"Yes"),"")</f>
        <v/>
      </c>
      <c r="Q35">
        <f t="shared" ca="1" si="3"/>
        <v>0</v>
      </c>
      <c r="R35" t="str">
        <f ca="1">IF($Q35=1,SUM($Q$4:$Q35),"")</f>
        <v/>
      </c>
    </row>
    <row r="36" spans="1:18" ht="14.25" customHeight="1" x14ac:dyDescent="0.3">
      <c r="A36" s="2" t="s">
        <v>89</v>
      </c>
      <c r="B36" s="2" t="s">
        <v>49</v>
      </c>
      <c r="C36" s="3" t="s">
        <v>90</v>
      </c>
      <c r="D36" s="3" t="s">
        <v>93</v>
      </c>
      <c r="E36" s="2" t="s">
        <v>92</v>
      </c>
      <c r="F36" s="2"/>
      <c r="G36" s="5">
        <v>46446</v>
      </c>
      <c r="H36" s="5">
        <v>46481</v>
      </c>
      <c r="I36" s="2" t="s">
        <v>17</v>
      </c>
      <c r="J36" s="6">
        <f t="shared" si="1"/>
        <v>35</v>
      </c>
      <c r="K36" s="4" t="str">
        <f t="shared" ca="1" si="2"/>
        <v>No</v>
      </c>
      <c r="L36" s="7">
        <f t="shared" ca="1" si="4"/>
        <v>273</v>
      </c>
      <c r="M36" s="4" t="str">
        <f>IF($I36="Complete","Green",IF($H36="","Amber",IF($H36&lt;'[2]Read Me'!$B$4,"Red",IF($H36-'[2]Read Me'!$B$4&lt;=21,"Amber","Green"))))</f>
        <v>Green</v>
      </c>
      <c r="N36" s="3"/>
      <c r="O36" t="str">
        <f>IF($I36&lt;&gt;"Complete",IF(COUNTIFS($A$4:$A35,$A36,$B$4:$B35,$B36,$I$4:$I35,"&lt;&gt;Complete")=0,$A36&amp;"|"&amp;$B36,""),"")</f>
        <v/>
      </c>
      <c r="P36" t="str">
        <f ca="1">IF($K36="Yes",COUNTIFS($K$4:$K36,"Yes"),"")</f>
        <v/>
      </c>
      <c r="Q36">
        <f t="shared" ca="1" si="3"/>
        <v>0</v>
      </c>
      <c r="R36" t="str">
        <f ca="1">IF($Q36=1,SUM($Q$4:$Q36),"")</f>
        <v/>
      </c>
    </row>
    <row r="37" spans="1:18" ht="14.25" customHeight="1" x14ac:dyDescent="0.3">
      <c r="A37" s="2" t="s">
        <v>89</v>
      </c>
      <c r="B37" s="2" t="s">
        <v>49</v>
      </c>
      <c r="C37" s="3" t="s">
        <v>90</v>
      </c>
      <c r="D37" s="3" t="s">
        <v>94</v>
      </c>
      <c r="E37" s="2" t="s">
        <v>92</v>
      </c>
      <c r="F37" s="2"/>
      <c r="G37" s="5">
        <v>46502</v>
      </c>
      <c r="H37" s="5">
        <v>46537</v>
      </c>
      <c r="I37" s="2" t="s">
        <v>17</v>
      </c>
      <c r="J37" s="6">
        <f t="shared" si="1"/>
        <v>35</v>
      </c>
      <c r="K37" s="4" t="str">
        <f t="shared" ca="1" si="2"/>
        <v>No</v>
      </c>
      <c r="L37" s="7">
        <f t="shared" ca="1" si="4"/>
        <v>329</v>
      </c>
      <c r="M37" s="4" t="str">
        <f>IF($I37="Complete","Green",IF($H37="","Amber",IF($H37&lt;'[2]Read Me'!$B$4,"Red",IF($H37-'[2]Read Me'!$B$4&lt;=21,"Amber","Green"))))</f>
        <v>Green</v>
      </c>
      <c r="N37" s="3"/>
      <c r="O37" t="str">
        <f>IF($I37&lt;&gt;"Complete",IF(COUNTIFS($A$4:$A36,$A37,$B$4:$B36,$B37,$I$4:$I36,"&lt;&gt;Complete")=0,$A37&amp;"|"&amp;$B37,""),"")</f>
        <v/>
      </c>
      <c r="P37" t="str">
        <f ca="1">IF($K37="Yes",COUNTIFS($K$4:$K37,"Yes"),"")</f>
        <v/>
      </c>
      <c r="Q37">
        <f t="shared" ca="1" si="3"/>
        <v>0</v>
      </c>
      <c r="R37" t="str">
        <f ca="1">IF($Q37=1,SUM($Q$4:$Q37),"")</f>
        <v/>
      </c>
    </row>
    <row r="38" spans="1:18" ht="14.25" customHeight="1" x14ac:dyDescent="0.3">
      <c r="A38" s="2" t="s">
        <v>95</v>
      </c>
      <c r="B38" s="2" t="s">
        <v>62</v>
      </c>
      <c r="C38" s="3"/>
      <c r="D38" s="3"/>
      <c r="E38" s="2"/>
      <c r="F38" s="2"/>
      <c r="G38" s="5">
        <v>46670</v>
      </c>
      <c r="H38" s="5">
        <v>46705</v>
      </c>
      <c r="I38" s="2"/>
      <c r="J38" s="6">
        <f t="shared" si="1"/>
        <v>35</v>
      </c>
      <c r="K38" s="4" t="str">
        <f t="shared" ca="1" si="2"/>
        <v/>
      </c>
      <c r="L38" s="7">
        <f t="shared" ca="1" si="4"/>
        <v>497</v>
      </c>
      <c r="M38" s="4" t="str">
        <f>IF($I38="Complete","Green",IF($H38="","Amber",IF($H38&lt;'[2]Read Me'!$B$4,"Red",IF($H38-'[2]Read Me'!$B$4&lt;=21,"Amber","Green"))))</f>
        <v>Green</v>
      </c>
      <c r="N38" s="3"/>
      <c r="O38" t="str">
        <f>IF($I38&lt;&gt;"Complete",IF(COUNTIFS($A$4:$A37,$A38,$B$4:$B37,$B38,$I$4:$I37,"&lt;&gt;Complete")=0,$A38&amp;"|"&amp;$B38,""),"")</f>
        <v>Phase 2|Buildings</v>
      </c>
      <c r="P38" t="str">
        <f ca="1">IF($K38="Yes",COUNTIFS($K$4:$K38,"Yes"),"")</f>
        <v/>
      </c>
      <c r="Q38">
        <f t="shared" ca="1" si="3"/>
        <v>0</v>
      </c>
      <c r="R38" t="str">
        <f ca="1">IF($Q38=1,SUM($Q$4:$Q38),"")</f>
        <v/>
      </c>
    </row>
    <row r="39" spans="1:18" ht="14.25" customHeight="1" x14ac:dyDescent="0.3">
      <c r="A39" s="2" t="s">
        <v>95</v>
      </c>
      <c r="B39" s="2" t="s">
        <v>62</v>
      </c>
      <c r="C39" s="3" t="s">
        <v>96</v>
      </c>
      <c r="D39" s="3" t="s">
        <v>97</v>
      </c>
      <c r="E39" s="2" t="s">
        <v>65</v>
      </c>
      <c r="F39" s="2" t="s">
        <v>66</v>
      </c>
      <c r="G39" s="5">
        <v>46215</v>
      </c>
      <c r="H39" s="5">
        <v>46250</v>
      </c>
      <c r="I39" s="2" t="s">
        <v>17</v>
      </c>
      <c r="J39" s="6">
        <f t="shared" si="1"/>
        <v>35</v>
      </c>
      <c r="K39" s="4" t="str">
        <f t="shared" ca="1" si="2"/>
        <v>No</v>
      </c>
      <c r="L39" s="7">
        <f t="shared" ca="1" si="4"/>
        <v>42</v>
      </c>
      <c r="M39" s="4" t="str">
        <f>IF($I39="Complete","Green",IF($H39="","Amber",IF($H39&lt;'[2]Read Me'!$B$4,"Red",IF($H39-'[2]Read Me'!$B$4&lt;=21,"Amber","Green"))))</f>
        <v>Green</v>
      </c>
      <c r="N39" s="3"/>
      <c r="O39" t="str">
        <f>IF($I39&lt;&gt;"Complete",IF(COUNTIFS($A$4:$A38,$A39,$B$4:$B38,$B39,$I$4:$I38,"&lt;&gt;Complete")=0,$A39&amp;"|"&amp;$B39,""),"")</f>
        <v/>
      </c>
      <c r="P39" t="str">
        <f ca="1">IF($K39="Yes",COUNTIFS($K$4:$K39,"Yes"),"")</f>
        <v/>
      </c>
      <c r="Q39">
        <f t="shared" ca="1" si="3"/>
        <v>0</v>
      </c>
      <c r="R39" t="str">
        <f ca="1">IF($Q39=1,SUM($Q$4:$Q39),"")</f>
        <v/>
      </c>
    </row>
    <row r="40" spans="1:18" ht="14.25" customHeight="1" x14ac:dyDescent="0.3">
      <c r="A40" s="2" t="s">
        <v>95</v>
      </c>
      <c r="B40" s="2" t="s">
        <v>62</v>
      </c>
      <c r="C40" s="3" t="s">
        <v>96</v>
      </c>
      <c r="D40" s="3" t="s">
        <v>70</v>
      </c>
      <c r="E40" s="2" t="s">
        <v>65</v>
      </c>
      <c r="F40" s="2" t="s">
        <v>68</v>
      </c>
      <c r="G40" s="5">
        <v>46229</v>
      </c>
      <c r="H40" s="5">
        <v>46264</v>
      </c>
      <c r="I40" s="2" t="s">
        <v>17</v>
      </c>
      <c r="J40" s="6">
        <f t="shared" si="1"/>
        <v>35</v>
      </c>
      <c r="K40" s="4" t="str">
        <f t="shared" ca="1" si="2"/>
        <v>No</v>
      </c>
      <c r="L40" s="7">
        <f t="shared" ca="1" si="4"/>
        <v>56</v>
      </c>
      <c r="M40" s="4" t="str">
        <f>IF($I40="Complete","Green",IF($H40="","Amber",IF($H40&lt;'[2]Read Me'!$B$4,"Red",IF($H40-'[2]Read Me'!$B$4&lt;=21,"Amber","Green"))))</f>
        <v>Green</v>
      </c>
      <c r="N40" s="3"/>
      <c r="O40" t="str">
        <f>IF($I40&lt;&gt;"Complete",IF(COUNTIFS($A$4:$A39,$A40,$B$4:$B39,$B40,$I$4:$I39,"&lt;&gt;Complete")=0,$A40&amp;"|"&amp;$B40,""),"")</f>
        <v/>
      </c>
      <c r="P40" t="str">
        <f ca="1">IF($K40="Yes",COUNTIFS($K$4:$K40,"Yes"),"")</f>
        <v/>
      </c>
      <c r="Q40">
        <f t="shared" ca="1" si="3"/>
        <v>0</v>
      </c>
      <c r="R40" t="str">
        <f ca="1">IF($Q40=1,SUM($Q$4:$Q40),"")</f>
        <v/>
      </c>
    </row>
    <row r="41" spans="1:18" ht="14.25" customHeight="1" x14ac:dyDescent="0.3">
      <c r="A41" s="2" t="s">
        <v>95</v>
      </c>
      <c r="B41" s="2" t="s">
        <v>62</v>
      </c>
      <c r="C41" s="3" t="s">
        <v>96</v>
      </c>
      <c r="D41" s="3" t="s">
        <v>78</v>
      </c>
      <c r="E41" s="2" t="s">
        <v>75</v>
      </c>
      <c r="F41" s="2" t="s">
        <v>79</v>
      </c>
      <c r="G41" s="5">
        <v>46250</v>
      </c>
      <c r="H41" s="5">
        <v>46285</v>
      </c>
      <c r="I41" s="2" t="s">
        <v>17</v>
      </c>
      <c r="J41" s="6">
        <f t="shared" si="1"/>
        <v>35</v>
      </c>
      <c r="K41" s="4" t="str">
        <f t="shared" ca="1" si="2"/>
        <v>No</v>
      </c>
      <c r="L41" s="7">
        <f t="shared" ca="1" si="4"/>
        <v>77</v>
      </c>
      <c r="M41" s="4" t="str">
        <f>IF($I41="Complete","Green",IF($H41="","Amber",IF($H41&lt;'[2]Read Me'!$B$4,"Red",IF($H41-'[2]Read Me'!$B$4&lt;=21,"Amber","Green"))))</f>
        <v>Green</v>
      </c>
      <c r="N41" s="3"/>
      <c r="O41" t="str">
        <f>IF($I41&lt;&gt;"Complete",IF(COUNTIFS($A$4:$A40,$A41,$B$4:$B40,$B41,$I$4:$I40,"&lt;&gt;Complete")=0,$A41&amp;"|"&amp;$B41,""),"")</f>
        <v/>
      </c>
      <c r="P41" t="str">
        <f ca="1">IF($K41="Yes",COUNTIFS($K$4:$K41,"Yes"),"")</f>
        <v/>
      </c>
      <c r="Q41">
        <f t="shared" ca="1" si="3"/>
        <v>0</v>
      </c>
      <c r="R41" t="str">
        <f ca="1">IF($Q41=1,SUM($Q$4:$Q41),"")</f>
        <v/>
      </c>
    </row>
    <row r="42" spans="1:18" ht="22.5" customHeight="1" x14ac:dyDescent="0.3">
      <c r="A42" s="2" t="s">
        <v>95</v>
      </c>
      <c r="B42" s="2" t="s">
        <v>62</v>
      </c>
      <c r="C42" s="3" t="s">
        <v>96</v>
      </c>
      <c r="D42" s="3" t="s">
        <v>80</v>
      </c>
      <c r="E42" s="2" t="s">
        <v>75</v>
      </c>
      <c r="F42" s="2" t="s">
        <v>77</v>
      </c>
      <c r="G42" s="5">
        <v>46257</v>
      </c>
      <c r="H42" s="5">
        <v>46292</v>
      </c>
      <c r="I42" s="2" t="s">
        <v>17</v>
      </c>
      <c r="J42" s="6">
        <f t="shared" si="1"/>
        <v>35</v>
      </c>
      <c r="K42" s="4" t="str">
        <f t="shared" ca="1" si="2"/>
        <v>No</v>
      </c>
      <c r="L42" s="7">
        <f t="shared" ca="1" si="4"/>
        <v>84</v>
      </c>
      <c r="M42" s="4" t="str">
        <f>IF($I42="Complete","Green",IF($H42="","Amber",IF($H42&lt;'[2]Read Me'!$B$4,"Red",IF($H42-'[2]Read Me'!$B$4&lt;=21,"Amber","Green"))))</f>
        <v>Green</v>
      </c>
      <c r="N42" s="3"/>
      <c r="O42" t="str">
        <f>IF($I42&lt;&gt;"Complete",IF(COUNTIFS($A$4:$A41,$A42,$B$4:$B41,$B42,$I$4:$I41,"&lt;&gt;Complete")=0,$A42&amp;"|"&amp;$B42,""),"")</f>
        <v/>
      </c>
      <c r="P42" t="str">
        <f ca="1">IF($K42="Yes",COUNTIFS($K$4:$K42,"Yes"),"")</f>
        <v/>
      </c>
      <c r="Q42">
        <f t="shared" ca="1" si="3"/>
        <v>0</v>
      </c>
      <c r="R42" t="str">
        <f ca="1">IF($Q42=1,SUM($Q$4:$Q42),"")</f>
        <v/>
      </c>
    </row>
    <row r="43" spans="1:18" ht="22.5" customHeight="1" x14ac:dyDescent="0.3">
      <c r="A43" s="2" t="s">
        <v>95</v>
      </c>
      <c r="B43" s="2" t="s">
        <v>62</v>
      </c>
      <c r="C43" s="3" t="s">
        <v>96</v>
      </c>
      <c r="D43" s="3" t="s">
        <v>98</v>
      </c>
      <c r="E43" s="2" t="s">
        <v>65</v>
      </c>
      <c r="F43" s="2" t="s">
        <v>66</v>
      </c>
      <c r="G43" s="5">
        <v>46271</v>
      </c>
      <c r="H43" s="5">
        <v>46306</v>
      </c>
      <c r="I43" s="2" t="s">
        <v>17</v>
      </c>
      <c r="J43" s="6">
        <f t="shared" si="1"/>
        <v>35</v>
      </c>
      <c r="K43" s="4" t="str">
        <f t="shared" ca="1" si="2"/>
        <v>No</v>
      </c>
      <c r="L43" s="7">
        <f t="shared" ca="1" si="4"/>
        <v>98</v>
      </c>
      <c r="M43" s="4" t="str">
        <f>IF($I43="Complete","Green",IF($H43="","Amber",IF($H43&lt;'[2]Read Me'!$B$4,"Red",IF($H43-'[2]Read Me'!$B$4&lt;=21,"Amber","Green"))))</f>
        <v>Green</v>
      </c>
      <c r="N43" s="3"/>
      <c r="O43" t="str">
        <f>IF($I43&lt;&gt;"Complete",IF(COUNTIFS($A$4:$A42,$A43,$B$4:$B42,$B43,$I$4:$I42,"&lt;&gt;Complete")=0,$A43&amp;"|"&amp;$B43,""),"")</f>
        <v/>
      </c>
      <c r="P43" t="str">
        <f ca="1">IF($K43="Yes",COUNTIFS($K$4:$K43,"Yes"),"")</f>
        <v/>
      </c>
      <c r="Q43">
        <f t="shared" ca="1" si="3"/>
        <v>0</v>
      </c>
      <c r="R43" t="str">
        <f ca="1">IF($Q43=1,SUM($Q$4:$Q43),"")</f>
        <v/>
      </c>
    </row>
    <row r="44" spans="1:18" ht="14.25" customHeight="1" x14ac:dyDescent="0.3">
      <c r="A44" s="2" t="s">
        <v>95</v>
      </c>
      <c r="B44" s="2" t="s">
        <v>62</v>
      </c>
      <c r="C44" s="3" t="s">
        <v>96</v>
      </c>
      <c r="D44" s="3" t="s">
        <v>47</v>
      </c>
      <c r="E44" s="2" t="s">
        <v>65</v>
      </c>
      <c r="F44" s="2" t="s">
        <v>68</v>
      </c>
      <c r="G44" s="5">
        <v>46285</v>
      </c>
      <c r="H44" s="5">
        <v>46320</v>
      </c>
      <c r="I44" s="4" t="s">
        <v>17</v>
      </c>
      <c r="J44" s="6">
        <f t="shared" si="1"/>
        <v>35</v>
      </c>
      <c r="K44" s="4" t="str">
        <f t="shared" ca="1" si="2"/>
        <v>No</v>
      </c>
      <c r="L44" s="7">
        <f t="shared" ca="1" si="4"/>
        <v>112</v>
      </c>
      <c r="M44" s="4" t="str">
        <f>IF($I44="Complete","Green",IF($H44="","Amber",IF($H44&lt;'[2]Read Me'!$B$4,"Red",IF($H44-'[2]Read Me'!$B$4&lt;=21,"Amber","Green"))))</f>
        <v>Green</v>
      </c>
      <c r="N44" s="3"/>
      <c r="O44" t="str">
        <f>IF($I44&lt;&gt;"Complete",IF(COUNTIFS($A$4:$A43,$A44,$B$4:$B43,$B44,$I$4:$I43,"&lt;&gt;Complete")=0,$A44&amp;"|"&amp;$B44,""),"")</f>
        <v/>
      </c>
      <c r="P44" t="str">
        <f ca="1">IF($K44="Yes",COUNTIFS($K$4:$K44,"Yes"),"")</f>
        <v/>
      </c>
      <c r="Q44">
        <f t="shared" ca="1" si="3"/>
        <v>0</v>
      </c>
      <c r="R44" t="str">
        <f ca="1">IF($Q44=1,SUM($Q$4:$Q44),"")</f>
        <v/>
      </c>
    </row>
    <row r="45" spans="1:18" ht="14.25" customHeight="1" x14ac:dyDescent="0.3">
      <c r="A45" s="2" t="s">
        <v>95</v>
      </c>
      <c r="B45" s="2" t="s">
        <v>62</v>
      </c>
      <c r="C45" s="3" t="s">
        <v>96</v>
      </c>
      <c r="D45" s="3" t="s">
        <v>18</v>
      </c>
      <c r="E45" s="2" t="s">
        <v>75</v>
      </c>
      <c r="F45" s="2" t="s">
        <v>79</v>
      </c>
      <c r="G45" s="5">
        <v>46460</v>
      </c>
      <c r="H45" s="5">
        <v>46495</v>
      </c>
      <c r="I45" s="4" t="s">
        <v>17</v>
      </c>
      <c r="J45" s="6">
        <f t="shared" si="1"/>
        <v>35</v>
      </c>
      <c r="K45" s="4" t="str">
        <f t="shared" ca="1" si="2"/>
        <v>No</v>
      </c>
      <c r="L45" s="7">
        <f t="shared" ca="1" si="4"/>
        <v>287</v>
      </c>
      <c r="M45" s="4" t="str">
        <f>IF($I45="Complete","Green",IF($H45="","Amber",IF($H45&lt;'[2]Read Me'!$B$4,"Red",IF($H45-'[2]Read Me'!$B$4&lt;=21,"Amber","Green"))))</f>
        <v>Green</v>
      </c>
      <c r="N45" s="3"/>
      <c r="O45" t="str">
        <f>IF($I45&lt;&gt;"Complete",IF(COUNTIFS($A$4:$A44,$A45,$B$4:$B44,$B45,$I$4:$I44,"&lt;&gt;Complete")=0,$A45&amp;"|"&amp;$B45,""),"")</f>
        <v/>
      </c>
      <c r="P45" t="str">
        <f ca="1">IF($K45="Yes",COUNTIFS($K$4:$K45,"Yes"),"")</f>
        <v/>
      </c>
      <c r="Q45">
        <f t="shared" ca="1" si="3"/>
        <v>0</v>
      </c>
      <c r="R45" t="str">
        <f ca="1">IF($Q45=1,SUM($Q$4:$Q45),"")</f>
        <v/>
      </c>
    </row>
    <row r="46" spans="1:18" ht="22.5" customHeight="1" x14ac:dyDescent="0.3">
      <c r="A46" s="2" t="s">
        <v>95</v>
      </c>
      <c r="B46" s="2" t="s">
        <v>62</v>
      </c>
      <c r="C46" s="3" t="s">
        <v>96</v>
      </c>
      <c r="D46" s="3" t="s">
        <v>32</v>
      </c>
      <c r="E46" s="2" t="s">
        <v>75</v>
      </c>
      <c r="F46" s="2" t="s">
        <v>77</v>
      </c>
      <c r="G46" s="5">
        <v>46474</v>
      </c>
      <c r="H46" s="5">
        <v>46509</v>
      </c>
      <c r="I46" s="4" t="s">
        <v>17</v>
      </c>
      <c r="J46" s="6">
        <f t="shared" si="1"/>
        <v>35</v>
      </c>
      <c r="K46" s="4" t="str">
        <f t="shared" ca="1" si="2"/>
        <v>No</v>
      </c>
      <c r="L46" s="7">
        <f t="shared" ca="1" si="4"/>
        <v>301</v>
      </c>
      <c r="M46" s="4" t="str">
        <f>IF($I46="Complete","Green",IF($H46="","Amber",IF($H46&lt;'[2]Read Me'!$B$4,"Red",IF($H46-'[2]Read Me'!$B$4&lt;=21,"Amber","Green"))))</f>
        <v>Green</v>
      </c>
      <c r="N46" s="3"/>
      <c r="O46" t="str">
        <f>IF($I46&lt;&gt;"Complete",IF(COUNTIFS($A$4:$A45,$A46,$B$4:$B45,$B46,$I$4:$I45,"&lt;&gt;Complete")=0,$A46&amp;"|"&amp;$B46,""),"")</f>
        <v/>
      </c>
      <c r="P46" t="str">
        <f ca="1">IF($K46="Yes",COUNTIFS($K$4:$K46,"Yes"),"")</f>
        <v/>
      </c>
      <c r="Q46">
        <f t="shared" ca="1" si="3"/>
        <v>0</v>
      </c>
      <c r="R46" t="str">
        <f ca="1">IF($Q46=1,SUM($Q$4:$Q46),"")</f>
        <v/>
      </c>
    </row>
    <row r="47" spans="1:18" ht="14.25" customHeight="1" x14ac:dyDescent="0.3">
      <c r="A47" s="2" t="s">
        <v>95</v>
      </c>
      <c r="B47" s="2" t="s">
        <v>62</v>
      </c>
      <c r="C47" s="3" t="s">
        <v>96</v>
      </c>
      <c r="D47" s="3" t="s">
        <v>19</v>
      </c>
      <c r="E47" s="2" t="s">
        <v>33</v>
      </c>
      <c r="F47" s="2" t="s">
        <v>81</v>
      </c>
      <c r="G47" s="5">
        <v>46481</v>
      </c>
      <c r="H47" s="5">
        <v>46516</v>
      </c>
      <c r="I47" s="4" t="s">
        <v>17</v>
      </c>
      <c r="J47" s="6">
        <f t="shared" si="1"/>
        <v>35</v>
      </c>
      <c r="K47" s="4" t="str">
        <f t="shared" ca="1" si="2"/>
        <v>No</v>
      </c>
      <c r="L47" s="7">
        <f t="shared" ca="1" si="4"/>
        <v>308</v>
      </c>
      <c r="M47" s="4" t="str">
        <f>IF($I47="Complete","Green",IF($H47="","Amber",IF($H47&lt;'[2]Read Me'!$B$4,"Red",IF($H47-'[2]Read Me'!$B$4&lt;=21,"Amber","Green"))))</f>
        <v>Green</v>
      </c>
      <c r="N47" s="3"/>
      <c r="O47" t="str">
        <f>IF($I47&lt;&gt;"Complete",IF(COUNTIFS($A$4:$A46,$A47,$B$4:$B46,$B47,$I$4:$I46,"&lt;&gt;Complete")=0,$A47&amp;"|"&amp;$B47,""),"")</f>
        <v/>
      </c>
      <c r="P47" t="str">
        <f ca="1">IF($K47="Yes",COUNTIFS($K$4:$K47,"Yes"),"")</f>
        <v/>
      </c>
      <c r="Q47">
        <f t="shared" ca="1" si="3"/>
        <v>0</v>
      </c>
      <c r="R47" t="str">
        <f ca="1">IF($Q47=1,SUM($Q$4:$Q47),"")</f>
        <v/>
      </c>
    </row>
    <row r="48" spans="1:18" ht="14.25" customHeight="1" x14ac:dyDescent="0.3">
      <c r="A48" s="2" t="s">
        <v>95</v>
      </c>
      <c r="B48" s="2" t="s">
        <v>62</v>
      </c>
      <c r="C48" s="3" t="s">
        <v>96</v>
      </c>
      <c r="D48" s="3" t="s">
        <v>99</v>
      </c>
      <c r="E48" s="2"/>
      <c r="F48" s="2"/>
      <c r="G48" s="5">
        <v>46488</v>
      </c>
      <c r="H48" s="5">
        <v>46523</v>
      </c>
      <c r="I48" s="4" t="s">
        <v>17</v>
      </c>
      <c r="J48" s="6">
        <f t="shared" si="1"/>
        <v>35</v>
      </c>
      <c r="K48" s="4" t="str">
        <f t="shared" ca="1" si="2"/>
        <v>No</v>
      </c>
      <c r="L48" s="7">
        <f t="shared" ca="1" si="4"/>
        <v>315</v>
      </c>
      <c r="M48" s="4" t="str">
        <f>IF($I48="Complete","Green",IF($H48="","Amber",IF($H48&lt;'[2]Read Me'!$B$4,"Red",IF($H48-'[2]Read Me'!$B$4&lt;=21,"Amber","Green"))))</f>
        <v>Green</v>
      </c>
      <c r="N48" s="3"/>
      <c r="O48" t="str">
        <f>IF($I48&lt;&gt;"Complete",IF(COUNTIFS($A$4:$A47,$A48,$B$4:$B47,$B48,$I$4:$I47,"&lt;&gt;Complete")=0,$A48&amp;"|"&amp;$B48,""),"")</f>
        <v/>
      </c>
      <c r="P48" t="str">
        <f ca="1">IF($K48="Yes",COUNTIFS($K$4:$K48,"Yes"),"")</f>
        <v/>
      </c>
      <c r="Q48">
        <f t="shared" ca="1" si="3"/>
        <v>0</v>
      </c>
      <c r="R48" t="str">
        <f ca="1">IF($Q48=1,SUM($Q$4:$Q48),"")</f>
        <v/>
      </c>
    </row>
    <row r="49" spans="1:18" ht="14.25" customHeight="1" x14ac:dyDescent="0.3">
      <c r="A49" s="2" t="s">
        <v>95</v>
      </c>
      <c r="B49" s="2" t="s">
        <v>62</v>
      </c>
      <c r="C49" s="3" t="s">
        <v>96</v>
      </c>
      <c r="D49" s="3" t="s">
        <v>14</v>
      </c>
      <c r="E49" s="2" t="s">
        <v>75</v>
      </c>
      <c r="F49" s="2" t="s">
        <v>79</v>
      </c>
      <c r="G49" s="5">
        <v>46530</v>
      </c>
      <c r="H49" s="5">
        <v>46565</v>
      </c>
      <c r="I49" s="4" t="s">
        <v>17</v>
      </c>
      <c r="J49" s="6">
        <f t="shared" si="1"/>
        <v>35</v>
      </c>
      <c r="K49" s="4" t="str">
        <f t="shared" ca="1" si="2"/>
        <v>No</v>
      </c>
      <c r="L49" s="7">
        <f t="shared" ca="1" si="4"/>
        <v>357</v>
      </c>
      <c r="M49" s="4" t="str">
        <f>IF($I49="Complete","Green",IF($H49="","Amber",IF($H49&lt;'[2]Read Me'!$B$4,"Red",IF($H49-'[2]Read Me'!$B$4&lt;=21,"Amber","Green"))))</f>
        <v>Green</v>
      </c>
      <c r="N49" s="3"/>
      <c r="O49" t="str">
        <f>IF($I49&lt;&gt;"Complete",IF(COUNTIFS($A$4:$A48,$A49,$B$4:$B48,$B49,$I$4:$I48,"&lt;&gt;Complete")=0,$A49&amp;"|"&amp;$B49,""),"")</f>
        <v/>
      </c>
      <c r="P49" t="str">
        <f ca="1">IF($K49="Yes",COUNTIFS($K$4:$K49,"Yes"),"")</f>
        <v/>
      </c>
      <c r="Q49">
        <f t="shared" ca="1" si="3"/>
        <v>0</v>
      </c>
      <c r="R49" t="str">
        <f ca="1">IF($Q49=1,SUM($Q$4:$Q49),"")</f>
        <v/>
      </c>
    </row>
    <row r="50" spans="1:18" ht="14.25" customHeight="1" x14ac:dyDescent="0.3">
      <c r="A50" s="2" t="s">
        <v>95</v>
      </c>
      <c r="B50" s="2" t="s">
        <v>62</v>
      </c>
      <c r="C50" s="3" t="s">
        <v>96</v>
      </c>
      <c r="D50" s="3" t="s">
        <v>34</v>
      </c>
      <c r="E50" s="2" t="s">
        <v>75</v>
      </c>
      <c r="F50" s="2" t="s">
        <v>77</v>
      </c>
      <c r="G50" s="5">
        <v>46544</v>
      </c>
      <c r="H50" s="5">
        <v>46579</v>
      </c>
      <c r="I50" s="4" t="s">
        <v>17</v>
      </c>
      <c r="J50" s="6">
        <f t="shared" si="1"/>
        <v>35</v>
      </c>
      <c r="K50" s="4" t="str">
        <f t="shared" ca="1" si="2"/>
        <v>No</v>
      </c>
      <c r="L50" s="7">
        <f t="shared" ca="1" si="4"/>
        <v>371</v>
      </c>
      <c r="M50" s="4" t="str">
        <f>IF($I50="Complete","Green",IF($H50="","Amber",IF($H50&lt;'[2]Read Me'!$B$4,"Red",IF($H50-'[2]Read Me'!$B$4&lt;=21,"Amber","Green"))))</f>
        <v>Green</v>
      </c>
      <c r="N50" s="3"/>
      <c r="O50" t="str">
        <f>IF($I50&lt;&gt;"Complete",IF(COUNTIFS($A$4:$A49,$A50,$B$4:$B49,$B50,$I$4:$I49,"&lt;&gt;Complete")=0,$A50&amp;"|"&amp;$B50,""),"")</f>
        <v/>
      </c>
      <c r="P50" t="str">
        <f ca="1">IF($K50="Yes",COUNTIFS($K$4:$K50,"Yes"),"")</f>
        <v/>
      </c>
      <c r="Q50">
        <f t="shared" ca="1" si="3"/>
        <v>0</v>
      </c>
      <c r="R50" t="str">
        <f ca="1">IF($Q50=1,SUM($Q$4:$Q50),"")</f>
        <v/>
      </c>
    </row>
    <row r="51" spans="1:18" ht="22.5" customHeight="1" x14ac:dyDescent="0.3">
      <c r="A51" s="2" t="s">
        <v>95</v>
      </c>
      <c r="B51" s="2" t="s">
        <v>62</v>
      </c>
      <c r="C51" s="3" t="s">
        <v>96</v>
      </c>
      <c r="D51" s="3" t="s">
        <v>100</v>
      </c>
      <c r="E51" s="2" t="s">
        <v>75</v>
      </c>
      <c r="F51" s="2" t="s">
        <v>79</v>
      </c>
      <c r="G51" s="5">
        <v>46572</v>
      </c>
      <c r="H51" s="5">
        <v>46607</v>
      </c>
      <c r="I51" s="4" t="s">
        <v>17</v>
      </c>
      <c r="J51" s="6">
        <f t="shared" si="1"/>
        <v>35</v>
      </c>
      <c r="K51" s="4" t="str">
        <f t="shared" ca="1" si="2"/>
        <v>No</v>
      </c>
      <c r="L51" s="7">
        <f t="shared" ca="1" si="4"/>
        <v>399</v>
      </c>
      <c r="M51" s="4" t="str">
        <f>IF($I51="Complete","Green",IF($H51="","Amber",IF($H51&lt;'[2]Read Me'!$B$4,"Red",IF($H51-'[2]Read Me'!$B$4&lt;=21,"Amber","Green"))))</f>
        <v>Green</v>
      </c>
      <c r="N51" s="3"/>
      <c r="O51" t="str">
        <f>IF($I51&lt;&gt;"Complete",IF(COUNTIFS($A$4:$A50,$A51,$B$4:$B50,$B51,$I$4:$I50,"&lt;&gt;Complete")=0,$A51&amp;"|"&amp;$B51,""),"")</f>
        <v/>
      </c>
      <c r="P51" t="str">
        <f ca="1">IF($K51="Yes",COUNTIFS($K$4:$K51,"Yes"),"")</f>
        <v/>
      </c>
      <c r="Q51">
        <f t="shared" ca="1" si="3"/>
        <v>0</v>
      </c>
      <c r="R51" t="str">
        <f ca="1">IF($Q51=1,SUM($Q$4:$Q51),"")</f>
        <v/>
      </c>
    </row>
    <row r="52" spans="1:18" ht="33.75" customHeight="1" x14ac:dyDescent="0.3">
      <c r="A52" s="2" t="s">
        <v>95</v>
      </c>
      <c r="B52" s="2" t="s">
        <v>62</v>
      </c>
      <c r="C52" s="3" t="s">
        <v>96</v>
      </c>
      <c r="D52" s="3" t="s">
        <v>84</v>
      </c>
      <c r="E52" s="2" t="s">
        <v>75</v>
      </c>
      <c r="F52" s="2" t="s">
        <v>77</v>
      </c>
      <c r="G52" s="5">
        <v>46586</v>
      </c>
      <c r="H52" s="5">
        <v>46621</v>
      </c>
      <c r="I52" s="4" t="s">
        <v>17</v>
      </c>
      <c r="J52" s="6">
        <f t="shared" si="1"/>
        <v>35</v>
      </c>
      <c r="K52" s="4" t="str">
        <f t="shared" ca="1" si="2"/>
        <v>No</v>
      </c>
      <c r="L52" s="7">
        <f t="shared" ca="1" si="4"/>
        <v>413</v>
      </c>
      <c r="M52" s="4" t="str">
        <f>IF($I52="Complete","Green",IF($H52="","Amber",IF($H52&lt;'[2]Read Me'!$B$4,"Red",IF($H52-'[2]Read Me'!$B$4&lt;=21,"Amber","Green"))))</f>
        <v>Green</v>
      </c>
      <c r="N52" s="3"/>
      <c r="O52" t="str">
        <f>IF($I52&lt;&gt;"Complete",IF(COUNTIFS($A$4:$A51,$A52,$B$4:$B51,$B52,$I$4:$I51,"&lt;&gt;Complete")=0,$A52&amp;"|"&amp;$B52,""),"")</f>
        <v/>
      </c>
      <c r="P52" t="str">
        <f ca="1">IF($K52="Yes",COUNTIFS($K$4:$K52,"Yes"),"")</f>
        <v/>
      </c>
      <c r="Q52">
        <f t="shared" ca="1" si="3"/>
        <v>0</v>
      </c>
      <c r="R52" t="str">
        <f ca="1">IF($Q52=1,SUM($Q$4:$Q52),"")</f>
        <v/>
      </c>
    </row>
    <row r="53" spans="1:18" ht="14.25" customHeight="1" x14ac:dyDescent="0.3">
      <c r="A53" s="2" t="s">
        <v>95</v>
      </c>
      <c r="B53" s="2" t="s">
        <v>62</v>
      </c>
      <c r="C53" s="3" t="s">
        <v>96</v>
      </c>
      <c r="D53" s="3" t="s">
        <v>15</v>
      </c>
      <c r="E53" s="2" t="s">
        <v>75</v>
      </c>
      <c r="F53" s="2" t="s">
        <v>79</v>
      </c>
      <c r="G53" s="5">
        <v>46600</v>
      </c>
      <c r="H53" s="5">
        <v>46635</v>
      </c>
      <c r="I53" s="4" t="s">
        <v>17</v>
      </c>
      <c r="J53" s="6">
        <f t="shared" si="1"/>
        <v>35</v>
      </c>
      <c r="K53" s="4" t="str">
        <f t="shared" ca="1" si="2"/>
        <v>No</v>
      </c>
      <c r="L53" s="7">
        <f t="shared" ca="1" si="4"/>
        <v>427</v>
      </c>
      <c r="M53" s="4" t="str">
        <f>IF($I53="Complete","Green",IF($H53="","Amber",IF($H53&lt;'[2]Read Me'!$B$4,"Red",IF($H53-'[2]Read Me'!$B$4&lt;=21,"Amber","Green"))))</f>
        <v>Green</v>
      </c>
      <c r="N53" s="3"/>
      <c r="O53" t="str">
        <f>IF($I53&lt;&gt;"Complete",IF(COUNTIFS($A$4:$A52,$A53,$B$4:$B52,$B53,$I$4:$I52,"&lt;&gt;Complete")=0,$A53&amp;"|"&amp;$B53,""),"")</f>
        <v/>
      </c>
      <c r="P53" t="str">
        <f ca="1">IF($K53="Yes",COUNTIFS($K$4:$K53,"Yes"),"")</f>
        <v/>
      </c>
      <c r="Q53">
        <f t="shared" ca="1" si="3"/>
        <v>0</v>
      </c>
      <c r="R53" t="str">
        <f ca="1">IF($Q53=1,SUM($Q$4:$Q53),"")</f>
        <v/>
      </c>
    </row>
    <row r="54" spans="1:18" ht="14.25" customHeight="1" x14ac:dyDescent="0.3">
      <c r="A54" s="2" t="s">
        <v>95</v>
      </c>
      <c r="B54" s="2" t="s">
        <v>62</v>
      </c>
      <c r="C54" s="3" t="s">
        <v>96</v>
      </c>
      <c r="D54" s="3" t="s">
        <v>35</v>
      </c>
      <c r="E54" s="2" t="s">
        <v>75</v>
      </c>
      <c r="F54" s="2" t="s">
        <v>77</v>
      </c>
      <c r="G54" s="5">
        <v>46614</v>
      </c>
      <c r="H54" s="5">
        <v>46649</v>
      </c>
      <c r="I54" s="4" t="s">
        <v>17</v>
      </c>
      <c r="J54" s="6">
        <f t="shared" si="1"/>
        <v>35</v>
      </c>
      <c r="K54" s="4" t="str">
        <f t="shared" ca="1" si="2"/>
        <v>No</v>
      </c>
      <c r="L54" s="7">
        <f t="shared" ca="1" si="4"/>
        <v>441</v>
      </c>
      <c r="M54" s="4" t="str">
        <f>IF($I54="Complete","Green",IF($H54="","Amber",IF($H54&lt;'[2]Read Me'!$B$4,"Red",IF($H54-'[2]Read Me'!$B$4&lt;=21,"Amber","Green"))))</f>
        <v>Green</v>
      </c>
      <c r="N54" s="3"/>
      <c r="O54" t="str">
        <f>IF($I54&lt;&gt;"Complete",IF(COUNTIFS($A$4:$A53,$A54,$B$4:$B53,$B54,$I$4:$I53,"&lt;&gt;Complete")=0,$A54&amp;"|"&amp;$B54,""),"")</f>
        <v/>
      </c>
      <c r="P54" t="str">
        <f ca="1">IF($K54="Yes",COUNTIFS($K$4:$K54,"Yes"),"")</f>
        <v/>
      </c>
      <c r="Q54">
        <f t="shared" ca="1" si="3"/>
        <v>0</v>
      </c>
      <c r="R54" t="str">
        <f ca="1">IF($Q54=1,SUM($Q$4:$Q54),"")</f>
        <v/>
      </c>
    </row>
    <row r="55" spans="1:18" ht="14.25" customHeight="1" x14ac:dyDescent="0.3">
      <c r="A55" s="2" t="s">
        <v>95</v>
      </c>
      <c r="B55" s="2" t="s">
        <v>62</v>
      </c>
      <c r="C55" s="3" t="s">
        <v>96</v>
      </c>
      <c r="D55" s="3" t="s">
        <v>20</v>
      </c>
      <c r="E55" s="2" t="s">
        <v>33</v>
      </c>
      <c r="F55" s="2" t="s">
        <v>81</v>
      </c>
      <c r="G55" s="5">
        <v>46621</v>
      </c>
      <c r="H55" s="5">
        <v>46656</v>
      </c>
      <c r="I55" s="4" t="s">
        <v>17</v>
      </c>
      <c r="J55" s="6">
        <f t="shared" si="1"/>
        <v>35</v>
      </c>
      <c r="K55" s="4" t="str">
        <f t="shared" ca="1" si="2"/>
        <v>No</v>
      </c>
      <c r="L55" s="7">
        <f t="shared" ca="1" si="4"/>
        <v>448</v>
      </c>
      <c r="M55" s="4" t="str">
        <f>IF($I55="Complete","Green",IF($H55="","Amber",IF($H55&lt;'[2]Read Me'!$B$4,"Red",IF($H55-'[2]Read Me'!$B$4&lt;=21,"Amber","Green"))))</f>
        <v>Green</v>
      </c>
      <c r="N55" s="3"/>
      <c r="O55" t="str">
        <f>IF($I55&lt;&gt;"Complete",IF(COUNTIFS($A$4:$A54,$A55,$B$4:$B54,$B55,$I$4:$I54,"&lt;&gt;Complete")=0,$A55&amp;"|"&amp;$B55,""),"")</f>
        <v/>
      </c>
      <c r="P55" t="str">
        <f ca="1">IF($K55="Yes",COUNTIFS($K$4:$K55,"Yes"),"")</f>
        <v/>
      </c>
      <c r="Q55">
        <f t="shared" ca="1" si="3"/>
        <v>0</v>
      </c>
      <c r="R55" t="str">
        <f ca="1">IF($Q55=1,SUM($Q$4:$Q55),"")</f>
        <v/>
      </c>
    </row>
    <row r="56" spans="1:18" ht="14.25" customHeight="1" x14ac:dyDescent="0.3">
      <c r="A56" s="2" t="s">
        <v>95</v>
      </c>
      <c r="B56" s="2" t="s">
        <v>62</v>
      </c>
      <c r="C56" s="3" t="s">
        <v>96</v>
      </c>
      <c r="D56" s="3" t="s">
        <v>16</v>
      </c>
      <c r="E56" s="2" t="s">
        <v>75</v>
      </c>
      <c r="F56" s="2" t="s">
        <v>79</v>
      </c>
      <c r="G56" s="5">
        <v>46656</v>
      </c>
      <c r="H56" s="5">
        <v>46691</v>
      </c>
      <c r="I56" s="4" t="s">
        <v>17</v>
      </c>
      <c r="J56" s="6">
        <f t="shared" si="1"/>
        <v>35</v>
      </c>
      <c r="K56" s="4" t="str">
        <f t="shared" ca="1" si="2"/>
        <v>No</v>
      </c>
      <c r="L56" s="7">
        <f t="shared" ca="1" si="4"/>
        <v>483</v>
      </c>
      <c r="M56" s="4" t="str">
        <f>IF($I56="Complete","Green",IF($H56="","Amber",IF($H56&lt;'[2]Read Me'!$B$4,"Red",IF($H56-'[2]Read Me'!$B$4&lt;=21,"Amber","Green"))))</f>
        <v>Green</v>
      </c>
      <c r="N56" s="3"/>
      <c r="O56" t="str">
        <f>IF($I56&lt;&gt;"Complete",IF(COUNTIFS($A$4:$A55,$A56,$B$4:$B55,$B56,$I$4:$I55,"&lt;&gt;Complete")=0,$A56&amp;"|"&amp;$B56,""),"")</f>
        <v/>
      </c>
      <c r="P56" t="str">
        <f ca="1">IF($K56="Yes",COUNTIFS($K$4:$K56,"Yes"),"")</f>
        <v/>
      </c>
      <c r="Q56">
        <f t="shared" ca="1" si="3"/>
        <v>0</v>
      </c>
      <c r="R56" t="str">
        <f ca="1">IF($Q56=1,SUM($Q$4:$Q56),"")</f>
        <v/>
      </c>
    </row>
    <row r="57" spans="1:18" ht="14.25" customHeight="1" x14ac:dyDescent="0.3">
      <c r="A57" s="2" t="s">
        <v>95</v>
      </c>
      <c r="B57" s="2" t="s">
        <v>62</v>
      </c>
      <c r="C57" s="3" t="s">
        <v>96</v>
      </c>
      <c r="D57" s="3" t="s">
        <v>37</v>
      </c>
      <c r="E57" s="2" t="s">
        <v>75</v>
      </c>
      <c r="F57" s="2" t="s">
        <v>77</v>
      </c>
      <c r="G57" s="5">
        <v>46670</v>
      </c>
      <c r="H57" s="5">
        <v>46705</v>
      </c>
      <c r="I57" s="4" t="s">
        <v>17</v>
      </c>
      <c r="J57" s="6">
        <f t="shared" si="1"/>
        <v>35</v>
      </c>
      <c r="K57" s="4" t="str">
        <f t="shared" ca="1" si="2"/>
        <v>No</v>
      </c>
      <c r="L57" s="7">
        <f t="shared" ca="1" si="4"/>
        <v>497</v>
      </c>
      <c r="M57" s="4" t="str">
        <f>IF($I57="Complete","Green",IF($H57="","Amber",IF($H57&lt;'[2]Read Me'!$B$4,"Red",IF($H57-'[2]Read Me'!$B$4&lt;=21,"Amber","Green"))))</f>
        <v>Green</v>
      </c>
      <c r="N57" s="3"/>
      <c r="O57" t="str">
        <f>IF($I57&lt;&gt;"Complete",IF(COUNTIFS($A$4:$A56,$A57,$B$4:$B56,$B57,$I$4:$I56,"&lt;&gt;Complete")=0,$A57&amp;"|"&amp;$B57,""),"")</f>
        <v/>
      </c>
      <c r="P57" t="str">
        <f ca="1">IF($K57="Yes",COUNTIFS($K$4:$K57,"Yes"),"")</f>
        <v/>
      </c>
      <c r="Q57">
        <f t="shared" ca="1" si="3"/>
        <v>0</v>
      </c>
      <c r="R57" t="str">
        <f ca="1">IF($Q57=1,SUM($Q$4:$Q57),"")</f>
        <v/>
      </c>
    </row>
    <row r="58" spans="1:18" ht="14.25" customHeight="1" x14ac:dyDescent="0.3">
      <c r="A58" s="2" t="s">
        <v>101</v>
      </c>
      <c r="B58" s="2" t="s">
        <v>49</v>
      </c>
      <c r="C58" s="3"/>
      <c r="D58" s="3"/>
      <c r="E58" s="2"/>
      <c r="F58" s="2"/>
      <c r="G58" s="5">
        <v>46726</v>
      </c>
      <c r="H58" s="5">
        <v>46761</v>
      </c>
      <c r="I58" s="4"/>
      <c r="J58" s="6">
        <f t="shared" si="1"/>
        <v>35</v>
      </c>
      <c r="K58" s="4" t="str">
        <f t="shared" ca="1" si="2"/>
        <v/>
      </c>
      <c r="L58" s="7">
        <f t="shared" ca="1" si="4"/>
        <v>553</v>
      </c>
      <c r="M58" s="4" t="str">
        <f>IF($I58="Complete","Green",IF($H58="","Amber",IF($H58&lt;'[2]Read Me'!$B$4,"Red",IF($H58-'[2]Read Me'!$B$4&lt;=21,"Amber","Green"))))</f>
        <v>Green</v>
      </c>
      <c r="N58" s="3"/>
      <c r="O58" t="str">
        <f>IF($I58&lt;&gt;"Complete",IF(COUNTIFS($A$4:$A57,$A58,$B$4:$B57,$B58,$I$4:$I57,"&lt;&gt;Complete")=0,$A58&amp;"|"&amp;$B58,""),"")</f>
        <v>Authorities (Phase.02)|Authorities</v>
      </c>
      <c r="P58" t="str">
        <f ca="1">IF($K58="Yes",COUNTIFS($K$4:$K58,"Yes"),"")</f>
        <v/>
      </c>
      <c r="Q58">
        <f t="shared" ca="1" si="3"/>
        <v>0</v>
      </c>
      <c r="R58" t="str">
        <f ca="1">IF($Q58=1,SUM($Q$4:$Q58),"")</f>
        <v/>
      </c>
    </row>
    <row r="59" spans="1:18" ht="14.25" customHeight="1" x14ac:dyDescent="0.3">
      <c r="A59" s="2" t="s">
        <v>101</v>
      </c>
      <c r="B59" s="2" t="s">
        <v>49</v>
      </c>
      <c r="C59" s="3" t="s">
        <v>102</v>
      </c>
      <c r="D59" s="3" t="s">
        <v>103</v>
      </c>
      <c r="E59" s="2" t="s">
        <v>104</v>
      </c>
      <c r="F59" s="2"/>
      <c r="G59" s="5">
        <v>46474</v>
      </c>
      <c r="H59" s="5">
        <v>46509</v>
      </c>
      <c r="I59" s="4" t="s">
        <v>17</v>
      </c>
      <c r="J59" s="6">
        <f t="shared" si="1"/>
        <v>35</v>
      </c>
      <c r="K59" s="4" t="str">
        <f t="shared" ca="1" si="2"/>
        <v>No</v>
      </c>
      <c r="L59" s="7">
        <f t="shared" ca="1" si="4"/>
        <v>301</v>
      </c>
      <c r="M59" s="4" t="str">
        <f>IF($I59="Complete","Green",IF($H59="","Amber",IF($H59&lt;'[2]Read Me'!$B$4,"Red",IF($H59-'[2]Read Me'!$B$4&lt;=21,"Amber","Green"))))</f>
        <v>Green</v>
      </c>
      <c r="N59" s="3"/>
      <c r="O59" t="str">
        <f>IF($I59&lt;&gt;"Complete",IF(COUNTIFS($A$4:$A58,$A59,$B$4:$B58,$B59,$I$4:$I58,"&lt;&gt;Complete")=0,$A59&amp;"|"&amp;$B59,""),"")</f>
        <v/>
      </c>
      <c r="P59" t="str">
        <f ca="1">IF($K59="Yes",COUNTIFS($K$4:$K59,"Yes"),"")</f>
        <v/>
      </c>
      <c r="Q59">
        <f t="shared" ca="1" si="3"/>
        <v>0</v>
      </c>
      <c r="R59" t="str">
        <f ca="1">IF($Q59=1,SUM($Q$4:$Q59),"")</f>
        <v/>
      </c>
    </row>
    <row r="60" spans="1:18" ht="14.25" customHeight="1" x14ac:dyDescent="0.3">
      <c r="A60" s="2" t="s">
        <v>101</v>
      </c>
      <c r="B60" s="2" t="s">
        <v>49</v>
      </c>
      <c r="C60" s="3" t="s">
        <v>102</v>
      </c>
      <c r="D60" s="3" t="s">
        <v>91</v>
      </c>
      <c r="E60" s="2" t="s">
        <v>104</v>
      </c>
      <c r="F60" s="2"/>
      <c r="G60" s="5">
        <v>46628</v>
      </c>
      <c r="H60" s="5">
        <v>46663</v>
      </c>
      <c r="I60" s="4" t="s">
        <v>17</v>
      </c>
      <c r="J60" s="6">
        <f t="shared" si="1"/>
        <v>35</v>
      </c>
      <c r="K60" s="4" t="str">
        <f t="shared" ca="1" si="2"/>
        <v>No</v>
      </c>
      <c r="L60" s="7">
        <f t="shared" ca="1" si="4"/>
        <v>455</v>
      </c>
      <c r="M60" s="4" t="str">
        <f>IF($I60="Complete","Green",IF($H60="","Amber",IF($H60&lt;'[2]Read Me'!$B$4,"Red",IF($H60-'[2]Read Me'!$B$4&lt;=21,"Amber","Green"))))</f>
        <v>Green</v>
      </c>
      <c r="N60" s="3"/>
      <c r="O60" t="str">
        <f>IF($I60&lt;&gt;"Complete",IF(COUNTIFS($A$4:$A59,$A60,$B$4:$B59,$B60,$I$4:$I59,"&lt;&gt;Complete")=0,$A60&amp;"|"&amp;$B60,""),"")</f>
        <v/>
      </c>
      <c r="P60" t="str">
        <f ca="1">IF($K60="Yes",COUNTIFS($K$4:$K60,"Yes"),"")</f>
        <v/>
      </c>
      <c r="Q60">
        <f t="shared" ca="1" si="3"/>
        <v>0</v>
      </c>
      <c r="R60" t="str">
        <f ca="1">IF($Q60=1,SUM($Q$4:$Q60),"")</f>
        <v/>
      </c>
    </row>
    <row r="61" spans="1:18" ht="14.25" customHeight="1" x14ac:dyDescent="0.3">
      <c r="A61" s="2" t="s">
        <v>101</v>
      </c>
      <c r="B61" s="2" t="s">
        <v>49</v>
      </c>
      <c r="C61" s="3" t="s">
        <v>102</v>
      </c>
      <c r="D61" s="3" t="s">
        <v>93</v>
      </c>
      <c r="E61" s="2" t="s">
        <v>104</v>
      </c>
      <c r="F61" s="2"/>
      <c r="G61" s="5">
        <v>46670</v>
      </c>
      <c r="H61" s="5">
        <v>46705</v>
      </c>
      <c r="I61" s="4" t="s">
        <v>17</v>
      </c>
      <c r="J61" s="6">
        <f t="shared" si="1"/>
        <v>35</v>
      </c>
      <c r="K61" s="4" t="str">
        <f t="shared" ca="1" si="2"/>
        <v>No</v>
      </c>
      <c r="L61" s="7">
        <f t="shared" ca="1" si="4"/>
        <v>497</v>
      </c>
      <c r="M61" s="4" t="str">
        <f>IF($I61="Complete","Green",IF($H61="","Amber",IF($H61&lt;'[2]Read Me'!$B$4,"Red",IF($H61-'[2]Read Me'!$B$4&lt;=21,"Amber","Green"))))</f>
        <v>Green</v>
      </c>
      <c r="N61" s="3"/>
      <c r="O61" t="str">
        <f>IF($I61&lt;&gt;"Complete",IF(COUNTIFS($A$4:$A60,$A61,$B$4:$B60,$B61,$I$4:$I60,"&lt;&gt;Complete")=0,$A61&amp;"|"&amp;$B61,""),"")</f>
        <v/>
      </c>
      <c r="P61" t="str">
        <f ca="1">IF($K61="Yes",COUNTIFS($K$4:$K61,"Yes"),"")</f>
        <v/>
      </c>
      <c r="Q61">
        <f t="shared" ca="1" si="3"/>
        <v>0</v>
      </c>
      <c r="R61" t="str">
        <f ca="1">IF($Q61=1,SUM($Q$4:$Q61),"")</f>
        <v/>
      </c>
    </row>
    <row r="62" spans="1:18" ht="14.25" customHeight="1" x14ac:dyDescent="0.3">
      <c r="A62" s="2" t="s">
        <v>101</v>
      </c>
      <c r="B62" s="2" t="s">
        <v>49</v>
      </c>
      <c r="C62" s="3" t="s">
        <v>102</v>
      </c>
      <c r="D62" s="3" t="s">
        <v>94</v>
      </c>
      <c r="E62" s="2" t="s">
        <v>104</v>
      </c>
      <c r="F62" s="2"/>
      <c r="G62" s="5">
        <v>46726</v>
      </c>
      <c r="H62" s="5">
        <v>46761</v>
      </c>
      <c r="I62" s="4" t="s">
        <v>17</v>
      </c>
      <c r="J62" s="6">
        <f t="shared" si="1"/>
        <v>35</v>
      </c>
      <c r="K62" s="4" t="str">
        <f t="shared" ca="1" si="2"/>
        <v>No</v>
      </c>
      <c r="L62" s="7">
        <f t="shared" ca="1" si="4"/>
        <v>553</v>
      </c>
      <c r="M62" s="4" t="str">
        <f>IF($I62="Complete","Green",IF($H62="","Amber",IF($H62&lt;'[2]Read Me'!$B$4,"Red",IF($H62-'[2]Read Me'!$B$4&lt;=21,"Amber","Green"))))</f>
        <v>Green</v>
      </c>
      <c r="N62" s="3"/>
      <c r="O62" t="str">
        <f>IF($I62&lt;&gt;"Complete",IF(COUNTIFS($A$4:$A61,$A62,$B$4:$B61,$B62,$I$4:$I61,"&lt;&gt;Complete")=0,$A62&amp;"|"&amp;$B62,""),"")</f>
        <v/>
      </c>
      <c r="P62" t="str">
        <f ca="1">IF($K62="Yes",COUNTIFS($K$4:$K62,"Yes"),"")</f>
        <v/>
      </c>
      <c r="Q62">
        <f t="shared" ca="1" si="3"/>
        <v>0</v>
      </c>
      <c r="R62" t="str">
        <f ca="1">IF($Q62=1,SUM($Q$4:$Q62),"")</f>
        <v/>
      </c>
    </row>
    <row r="63" spans="1:18" ht="22.5" customHeight="1" x14ac:dyDescent="0.3">
      <c r="A63" s="2" t="s">
        <v>105</v>
      </c>
      <c r="B63" s="2" t="s">
        <v>62</v>
      </c>
      <c r="C63" s="3"/>
      <c r="D63" s="3"/>
      <c r="E63" s="2"/>
      <c r="F63" s="2"/>
      <c r="G63" s="5">
        <v>46817</v>
      </c>
      <c r="H63" s="5">
        <v>46852</v>
      </c>
      <c r="I63" s="4"/>
      <c r="J63" s="6">
        <f t="shared" si="1"/>
        <v>35</v>
      </c>
      <c r="K63" s="4" t="str">
        <f t="shared" ca="1" si="2"/>
        <v/>
      </c>
      <c r="L63" s="7">
        <f t="shared" ca="1" si="4"/>
        <v>644</v>
      </c>
      <c r="M63" s="4" t="str">
        <f>IF($I63="Complete","Green",IF($H63="","Amber",IF($H63&lt;'[2]Read Me'!$B$4,"Red",IF($H63-'[2]Read Me'!$B$4&lt;=21,"Amber","Green"))))</f>
        <v>Green</v>
      </c>
      <c r="N63" s="3"/>
      <c r="O63" t="str">
        <f>IF($I63&lt;&gt;"Complete",IF(COUNTIFS($A$4:$A62,$A63,$B$4:$B62,$B63,$I$4:$I62,"&lt;&gt;Complete")=0,$A63&amp;"|"&amp;$B63,""),"")</f>
        <v>Phase 3|Buildings</v>
      </c>
      <c r="P63" t="str">
        <f ca="1">IF($K63="Yes",COUNTIFS($K$4:$K63,"Yes"),"")</f>
        <v/>
      </c>
      <c r="Q63">
        <f t="shared" ca="1" si="3"/>
        <v>0</v>
      </c>
      <c r="R63" t="str">
        <f ca="1">IF($Q63=1,SUM($Q$4:$Q63),"")</f>
        <v/>
      </c>
    </row>
    <row r="64" spans="1:18" ht="22.5" customHeight="1" x14ac:dyDescent="0.3">
      <c r="A64" s="2" t="s">
        <v>105</v>
      </c>
      <c r="B64" s="2" t="s">
        <v>62</v>
      </c>
      <c r="C64" s="3" t="s">
        <v>106</v>
      </c>
      <c r="D64" s="3" t="s">
        <v>97</v>
      </c>
      <c r="E64" s="2" t="s">
        <v>65</v>
      </c>
      <c r="F64" s="2" t="s">
        <v>66</v>
      </c>
      <c r="G64" s="5">
        <v>46306</v>
      </c>
      <c r="H64" s="5">
        <v>46341</v>
      </c>
      <c r="I64" s="4" t="s">
        <v>17</v>
      </c>
      <c r="J64" s="6">
        <f t="shared" si="1"/>
        <v>35</v>
      </c>
      <c r="K64" s="4" t="str">
        <f t="shared" ca="1" si="2"/>
        <v>No</v>
      </c>
      <c r="L64" s="7">
        <f t="shared" ca="1" si="4"/>
        <v>133</v>
      </c>
      <c r="M64" s="4" t="str">
        <f>IF($I64="Complete","Green",IF($H64="","Amber",IF($H64&lt;'[2]Read Me'!$B$4,"Red",IF($H64-'[2]Read Me'!$B$4&lt;=21,"Amber","Green"))))</f>
        <v>Green</v>
      </c>
      <c r="N64" s="3"/>
      <c r="O64" t="str">
        <f>IF($I64&lt;&gt;"Complete",IF(COUNTIFS($A$4:$A63,$A64,$B$4:$B63,$B64,$I$4:$I63,"&lt;&gt;Complete")=0,$A64&amp;"|"&amp;$B64,""),"")</f>
        <v/>
      </c>
      <c r="P64" t="str">
        <f ca="1">IF($K64="Yes",COUNTIFS($K$4:$K64,"Yes"),"")</f>
        <v/>
      </c>
      <c r="Q64">
        <f t="shared" ca="1" si="3"/>
        <v>0</v>
      </c>
      <c r="R64" t="str">
        <f ca="1">IF($Q64=1,SUM($Q$4:$Q64),"")</f>
        <v/>
      </c>
    </row>
    <row r="65" spans="1:18" ht="22.5" customHeight="1" x14ac:dyDescent="0.3">
      <c r="A65" s="2" t="s">
        <v>105</v>
      </c>
      <c r="B65" s="2" t="s">
        <v>62</v>
      </c>
      <c r="C65" s="3" t="s">
        <v>106</v>
      </c>
      <c r="D65" s="3" t="s">
        <v>70</v>
      </c>
      <c r="E65" s="2" t="s">
        <v>65</v>
      </c>
      <c r="F65" s="2" t="s">
        <v>68</v>
      </c>
      <c r="G65" s="5">
        <v>46320</v>
      </c>
      <c r="H65" s="5">
        <v>46355</v>
      </c>
      <c r="I65" s="4" t="s">
        <v>17</v>
      </c>
      <c r="J65" s="6">
        <f t="shared" si="1"/>
        <v>35</v>
      </c>
      <c r="K65" s="4" t="str">
        <f t="shared" ca="1" si="2"/>
        <v>No</v>
      </c>
      <c r="L65" s="7">
        <f t="shared" ca="1" si="4"/>
        <v>147</v>
      </c>
      <c r="M65" s="4" t="str">
        <f>IF($I65="Complete","Green",IF($H65="","Amber",IF($H65&lt;'[2]Read Me'!$B$4,"Red",IF($H65-'[2]Read Me'!$B$4&lt;=21,"Amber","Green"))))</f>
        <v>Green</v>
      </c>
      <c r="N65" s="3"/>
      <c r="O65" t="str">
        <f>IF($I65&lt;&gt;"Complete",IF(COUNTIFS($A$4:$A64,$A65,$B$4:$B64,$B65,$I$4:$I64,"&lt;&gt;Complete")=0,$A65&amp;"|"&amp;$B65,""),"")</f>
        <v/>
      </c>
      <c r="P65" t="str">
        <f ca="1">IF($K65="Yes",COUNTIFS($K$4:$K65,"Yes"),"")</f>
        <v/>
      </c>
      <c r="Q65">
        <f t="shared" ca="1" si="3"/>
        <v>0</v>
      </c>
      <c r="R65" t="str">
        <f ca="1">IF($Q65=1,SUM($Q$4:$Q65),"")</f>
        <v/>
      </c>
    </row>
    <row r="66" spans="1:18" ht="22.5" customHeight="1" x14ac:dyDescent="0.3">
      <c r="A66" s="2" t="s">
        <v>105</v>
      </c>
      <c r="B66" s="2" t="s">
        <v>62</v>
      </c>
      <c r="C66" s="3" t="s">
        <v>106</v>
      </c>
      <c r="D66" s="3" t="s">
        <v>78</v>
      </c>
      <c r="E66" s="2" t="s">
        <v>75</v>
      </c>
      <c r="F66" s="2" t="s">
        <v>79</v>
      </c>
      <c r="G66" s="5">
        <v>46341</v>
      </c>
      <c r="H66" s="5">
        <v>46376</v>
      </c>
      <c r="I66" s="4" t="s">
        <v>17</v>
      </c>
      <c r="J66" s="6">
        <f t="shared" si="1"/>
        <v>35</v>
      </c>
      <c r="K66" s="4" t="str">
        <f t="shared" ca="1" si="2"/>
        <v>No</v>
      </c>
      <c r="L66" s="7">
        <f t="shared" ca="1" si="4"/>
        <v>168</v>
      </c>
      <c r="M66" s="4" t="str">
        <f>IF($I66="Complete","Green",IF($H66="","Amber",IF($H66&lt;'[2]Read Me'!$B$4,"Red",IF($H66-'[2]Read Me'!$B$4&lt;=21,"Amber","Green"))))</f>
        <v>Green</v>
      </c>
      <c r="N66" s="3"/>
      <c r="O66" t="str">
        <f>IF($I66&lt;&gt;"Complete",IF(COUNTIFS($A$4:$A65,$A66,$B$4:$B65,$B66,$I$4:$I65,"&lt;&gt;Complete")=0,$A66&amp;"|"&amp;$B66,""),"")</f>
        <v/>
      </c>
      <c r="P66" t="str">
        <f ca="1">IF($K66="Yes",COUNTIFS($K$4:$K66,"Yes"),"")</f>
        <v/>
      </c>
      <c r="Q66">
        <f t="shared" ca="1" si="3"/>
        <v>0</v>
      </c>
      <c r="R66" t="str">
        <f ca="1">IF($Q66=1,SUM($Q$4:$Q66),"")</f>
        <v/>
      </c>
    </row>
    <row r="67" spans="1:18" ht="22.5" customHeight="1" x14ac:dyDescent="0.3">
      <c r="A67" s="2" t="s">
        <v>105</v>
      </c>
      <c r="B67" s="2" t="s">
        <v>62</v>
      </c>
      <c r="C67" s="3" t="s">
        <v>106</v>
      </c>
      <c r="D67" s="3" t="s">
        <v>80</v>
      </c>
      <c r="E67" s="2" t="s">
        <v>75</v>
      </c>
      <c r="F67" s="2" t="s">
        <v>77</v>
      </c>
      <c r="G67" s="5">
        <v>46348</v>
      </c>
      <c r="H67" s="5">
        <v>46383</v>
      </c>
      <c r="I67" s="4" t="s">
        <v>17</v>
      </c>
      <c r="J67" s="6">
        <f t="shared" si="1"/>
        <v>35</v>
      </c>
      <c r="K67" s="4" t="str">
        <f t="shared" ca="1" si="2"/>
        <v>No</v>
      </c>
      <c r="L67" s="7">
        <f t="shared" ca="1" si="4"/>
        <v>175</v>
      </c>
      <c r="M67" s="4" t="str">
        <f>IF($I67="Complete","Green",IF($H67="","Amber",IF($H67&lt;'[2]Read Me'!$B$4,"Red",IF($H67-'[2]Read Me'!$B$4&lt;=21,"Amber","Green"))))</f>
        <v>Green</v>
      </c>
      <c r="N67" s="3"/>
      <c r="O67" t="str">
        <f>IF($I67&lt;&gt;"Complete",IF(COUNTIFS($A$4:$A66,$A67,$B$4:$B66,$B67,$I$4:$I66,"&lt;&gt;Complete")=0,$A67&amp;"|"&amp;$B67,""),"")</f>
        <v/>
      </c>
      <c r="P67" t="str">
        <f ca="1">IF($K67="Yes",COUNTIFS($K$4:$K67,"Yes"),"")</f>
        <v/>
      </c>
      <c r="Q67">
        <f t="shared" ca="1" si="3"/>
        <v>0</v>
      </c>
      <c r="R67" t="str">
        <f ca="1">IF($Q67=1,SUM($Q$4:$Q67),"")</f>
        <v/>
      </c>
    </row>
    <row r="68" spans="1:18" ht="22.5" customHeight="1" x14ac:dyDescent="0.3">
      <c r="A68" s="2" t="s">
        <v>105</v>
      </c>
      <c r="B68" s="2" t="s">
        <v>62</v>
      </c>
      <c r="C68" s="3" t="s">
        <v>106</v>
      </c>
      <c r="D68" s="3" t="s">
        <v>98</v>
      </c>
      <c r="E68" s="2" t="s">
        <v>65</v>
      </c>
      <c r="F68" s="2" t="s">
        <v>66</v>
      </c>
      <c r="G68" s="5">
        <v>46362</v>
      </c>
      <c r="H68" s="5">
        <v>46397</v>
      </c>
      <c r="I68" s="4" t="s">
        <v>17</v>
      </c>
      <c r="J68" s="6">
        <f t="shared" ref="J68:J131" si="5">IF(OR($G68="",$H68=""),"",$H68-$G68)</f>
        <v>35</v>
      </c>
      <c r="K68" s="4" t="str">
        <f t="shared" ref="K68:K131" ca="1" si="6">IF(C68="","",IF(H68="","",IF($I68="completed","-",IF($H68&gt;TODAY(),"No","Yes"))))</f>
        <v>No</v>
      </c>
      <c r="L68" s="7">
        <f t="shared" ca="1" si="4"/>
        <v>189</v>
      </c>
      <c r="M68" s="4" t="str">
        <f>IF($I68="Complete","Green",IF($H68="","Amber",IF($H68&lt;'[2]Read Me'!$B$4,"Red",IF($H68-'[2]Read Me'!$B$4&lt;=21,"Amber","Green"))))</f>
        <v>Green</v>
      </c>
      <c r="N68" s="3"/>
      <c r="O68" t="str">
        <f>IF($I68&lt;&gt;"Complete",IF(COUNTIFS($A$4:$A67,$A68,$B$4:$B67,$B68,$I$4:$I67,"&lt;&gt;Complete")=0,$A68&amp;"|"&amp;$B68,""),"")</f>
        <v/>
      </c>
      <c r="P68" t="str">
        <f ca="1">IF($K68="Yes",COUNTIFS($K$4:$K68,"Yes"),"")</f>
        <v/>
      </c>
      <c r="Q68">
        <f t="shared" ref="Q68:Q131" ca="1" si="7">IF(OR($I68="In Progress",$K68="Yes"),1,0)</f>
        <v>0</v>
      </c>
      <c r="R68" t="str">
        <f ca="1">IF($Q68=1,SUM($Q$4:$Q68),"")</f>
        <v/>
      </c>
    </row>
    <row r="69" spans="1:18" ht="22.5" customHeight="1" x14ac:dyDescent="0.3">
      <c r="A69" s="2" t="s">
        <v>105</v>
      </c>
      <c r="B69" s="2" t="s">
        <v>62</v>
      </c>
      <c r="C69" s="3" t="s">
        <v>106</v>
      </c>
      <c r="D69" s="3" t="s">
        <v>47</v>
      </c>
      <c r="E69" s="2" t="s">
        <v>65</v>
      </c>
      <c r="F69" s="2" t="s">
        <v>68</v>
      </c>
      <c r="G69" s="5">
        <v>46376</v>
      </c>
      <c r="H69" s="5">
        <v>46411</v>
      </c>
      <c r="I69" s="4" t="s">
        <v>17</v>
      </c>
      <c r="J69" s="6">
        <f t="shared" si="5"/>
        <v>35</v>
      </c>
      <c r="K69" s="4" t="str">
        <f t="shared" ca="1" si="6"/>
        <v>No</v>
      </c>
      <c r="L69" s="7">
        <f t="shared" ref="L69:L132" ca="1" si="8">IF(I69="Completed",0,IF(H69="","",H69-TODAY()))</f>
        <v>203</v>
      </c>
      <c r="M69" s="4" t="str">
        <f>IF($I69="Complete","Green",IF($H69="","Amber",IF($H69&lt;'[2]Read Me'!$B$4,"Red",IF($H69-'[2]Read Me'!$B$4&lt;=21,"Amber","Green"))))</f>
        <v>Green</v>
      </c>
      <c r="N69" s="3"/>
      <c r="O69" t="str">
        <f>IF($I69&lt;&gt;"Complete",IF(COUNTIFS($A$4:$A68,$A69,$B$4:$B68,$B69,$I$4:$I68,"&lt;&gt;Complete")=0,$A69&amp;"|"&amp;$B69,""),"")</f>
        <v/>
      </c>
      <c r="P69" t="str">
        <f ca="1">IF($K69="Yes",COUNTIFS($K$4:$K69,"Yes"),"")</f>
        <v/>
      </c>
      <c r="Q69">
        <f t="shared" ca="1" si="7"/>
        <v>0</v>
      </c>
      <c r="R69" t="str">
        <f ca="1">IF($Q69=1,SUM($Q$4:$Q69),"")</f>
        <v/>
      </c>
    </row>
    <row r="70" spans="1:18" ht="22.5" customHeight="1" x14ac:dyDescent="0.3">
      <c r="A70" s="2" t="s">
        <v>105</v>
      </c>
      <c r="B70" s="2" t="s">
        <v>62</v>
      </c>
      <c r="C70" s="3" t="s">
        <v>106</v>
      </c>
      <c r="D70" s="3" t="s">
        <v>18</v>
      </c>
      <c r="E70" s="2" t="s">
        <v>75</v>
      </c>
      <c r="F70" s="2" t="s">
        <v>79</v>
      </c>
      <c r="G70" s="5">
        <v>46684</v>
      </c>
      <c r="H70" s="5">
        <v>46719</v>
      </c>
      <c r="I70" s="4" t="s">
        <v>17</v>
      </c>
      <c r="J70" s="6">
        <f t="shared" si="5"/>
        <v>35</v>
      </c>
      <c r="K70" s="4" t="str">
        <f t="shared" ca="1" si="6"/>
        <v>No</v>
      </c>
      <c r="L70" s="7">
        <f t="shared" ca="1" si="8"/>
        <v>511</v>
      </c>
      <c r="M70" s="4" t="str">
        <f>IF($I70="Complete","Green",IF($H70="","Amber",IF($H70&lt;'[2]Read Me'!$B$4,"Red",IF($H70-'[2]Read Me'!$B$4&lt;=21,"Amber","Green"))))</f>
        <v>Green</v>
      </c>
      <c r="N70" s="3"/>
      <c r="O70" t="str">
        <f>IF($I70&lt;&gt;"Complete",IF(COUNTIFS($A$4:$A69,$A70,$B$4:$B69,$B70,$I$4:$I69,"&lt;&gt;Complete")=0,$A70&amp;"|"&amp;$B70,""),"")</f>
        <v/>
      </c>
      <c r="P70" t="str">
        <f ca="1">IF($K70="Yes",COUNTIFS($K$4:$K70,"Yes"),"")</f>
        <v/>
      </c>
      <c r="Q70">
        <f t="shared" ca="1" si="7"/>
        <v>0</v>
      </c>
      <c r="R70" t="str">
        <f ca="1">IF($Q70=1,SUM($Q$4:$Q70),"")</f>
        <v/>
      </c>
    </row>
    <row r="71" spans="1:18" ht="22.5" customHeight="1" x14ac:dyDescent="0.3">
      <c r="A71" s="2" t="s">
        <v>105</v>
      </c>
      <c r="B71" s="2" t="s">
        <v>62</v>
      </c>
      <c r="C71" s="3" t="s">
        <v>106</v>
      </c>
      <c r="D71" s="3" t="s">
        <v>32</v>
      </c>
      <c r="E71" s="2" t="s">
        <v>75</v>
      </c>
      <c r="F71" s="2" t="s">
        <v>77</v>
      </c>
      <c r="G71" s="5">
        <v>46698</v>
      </c>
      <c r="H71" s="5">
        <v>46733</v>
      </c>
      <c r="I71" s="4" t="s">
        <v>17</v>
      </c>
      <c r="J71" s="6">
        <f t="shared" si="5"/>
        <v>35</v>
      </c>
      <c r="K71" s="4" t="str">
        <f t="shared" ca="1" si="6"/>
        <v>No</v>
      </c>
      <c r="L71" s="7">
        <f t="shared" ca="1" si="8"/>
        <v>525</v>
      </c>
      <c r="M71" s="4" t="str">
        <f>IF($I71="Complete","Green",IF($H71="","Amber",IF($H71&lt;'[2]Read Me'!$B$4,"Red",IF($H71-'[2]Read Me'!$B$4&lt;=21,"Amber","Green"))))</f>
        <v>Green</v>
      </c>
      <c r="N71" s="3"/>
      <c r="O71" t="str">
        <f>IF($I71&lt;&gt;"Complete",IF(COUNTIFS($A$4:$A70,$A71,$B$4:$B70,$B71,$I$4:$I70,"&lt;&gt;Complete")=0,$A71&amp;"|"&amp;$B71,""),"")</f>
        <v/>
      </c>
      <c r="P71" t="str">
        <f ca="1">IF($K71="Yes",COUNTIFS($K$4:$K71,"Yes"),"")</f>
        <v/>
      </c>
      <c r="Q71">
        <f t="shared" ca="1" si="7"/>
        <v>0</v>
      </c>
      <c r="R71" t="str">
        <f ca="1">IF($Q71=1,SUM($Q$4:$Q71),"")</f>
        <v/>
      </c>
    </row>
    <row r="72" spans="1:18" ht="33.75" customHeight="1" x14ac:dyDescent="0.3">
      <c r="A72" s="2" t="s">
        <v>105</v>
      </c>
      <c r="B72" s="2" t="s">
        <v>62</v>
      </c>
      <c r="C72" s="3" t="s">
        <v>106</v>
      </c>
      <c r="D72" s="3" t="s">
        <v>19</v>
      </c>
      <c r="E72" s="2" t="s">
        <v>33</v>
      </c>
      <c r="F72" s="2" t="s">
        <v>81</v>
      </c>
      <c r="G72" s="5">
        <v>46705</v>
      </c>
      <c r="H72" s="5">
        <v>46740</v>
      </c>
      <c r="I72" s="4" t="s">
        <v>17</v>
      </c>
      <c r="J72" s="6">
        <f t="shared" si="5"/>
        <v>35</v>
      </c>
      <c r="K72" s="4" t="str">
        <f t="shared" ca="1" si="6"/>
        <v>No</v>
      </c>
      <c r="L72" s="7">
        <f t="shared" ca="1" si="8"/>
        <v>532</v>
      </c>
      <c r="M72" s="4" t="str">
        <f>IF($I72="Complete","Green",IF($H72="","Amber",IF($H72&lt;'[2]Read Me'!$B$4,"Red",IF($H72-'[2]Read Me'!$B$4&lt;=21,"Amber","Green"))))</f>
        <v>Green</v>
      </c>
      <c r="N72" s="3"/>
      <c r="O72" t="str">
        <f>IF($I72&lt;&gt;"Complete",IF(COUNTIFS($A$4:$A71,$A72,$B$4:$B71,$B72,$I$4:$I71,"&lt;&gt;Complete")=0,$A72&amp;"|"&amp;$B72,""),"")</f>
        <v/>
      </c>
      <c r="P72" t="str">
        <f ca="1">IF($K72="Yes",COUNTIFS($K$4:$K72,"Yes"),"")</f>
        <v/>
      </c>
      <c r="Q72">
        <f t="shared" ca="1" si="7"/>
        <v>0</v>
      </c>
      <c r="R72" t="str">
        <f ca="1">IF($Q72=1,SUM($Q$4:$Q72),"")</f>
        <v/>
      </c>
    </row>
    <row r="73" spans="1:18" ht="33.75" customHeight="1" x14ac:dyDescent="0.3">
      <c r="A73" s="2" t="s">
        <v>105</v>
      </c>
      <c r="B73" s="2" t="s">
        <v>62</v>
      </c>
      <c r="C73" s="3" t="s">
        <v>106</v>
      </c>
      <c r="D73" s="3" t="s">
        <v>107</v>
      </c>
      <c r="E73" s="2"/>
      <c r="F73" s="2"/>
      <c r="G73" s="5">
        <v>46712</v>
      </c>
      <c r="H73" s="5">
        <v>46747</v>
      </c>
      <c r="I73" s="4" t="s">
        <v>17</v>
      </c>
      <c r="J73" s="6">
        <f t="shared" si="5"/>
        <v>35</v>
      </c>
      <c r="K73" s="4" t="str">
        <f t="shared" ca="1" si="6"/>
        <v>No</v>
      </c>
      <c r="L73" s="7">
        <f t="shared" ca="1" si="8"/>
        <v>539</v>
      </c>
      <c r="M73" s="4" t="str">
        <f>IF($I73="Complete","Green",IF($H73="","Amber",IF($H73&lt;'[2]Read Me'!$B$4,"Red",IF($H73-'[2]Read Me'!$B$4&lt;=21,"Amber","Green"))))</f>
        <v>Green</v>
      </c>
      <c r="N73" s="3"/>
      <c r="O73" t="str">
        <f>IF($I73&lt;&gt;"Complete",IF(COUNTIFS($A$4:$A72,$A73,$B$4:$B72,$B73,$I$4:$I72,"&lt;&gt;Complete")=0,$A73&amp;"|"&amp;$B73,""),"")</f>
        <v/>
      </c>
      <c r="P73" t="str">
        <f ca="1">IF($K73="Yes",COUNTIFS($K$4:$K73,"Yes"),"")</f>
        <v/>
      </c>
      <c r="Q73">
        <f t="shared" ca="1" si="7"/>
        <v>0</v>
      </c>
      <c r="R73" t="str">
        <f ca="1">IF($Q73=1,SUM($Q$4:$Q73),"")</f>
        <v/>
      </c>
    </row>
    <row r="74" spans="1:18" ht="33.75" customHeight="1" x14ac:dyDescent="0.3">
      <c r="A74" s="2" t="s">
        <v>105</v>
      </c>
      <c r="B74" s="2" t="s">
        <v>62</v>
      </c>
      <c r="C74" s="3" t="s">
        <v>106</v>
      </c>
      <c r="D74" s="3" t="s">
        <v>14</v>
      </c>
      <c r="E74" s="2" t="s">
        <v>75</v>
      </c>
      <c r="F74" s="2" t="s">
        <v>79</v>
      </c>
      <c r="G74" s="5">
        <v>46726</v>
      </c>
      <c r="H74" s="5">
        <v>46761</v>
      </c>
      <c r="I74" s="4" t="s">
        <v>17</v>
      </c>
      <c r="J74" s="6">
        <f t="shared" si="5"/>
        <v>35</v>
      </c>
      <c r="K74" s="4" t="str">
        <f t="shared" ca="1" si="6"/>
        <v>No</v>
      </c>
      <c r="L74" s="7">
        <f t="shared" ca="1" si="8"/>
        <v>553</v>
      </c>
      <c r="M74" s="4" t="str">
        <f>IF($I74="Complete","Green",IF($H74="","Amber",IF($H74&lt;'[2]Read Me'!$B$4,"Red",IF($H74-'[2]Read Me'!$B$4&lt;=21,"Amber","Green"))))</f>
        <v>Green</v>
      </c>
      <c r="N74" s="3"/>
      <c r="O74" t="str">
        <f>IF($I74&lt;&gt;"Complete",IF(COUNTIFS($A$4:$A73,$A74,$B$4:$B73,$B74,$I$4:$I73,"&lt;&gt;Complete")=0,$A74&amp;"|"&amp;$B74,""),"")</f>
        <v/>
      </c>
      <c r="P74" t="str">
        <f ca="1">IF($K74="Yes",COUNTIFS($K$4:$K74,"Yes"),"")</f>
        <v/>
      </c>
      <c r="Q74">
        <f t="shared" ca="1" si="7"/>
        <v>0</v>
      </c>
      <c r="R74" t="str">
        <f ca="1">IF($Q74=1,SUM($Q$4:$Q74),"")</f>
        <v/>
      </c>
    </row>
    <row r="75" spans="1:18" ht="14.25" customHeight="1" x14ac:dyDescent="0.3">
      <c r="A75" s="2" t="s">
        <v>105</v>
      </c>
      <c r="B75" s="2" t="s">
        <v>62</v>
      </c>
      <c r="C75" s="3" t="s">
        <v>106</v>
      </c>
      <c r="D75" s="3" t="s">
        <v>34</v>
      </c>
      <c r="E75" s="2" t="s">
        <v>75</v>
      </c>
      <c r="F75" s="2" t="s">
        <v>77</v>
      </c>
      <c r="G75" s="5">
        <v>46740</v>
      </c>
      <c r="H75" s="5">
        <v>46775</v>
      </c>
      <c r="I75" s="4" t="s">
        <v>17</v>
      </c>
      <c r="J75" s="6">
        <f t="shared" si="5"/>
        <v>35</v>
      </c>
      <c r="K75" s="4" t="str">
        <f t="shared" ca="1" si="6"/>
        <v>No</v>
      </c>
      <c r="L75" s="7">
        <f t="shared" ca="1" si="8"/>
        <v>567</v>
      </c>
      <c r="M75" s="4" t="str">
        <f>IF($I75="Complete","Green",IF($H75="","Amber",IF($H75&lt;'[2]Read Me'!$B$4,"Red",IF($H75-'[2]Read Me'!$B$4&lt;=21,"Amber","Green"))))</f>
        <v>Green</v>
      </c>
      <c r="N75" s="3"/>
      <c r="O75" t="str">
        <f>IF($I75&lt;&gt;"Complete",IF(COUNTIFS($A$4:$A74,$A75,$B$4:$B74,$B75,$I$4:$I74,"&lt;&gt;Complete")=0,$A75&amp;"|"&amp;$B75,""),"")</f>
        <v/>
      </c>
      <c r="P75" t="str">
        <f ca="1">IF($K75="Yes",COUNTIFS($K$4:$K75,"Yes"),"")</f>
        <v/>
      </c>
      <c r="Q75">
        <f t="shared" ca="1" si="7"/>
        <v>0</v>
      </c>
      <c r="R75" t="str">
        <f ca="1">IF($Q75=1,SUM($Q$4:$Q75),"")</f>
        <v/>
      </c>
    </row>
    <row r="76" spans="1:18" ht="14.25" customHeight="1" x14ac:dyDescent="0.3">
      <c r="A76" s="2" t="s">
        <v>105</v>
      </c>
      <c r="B76" s="2" t="s">
        <v>62</v>
      </c>
      <c r="C76" s="3" t="s">
        <v>106</v>
      </c>
      <c r="D76" s="3" t="s">
        <v>100</v>
      </c>
      <c r="E76" s="2" t="s">
        <v>75</v>
      </c>
      <c r="F76" s="2" t="s">
        <v>79</v>
      </c>
      <c r="G76" s="5">
        <v>46754</v>
      </c>
      <c r="H76" s="5">
        <v>46789</v>
      </c>
      <c r="I76" s="4" t="s">
        <v>17</v>
      </c>
      <c r="J76" s="6">
        <f t="shared" si="5"/>
        <v>35</v>
      </c>
      <c r="K76" s="4" t="str">
        <f t="shared" ca="1" si="6"/>
        <v>No</v>
      </c>
      <c r="L76" s="7">
        <f t="shared" ca="1" si="8"/>
        <v>581</v>
      </c>
      <c r="M76" s="4" t="str">
        <f>IF($I76="Complete","Green",IF($H76="","Amber",IF($H76&lt;'[2]Read Me'!$B$4,"Red",IF($H76-'[2]Read Me'!$B$4&lt;=21,"Amber","Green"))))</f>
        <v>Green</v>
      </c>
      <c r="N76" s="3"/>
      <c r="O76" t="str">
        <f>IF($I76&lt;&gt;"Complete",IF(COUNTIFS($A$4:$A75,$A76,$B$4:$B75,$B76,$I$4:$I75,"&lt;&gt;Complete")=0,$A76&amp;"|"&amp;$B76,""),"")</f>
        <v/>
      </c>
      <c r="P76" t="str">
        <f ca="1">IF($K76="Yes",COUNTIFS($K$4:$K76,"Yes"),"")</f>
        <v/>
      </c>
      <c r="Q76">
        <f t="shared" ca="1" si="7"/>
        <v>0</v>
      </c>
      <c r="R76" t="str">
        <f ca="1">IF($Q76=1,SUM($Q$4:$Q76),"")</f>
        <v/>
      </c>
    </row>
    <row r="77" spans="1:18" ht="22.5" customHeight="1" x14ac:dyDescent="0.3">
      <c r="A77" s="2" t="s">
        <v>105</v>
      </c>
      <c r="B77" s="2" t="s">
        <v>62</v>
      </c>
      <c r="C77" s="3" t="s">
        <v>106</v>
      </c>
      <c r="D77" s="3" t="s">
        <v>84</v>
      </c>
      <c r="E77" s="2" t="s">
        <v>75</v>
      </c>
      <c r="F77" s="2" t="s">
        <v>77</v>
      </c>
      <c r="G77" s="5">
        <v>46761</v>
      </c>
      <c r="H77" s="5">
        <v>46796</v>
      </c>
      <c r="I77" s="4" t="s">
        <v>17</v>
      </c>
      <c r="J77" s="6">
        <f t="shared" si="5"/>
        <v>35</v>
      </c>
      <c r="K77" s="4" t="str">
        <f t="shared" ca="1" si="6"/>
        <v>No</v>
      </c>
      <c r="L77" s="7">
        <f t="shared" ca="1" si="8"/>
        <v>588</v>
      </c>
      <c r="M77" s="4" t="str">
        <f>IF($I77="Complete","Green",IF($H77="","Amber",IF($H77&lt;'[2]Read Me'!$B$4,"Red",IF($H77-'[2]Read Me'!$B$4&lt;=21,"Amber","Green"))))</f>
        <v>Green</v>
      </c>
      <c r="N77" s="3"/>
      <c r="O77" t="str">
        <f>IF($I77&lt;&gt;"Complete",IF(COUNTIFS($A$4:$A76,$A77,$B$4:$B76,$B77,$I$4:$I76,"&lt;&gt;Complete")=0,$A77&amp;"|"&amp;$B77,""),"")</f>
        <v/>
      </c>
      <c r="P77" t="str">
        <f ca="1">IF($K77="Yes",COUNTIFS($K$4:$K77,"Yes"),"")</f>
        <v/>
      </c>
      <c r="Q77">
        <f t="shared" ca="1" si="7"/>
        <v>0</v>
      </c>
      <c r="R77" t="str">
        <f ca="1">IF($Q77=1,SUM($Q$4:$Q77),"")</f>
        <v/>
      </c>
    </row>
    <row r="78" spans="1:18" ht="14.25" customHeight="1" x14ac:dyDescent="0.3">
      <c r="A78" s="2" t="s">
        <v>105</v>
      </c>
      <c r="B78" s="2" t="s">
        <v>62</v>
      </c>
      <c r="C78" s="3" t="s">
        <v>106</v>
      </c>
      <c r="D78" s="3" t="s">
        <v>15</v>
      </c>
      <c r="E78" s="2" t="s">
        <v>75</v>
      </c>
      <c r="F78" s="2" t="s">
        <v>79</v>
      </c>
      <c r="G78" s="5">
        <v>46768</v>
      </c>
      <c r="H78" s="5">
        <v>46803</v>
      </c>
      <c r="I78" s="4" t="s">
        <v>17</v>
      </c>
      <c r="J78" s="6">
        <f t="shared" si="5"/>
        <v>35</v>
      </c>
      <c r="K78" s="4" t="str">
        <f t="shared" ca="1" si="6"/>
        <v>No</v>
      </c>
      <c r="L78" s="7">
        <f t="shared" ca="1" si="8"/>
        <v>595</v>
      </c>
      <c r="M78" s="4" t="str">
        <f>IF($I78="Complete","Green",IF($H78="","Amber",IF($H78&lt;'[2]Read Me'!$B$4,"Red",IF($H78-'[2]Read Me'!$B$4&lt;=21,"Amber","Green"))))</f>
        <v>Green</v>
      </c>
      <c r="N78" s="3"/>
      <c r="O78" t="str">
        <f>IF($I78&lt;&gt;"Complete",IF(COUNTIFS($A$4:$A77,$A78,$B$4:$B77,$B78,$I$4:$I77,"&lt;&gt;Complete")=0,$A78&amp;"|"&amp;$B78,""),"")</f>
        <v/>
      </c>
      <c r="P78" t="str">
        <f ca="1">IF($K78="Yes",COUNTIFS($K$4:$K78,"Yes"),"")</f>
        <v/>
      </c>
      <c r="Q78">
        <f t="shared" ca="1" si="7"/>
        <v>0</v>
      </c>
      <c r="R78" t="str">
        <f ca="1">IF($Q78=1,SUM($Q$4:$Q78),"")</f>
        <v/>
      </c>
    </row>
    <row r="79" spans="1:18" ht="33.75" customHeight="1" x14ac:dyDescent="0.3">
      <c r="A79" s="2" t="s">
        <v>105</v>
      </c>
      <c r="B79" s="2" t="s">
        <v>62</v>
      </c>
      <c r="C79" s="3" t="s">
        <v>106</v>
      </c>
      <c r="D79" s="3" t="s">
        <v>35</v>
      </c>
      <c r="E79" s="2" t="s">
        <v>75</v>
      </c>
      <c r="F79" s="2" t="s">
        <v>77</v>
      </c>
      <c r="G79" s="5">
        <v>46782</v>
      </c>
      <c r="H79" s="5">
        <v>46817</v>
      </c>
      <c r="I79" s="4" t="s">
        <v>17</v>
      </c>
      <c r="J79" s="6">
        <f t="shared" si="5"/>
        <v>35</v>
      </c>
      <c r="K79" s="4" t="str">
        <f t="shared" ca="1" si="6"/>
        <v>No</v>
      </c>
      <c r="L79" s="7">
        <f t="shared" ca="1" si="8"/>
        <v>609</v>
      </c>
      <c r="M79" s="4" t="str">
        <f>IF($I79="Complete","Green",IF($H79="","Amber",IF($H79&lt;'[2]Read Me'!$B$4,"Red",IF($H79-'[2]Read Me'!$B$4&lt;=21,"Amber","Green"))))</f>
        <v>Green</v>
      </c>
      <c r="N79" s="3"/>
      <c r="O79" t="str">
        <f>IF($I79&lt;&gt;"Complete",IF(COUNTIFS($A$4:$A78,$A79,$B$4:$B78,$B79,$I$4:$I78,"&lt;&gt;Complete")=0,$A79&amp;"|"&amp;$B79,""),"")</f>
        <v/>
      </c>
      <c r="P79" t="str">
        <f ca="1">IF($K79="Yes",COUNTIFS($K$4:$K79,"Yes"),"")</f>
        <v/>
      </c>
      <c r="Q79">
        <f t="shared" ca="1" si="7"/>
        <v>0</v>
      </c>
      <c r="R79" t="str">
        <f ca="1">IF($Q79=1,SUM($Q$4:$Q79),"")</f>
        <v/>
      </c>
    </row>
    <row r="80" spans="1:18" ht="33.75" customHeight="1" x14ac:dyDescent="0.3">
      <c r="A80" s="2" t="s">
        <v>105</v>
      </c>
      <c r="B80" s="2" t="s">
        <v>62</v>
      </c>
      <c r="C80" s="3" t="s">
        <v>106</v>
      </c>
      <c r="D80" s="3" t="s">
        <v>20</v>
      </c>
      <c r="E80" s="2" t="s">
        <v>33</v>
      </c>
      <c r="F80" s="2" t="s">
        <v>81</v>
      </c>
      <c r="G80" s="5">
        <v>46789</v>
      </c>
      <c r="H80" s="5">
        <v>46824</v>
      </c>
      <c r="I80" s="4" t="s">
        <v>17</v>
      </c>
      <c r="J80" s="6">
        <f t="shared" si="5"/>
        <v>35</v>
      </c>
      <c r="K80" s="4" t="str">
        <f t="shared" ca="1" si="6"/>
        <v>No</v>
      </c>
      <c r="L80" s="7">
        <f t="shared" ca="1" si="8"/>
        <v>616</v>
      </c>
      <c r="M80" s="4" t="str">
        <f>IF($I80="Complete","Green",IF($H80="","Amber",IF($H80&lt;'[2]Read Me'!$B$4,"Red",IF($H80-'[2]Read Me'!$B$4&lt;=21,"Amber","Green"))))</f>
        <v>Green</v>
      </c>
      <c r="N80" s="3"/>
      <c r="O80" t="str">
        <f>IF($I80&lt;&gt;"Complete",IF(COUNTIFS($A$4:$A79,$A80,$B$4:$B79,$B80,$I$4:$I79,"&lt;&gt;Complete")=0,$A80&amp;"|"&amp;$B80,""),"")</f>
        <v/>
      </c>
      <c r="P80" t="str">
        <f ca="1">IF($K80="Yes",COUNTIFS($K$4:$K80,"Yes"),"")</f>
        <v/>
      </c>
      <c r="Q80">
        <f t="shared" ca="1" si="7"/>
        <v>0</v>
      </c>
      <c r="R80" t="str">
        <f ca="1">IF($Q80=1,SUM($Q$4:$Q80),"")</f>
        <v/>
      </c>
    </row>
    <row r="81" spans="1:18" ht="33.75" customHeight="1" x14ac:dyDescent="0.3">
      <c r="A81" s="2" t="s">
        <v>105</v>
      </c>
      <c r="B81" s="2" t="s">
        <v>62</v>
      </c>
      <c r="C81" s="3" t="s">
        <v>106</v>
      </c>
      <c r="D81" s="3" t="s">
        <v>108</v>
      </c>
      <c r="E81" s="2" t="s">
        <v>75</v>
      </c>
      <c r="F81" s="2" t="s">
        <v>79</v>
      </c>
      <c r="G81" s="5">
        <v>46803</v>
      </c>
      <c r="H81" s="5">
        <v>46838</v>
      </c>
      <c r="I81" s="4" t="s">
        <v>17</v>
      </c>
      <c r="J81" s="6">
        <f t="shared" si="5"/>
        <v>35</v>
      </c>
      <c r="K81" s="4" t="str">
        <f t="shared" ca="1" si="6"/>
        <v>No</v>
      </c>
      <c r="L81" s="7">
        <f t="shared" ca="1" si="8"/>
        <v>630</v>
      </c>
      <c r="M81" s="4" t="str">
        <f>IF($I81="Complete","Green",IF($H81="","Amber",IF($H81&lt;'[2]Read Me'!$B$4,"Red",IF($H81-'[2]Read Me'!$B$4&lt;=21,"Amber","Green"))))</f>
        <v>Green</v>
      </c>
      <c r="N81" s="3"/>
      <c r="O81" t="str">
        <f>IF($I81&lt;&gt;"Complete",IF(COUNTIFS($A$4:$A80,$A81,$B$4:$B80,$B81,$I$4:$I80,"&lt;&gt;Complete")=0,$A81&amp;"|"&amp;$B81,""),"")</f>
        <v/>
      </c>
      <c r="P81" t="str">
        <f ca="1">IF($K81="Yes",COUNTIFS($K$4:$K81,"Yes"),"")</f>
        <v/>
      </c>
      <c r="Q81">
        <f t="shared" ca="1" si="7"/>
        <v>0</v>
      </c>
      <c r="R81" t="str">
        <f ca="1">IF($Q81=1,SUM($Q$4:$Q81),"")</f>
        <v/>
      </c>
    </row>
    <row r="82" spans="1:18" ht="33.75" customHeight="1" x14ac:dyDescent="0.3">
      <c r="A82" s="2" t="s">
        <v>105</v>
      </c>
      <c r="B82" s="2" t="s">
        <v>62</v>
      </c>
      <c r="C82" s="3" t="s">
        <v>106</v>
      </c>
      <c r="D82" s="3" t="s">
        <v>37</v>
      </c>
      <c r="E82" s="2" t="s">
        <v>75</v>
      </c>
      <c r="F82" s="2" t="s">
        <v>77</v>
      </c>
      <c r="G82" s="5">
        <v>46817</v>
      </c>
      <c r="H82" s="5">
        <v>46852</v>
      </c>
      <c r="I82" s="4" t="s">
        <v>17</v>
      </c>
      <c r="J82" s="6">
        <f t="shared" si="5"/>
        <v>35</v>
      </c>
      <c r="K82" s="4" t="str">
        <f t="shared" ca="1" si="6"/>
        <v>No</v>
      </c>
      <c r="L82" s="7">
        <f t="shared" ca="1" si="8"/>
        <v>644</v>
      </c>
      <c r="M82" s="4" t="str">
        <f>IF($I82="Complete","Green",IF($H82="","Amber",IF($H82&lt;'[2]Read Me'!$B$4,"Red",IF($H82-'[2]Read Me'!$B$4&lt;=21,"Amber","Green"))))</f>
        <v>Green</v>
      </c>
      <c r="N82" s="3"/>
      <c r="O82" t="str">
        <f>IF($I82&lt;&gt;"Complete",IF(COUNTIFS($A$4:$A81,$A82,$B$4:$B81,$B82,$I$4:$I81,"&lt;&gt;Complete")=0,$A82&amp;"|"&amp;$B82,""),"")</f>
        <v/>
      </c>
      <c r="P82" t="str">
        <f ca="1">IF($K82="Yes",COUNTIFS($K$4:$K82,"Yes"),"")</f>
        <v/>
      </c>
      <c r="Q82">
        <f t="shared" ca="1" si="7"/>
        <v>0</v>
      </c>
      <c r="R82" t="str">
        <f ca="1">IF($Q82=1,SUM($Q$4:$Q82),"")</f>
        <v/>
      </c>
    </row>
    <row r="83" spans="1:18" ht="33.75" customHeight="1" x14ac:dyDescent="0.3">
      <c r="A83" s="2" t="s">
        <v>105</v>
      </c>
      <c r="B83" s="2" t="s">
        <v>62</v>
      </c>
      <c r="C83" s="3" t="s">
        <v>106</v>
      </c>
      <c r="D83" s="3" t="s">
        <v>109</v>
      </c>
      <c r="E83" s="2"/>
      <c r="F83" s="2"/>
      <c r="G83" s="5">
        <v>46901</v>
      </c>
      <c r="H83" s="5">
        <v>46936</v>
      </c>
      <c r="I83" s="4" t="s">
        <v>17</v>
      </c>
      <c r="J83" s="6">
        <f t="shared" si="5"/>
        <v>35</v>
      </c>
      <c r="K83" s="4" t="str">
        <f t="shared" ca="1" si="6"/>
        <v>No</v>
      </c>
      <c r="L83" s="7">
        <f t="shared" ca="1" si="8"/>
        <v>728</v>
      </c>
      <c r="M83" s="4" t="str">
        <f>IF($I83="Complete","Green",IF($H83="","Amber",IF($H83&lt;'[2]Read Me'!$B$4,"Red",IF($H83-'[2]Read Me'!$B$4&lt;=21,"Amber","Green"))))</f>
        <v>Green</v>
      </c>
      <c r="N83" s="3"/>
      <c r="O83" t="str">
        <f>IF($I83&lt;&gt;"Complete",IF(COUNTIFS($A$4:$A82,$A83,$B$4:$B82,$B83,$I$4:$I82,"&lt;&gt;Complete")=0,$A83&amp;"|"&amp;$B83,""),"")</f>
        <v/>
      </c>
      <c r="P83" t="str">
        <f ca="1">IF($K83="Yes",COUNTIFS($K$4:$K83,"Yes"),"")</f>
        <v/>
      </c>
      <c r="Q83">
        <f t="shared" ca="1" si="7"/>
        <v>0</v>
      </c>
      <c r="R83" t="str">
        <f ca="1">IF($Q83=1,SUM($Q$4:$Q83),"")</f>
        <v/>
      </c>
    </row>
    <row r="84" spans="1:18" ht="33.75" customHeight="1" x14ac:dyDescent="0.3">
      <c r="A84" s="2" t="s">
        <v>105</v>
      </c>
      <c r="B84" s="2" t="s">
        <v>62</v>
      </c>
      <c r="C84" s="3" t="s">
        <v>106</v>
      </c>
      <c r="D84" s="3" t="s">
        <v>110</v>
      </c>
      <c r="E84" s="2"/>
      <c r="F84" s="2"/>
      <c r="G84" s="5">
        <v>46474</v>
      </c>
      <c r="H84" s="5">
        <v>46509</v>
      </c>
      <c r="I84" s="4" t="s">
        <v>17</v>
      </c>
      <c r="J84" s="6">
        <f t="shared" si="5"/>
        <v>35</v>
      </c>
      <c r="K84" s="4" t="str">
        <f t="shared" ca="1" si="6"/>
        <v>No</v>
      </c>
      <c r="L84" s="7">
        <f t="shared" ca="1" si="8"/>
        <v>301</v>
      </c>
      <c r="M84" s="4" t="str">
        <f>IF($I84="Complete","Green",IF($H84="","Amber",IF($H84&lt;'[2]Read Me'!$B$4,"Red",IF($H84-'[2]Read Me'!$B$4&lt;=21,"Amber","Green"))))</f>
        <v>Green</v>
      </c>
      <c r="N84" s="3"/>
      <c r="O84" t="str">
        <f>IF($I84&lt;&gt;"Complete",IF(COUNTIFS($A$4:$A83,$A84,$B$4:$B83,$B84,$I$4:$I83,"&lt;&gt;Complete")=0,$A84&amp;"|"&amp;$B84,""),"")</f>
        <v/>
      </c>
      <c r="P84" t="str">
        <f ca="1">IF($K84="Yes",COUNTIFS($K$4:$K84,"Yes"),"")</f>
        <v/>
      </c>
      <c r="Q84">
        <f t="shared" ca="1" si="7"/>
        <v>0</v>
      </c>
      <c r="R84" t="str">
        <f ca="1">IF($Q84=1,SUM($Q$4:$Q84),"")</f>
        <v/>
      </c>
    </row>
    <row r="85" spans="1:18" ht="33.75" customHeight="1" x14ac:dyDescent="0.3">
      <c r="A85" s="2" t="s">
        <v>105</v>
      </c>
      <c r="B85" s="2" t="s">
        <v>62</v>
      </c>
      <c r="C85" s="3" t="s">
        <v>106</v>
      </c>
      <c r="D85" s="3" t="s">
        <v>91</v>
      </c>
      <c r="E85" s="2"/>
      <c r="F85" s="2"/>
      <c r="G85" s="5">
        <v>46803</v>
      </c>
      <c r="H85" s="5">
        <v>46838</v>
      </c>
      <c r="I85" s="4" t="s">
        <v>17</v>
      </c>
      <c r="J85" s="6">
        <f t="shared" si="5"/>
        <v>35</v>
      </c>
      <c r="K85" s="4" t="str">
        <f t="shared" ca="1" si="6"/>
        <v>No</v>
      </c>
      <c r="L85" s="7">
        <f t="shared" ca="1" si="8"/>
        <v>630</v>
      </c>
      <c r="M85" s="4" t="str">
        <f>IF($I85="Complete","Green",IF($H85="","Amber",IF($H85&lt;'[2]Read Me'!$B$4,"Red",IF($H85-'[2]Read Me'!$B$4&lt;=21,"Amber","Green"))))</f>
        <v>Green</v>
      </c>
      <c r="N85" s="3"/>
      <c r="O85" t="str">
        <f>IF($I85&lt;&gt;"Complete",IF(COUNTIFS($A$4:$A84,$A85,$B$4:$B84,$B85,$I$4:$I84,"&lt;&gt;Complete")=0,$A85&amp;"|"&amp;$B85,""),"")</f>
        <v/>
      </c>
      <c r="P85" t="str">
        <f ca="1">IF($K85="Yes",COUNTIFS($K$4:$K85,"Yes"),"")</f>
        <v/>
      </c>
      <c r="Q85">
        <f t="shared" ca="1" si="7"/>
        <v>0</v>
      </c>
      <c r="R85" t="str">
        <f ca="1">IF($Q85=1,SUM($Q$4:$Q85),"")</f>
        <v/>
      </c>
    </row>
    <row r="86" spans="1:18" ht="33.75" customHeight="1" x14ac:dyDescent="0.3">
      <c r="A86" s="2" t="s">
        <v>105</v>
      </c>
      <c r="B86" s="2" t="s">
        <v>62</v>
      </c>
      <c r="C86" s="3" t="s">
        <v>106</v>
      </c>
      <c r="D86" s="3" t="s">
        <v>93</v>
      </c>
      <c r="E86" s="2"/>
      <c r="F86" s="2"/>
      <c r="G86" s="5">
        <v>46845</v>
      </c>
      <c r="H86" s="5">
        <v>46880</v>
      </c>
      <c r="I86" s="4" t="s">
        <v>17</v>
      </c>
      <c r="J86" s="6">
        <f t="shared" si="5"/>
        <v>35</v>
      </c>
      <c r="K86" s="4" t="str">
        <f t="shared" ca="1" si="6"/>
        <v>No</v>
      </c>
      <c r="L86" s="7">
        <f t="shared" ca="1" si="8"/>
        <v>672</v>
      </c>
      <c r="M86" s="4" t="str">
        <f>IF($I86="Complete","Green",IF($H86="","Amber",IF($H86&lt;'[2]Read Me'!$B$4,"Red",IF($H86-'[2]Read Me'!$B$4&lt;=21,"Amber","Green"))))</f>
        <v>Green</v>
      </c>
      <c r="N86" s="3"/>
      <c r="O86" t="str">
        <f>IF($I86&lt;&gt;"Complete",IF(COUNTIFS($A$4:$A85,$A86,$B$4:$B85,$B86,$I$4:$I85,"&lt;&gt;Complete")=0,$A86&amp;"|"&amp;$B86,""),"")</f>
        <v/>
      </c>
      <c r="P86" t="str">
        <f ca="1">IF($K86="Yes",COUNTIFS($K$4:$K86,"Yes"),"")</f>
        <v/>
      </c>
      <c r="Q86">
        <f t="shared" ca="1" si="7"/>
        <v>0</v>
      </c>
      <c r="R86" t="str">
        <f ca="1">IF($Q86=1,SUM($Q$4:$Q86),"")</f>
        <v/>
      </c>
    </row>
    <row r="87" spans="1:18" ht="33.75" customHeight="1" x14ac:dyDescent="0.3">
      <c r="A87" s="2" t="s">
        <v>105</v>
      </c>
      <c r="B87" s="2" t="s">
        <v>62</v>
      </c>
      <c r="C87" s="3" t="s">
        <v>106</v>
      </c>
      <c r="D87" s="3" t="s">
        <v>94</v>
      </c>
      <c r="E87" s="2"/>
      <c r="F87" s="2"/>
      <c r="G87" s="5">
        <v>46901</v>
      </c>
      <c r="H87" s="5">
        <v>46936</v>
      </c>
      <c r="I87" s="4" t="s">
        <v>17</v>
      </c>
      <c r="J87" s="6">
        <f t="shared" si="5"/>
        <v>35</v>
      </c>
      <c r="K87" s="4" t="str">
        <f t="shared" ca="1" si="6"/>
        <v>No</v>
      </c>
      <c r="L87" s="7">
        <f t="shared" ca="1" si="8"/>
        <v>728</v>
      </c>
      <c r="M87" s="4" t="str">
        <f>IF($I87="Complete","Green",IF($H87="","Amber",IF($H87&lt;'[2]Read Me'!$B$4,"Red",IF($H87-'[2]Read Me'!$B$4&lt;=21,"Amber","Green"))))</f>
        <v>Green</v>
      </c>
      <c r="N87" s="3"/>
      <c r="O87" t="str">
        <f>IF($I87&lt;&gt;"Complete",IF(COUNTIFS($A$4:$A86,$A87,$B$4:$B86,$B87,$I$4:$I86,"&lt;&gt;Complete")=0,$A87&amp;"|"&amp;$B87,""),"")</f>
        <v/>
      </c>
      <c r="P87" t="str">
        <f ca="1">IF($K87="Yes",COUNTIFS($K$4:$K87,"Yes"),"")</f>
        <v/>
      </c>
      <c r="Q87">
        <f t="shared" ca="1" si="7"/>
        <v>0</v>
      </c>
      <c r="R87" t="str">
        <f ca="1">IF($Q87=1,SUM($Q$4:$Q87),"")</f>
        <v/>
      </c>
    </row>
    <row r="88" spans="1:18" ht="33.75" customHeight="1" x14ac:dyDescent="0.3">
      <c r="A88" s="2" t="s">
        <v>111</v>
      </c>
      <c r="B88" s="2" t="s">
        <v>62</v>
      </c>
      <c r="C88" s="3"/>
      <c r="D88" s="3"/>
      <c r="E88" s="2"/>
      <c r="F88" s="2"/>
      <c r="G88" s="5">
        <v>46418</v>
      </c>
      <c r="H88" s="5">
        <v>46453</v>
      </c>
      <c r="I88" s="4"/>
      <c r="J88" s="6">
        <f t="shared" si="5"/>
        <v>35</v>
      </c>
      <c r="K88" s="4" t="str">
        <f t="shared" ca="1" si="6"/>
        <v/>
      </c>
      <c r="L88" s="7">
        <f t="shared" ca="1" si="8"/>
        <v>245</v>
      </c>
      <c r="M88" s="4" t="str">
        <f>IF($I88="Complete","Green",IF($H88="","Amber",IF($H88&lt;'[2]Read Me'!$B$4,"Red",IF($H88-'[2]Read Me'!$B$4&lt;=21,"Amber","Green"))))</f>
        <v>Green</v>
      </c>
      <c r="N88" s="3"/>
      <c r="O88" t="str">
        <f>IF($I88&lt;&gt;"Complete",IF(COUNTIFS($A$4:$A87,$A88,$B$4:$B87,$B88,$I$4:$I87,"&lt;&gt;Complete")=0,$A88&amp;"|"&amp;$B88,""),"")</f>
        <v>Podium|Buildings</v>
      </c>
      <c r="P88" t="str">
        <f ca="1">IF($K88="Yes",COUNTIFS($K$4:$K88,"Yes"),"")</f>
        <v/>
      </c>
      <c r="Q88">
        <f t="shared" ca="1" si="7"/>
        <v>0</v>
      </c>
      <c r="R88" t="str">
        <f ca="1">IF($Q88=1,SUM($Q$4:$Q88),"")</f>
        <v/>
      </c>
    </row>
    <row r="89" spans="1:18" ht="33.75" customHeight="1" x14ac:dyDescent="0.3">
      <c r="A89" s="2" t="s">
        <v>111</v>
      </c>
      <c r="B89" s="2" t="s">
        <v>62</v>
      </c>
      <c r="C89" s="3" t="s">
        <v>112</v>
      </c>
      <c r="D89" s="3" t="s">
        <v>113</v>
      </c>
      <c r="E89" s="2" t="s">
        <v>75</v>
      </c>
      <c r="F89" s="2"/>
      <c r="G89" s="5">
        <v>46173</v>
      </c>
      <c r="H89" s="5">
        <v>46271</v>
      </c>
      <c r="I89" s="4" t="s">
        <v>17</v>
      </c>
      <c r="J89" s="6">
        <f t="shared" si="5"/>
        <v>98</v>
      </c>
      <c r="K89" s="4" t="str">
        <f t="shared" ca="1" si="6"/>
        <v>No</v>
      </c>
      <c r="L89" s="7">
        <f t="shared" ca="1" si="8"/>
        <v>63</v>
      </c>
      <c r="M89" s="4" t="str">
        <f>IF($I89="Complete","Green",IF($H89="","Amber",IF($H89&lt;'[2]Read Me'!$B$4,"Red",IF($H89-'[2]Read Me'!$B$4&lt;=21,"Amber","Green"))))</f>
        <v>Green</v>
      </c>
      <c r="N89" s="3"/>
      <c r="O89" t="str">
        <f>IF($I89&lt;&gt;"Complete",IF(COUNTIFS($A$4:$A88,$A89,$B$4:$B88,$B89,$I$4:$I88,"&lt;&gt;Complete")=0,$A89&amp;"|"&amp;$B89,""),"")</f>
        <v/>
      </c>
      <c r="P89" t="str">
        <f ca="1">IF($K89="Yes",COUNTIFS($K$4:$K89,"Yes"),"")</f>
        <v/>
      </c>
      <c r="Q89">
        <f t="shared" ca="1" si="7"/>
        <v>0</v>
      </c>
      <c r="R89" t="str">
        <f ca="1">IF($Q89=1,SUM($Q$4:$Q89),"")</f>
        <v/>
      </c>
    </row>
    <row r="90" spans="1:18" ht="33.75" customHeight="1" x14ac:dyDescent="0.3">
      <c r="A90" s="2" t="s">
        <v>111</v>
      </c>
      <c r="B90" s="2" t="s">
        <v>62</v>
      </c>
      <c r="C90" s="3" t="s">
        <v>112</v>
      </c>
      <c r="D90" s="3" t="s">
        <v>114</v>
      </c>
      <c r="E90" s="2" t="s">
        <v>75</v>
      </c>
      <c r="F90" s="2"/>
      <c r="G90" s="5">
        <v>46187</v>
      </c>
      <c r="H90" s="5">
        <v>46285</v>
      </c>
      <c r="I90" s="4" t="s">
        <v>17</v>
      </c>
      <c r="J90" s="6">
        <f t="shared" si="5"/>
        <v>98</v>
      </c>
      <c r="K90" s="4" t="str">
        <f t="shared" ca="1" si="6"/>
        <v>No</v>
      </c>
      <c r="L90" s="7">
        <f t="shared" ca="1" si="8"/>
        <v>77</v>
      </c>
      <c r="M90" s="4" t="str">
        <f>IF($I90="Complete","Green",IF($H90="","Amber",IF($H90&lt;'[2]Read Me'!$B$4,"Red",IF($H90-'[2]Read Me'!$B$4&lt;=21,"Amber","Green"))))</f>
        <v>Green</v>
      </c>
      <c r="N90" s="3"/>
      <c r="O90" t="str">
        <f>IF($I90&lt;&gt;"Complete",IF(COUNTIFS($A$4:$A89,$A90,$B$4:$B89,$B90,$I$4:$I89,"&lt;&gt;Complete")=0,$A90&amp;"|"&amp;$B90,""),"")</f>
        <v/>
      </c>
      <c r="P90" t="str">
        <f ca="1">IF($K90="Yes",COUNTIFS($K$4:$K90,"Yes"),"")</f>
        <v/>
      </c>
      <c r="Q90">
        <f t="shared" ca="1" si="7"/>
        <v>0</v>
      </c>
      <c r="R90" t="str">
        <f ca="1">IF($Q90=1,SUM($Q$4:$Q90),"")</f>
        <v/>
      </c>
    </row>
    <row r="91" spans="1:18" ht="33.75" customHeight="1" x14ac:dyDescent="0.3">
      <c r="A91" s="2" t="s">
        <v>111</v>
      </c>
      <c r="B91" s="2" t="s">
        <v>62</v>
      </c>
      <c r="C91" s="3" t="s">
        <v>112</v>
      </c>
      <c r="D91" s="3" t="s">
        <v>80</v>
      </c>
      <c r="E91" s="2" t="s">
        <v>75</v>
      </c>
      <c r="F91" s="2"/>
      <c r="G91" s="5">
        <v>46201</v>
      </c>
      <c r="H91" s="5">
        <v>46299</v>
      </c>
      <c r="I91" s="4" t="s">
        <v>17</v>
      </c>
      <c r="J91" s="6">
        <f t="shared" si="5"/>
        <v>98</v>
      </c>
      <c r="K91" s="4" t="str">
        <f t="shared" ca="1" si="6"/>
        <v>No</v>
      </c>
      <c r="L91" s="7">
        <f t="shared" ca="1" si="8"/>
        <v>91</v>
      </c>
      <c r="M91" s="4" t="str">
        <f>IF($I91="Complete","Green",IF($H91="","Amber",IF($H91&lt;'[2]Read Me'!$B$4,"Red",IF($H91-'[2]Read Me'!$B$4&lt;=21,"Amber","Green"))))</f>
        <v>Green</v>
      </c>
      <c r="N91" s="3"/>
      <c r="O91" t="str">
        <f>IF($I91&lt;&gt;"Complete",IF(COUNTIFS($A$4:$A90,$A91,$B$4:$B90,$B91,$I$4:$I90,"&lt;&gt;Complete")=0,$A91&amp;"|"&amp;$B91,""),"")</f>
        <v/>
      </c>
      <c r="P91" t="str">
        <f ca="1">IF($K91="Yes",COUNTIFS($K$4:$K91,"Yes"),"")</f>
        <v/>
      </c>
      <c r="Q91">
        <f t="shared" ca="1" si="7"/>
        <v>0</v>
      </c>
      <c r="R91" t="str">
        <f ca="1">IF($Q91=1,SUM($Q$4:$Q91),"")</f>
        <v/>
      </c>
    </row>
    <row r="92" spans="1:18" ht="33.75" customHeight="1" x14ac:dyDescent="0.3">
      <c r="A92" s="2" t="s">
        <v>111</v>
      </c>
      <c r="B92" s="2" t="s">
        <v>62</v>
      </c>
      <c r="C92" s="3" t="s">
        <v>112</v>
      </c>
      <c r="D92" s="3" t="s">
        <v>115</v>
      </c>
      <c r="E92" s="2" t="s">
        <v>75</v>
      </c>
      <c r="F92" s="2"/>
      <c r="G92" s="5">
        <v>46285</v>
      </c>
      <c r="H92" s="5">
        <v>46320</v>
      </c>
      <c r="I92" s="4" t="s">
        <v>17</v>
      </c>
      <c r="J92" s="6">
        <f t="shared" si="5"/>
        <v>35</v>
      </c>
      <c r="K92" s="4" t="str">
        <f t="shared" ca="1" si="6"/>
        <v>No</v>
      </c>
      <c r="L92" s="7">
        <f t="shared" ca="1" si="8"/>
        <v>112</v>
      </c>
      <c r="M92" s="4" t="str">
        <f>IF($I92="Complete","Green",IF($H92="","Amber",IF($H92&lt;'[2]Read Me'!$B$4,"Red",IF($H92-'[2]Read Me'!$B$4&lt;=21,"Amber","Green"))))</f>
        <v>Green</v>
      </c>
      <c r="N92" s="3"/>
      <c r="O92" t="str">
        <f>IF($I92&lt;&gt;"Complete",IF(COUNTIFS($A$4:$A91,$A92,$B$4:$B91,$B92,$I$4:$I91,"&lt;&gt;Complete")=0,$A92&amp;"|"&amp;$B92,""),"")</f>
        <v/>
      </c>
      <c r="P92" t="str">
        <f ca="1">IF($K92="Yes",COUNTIFS($K$4:$K92,"Yes"),"")</f>
        <v/>
      </c>
      <c r="Q92">
        <f t="shared" ca="1" si="7"/>
        <v>0</v>
      </c>
      <c r="R92" t="str">
        <f ca="1">IF($Q92=1,SUM($Q$4:$Q92),"")</f>
        <v/>
      </c>
    </row>
    <row r="93" spans="1:18" ht="33.75" customHeight="1" x14ac:dyDescent="0.3">
      <c r="A93" s="2" t="s">
        <v>111</v>
      </c>
      <c r="B93" s="2" t="s">
        <v>62</v>
      </c>
      <c r="C93" s="3" t="s">
        <v>112</v>
      </c>
      <c r="D93" s="3" t="s">
        <v>32</v>
      </c>
      <c r="E93" s="2" t="s">
        <v>75</v>
      </c>
      <c r="F93" s="2"/>
      <c r="G93" s="5">
        <v>46299</v>
      </c>
      <c r="H93" s="5">
        <v>46334</v>
      </c>
      <c r="I93" s="4" t="s">
        <v>17</v>
      </c>
      <c r="J93" s="6">
        <f t="shared" si="5"/>
        <v>35</v>
      </c>
      <c r="K93" s="4" t="str">
        <f t="shared" ca="1" si="6"/>
        <v>No</v>
      </c>
      <c r="L93" s="7">
        <f t="shared" ca="1" si="8"/>
        <v>126</v>
      </c>
      <c r="M93" s="4" t="str">
        <f>IF($I93="Complete","Green",IF($H93="","Amber",IF($H93&lt;'[2]Read Me'!$B$4,"Red",IF($H93-'[2]Read Me'!$B$4&lt;=21,"Amber","Green"))))</f>
        <v>Green</v>
      </c>
      <c r="N93" s="3"/>
      <c r="O93" t="str">
        <f>IF($I93&lt;&gt;"Complete",IF(COUNTIFS($A$4:$A92,$A93,$B$4:$B92,$B93,$I$4:$I92,"&lt;&gt;Complete")=0,$A93&amp;"|"&amp;$B93,""),"")</f>
        <v/>
      </c>
      <c r="P93" t="str">
        <f ca="1">IF($K93="Yes",COUNTIFS($K$4:$K93,"Yes"),"")</f>
        <v/>
      </c>
      <c r="Q93">
        <f t="shared" ca="1" si="7"/>
        <v>0</v>
      </c>
      <c r="R93" t="str">
        <f ca="1">IF($Q93=1,SUM($Q$4:$Q93),"")</f>
        <v/>
      </c>
    </row>
    <row r="94" spans="1:18" ht="33.75" customHeight="1" x14ac:dyDescent="0.3">
      <c r="A94" s="2" t="s">
        <v>111</v>
      </c>
      <c r="B94" s="2" t="s">
        <v>62</v>
      </c>
      <c r="C94" s="3" t="s">
        <v>112</v>
      </c>
      <c r="D94" s="3" t="s">
        <v>19</v>
      </c>
      <c r="E94" s="2" t="s">
        <v>33</v>
      </c>
      <c r="F94" s="2" t="s">
        <v>81</v>
      </c>
      <c r="G94" s="5">
        <v>46299</v>
      </c>
      <c r="H94" s="5">
        <v>46334</v>
      </c>
      <c r="I94" s="4" t="s">
        <v>17</v>
      </c>
      <c r="J94" s="6">
        <f t="shared" si="5"/>
        <v>35</v>
      </c>
      <c r="K94" s="4" t="str">
        <f t="shared" ca="1" si="6"/>
        <v>No</v>
      </c>
      <c r="L94" s="7">
        <f t="shared" ca="1" si="8"/>
        <v>126</v>
      </c>
      <c r="M94" s="4" t="str">
        <f>IF($I94="Complete","Green",IF($H94="","Amber",IF($H94&lt;'[2]Read Me'!$B$4,"Red",IF($H94-'[2]Read Me'!$B$4&lt;=21,"Amber","Green"))))</f>
        <v>Green</v>
      </c>
      <c r="N94" s="3"/>
      <c r="O94" t="str">
        <f>IF($I94&lt;&gt;"Complete",IF(COUNTIFS($A$4:$A93,$A94,$B$4:$B93,$B94,$I$4:$I93,"&lt;&gt;Complete")=0,$A94&amp;"|"&amp;$B94,""),"")</f>
        <v/>
      </c>
      <c r="P94" t="str">
        <f ca="1">IF($K94="Yes",COUNTIFS($K$4:$K94,"Yes"),"")</f>
        <v/>
      </c>
      <c r="Q94">
        <f t="shared" ca="1" si="7"/>
        <v>0</v>
      </c>
      <c r="R94" t="str">
        <f ca="1">IF($Q94=1,SUM($Q$4:$Q94),"")</f>
        <v/>
      </c>
    </row>
    <row r="95" spans="1:18" ht="33.75" customHeight="1" x14ac:dyDescent="0.3">
      <c r="A95" s="2" t="s">
        <v>111</v>
      </c>
      <c r="B95" s="2" t="s">
        <v>62</v>
      </c>
      <c r="C95" s="3" t="s">
        <v>112</v>
      </c>
      <c r="D95" s="3" t="s">
        <v>116</v>
      </c>
      <c r="E95" s="2" t="s">
        <v>75</v>
      </c>
      <c r="F95" s="2"/>
      <c r="G95" s="5">
        <v>46327</v>
      </c>
      <c r="H95" s="5">
        <v>46362</v>
      </c>
      <c r="I95" s="4" t="s">
        <v>17</v>
      </c>
      <c r="J95" s="6">
        <f t="shared" si="5"/>
        <v>35</v>
      </c>
      <c r="K95" s="4" t="str">
        <f t="shared" ca="1" si="6"/>
        <v>No</v>
      </c>
      <c r="L95" s="7">
        <f t="shared" ca="1" si="8"/>
        <v>154</v>
      </c>
      <c r="M95" s="4" t="str">
        <f>IF($I95="Complete","Green",IF($H95="","Amber",IF($H95&lt;'[2]Read Me'!$B$4,"Red",IF($H95-'[2]Read Me'!$B$4&lt;=21,"Amber","Green"))))</f>
        <v>Green</v>
      </c>
      <c r="N95" s="3"/>
      <c r="O95" t="str">
        <f>IF($I95&lt;&gt;"Complete",IF(COUNTIFS($A$4:$A94,$A95,$B$4:$B94,$B95,$I$4:$I94,"&lt;&gt;Complete")=0,$A95&amp;"|"&amp;$B95,""),"")</f>
        <v/>
      </c>
      <c r="P95" t="str">
        <f ca="1">IF($K95="Yes",COUNTIFS($K$4:$K95,"Yes"),"")</f>
        <v/>
      </c>
      <c r="Q95">
        <f t="shared" ca="1" si="7"/>
        <v>0</v>
      </c>
      <c r="R95" t="str">
        <f ca="1">IF($Q95=1,SUM($Q$4:$Q95),"")</f>
        <v/>
      </c>
    </row>
    <row r="96" spans="1:18" ht="33.75" customHeight="1" x14ac:dyDescent="0.3">
      <c r="A96" s="2" t="s">
        <v>111</v>
      </c>
      <c r="B96" s="2" t="s">
        <v>62</v>
      </c>
      <c r="C96" s="3" t="s">
        <v>112</v>
      </c>
      <c r="D96" s="3" t="s">
        <v>70</v>
      </c>
      <c r="E96" s="2" t="s">
        <v>75</v>
      </c>
      <c r="F96" s="2"/>
      <c r="G96" s="5">
        <v>46341</v>
      </c>
      <c r="H96" s="5">
        <v>46376</v>
      </c>
      <c r="I96" s="4" t="s">
        <v>17</v>
      </c>
      <c r="J96" s="6">
        <f t="shared" si="5"/>
        <v>35</v>
      </c>
      <c r="K96" s="4" t="str">
        <f t="shared" ca="1" si="6"/>
        <v>No</v>
      </c>
      <c r="L96" s="7">
        <f t="shared" ca="1" si="8"/>
        <v>168</v>
      </c>
      <c r="M96" s="4" t="str">
        <f>IF($I96="Complete","Green",IF($H96="","Amber",IF($H96&lt;'[2]Read Me'!$B$4,"Red",IF($H96-'[2]Read Me'!$B$4&lt;=21,"Amber","Green"))))</f>
        <v>Green</v>
      </c>
      <c r="N96" s="3"/>
      <c r="O96" t="str">
        <f>IF($I96&lt;&gt;"Complete",IF(COUNTIFS($A$4:$A95,$A96,$B$4:$B95,$B96,$I$4:$I95,"&lt;&gt;Complete")=0,$A96&amp;"|"&amp;$B96,""),"")</f>
        <v/>
      </c>
      <c r="P96" t="str">
        <f ca="1">IF($K96="Yes",COUNTIFS($K$4:$K96,"Yes"),"")</f>
        <v/>
      </c>
      <c r="Q96">
        <f t="shared" ca="1" si="7"/>
        <v>0</v>
      </c>
      <c r="R96" t="str">
        <f ca="1">IF($Q96=1,SUM($Q$4:$Q96),"")</f>
        <v/>
      </c>
    </row>
    <row r="97" spans="1:18" ht="33.75" customHeight="1" x14ac:dyDescent="0.3">
      <c r="A97" s="2" t="s">
        <v>111</v>
      </c>
      <c r="B97" s="2" t="s">
        <v>62</v>
      </c>
      <c r="C97" s="3" t="s">
        <v>112</v>
      </c>
      <c r="D97" s="3" t="s">
        <v>117</v>
      </c>
      <c r="E97" s="2" t="s">
        <v>75</v>
      </c>
      <c r="F97" s="2"/>
      <c r="G97" s="5">
        <v>46355</v>
      </c>
      <c r="H97" s="5">
        <v>46390</v>
      </c>
      <c r="I97" s="4" t="s">
        <v>17</v>
      </c>
      <c r="J97" s="6">
        <f t="shared" si="5"/>
        <v>35</v>
      </c>
      <c r="K97" s="4" t="str">
        <f t="shared" ca="1" si="6"/>
        <v>No</v>
      </c>
      <c r="L97" s="7">
        <f t="shared" ca="1" si="8"/>
        <v>182</v>
      </c>
      <c r="M97" s="4" t="str">
        <f>IF($I97="Complete","Green",IF($H97="","Amber",IF($H97&lt;'[2]Read Me'!$B$4,"Red",IF($H97-'[2]Read Me'!$B$4&lt;=21,"Amber","Green"))))</f>
        <v>Green</v>
      </c>
      <c r="N97" s="3"/>
      <c r="O97" t="str">
        <f>IF($I97&lt;&gt;"Complete",IF(COUNTIFS($A$4:$A96,$A97,$B$4:$B96,$B97,$I$4:$I96,"&lt;&gt;Complete")=0,$A97&amp;"|"&amp;$B97,""),"")</f>
        <v/>
      </c>
      <c r="P97" t="str">
        <f ca="1">IF($K97="Yes",COUNTIFS($K$4:$K97,"Yes"),"")</f>
        <v/>
      </c>
      <c r="Q97">
        <f t="shared" ca="1" si="7"/>
        <v>0</v>
      </c>
      <c r="R97" t="str">
        <f ca="1">IF($Q97=1,SUM($Q$4:$Q97),"")</f>
        <v/>
      </c>
    </row>
    <row r="98" spans="1:18" ht="33.75" customHeight="1" x14ac:dyDescent="0.3">
      <c r="A98" s="2" t="s">
        <v>111</v>
      </c>
      <c r="B98" s="2" t="s">
        <v>62</v>
      </c>
      <c r="C98" s="3" t="s">
        <v>112</v>
      </c>
      <c r="D98" s="3" t="s">
        <v>84</v>
      </c>
      <c r="E98" s="2" t="s">
        <v>75</v>
      </c>
      <c r="F98" s="2"/>
      <c r="G98" s="5">
        <v>46362</v>
      </c>
      <c r="H98" s="5">
        <v>46397</v>
      </c>
      <c r="I98" s="4" t="s">
        <v>17</v>
      </c>
      <c r="J98" s="6">
        <f t="shared" si="5"/>
        <v>35</v>
      </c>
      <c r="K98" s="4" t="str">
        <f t="shared" ca="1" si="6"/>
        <v>No</v>
      </c>
      <c r="L98" s="7">
        <f t="shared" ca="1" si="8"/>
        <v>189</v>
      </c>
      <c r="M98" s="4" t="str">
        <f>IF($I98="Complete","Green",IF($H98="","Amber",IF($H98&lt;'[2]Read Me'!$B$4,"Red",IF($H98-'[2]Read Me'!$B$4&lt;=21,"Amber","Green"))))</f>
        <v>Green</v>
      </c>
      <c r="N98" s="3"/>
      <c r="O98" t="str">
        <f>IF($I98&lt;&gt;"Complete",IF(COUNTIFS($A$4:$A97,$A98,$B$4:$B97,$B98,$I$4:$I97,"&lt;&gt;Complete")=0,$A98&amp;"|"&amp;$B98,""),"")</f>
        <v/>
      </c>
      <c r="P98" t="str">
        <f ca="1">IF($K98="Yes",COUNTIFS($K$4:$K98,"Yes"),"")</f>
        <v/>
      </c>
      <c r="Q98">
        <f t="shared" ca="1" si="7"/>
        <v>0</v>
      </c>
      <c r="R98" t="str">
        <f ca="1">IF($Q98=1,SUM($Q$4:$Q98),"")</f>
        <v/>
      </c>
    </row>
    <row r="99" spans="1:18" ht="33.75" customHeight="1" x14ac:dyDescent="0.3">
      <c r="A99" s="2" t="s">
        <v>111</v>
      </c>
      <c r="B99" s="2" t="s">
        <v>62</v>
      </c>
      <c r="C99" s="3" t="s">
        <v>112</v>
      </c>
      <c r="D99" s="3" t="s">
        <v>118</v>
      </c>
      <c r="E99" s="2" t="s">
        <v>75</v>
      </c>
      <c r="F99" s="2"/>
      <c r="G99" s="5">
        <v>46369</v>
      </c>
      <c r="H99" s="5">
        <v>46404</v>
      </c>
      <c r="I99" s="4" t="s">
        <v>17</v>
      </c>
      <c r="J99" s="6">
        <f t="shared" si="5"/>
        <v>35</v>
      </c>
      <c r="K99" s="4" t="str">
        <f t="shared" ca="1" si="6"/>
        <v>No</v>
      </c>
      <c r="L99" s="7">
        <f t="shared" ca="1" si="8"/>
        <v>196</v>
      </c>
      <c r="M99" s="4" t="str">
        <f>IF($I99="Complete","Green",IF($H99="","Amber",IF($H99&lt;'[2]Read Me'!$B$4,"Red",IF($H99-'[2]Read Me'!$B$4&lt;=21,"Amber","Green"))))</f>
        <v>Green</v>
      </c>
      <c r="N99" s="3"/>
      <c r="O99" t="str">
        <f>IF($I99&lt;&gt;"Complete",IF(COUNTIFS($A$4:$A98,$A99,$B$4:$B98,$B99,$I$4:$I98,"&lt;&gt;Complete")=0,$A99&amp;"|"&amp;$B99,""),"")</f>
        <v/>
      </c>
      <c r="P99" t="str">
        <f ca="1">IF($K99="Yes",COUNTIFS($K$4:$K99,"Yes"),"")</f>
        <v/>
      </c>
      <c r="Q99">
        <f t="shared" ca="1" si="7"/>
        <v>0</v>
      </c>
      <c r="R99" t="str">
        <f ca="1">IF($Q99=1,SUM($Q$4:$Q99),"")</f>
        <v/>
      </c>
    </row>
    <row r="100" spans="1:18" ht="33.75" customHeight="1" x14ac:dyDescent="0.3">
      <c r="A100" s="2" t="s">
        <v>111</v>
      </c>
      <c r="B100" s="2" t="s">
        <v>62</v>
      </c>
      <c r="C100" s="3" t="s">
        <v>112</v>
      </c>
      <c r="D100" s="3" t="s">
        <v>35</v>
      </c>
      <c r="E100" s="2" t="s">
        <v>75</v>
      </c>
      <c r="F100" s="2"/>
      <c r="G100" s="5">
        <v>46383</v>
      </c>
      <c r="H100" s="5">
        <v>46418</v>
      </c>
      <c r="I100" s="4" t="s">
        <v>17</v>
      </c>
      <c r="J100" s="6">
        <f t="shared" si="5"/>
        <v>35</v>
      </c>
      <c r="K100" s="4" t="str">
        <f t="shared" ca="1" si="6"/>
        <v>No</v>
      </c>
      <c r="L100" s="7">
        <f t="shared" ca="1" si="8"/>
        <v>210</v>
      </c>
      <c r="M100" s="4" t="str">
        <f>IF($I100="Complete","Green",IF($H100="","Amber",IF($H100&lt;'[2]Read Me'!$B$4,"Red",IF($H100-'[2]Read Me'!$B$4&lt;=21,"Amber","Green"))))</f>
        <v>Green</v>
      </c>
      <c r="N100" s="3"/>
      <c r="O100" t="str">
        <f>IF($I100&lt;&gt;"Complete",IF(COUNTIFS($A$4:$A99,$A100,$B$4:$B99,$B100,$I$4:$I99,"&lt;&gt;Complete")=0,$A100&amp;"|"&amp;$B100,""),"")</f>
        <v/>
      </c>
      <c r="P100" t="str">
        <f ca="1">IF($K100="Yes",COUNTIFS($K$4:$K100,"Yes"),"")</f>
        <v/>
      </c>
      <c r="Q100">
        <f t="shared" ca="1" si="7"/>
        <v>0</v>
      </c>
      <c r="R100" t="str">
        <f ca="1">IF($Q100=1,SUM($Q$4:$Q100),"")</f>
        <v/>
      </c>
    </row>
    <row r="101" spans="1:18" ht="33.75" customHeight="1" x14ac:dyDescent="0.3">
      <c r="A101" s="2" t="s">
        <v>111</v>
      </c>
      <c r="B101" s="2" t="s">
        <v>62</v>
      </c>
      <c r="C101" s="3" t="s">
        <v>112</v>
      </c>
      <c r="D101" s="3" t="s">
        <v>20</v>
      </c>
      <c r="E101" s="2" t="s">
        <v>33</v>
      </c>
      <c r="F101" s="2" t="s">
        <v>81</v>
      </c>
      <c r="G101" s="5">
        <v>46390</v>
      </c>
      <c r="H101" s="5">
        <v>46425</v>
      </c>
      <c r="I101" s="4" t="s">
        <v>17</v>
      </c>
      <c r="J101" s="6">
        <f t="shared" si="5"/>
        <v>35</v>
      </c>
      <c r="K101" s="4" t="str">
        <f t="shared" ca="1" si="6"/>
        <v>No</v>
      </c>
      <c r="L101" s="7">
        <f t="shared" ca="1" si="8"/>
        <v>217</v>
      </c>
      <c r="M101" s="4" t="str">
        <f>IF($I101="Complete","Green",IF($H101="","Amber",IF($H101&lt;'[2]Read Me'!$B$4,"Red",IF($H101-'[2]Read Me'!$B$4&lt;=21,"Amber","Green"))))</f>
        <v>Green</v>
      </c>
      <c r="N101" s="3"/>
      <c r="O101" t="str">
        <f>IF($I101&lt;&gt;"Complete",IF(COUNTIFS($A$4:$A100,$A101,$B$4:$B100,$B101,$I$4:$I100,"&lt;&gt;Complete")=0,$A101&amp;"|"&amp;$B101,""),"")</f>
        <v/>
      </c>
      <c r="P101" t="str">
        <f ca="1">IF($K101="Yes",COUNTIFS($K$4:$K101,"Yes"),"")</f>
        <v/>
      </c>
      <c r="Q101">
        <f t="shared" ca="1" si="7"/>
        <v>0</v>
      </c>
      <c r="R101" t="str">
        <f ca="1">IF($Q101=1,SUM($Q$4:$Q101),"")</f>
        <v/>
      </c>
    </row>
    <row r="102" spans="1:18" ht="33.75" customHeight="1" x14ac:dyDescent="0.3">
      <c r="A102" s="2" t="s">
        <v>111</v>
      </c>
      <c r="B102" s="2" t="s">
        <v>62</v>
      </c>
      <c r="C102" s="3" t="s">
        <v>112</v>
      </c>
      <c r="D102" s="3" t="s">
        <v>119</v>
      </c>
      <c r="E102" s="2" t="s">
        <v>75</v>
      </c>
      <c r="F102" s="2"/>
      <c r="G102" s="5">
        <v>46404</v>
      </c>
      <c r="H102" s="5">
        <v>46439</v>
      </c>
      <c r="I102" s="4" t="s">
        <v>17</v>
      </c>
      <c r="J102" s="6">
        <f t="shared" si="5"/>
        <v>35</v>
      </c>
      <c r="K102" s="4" t="str">
        <f t="shared" ca="1" si="6"/>
        <v>No</v>
      </c>
      <c r="L102" s="7">
        <f t="shared" ca="1" si="8"/>
        <v>231</v>
      </c>
      <c r="M102" s="4" t="str">
        <f>IF($I102="Complete","Green",IF($H102="","Amber",IF($H102&lt;'[2]Read Me'!$B$4,"Red",IF($H102-'[2]Read Me'!$B$4&lt;=21,"Amber","Green"))))</f>
        <v>Green</v>
      </c>
      <c r="N102" s="3"/>
      <c r="O102" t="str">
        <f>IF($I102&lt;&gt;"Complete",IF(COUNTIFS($A$4:$A101,$A102,$B$4:$B101,$B102,$I$4:$I101,"&lt;&gt;Complete")=0,$A102&amp;"|"&amp;$B102,""),"")</f>
        <v/>
      </c>
      <c r="P102" t="str">
        <f ca="1">IF($K102="Yes",COUNTIFS($K$4:$K102,"Yes"),"")</f>
        <v/>
      </c>
      <c r="Q102">
        <f t="shared" ca="1" si="7"/>
        <v>0</v>
      </c>
      <c r="R102" t="str">
        <f ca="1">IF($Q102=1,SUM($Q$4:$Q102),"")</f>
        <v/>
      </c>
    </row>
    <row r="103" spans="1:18" ht="33.75" customHeight="1" x14ac:dyDescent="0.3">
      <c r="A103" s="2" t="s">
        <v>111</v>
      </c>
      <c r="B103" s="2" t="s">
        <v>62</v>
      </c>
      <c r="C103" s="3" t="s">
        <v>112</v>
      </c>
      <c r="D103" s="3" t="s">
        <v>37</v>
      </c>
      <c r="E103" s="2" t="s">
        <v>75</v>
      </c>
      <c r="F103" s="2"/>
      <c r="G103" s="5">
        <v>46418</v>
      </c>
      <c r="H103" s="5">
        <v>46453</v>
      </c>
      <c r="I103" s="4" t="s">
        <v>17</v>
      </c>
      <c r="J103" s="6">
        <f t="shared" si="5"/>
        <v>35</v>
      </c>
      <c r="K103" s="4" t="str">
        <f t="shared" ca="1" si="6"/>
        <v>No</v>
      </c>
      <c r="L103" s="7">
        <f t="shared" ca="1" si="8"/>
        <v>245</v>
      </c>
      <c r="M103" s="4" t="str">
        <f>IF($I103="Complete","Green",IF($H103="","Amber",IF($H103&lt;'[2]Read Me'!$B$4,"Red",IF($H103-'[2]Read Me'!$B$4&lt;=21,"Amber","Green"))))</f>
        <v>Green</v>
      </c>
      <c r="N103" s="3"/>
      <c r="O103" t="str">
        <f>IF($I103&lt;&gt;"Complete",IF(COUNTIFS($A$4:$A102,$A103,$B$4:$B102,$B103,$I$4:$I102,"&lt;&gt;Complete")=0,$A103&amp;"|"&amp;$B103,""),"")</f>
        <v/>
      </c>
      <c r="P103" t="str">
        <f ca="1">IF($K103="Yes",COUNTIFS($K$4:$K103,"Yes"),"")</f>
        <v/>
      </c>
      <c r="Q103">
        <f t="shared" ca="1" si="7"/>
        <v>0</v>
      </c>
      <c r="R103" t="str">
        <f ca="1">IF($Q103=1,SUM($Q$4:$Q103),"")</f>
        <v/>
      </c>
    </row>
    <row r="104" spans="1:18" ht="33.75" customHeight="1" x14ac:dyDescent="0.3">
      <c r="A104" s="2" t="s">
        <v>120</v>
      </c>
      <c r="B104" s="2" t="s">
        <v>49</v>
      </c>
      <c r="C104" s="3"/>
      <c r="D104" s="3"/>
      <c r="E104" s="2"/>
      <c r="F104" s="2"/>
      <c r="G104" s="5">
        <v>46502</v>
      </c>
      <c r="H104" s="5">
        <v>46537</v>
      </c>
      <c r="I104" s="4"/>
      <c r="J104" s="6">
        <f t="shared" si="5"/>
        <v>35</v>
      </c>
      <c r="K104" s="4" t="str">
        <f t="shared" ca="1" si="6"/>
        <v/>
      </c>
      <c r="L104" s="7">
        <f t="shared" ca="1" si="8"/>
        <v>329</v>
      </c>
      <c r="M104" s="4" t="str">
        <f>IF($I104="Complete","Green",IF($H104="","Amber",IF($H104&lt;'[2]Read Me'!$B$4,"Red",IF($H104-'[2]Read Me'!$B$4&lt;=21,"Amber","Green"))))</f>
        <v>Green</v>
      </c>
      <c r="N104" s="3"/>
      <c r="O104" t="str">
        <f>IF($I104&lt;&gt;"Complete",IF(COUNTIFS($A$4:$A103,$A104,$B$4:$B103,$B104,$I$4:$I103,"&lt;&gt;Complete")=0,$A104&amp;"|"&amp;$B104,""),"")</f>
        <v>Authorities (Phase.03)|Authorities</v>
      </c>
      <c r="P104" t="str">
        <f ca="1">IF($K104="Yes",COUNTIFS($K$4:$K104,"Yes"),"")</f>
        <v/>
      </c>
      <c r="Q104">
        <f t="shared" ca="1" si="7"/>
        <v>0</v>
      </c>
      <c r="R104" t="str">
        <f ca="1">IF($Q104=1,SUM($Q$4:$Q104),"")</f>
        <v/>
      </c>
    </row>
    <row r="105" spans="1:18" ht="33.75" customHeight="1" x14ac:dyDescent="0.3">
      <c r="A105" s="2" t="s">
        <v>120</v>
      </c>
      <c r="B105" s="2" t="s">
        <v>49</v>
      </c>
      <c r="C105" s="3" t="s">
        <v>121</v>
      </c>
      <c r="D105" s="3" t="s">
        <v>91</v>
      </c>
      <c r="E105" s="2"/>
      <c r="F105" s="2"/>
      <c r="G105" s="5">
        <v>46404</v>
      </c>
      <c r="H105" s="5">
        <v>46439</v>
      </c>
      <c r="I105" s="4" t="s">
        <v>17</v>
      </c>
      <c r="J105" s="6">
        <f t="shared" si="5"/>
        <v>35</v>
      </c>
      <c r="K105" s="4" t="str">
        <f t="shared" ca="1" si="6"/>
        <v>No</v>
      </c>
      <c r="L105" s="7">
        <f t="shared" ca="1" si="8"/>
        <v>231</v>
      </c>
      <c r="M105" s="4" t="str">
        <f>IF($I105="Complete","Green",IF($H105="","Amber",IF($H105&lt;'[2]Read Me'!$B$4,"Red",IF($H105-'[2]Read Me'!$B$4&lt;=21,"Amber","Green"))))</f>
        <v>Green</v>
      </c>
      <c r="N105" s="3"/>
      <c r="O105" t="str">
        <f>IF($I105&lt;&gt;"Complete",IF(COUNTIFS($A$4:$A104,$A105,$B$4:$B104,$B105,$I$4:$I104,"&lt;&gt;Complete")=0,$A105&amp;"|"&amp;$B105,""),"")</f>
        <v/>
      </c>
      <c r="P105" t="str">
        <f ca="1">IF($K105="Yes",COUNTIFS($K$4:$K105,"Yes"),"")</f>
        <v/>
      </c>
      <c r="Q105">
        <f t="shared" ca="1" si="7"/>
        <v>0</v>
      </c>
      <c r="R105" t="str">
        <f ca="1">IF($Q105=1,SUM($Q$4:$Q105),"")</f>
        <v/>
      </c>
    </row>
    <row r="106" spans="1:18" ht="22.5" customHeight="1" x14ac:dyDescent="0.3">
      <c r="A106" s="2" t="s">
        <v>120</v>
      </c>
      <c r="B106" s="2" t="s">
        <v>49</v>
      </c>
      <c r="C106" s="3" t="s">
        <v>121</v>
      </c>
      <c r="D106" s="3" t="s">
        <v>93</v>
      </c>
      <c r="E106" s="2"/>
      <c r="F106" s="2"/>
      <c r="G106" s="5">
        <v>46446</v>
      </c>
      <c r="H106" s="5">
        <v>46481</v>
      </c>
      <c r="I106" s="4" t="s">
        <v>17</v>
      </c>
      <c r="J106" s="6">
        <f t="shared" si="5"/>
        <v>35</v>
      </c>
      <c r="K106" s="4" t="str">
        <f t="shared" ca="1" si="6"/>
        <v>No</v>
      </c>
      <c r="L106" s="7">
        <f t="shared" ca="1" si="8"/>
        <v>273</v>
      </c>
      <c r="M106" s="4" t="str">
        <f>IF($I106="Complete","Green",IF($H106="","Amber",IF($H106&lt;'[2]Read Me'!$B$4,"Red",IF($H106-'[2]Read Me'!$B$4&lt;=21,"Amber","Green"))))</f>
        <v>Green</v>
      </c>
      <c r="N106" s="3"/>
      <c r="O106" t="str">
        <f>IF($I106&lt;&gt;"Complete",IF(COUNTIFS($A$4:$A105,$A106,$B$4:$B105,$B106,$I$4:$I105,"&lt;&gt;Complete")=0,$A106&amp;"|"&amp;$B106,""),"")</f>
        <v/>
      </c>
      <c r="P106" t="str">
        <f ca="1">IF($K106="Yes",COUNTIFS($K$4:$K106,"Yes"),"")</f>
        <v/>
      </c>
      <c r="Q106">
        <f t="shared" ca="1" si="7"/>
        <v>0</v>
      </c>
      <c r="R106" t="str">
        <f ca="1">IF($Q106=1,SUM($Q$4:$Q106),"")</f>
        <v/>
      </c>
    </row>
    <row r="107" spans="1:18" ht="22.5" customHeight="1" x14ac:dyDescent="0.3">
      <c r="A107" s="2" t="s">
        <v>120</v>
      </c>
      <c r="B107" s="2" t="s">
        <v>49</v>
      </c>
      <c r="C107" s="3" t="s">
        <v>121</v>
      </c>
      <c r="D107" s="3" t="s">
        <v>94</v>
      </c>
      <c r="E107" s="2"/>
      <c r="F107" s="2"/>
      <c r="G107" s="5">
        <v>46502</v>
      </c>
      <c r="H107" s="5">
        <v>46537</v>
      </c>
      <c r="I107" s="4" t="s">
        <v>17</v>
      </c>
      <c r="J107" s="6">
        <f t="shared" si="5"/>
        <v>35</v>
      </c>
      <c r="K107" s="4" t="str">
        <f t="shared" ca="1" si="6"/>
        <v>No</v>
      </c>
      <c r="L107" s="7">
        <f t="shared" ca="1" si="8"/>
        <v>329</v>
      </c>
      <c r="M107" s="4" t="str">
        <f>IF($I107="Complete","Green",IF($H107="","Amber",IF($H107&lt;'[2]Read Me'!$B$4,"Red",IF($H107-'[2]Read Me'!$B$4&lt;=21,"Amber","Green"))))</f>
        <v>Green</v>
      </c>
      <c r="N107" s="3"/>
      <c r="O107" t="str">
        <f>IF($I107&lt;&gt;"Complete",IF(COUNTIFS($A$4:$A106,$A107,$B$4:$B106,$B107,$I$4:$I106,"&lt;&gt;Complete")=0,$A107&amp;"|"&amp;$B107,""),"")</f>
        <v/>
      </c>
      <c r="P107" t="str">
        <f ca="1">IF($K107="Yes",COUNTIFS($K$4:$K107,"Yes"),"")</f>
        <v/>
      </c>
      <c r="Q107">
        <f t="shared" ca="1" si="7"/>
        <v>0</v>
      </c>
      <c r="R107" t="str">
        <f ca="1">IF($Q107=1,SUM($Q$4:$Q107),"")</f>
        <v/>
      </c>
    </row>
    <row r="108" spans="1:18" ht="22.5" customHeight="1" x14ac:dyDescent="0.3">
      <c r="A108" s="2" t="s">
        <v>139</v>
      </c>
      <c r="B108" s="2" t="s">
        <v>140</v>
      </c>
      <c r="C108" s="3"/>
      <c r="D108" s="3"/>
      <c r="E108" s="2"/>
      <c r="F108" s="2"/>
      <c r="G108" s="5">
        <v>46334</v>
      </c>
      <c r="H108" s="5">
        <v>46418</v>
      </c>
      <c r="I108" s="4"/>
      <c r="J108" s="6">
        <f t="shared" si="5"/>
        <v>84</v>
      </c>
      <c r="K108" s="4" t="str">
        <f t="shared" ca="1" si="6"/>
        <v/>
      </c>
      <c r="L108" s="7">
        <f t="shared" ca="1" si="8"/>
        <v>210</v>
      </c>
      <c r="M108" s="4" t="str">
        <f>IF($I108="Complete","Green",IF($H108="","Amber",IF($H108&lt;'[2]Read Me'!$B$4,"Red",IF($H108-'[2]Read Me'!$B$4&lt;=21,"Amber","Green"))))</f>
        <v>Green</v>
      </c>
      <c r="N108" s="3"/>
      <c r="O108" t="str">
        <f>IF($I108&lt;&gt;"Complete",IF(COUNTIFS($A$4:$A107,$A108,$B$4:$B107,$B108,$I$4:$I107,"&lt;&gt;Complete")=0,$A108&amp;"|"&amp;$B108,""),"")</f>
        <v>Masterplan (All Phases)|Masterplan</v>
      </c>
      <c r="P108" t="str">
        <f ca="1">IF($K108="Yes",COUNTIFS($K$4:$K108,"Yes"),"")</f>
        <v/>
      </c>
      <c r="Q108">
        <f t="shared" ca="1" si="7"/>
        <v>0</v>
      </c>
      <c r="R108" t="str">
        <f ca="1">IF($Q108=1,SUM($Q$4:$Q108),"")</f>
        <v/>
      </c>
    </row>
    <row r="109" spans="1:18" ht="22.5" customHeight="1" x14ac:dyDescent="0.3">
      <c r="A109" s="2" t="s">
        <v>139</v>
      </c>
      <c r="B109" s="2" t="s">
        <v>140</v>
      </c>
      <c r="C109" s="3" t="s">
        <v>139</v>
      </c>
      <c r="D109" s="3" t="s">
        <v>69</v>
      </c>
      <c r="E109" s="2" t="s">
        <v>65</v>
      </c>
      <c r="F109" s="2" t="s">
        <v>66</v>
      </c>
      <c r="G109" s="5">
        <v>46201</v>
      </c>
      <c r="H109" s="5">
        <v>46201</v>
      </c>
      <c r="I109" s="4" t="s">
        <v>46</v>
      </c>
      <c r="J109" s="6">
        <f t="shared" si="5"/>
        <v>0</v>
      </c>
      <c r="K109" s="4" t="str">
        <f t="shared" ca="1" si="6"/>
        <v>Yes</v>
      </c>
      <c r="L109" s="7">
        <f t="shared" ca="1" si="8"/>
        <v>-7</v>
      </c>
      <c r="M109" s="4" t="str">
        <f>IF($I109="Complete","Green",IF($H109="","Amber",IF($H109&lt;'[2]Read Me'!$B$4,"Red",IF($H109-'[2]Read Me'!$B$4&lt;=21,"Amber","Green"))))</f>
        <v>Amber</v>
      </c>
      <c r="N109" s="3"/>
      <c r="O109" t="str">
        <f>IF($I109&lt;&gt;"Complete",IF(COUNTIFS($A$4:$A108,$A109,$B$4:$B108,$B109,$I$4:$I108,"&lt;&gt;Complete")=0,$A109&amp;"|"&amp;$B109,""),"")</f>
        <v/>
      </c>
      <c r="P109">
        <f ca="1">IF($K109="Yes",COUNTIFS($K$4:$K109,"Yes"),"")</f>
        <v>2</v>
      </c>
      <c r="Q109">
        <f t="shared" ca="1" si="7"/>
        <v>1</v>
      </c>
      <c r="R109">
        <f ca="1">IF($Q109=1,SUM($Q$4:$Q109),"")</f>
        <v>2</v>
      </c>
    </row>
    <row r="110" spans="1:18" ht="22.5" customHeight="1" x14ac:dyDescent="0.3">
      <c r="A110" s="2" t="s">
        <v>139</v>
      </c>
      <c r="B110" s="2" t="s">
        <v>140</v>
      </c>
      <c r="C110" s="3" t="s">
        <v>139</v>
      </c>
      <c r="D110" s="3" t="s">
        <v>70</v>
      </c>
      <c r="E110" s="2" t="s">
        <v>65</v>
      </c>
      <c r="F110" s="2" t="s">
        <v>68</v>
      </c>
      <c r="G110" s="5">
        <v>46215</v>
      </c>
      <c r="H110" s="5">
        <v>46215</v>
      </c>
      <c r="I110" s="4" t="s">
        <v>17</v>
      </c>
      <c r="J110" s="6">
        <f t="shared" si="5"/>
        <v>0</v>
      </c>
      <c r="K110" s="4" t="str">
        <f t="shared" ca="1" si="6"/>
        <v>No</v>
      </c>
      <c r="L110" s="7">
        <f t="shared" ca="1" si="8"/>
        <v>7</v>
      </c>
      <c r="M110" s="4" t="str">
        <f>IF($I110="Complete","Green",IF($H110="","Amber",IF($H110&lt;'[2]Read Me'!$B$4,"Red",IF($H110-'[2]Read Me'!$B$4&lt;=21,"Amber","Green"))))</f>
        <v>Green</v>
      </c>
      <c r="N110" s="3"/>
      <c r="O110" t="str">
        <f>IF($I110&lt;&gt;"Complete",IF(COUNTIFS($A$4:$A109,$A110,$B$4:$B109,$B110,$I$4:$I109,"&lt;&gt;Complete")=0,$A110&amp;"|"&amp;$B110,""),"")</f>
        <v/>
      </c>
      <c r="P110" t="str">
        <f ca="1">IF($K110="Yes",COUNTIFS($K$4:$K110,"Yes"),"")</f>
        <v/>
      </c>
      <c r="Q110">
        <f t="shared" ca="1" si="7"/>
        <v>0</v>
      </c>
      <c r="R110" t="str">
        <f ca="1">IF($Q110=1,SUM($Q$4:$Q110),"")</f>
        <v/>
      </c>
    </row>
    <row r="111" spans="1:18" ht="22.5" customHeight="1" x14ac:dyDescent="0.3">
      <c r="A111" s="2" t="s">
        <v>139</v>
      </c>
      <c r="B111" s="2" t="s">
        <v>140</v>
      </c>
      <c r="C111" s="3" t="s">
        <v>139</v>
      </c>
      <c r="D111" s="3" t="s">
        <v>71</v>
      </c>
      <c r="E111" s="2" t="s">
        <v>65</v>
      </c>
      <c r="F111" s="2" t="s">
        <v>66</v>
      </c>
      <c r="G111" s="5">
        <v>46229</v>
      </c>
      <c r="H111" s="5">
        <v>46229</v>
      </c>
      <c r="I111" s="4" t="s">
        <v>17</v>
      </c>
      <c r="J111" s="6">
        <f t="shared" si="5"/>
        <v>0</v>
      </c>
      <c r="K111" s="4" t="str">
        <f t="shared" ca="1" si="6"/>
        <v>No</v>
      </c>
      <c r="L111" s="7">
        <f t="shared" ca="1" si="8"/>
        <v>21</v>
      </c>
      <c r="M111" s="4" t="str">
        <f>IF($I111="Complete","Green",IF($H111="","Amber",IF($H111&lt;'[2]Read Me'!$B$4,"Red",IF($H111-'[2]Read Me'!$B$4&lt;=21,"Amber","Green"))))</f>
        <v>Green</v>
      </c>
      <c r="N111" s="3"/>
      <c r="O111" t="str">
        <f>IF($I111&lt;&gt;"Complete",IF(COUNTIFS($A$4:$A110,$A111,$B$4:$B110,$B111,$I$4:$I110,"&lt;&gt;Complete")=0,$A111&amp;"|"&amp;$B111,""),"")</f>
        <v/>
      </c>
      <c r="P111" t="str">
        <f ca="1">IF($K111="Yes",COUNTIFS($K$4:$K111,"Yes"),"")</f>
        <v/>
      </c>
      <c r="Q111">
        <f t="shared" ca="1" si="7"/>
        <v>0</v>
      </c>
      <c r="R111" t="str">
        <f ca="1">IF($Q111=1,SUM($Q$4:$Q111),"")</f>
        <v/>
      </c>
    </row>
    <row r="112" spans="1:18" ht="22.5" customHeight="1" x14ac:dyDescent="0.3">
      <c r="A112" s="2" t="s">
        <v>139</v>
      </c>
      <c r="B112" s="2" t="s">
        <v>140</v>
      </c>
      <c r="C112" s="3" t="s">
        <v>139</v>
      </c>
      <c r="D112" s="3" t="s">
        <v>47</v>
      </c>
      <c r="E112" s="2" t="s">
        <v>65</v>
      </c>
      <c r="F112" s="2" t="s">
        <v>68</v>
      </c>
      <c r="G112" s="5">
        <v>46243</v>
      </c>
      <c r="H112" s="5">
        <v>46243</v>
      </c>
      <c r="I112" s="4" t="s">
        <v>17</v>
      </c>
      <c r="J112" s="6">
        <f t="shared" si="5"/>
        <v>0</v>
      </c>
      <c r="K112" s="4" t="str">
        <f t="shared" ca="1" si="6"/>
        <v>No</v>
      </c>
      <c r="L112" s="7">
        <f t="shared" ca="1" si="8"/>
        <v>35</v>
      </c>
      <c r="M112" s="4" t="str">
        <f>IF($I112="Complete","Green",IF($H112="","Amber",IF($H112&lt;'[2]Read Me'!$B$4,"Red",IF($H112-'[2]Read Me'!$B$4&lt;=21,"Amber","Green"))))</f>
        <v>Green</v>
      </c>
      <c r="N112" s="3"/>
      <c r="O112" t="str">
        <f>IF($I112&lt;&gt;"Complete",IF(COUNTIFS($A$4:$A111,$A112,$B$4:$B111,$B112,$I$4:$I111,"&lt;&gt;Complete")=0,$A112&amp;"|"&amp;$B112,""),"")</f>
        <v/>
      </c>
      <c r="P112" t="str">
        <f ca="1">IF($K112="Yes",COUNTIFS($K$4:$K112,"Yes"),"")</f>
        <v/>
      </c>
      <c r="Q112">
        <f t="shared" ca="1" si="7"/>
        <v>0</v>
      </c>
      <c r="R112" t="str">
        <f ca="1">IF($Q112=1,SUM($Q$4:$Q112),"")</f>
        <v/>
      </c>
    </row>
    <row r="113" spans="1:18" ht="22.5" customHeight="1" x14ac:dyDescent="0.3">
      <c r="A113" s="2" t="s">
        <v>139</v>
      </c>
      <c r="B113" s="2" t="s">
        <v>140</v>
      </c>
      <c r="C113" s="3" t="s">
        <v>139</v>
      </c>
      <c r="D113" s="3" t="s">
        <v>72</v>
      </c>
      <c r="E113" s="2" t="s">
        <v>65</v>
      </c>
      <c r="F113" s="2" t="s">
        <v>66</v>
      </c>
      <c r="G113" s="5">
        <v>46215</v>
      </c>
      <c r="H113" s="5">
        <v>46215</v>
      </c>
      <c r="I113" s="4" t="s">
        <v>17</v>
      </c>
      <c r="J113" s="6">
        <f t="shared" si="5"/>
        <v>0</v>
      </c>
      <c r="K113" s="4" t="str">
        <f t="shared" ca="1" si="6"/>
        <v>No</v>
      </c>
      <c r="L113" s="7">
        <f t="shared" ca="1" si="8"/>
        <v>7</v>
      </c>
      <c r="M113" s="4" t="str">
        <f>IF($I113="Complete","Green",IF($H113="","Amber",IF($H113&lt;'[2]Read Me'!$B$4,"Red",IF($H113-'[2]Read Me'!$B$4&lt;=21,"Amber","Green"))))</f>
        <v>Green</v>
      </c>
      <c r="N113" s="3"/>
      <c r="O113" t="str">
        <f>IF($I113&lt;&gt;"Complete",IF(COUNTIFS($A$4:$A112,$A113,$B$4:$B112,$B113,$I$4:$I112,"&lt;&gt;Complete")=0,$A113&amp;"|"&amp;$B113,""),"")</f>
        <v/>
      </c>
      <c r="P113" t="str">
        <f ca="1">IF($K113="Yes",COUNTIFS($K$4:$K113,"Yes"),"")</f>
        <v/>
      </c>
      <c r="Q113">
        <f t="shared" ca="1" si="7"/>
        <v>0</v>
      </c>
      <c r="R113" t="str">
        <f ca="1">IF($Q113=1,SUM($Q$4:$Q113),"")</f>
        <v/>
      </c>
    </row>
    <row r="114" spans="1:18" ht="22.5" customHeight="1" x14ac:dyDescent="0.3">
      <c r="A114" s="2" t="s">
        <v>139</v>
      </c>
      <c r="B114" s="2" t="s">
        <v>140</v>
      </c>
      <c r="C114" s="3" t="s">
        <v>139</v>
      </c>
      <c r="D114" s="3" t="s">
        <v>70</v>
      </c>
      <c r="E114" s="2" t="s">
        <v>65</v>
      </c>
      <c r="F114" s="2" t="s">
        <v>68</v>
      </c>
      <c r="G114" s="5">
        <v>46229</v>
      </c>
      <c r="H114" s="5">
        <v>46229</v>
      </c>
      <c r="I114" s="4" t="s">
        <v>17</v>
      </c>
      <c r="J114" s="6">
        <f t="shared" si="5"/>
        <v>0</v>
      </c>
      <c r="K114" s="4" t="str">
        <f t="shared" ca="1" si="6"/>
        <v>No</v>
      </c>
      <c r="L114" s="7">
        <f t="shared" ca="1" si="8"/>
        <v>21</v>
      </c>
      <c r="M114" s="4" t="str">
        <f>IF($I114="Complete","Green",IF($H114="","Amber",IF($H114&lt;'[2]Read Me'!$B$4,"Red",IF($H114-'[2]Read Me'!$B$4&lt;=21,"Amber","Green"))))</f>
        <v>Green</v>
      </c>
      <c r="N114" s="3"/>
      <c r="O114" t="str">
        <f>IF($I114&lt;&gt;"Complete",IF(COUNTIFS($A$4:$A113,$A114,$B$4:$B113,$B114,$I$4:$I113,"&lt;&gt;Complete")=0,$A114&amp;"|"&amp;$B114,""),"")</f>
        <v/>
      </c>
      <c r="P114" t="str">
        <f ca="1">IF($K114="Yes",COUNTIFS($K$4:$K114,"Yes"),"")</f>
        <v/>
      </c>
      <c r="Q114">
        <f t="shared" ca="1" si="7"/>
        <v>0</v>
      </c>
      <c r="R114" t="str">
        <f ca="1">IF($Q114=1,SUM($Q$4:$Q114),"")</f>
        <v/>
      </c>
    </row>
    <row r="115" spans="1:18" ht="22.5" customHeight="1" x14ac:dyDescent="0.3">
      <c r="A115" s="2" t="s">
        <v>139</v>
      </c>
      <c r="B115" s="2" t="s">
        <v>140</v>
      </c>
      <c r="C115" s="3" t="s">
        <v>139</v>
      </c>
      <c r="D115" s="3" t="s">
        <v>73</v>
      </c>
      <c r="E115" s="2" t="s">
        <v>65</v>
      </c>
      <c r="F115" s="2" t="s">
        <v>66</v>
      </c>
      <c r="G115" s="5">
        <v>46243</v>
      </c>
      <c r="H115" s="5">
        <v>46243</v>
      </c>
      <c r="I115" s="4" t="s">
        <v>17</v>
      </c>
      <c r="J115" s="6">
        <f t="shared" si="5"/>
        <v>0</v>
      </c>
      <c r="K115" s="4" t="str">
        <f t="shared" ca="1" si="6"/>
        <v>No</v>
      </c>
      <c r="L115" s="7">
        <f t="shared" ca="1" si="8"/>
        <v>35</v>
      </c>
      <c r="M115" s="4" t="str">
        <f>IF($I115="Complete","Green",IF($H115="","Amber",IF($H115&lt;'[2]Read Me'!$B$4,"Red",IF($H115-'[2]Read Me'!$B$4&lt;=21,"Amber","Green"))))</f>
        <v>Green</v>
      </c>
      <c r="N115" s="3"/>
      <c r="O115" t="str">
        <f>IF($I115&lt;&gt;"Complete",IF(COUNTIFS($A$4:$A114,$A115,$B$4:$B114,$B115,$I$4:$I114,"&lt;&gt;Complete")=0,$A115&amp;"|"&amp;$B115,""),"")</f>
        <v/>
      </c>
      <c r="P115" t="str">
        <f ca="1">IF($K115="Yes",COUNTIFS($K$4:$K115,"Yes"),"")</f>
        <v/>
      </c>
      <c r="Q115">
        <f t="shared" ca="1" si="7"/>
        <v>0</v>
      </c>
      <c r="R115" t="str">
        <f ca="1">IF($Q115=1,SUM($Q$4:$Q115),"")</f>
        <v/>
      </c>
    </row>
    <row r="116" spans="1:18" ht="22.5" customHeight="1" x14ac:dyDescent="0.3">
      <c r="A116" s="2" t="s">
        <v>139</v>
      </c>
      <c r="B116" s="2" t="s">
        <v>140</v>
      </c>
      <c r="C116" s="3" t="s">
        <v>139</v>
      </c>
      <c r="D116" s="3" t="s">
        <v>47</v>
      </c>
      <c r="E116" s="2" t="s">
        <v>65</v>
      </c>
      <c r="F116" s="2" t="s">
        <v>68</v>
      </c>
      <c r="G116" s="5">
        <v>46257</v>
      </c>
      <c r="H116" s="5">
        <v>46257</v>
      </c>
      <c r="I116" s="4" t="s">
        <v>17</v>
      </c>
      <c r="J116" s="6">
        <f t="shared" si="5"/>
        <v>0</v>
      </c>
      <c r="K116" s="4" t="str">
        <f t="shared" ca="1" si="6"/>
        <v>No</v>
      </c>
      <c r="L116" s="7">
        <f t="shared" ca="1" si="8"/>
        <v>49</v>
      </c>
      <c r="M116" s="4" t="str">
        <f>IF($I116="Complete","Green",IF($H116="","Amber",IF($H116&lt;'[2]Read Me'!$B$4,"Red",IF($H116-'[2]Read Me'!$B$4&lt;=21,"Amber","Green"))))</f>
        <v>Green</v>
      </c>
      <c r="N116" s="3"/>
      <c r="O116" t="str">
        <f>IF($I116&lt;&gt;"Complete",IF(COUNTIFS($A$4:$A115,$A116,$B$4:$B115,$B116,$I$4:$I115,"&lt;&gt;Complete")=0,$A116&amp;"|"&amp;$B116,""),"")</f>
        <v/>
      </c>
      <c r="P116" t="str">
        <f ca="1">IF($K116="Yes",COUNTIFS($K$4:$K116,"Yes"),"")</f>
        <v/>
      </c>
      <c r="Q116">
        <f t="shared" ca="1" si="7"/>
        <v>0</v>
      </c>
      <c r="R116" t="str">
        <f ca="1">IF($Q116=1,SUM($Q$4:$Q116),"")</f>
        <v/>
      </c>
    </row>
    <row r="117" spans="1:18" ht="22.5" customHeight="1" x14ac:dyDescent="0.3">
      <c r="A117" s="2" t="s">
        <v>139</v>
      </c>
      <c r="B117" s="2" t="s">
        <v>140</v>
      </c>
      <c r="C117" s="3" t="s">
        <v>139</v>
      </c>
      <c r="D117" s="3" t="s">
        <v>78</v>
      </c>
      <c r="E117" s="2" t="s">
        <v>75</v>
      </c>
      <c r="F117" s="2"/>
      <c r="G117" s="5">
        <v>46187</v>
      </c>
      <c r="H117" s="5">
        <v>46271</v>
      </c>
      <c r="I117" s="4" t="s">
        <v>17</v>
      </c>
      <c r="J117" s="6">
        <f t="shared" si="5"/>
        <v>84</v>
      </c>
      <c r="K117" s="4" t="str">
        <f t="shared" ca="1" si="6"/>
        <v>No</v>
      </c>
      <c r="L117" s="7">
        <f t="shared" ca="1" si="8"/>
        <v>63</v>
      </c>
      <c r="M117" s="4" t="str">
        <f>IF($I117="Complete","Green",IF($H117="","Amber",IF($H117&lt;'[2]Read Me'!$B$4,"Red",IF($H117-'[2]Read Me'!$B$4&lt;=21,"Amber","Green"))))</f>
        <v>Green</v>
      </c>
      <c r="N117" s="3"/>
      <c r="O117" t="str">
        <f>IF($I117&lt;&gt;"Complete",IF(COUNTIFS($A$4:$A116,$A117,$B$4:$B116,$B117,$I$4:$I116,"&lt;&gt;Complete")=0,$A117&amp;"|"&amp;$B117,""),"")</f>
        <v/>
      </c>
      <c r="P117" t="str">
        <f ca="1">IF($K117="Yes",COUNTIFS($K$4:$K117,"Yes"),"")</f>
        <v/>
      </c>
      <c r="Q117">
        <f t="shared" ca="1" si="7"/>
        <v>0</v>
      </c>
      <c r="R117" t="str">
        <f ca="1">IF($Q117=1,SUM($Q$4:$Q117),"")</f>
        <v/>
      </c>
    </row>
    <row r="118" spans="1:18" ht="22.5" customHeight="1" x14ac:dyDescent="0.3">
      <c r="A118" s="2" t="s">
        <v>139</v>
      </c>
      <c r="B118" s="2" t="s">
        <v>140</v>
      </c>
      <c r="C118" s="3" t="s">
        <v>139</v>
      </c>
      <c r="D118" s="3" t="s">
        <v>80</v>
      </c>
      <c r="E118" s="2" t="s">
        <v>75</v>
      </c>
      <c r="F118" s="2"/>
      <c r="G118" s="5">
        <v>46194</v>
      </c>
      <c r="H118" s="5">
        <v>46278</v>
      </c>
      <c r="I118" s="4" t="s">
        <v>17</v>
      </c>
      <c r="J118" s="6">
        <f t="shared" si="5"/>
        <v>84</v>
      </c>
      <c r="K118" s="4" t="str">
        <f t="shared" ca="1" si="6"/>
        <v>No</v>
      </c>
      <c r="L118" s="7">
        <f t="shared" ca="1" si="8"/>
        <v>70</v>
      </c>
      <c r="M118" s="4" t="str">
        <f>IF($I118="Complete","Green",IF($H118="","Amber",IF($H118&lt;'[2]Read Me'!$B$4,"Red",IF($H118-'[2]Read Me'!$B$4&lt;=21,"Amber","Green"))))</f>
        <v>Green</v>
      </c>
      <c r="N118" s="3"/>
      <c r="O118" t="str">
        <f>IF($I118&lt;&gt;"Complete",IF(COUNTIFS($A$4:$A117,$A118,$B$4:$B117,$B118,$I$4:$I117,"&lt;&gt;Complete")=0,$A118&amp;"|"&amp;$B118,""),"")</f>
        <v/>
      </c>
      <c r="P118" t="str">
        <f ca="1">IF($K118="Yes",COUNTIFS($K$4:$K118,"Yes"),"")</f>
        <v/>
      </c>
      <c r="Q118">
        <f t="shared" ca="1" si="7"/>
        <v>0</v>
      </c>
      <c r="R118" t="str">
        <f ca="1">IF($Q118=1,SUM($Q$4:$Q118),"")</f>
        <v/>
      </c>
    </row>
    <row r="119" spans="1:18" ht="22.5" customHeight="1" x14ac:dyDescent="0.3">
      <c r="A119" s="2" t="s">
        <v>139</v>
      </c>
      <c r="B119" s="2" t="s">
        <v>140</v>
      </c>
      <c r="C119" s="3" t="s">
        <v>139</v>
      </c>
      <c r="D119" s="3" t="s">
        <v>123</v>
      </c>
      <c r="E119" s="2" t="s">
        <v>75</v>
      </c>
      <c r="F119" s="2"/>
      <c r="G119" s="5">
        <v>46215</v>
      </c>
      <c r="H119" s="5">
        <v>46299</v>
      </c>
      <c r="I119" s="4" t="s">
        <v>17</v>
      </c>
      <c r="J119" s="6">
        <f t="shared" si="5"/>
        <v>84</v>
      </c>
      <c r="K119" s="4" t="str">
        <f t="shared" ca="1" si="6"/>
        <v>No</v>
      </c>
      <c r="L119" s="7">
        <f t="shared" ca="1" si="8"/>
        <v>91</v>
      </c>
      <c r="M119" s="4" t="str">
        <f>IF($I119="Complete","Green",IF($H119="","Amber",IF($H119&lt;'[2]Read Me'!$B$4,"Red",IF($H119-'[2]Read Me'!$B$4&lt;=21,"Amber","Green"))))</f>
        <v>Green</v>
      </c>
      <c r="N119" s="3"/>
      <c r="O119" t="str">
        <f>IF($I119&lt;&gt;"Complete",IF(COUNTIFS($A$4:$A118,$A119,$B$4:$B118,$B119,$I$4:$I118,"&lt;&gt;Complete")=0,$A119&amp;"|"&amp;$B119,""),"")</f>
        <v/>
      </c>
      <c r="P119" t="str">
        <f ca="1">IF($K119="Yes",COUNTIFS($K$4:$K119,"Yes"),"")</f>
        <v/>
      </c>
      <c r="Q119">
        <f t="shared" ca="1" si="7"/>
        <v>0</v>
      </c>
      <c r="R119" t="str">
        <f ca="1">IF($Q119=1,SUM($Q$4:$Q119),"")</f>
        <v/>
      </c>
    </row>
    <row r="120" spans="1:18" ht="22.5" customHeight="1" x14ac:dyDescent="0.3">
      <c r="A120" s="2" t="s">
        <v>139</v>
      </c>
      <c r="B120" s="2" t="s">
        <v>140</v>
      </c>
      <c r="C120" s="3" t="s">
        <v>139</v>
      </c>
      <c r="D120" s="3" t="s">
        <v>32</v>
      </c>
      <c r="E120" s="2" t="s">
        <v>75</v>
      </c>
      <c r="F120" s="2"/>
      <c r="G120" s="5">
        <v>46229</v>
      </c>
      <c r="H120" s="5">
        <v>46313</v>
      </c>
      <c r="I120" s="4" t="s">
        <v>17</v>
      </c>
      <c r="J120" s="6">
        <f t="shared" si="5"/>
        <v>84</v>
      </c>
      <c r="K120" s="4" t="str">
        <f t="shared" ca="1" si="6"/>
        <v>No</v>
      </c>
      <c r="L120" s="7">
        <f t="shared" ca="1" si="8"/>
        <v>105</v>
      </c>
      <c r="M120" s="4" t="str">
        <f>IF($I120="Complete","Green",IF($H120="","Amber",IF($H120&lt;'[2]Read Me'!$B$4,"Red",IF($H120-'[2]Read Me'!$B$4&lt;=21,"Amber","Green"))))</f>
        <v>Green</v>
      </c>
      <c r="N120" s="3"/>
      <c r="O120" t="str">
        <f>IF($I120&lt;&gt;"Complete",IF(COUNTIFS($A$4:$A119,$A120,$B$4:$B119,$B120,$I$4:$I119,"&lt;&gt;Complete")=0,$A120&amp;"|"&amp;$B120,""),"")</f>
        <v/>
      </c>
      <c r="P120" t="str">
        <f ca="1">IF($K120="Yes",COUNTIFS($K$4:$K120,"Yes"),"")</f>
        <v/>
      </c>
      <c r="Q120">
        <f t="shared" ca="1" si="7"/>
        <v>0</v>
      </c>
      <c r="R120" t="str">
        <f ca="1">IF($Q120=1,SUM($Q$4:$Q120),"")</f>
        <v/>
      </c>
    </row>
    <row r="121" spans="1:18" ht="22.5" customHeight="1" x14ac:dyDescent="0.3">
      <c r="A121" s="2" t="s">
        <v>139</v>
      </c>
      <c r="B121" s="2" t="s">
        <v>140</v>
      </c>
      <c r="C121" s="3" t="s">
        <v>139</v>
      </c>
      <c r="D121" s="3" t="s">
        <v>124</v>
      </c>
      <c r="E121" s="2" t="s">
        <v>75</v>
      </c>
      <c r="F121" s="2"/>
      <c r="G121" s="5">
        <v>46299</v>
      </c>
      <c r="H121" s="5">
        <v>46334</v>
      </c>
      <c r="I121" s="4" t="s">
        <v>17</v>
      </c>
      <c r="J121" s="6">
        <f t="shared" si="5"/>
        <v>35</v>
      </c>
      <c r="K121" s="4" t="str">
        <f t="shared" ca="1" si="6"/>
        <v>No</v>
      </c>
      <c r="L121" s="7">
        <f t="shared" ca="1" si="8"/>
        <v>126</v>
      </c>
      <c r="M121" s="4" t="str">
        <f>IF($I121="Complete","Green",IF($H121="","Amber",IF($H121&lt;'[2]Read Me'!$B$4,"Red",IF($H121-'[2]Read Me'!$B$4&lt;=21,"Amber","Green"))))</f>
        <v>Green</v>
      </c>
      <c r="N121" s="3"/>
      <c r="O121" t="str">
        <f>IF($I121&lt;&gt;"Complete",IF(COUNTIFS($A$4:$A120,$A121,$B$4:$B120,$B121,$I$4:$I120,"&lt;&gt;Complete")=0,$A121&amp;"|"&amp;$B121,""),"")</f>
        <v/>
      </c>
      <c r="P121" t="str">
        <f ca="1">IF($K121="Yes",COUNTIFS($K$4:$K121,"Yes"),"")</f>
        <v/>
      </c>
      <c r="Q121">
        <f t="shared" ca="1" si="7"/>
        <v>0</v>
      </c>
      <c r="R121" t="str">
        <f ca="1">IF($Q121=1,SUM($Q$4:$Q121),"")</f>
        <v/>
      </c>
    </row>
    <row r="122" spans="1:18" ht="22.5" customHeight="1" x14ac:dyDescent="0.3">
      <c r="A122" s="2" t="s">
        <v>139</v>
      </c>
      <c r="B122" s="2" t="s">
        <v>140</v>
      </c>
      <c r="C122" s="3" t="s">
        <v>139</v>
      </c>
      <c r="D122" s="3" t="s">
        <v>125</v>
      </c>
      <c r="E122" s="2" t="s">
        <v>75</v>
      </c>
      <c r="F122" s="2"/>
      <c r="G122" s="5">
        <v>46306</v>
      </c>
      <c r="H122" s="5">
        <v>46341</v>
      </c>
      <c r="I122" s="4" t="s">
        <v>17</v>
      </c>
      <c r="J122" s="6">
        <f t="shared" si="5"/>
        <v>35</v>
      </c>
      <c r="K122" s="4" t="str">
        <f t="shared" ca="1" si="6"/>
        <v>No</v>
      </c>
      <c r="L122" s="7">
        <f t="shared" ca="1" si="8"/>
        <v>133</v>
      </c>
      <c r="M122" s="4" t="str">
        <f>IF($I122="Complete","Green",IF($H122="","Amber",IF($H122&lt;'[2]Read Me'!$B$4,"Red",IF($H122-'[2]Read Me'!$B$4&lt;=21,"Amber","Green"))))</f>
        <v>Green</v>
      </c>
      <c r="N122" s="3"/>
      <c r="O122" t="str">
        <f>IF($I122&lt;&gt;"Complete",IF(COUNTIFS($A$4:$A121,$A122,$B$4:$B121,$B122,$I$4:$I121,"&lt;&gt;Complete")=0,$A122&amp;"|"&amp;$B122,""),"")</f>
        <v/>
      </c>
      <c r="P122" t="str">
        <f ca="1">IF($K122="Yes",COUNTIFS($K$4:$K122,"Yes"),"")</f>
        <v/>
      </c>
      <c r="Q122">
        <f t="shared" ca="1" si="7"/>
        <v>0</v>
      </c>
      <c r="R122" t="str">
        <f ca="1">IF($Q122=1,SUM($Q$4:$Q122),"")</f>
        <v/>
      </c>
    </row>
    <row r="123" spans="1:18" ht="22.5" customHeight="1" x14ac:dyDescent="0.3">
      <c r="A123" s="2" t="s">
        <v>139</v>
      </c>
      <c r="B123" s="2" t="s">
        <v>140</v>
      </c>
      <c r="C123" s="3" t="s">
        <v>139</v>
      </c>
      <c r="D123" s="3" t="s">
        <v>126</v>
      </c>
      <c r="E123" s="2" t="s">
        <v>75</v>
      </c>
      <c r="F123" s="2"/>
      <c r="G123" s="5">
        <v>46250</v>
      </c>
      <c r="H123" s="5">
        <v>46334</v>
      </c>
      <c r="I123" s="4" t="s">
        <v>17</v>
      </c>
      <c r="J123" s="6">
        <f t="shared" si="5"/>
        <v>84</v>
      </c>
      <c r="K123" s="4" t="str">
        <f t="shared" ca="1" si="6"/>
        <v>No</v>
      </c>
      <c r="L123" s="7">
        <f t="shared" ca="1" si="8"/>
        <v>126</v>
      </c>
      <c r="M123" s="4" t="str">
        <f>IF($I123="Complete","Green",IF($H123="","Amber",IF($H123&lt;'[2]Read Me'!$B$4,"Red",IF($H123-'[2]Read Me'!$B$4&lt;=21,"Amber","Green"))))</f>
        <v>Green</v>
      </c>
      <c r="N123" s="3"/>
      <c r="O123" t="str">
        <f>IF($I123&lt;&gt;"Complete",IF(COUNTIFS($A$4:$A122,$A123,$B$4:$B122,$B123,$I$4:$I122,"&lt;&gt;Complete")=0,$A123&amp;"|"&amp;$B123,""),"")</f>
        <v/>
      </c>
      <c r="P123" t="str">
        <f ca="1">IF($K123="Yes",COUNTIFS($K$4:$K123,"Yes"),"")</f>
        <v/>
      </c>
      <c r="Q123">
        <f t="shared" ca="1" si="7"/>
        <v>0</v>
      </c>
      <c r="R123" t="str">
        <f ca="1">IF($Q123=1,SUM($Q$4:$Q123),"")</f>
        <v/>
      </c>
    </row>
    <row r="124" spans="1:18" ht="22.5" customHeight="1" x14ac:dyDescent="0.3">
      <c r="A124" s="2" t="s">
        <v>139</v>
      </c>
      <c r="B124" s="2" t="s">
        <v>140</v>
      </c>
      <c r="C124" s="3" t="s">
        <v>139</v>
      </c>
      <c r="D124" s="3" t="s">
        <v>34</v>
      </c>
      <c r="E124" s="2" t="s">
        <v>75</v>
      </c>
      <c r="F124" s="2"/>
      <c r="G124" s="5">
        <v>46264</v>
      </c>
      <c r="H124" s="5">
        <v>46348</v>
      </c>
      <c r="I124" s="4" t="s">
        <v>17</v>
      </c>
      <c r="J124" s="6">
        <f t="shared" si="5"/>
        <v>84</v>
      </c>
      <c r="K124" s="4" t="str">
        <f t="shared" ca="1" si="6"/>
        <v>No</v>
      </c>
      <c r="L124" s="7">
        <f t="shared" ca="1" si="8"/>
        <v>140</v>
      </c>
      <c r="M124" s="4" t="str">
        <f>IF($I124="Complete","Green",IF($H124="","Amber",IF($H124&lt;'[2]Read Me'!$B$4,"Red",IF($H124-'[2]Read Me'!$B$4&lt;=21,"Amber","Green"))))</f>
        <v>Green</v>
      </c>
      <c r="N124" s="3"/>
      <c r="O124" t="str">
        <f>IF($I124&lt;&gt;"Complete",IF(COUNTIFS($A$4:$A123,$A124,$B$4:$B123,$B124,$I$4:$I123,"&lt;&gt;Complete")=0,$A124&amp;"|"&amp;$B124,""),"")</f>
        <v/>
      </c>
      <c r="P124" t="str">
        <f ca="1">IF($K124="Yes",COUNTIFS($K$4:$K124,"Yes"),"")</f>
        <v/>
      </c>
      <c r="Q124">
        <f t="shared" ca="1" si="7"/>
        <v>0</v>
      </c>
      <c r="R124" t="str">
        <f ca="1">IF($Q124=1,SUM($Q$4:$Q124),"")</f>
        <v/>
      </c>
    </row>
    <row r="125" spans="1:18" ht="22.5" customHeight="1" x14ac:dyDescent="0.3">
      <c r="A125" s="2" t="s">
        <v>139</v>
      </c>
      <c r="B125" s="2" t="s">
        <v>140</v>
      </c>
      <c r="C125" s="3" t="s">
        <v>139</v>
      </c>
      <c r="D125" s="3" t="s">
        <v>127</v>
      </c>
      <c r="E125" s="2" t="s">
        <v>75</v>
      </c>
      <c r="F125" s="2"/>
      <c r="G125" s="5">
        <v>46285</v>
      </c>
      <c r="H125" s="5">
        <v>46369</v>
      </c>
      <c r="I125" s="4" t="s">
        <v>17</v>
      </c>
      <c r="J125" s="6">
        <f t="shared" si="5"/>
        <v>84</v>
      </c>
      <c r="K125" s="4" t="str">
        <f t="shared" ca="1" si="6"/>
        <v>No</v>
      </c>
      <c r="L125" s="7">
        <f t="shared" ca="1" si="8"/>
        <v>161</v>
      </c>
      <c r="M125" s="4" t="str">
        <f>IF($I125="Complete","Green",IF($H125="","Amber",IF($H125&lt;'[2]Read Me'!$B$4,"Red",IF($H125-'[2]Read Me'!$B$4&lt;=21,"Amber","Green"))))</f>
        <v>Green</v>
      </c>
      <c r="N125" s="3"/>
      <c r="O125" t="str">
        <f>IF($I125&lt;&gt;"Complete",IF(COUNTIFS($A$4:$A124,$A125,$B$4:$B124,$B125,$I$4:$I124,"&lt;&gt;Complete")=0,$A125&amp;"|"&amp;$B125,""),"")</f>
        <v/>
      </c>
      <c r="P125" t="str">
        <f ca="1">IF($K125="Yes",COUNTIFS($K$4:$K125,"Yes"),"")</f>
        <v/>
      </c>
      <c r="Q125">
        <f t="shared" ca="1" si="7"/>
        <v>0</v>
      </c>
      <c r="R125" t="str">
        <f ca="1">IF($Q125=1,SUM($Q$4:$Q125),"")</f>
        <v/>
      </c>
    </row>
    <row r="126" spans="1:18" ht="22.5" customHeight="1" x14ac:dyDescent="0.3">
      <c r="A126" s="2" t="s">
        <v>139</v>
      </c>
      <c r="B126" s="2" t="s">
        <v>140</v>
      </c>
      <c r="C126" s="3" t="s">
        <v>139</v>
      </c>
      <c r="D126" s="3" t="s">
        <v>35</v>
      </c>
      <c r="E126" s="2" t="s">
        <v>75</v>
      </c>
      <c r="F126" s="2"/>
      <c r="G126" s="5">
        <v>46299</v>
      </c>
      <c r="H126" s="5">
        <v>46383</v>
      </c>
      <c r="I126" s="4" t="s">
        <v>17</v>
      </c>
      <c r="J126" s="6">
        <f t="shared" si="5"/>
        <v>84</v>
      </c>
      <c r="K126" s="4" t="str">
        <f t="shared" ca="1" si="6"/>
        <v>No</v>
      </c>
      <c r="L126" s="7">
        <f t="shared" ca="1" si="8"/>
        <v>175</v>
      </c>
      <c r="M126" s="4" t="str">
        <f>IF($I126="Complete","Green",IF($H126="","Amber",IF($H126&lt;'[2]Read Me'!$B$4,"Red",IF($H126-'[2]Read Me'!$B$4&lt;=21,"Amber","Green"))))</f>
        <v>Green</v>
      </c>
      <c r="N126" s="3"/>
      <c r="O126" t="str">
        <f>IF($I126&lt;&gt;"Complete",IF(COUNTIFS($A$4:$A125,$A126,$B$4:$B125,$B126,$I$4:$I125,"&lt;&gt;Complete")=0,$A126&amp;"|"&amp;$B126,""),"")</f>
        <v/>
      </c>
      <c r="P126" t="str">
        <f ca="1">IF($K126="Yes",COUNTIFS($K$4:$K126,"Yes"),"")</f>
        <v/>
      </c>
      <c r="Q126">
        <f t="shared" ca="1" si="7"/>
        <v>0</v>
      </c>
      <c r="R126" t="str">
        <f ca="1">IF($Q126=1,SUM($Q$4:$Q126),"")</f>
        <v/>
      </c>
    </row>
    <row r="127" spans="1:18" ht="22.5" customHeight="1" x14ac:dyDescent="0.3">
      <c r="A127" s="2" t="s">
        <v>139</v>
      </c>
      <c r="B127" s="2" t="s">
        <v>140</v>
      </c>
      <c r="C127" s="3" t="s">
        <v>139</v>
      </c>
      <c r="D127" s="3" t="s">
        <v>16</v>
      </c>
      <c r="E127" s="2" t="s">
        <v>75</v>
      </c>
      <c r="F127" s="2"/>
      <c r="G127" s="5">
        <v>46320</v>
      </c>
      <c r="H127" s="5">
        <v>46404</v>
      </c>
      <c r="I127" s="4" t="s">
        <v>17</v>
      </c>
      <c r="J127" s="6">
        <f t="shared" si="5"/>
        <v>84</v>
      </c>
      <c r="K127" s="4" t="str">
        <f t="shared" ca="1" si="6"/>
        <v>No</v>
      </c>
      <c r="L127" s="7">
        <f t="shared" ca="1" si="8"/>
        <v>196</v>
      </c>
      <c r="M127" s="4" t="str">
        <f>IF($I127="Complete","Green",IF($H127="","Amber",IF($H127&lt;'[2]Read Me'!$B$4,"Red",IF($H127-'[2]Read Me'!$B$4&lt;=21,"Amber","Green"))))</f>
        <v>Green</v>
      </c>
      <c r="N127" s="3"/>
      <c r="O127" t="str">
        <f>IF($I127&lt;&gt;"Complete",IF(COUNTIFS($A$4:$A126,$A127,$B$4:$B126,$B127,$I$4:$I126,"&lt;&gt;Complete")=0,$A127&amp;"|"&amp;$B127,""),"")</f>
        <v/>
      </c>
      <c r="P127" t="str">
        <f ca="1">IF($K127="Yes",COUNTIFS($K$4:$K127,"Yes"),"")</f>
        <v/>
      </c>
      <c r="Q127">
        <f t="shared" ca="1" si="7"/>
        <v>0</v>
      </c>
      <c r="R127" t="str">
        <f ca="1">IF($Q127=1,SUM($Q$4:$Q127),"")</f>
        <v/>
      </c>
    </row>
    <row r="128" spans="1:18" ht="22.5" customHeight="1" x14ac:dyDescent="0.3">
      <c r="A128" s="2" t="s">
        <v>139</v>
      </c>
      <c r="B128" s="2" t="s">
        <v>140</v>
      </c>
      <c r="C128" s="3" t="s">
        <v>139</v>
      </c>
      <c r="D128" s="3" t="s">
        <v>37</v>
      </c>
      <c r="E128" s="2" t="s">
        <v>75</v>
      </c>
      <c r="F128" s="2"/>
      <c r="G128" s="5">
        <v>46334</v>
      </c>
      <c r="H128" s="5">
        <v>46418</v>
      </c>
      <c r="I128" s="4" t="s">
        <v>17</v>
      </c>
      <c r="J128" s="6">
        <f t="shared" si="5"/>
        <v>84</v>
      </c>
      <c r="K128" s="4" t="str">
        <f t="shared" ca="1" si="6"/>
        <v>No</v>
      </c>
      <c r="L128" s="7">
        <f t="shared" ca="1" si="8"/>
        <v>210</v>
      </c>
      <c r="M128" s="4" t="str">
        <f>IF($I128="Complete","Green",IF($H128="","Amber",IF($H128&lt;'[2]Read Me'!$B$4,"Red",IF($H128-'[2]Read Me'!$B$4&lt;=21,"Amber","Green"))))</f>
        <v>Green</v>
      </c>
      <c r="N128" s="3"/>
      <c r="O128" t="str">
        <f>IF($I128&lt;&gt;"Complete",IF(COUNTIFS($A$4:$A127,$A128,$B$4:$B127,$B128,$I$4:$I127,"&lt;&gt;Complete")=0,$A128&amp;"|"&amp;$B128,""),"")</f>
        <v/>
      </c>
      <c r="P128" t="str">
        <f ca="1">IF($K128="Yes",COUNTIFS($K$4:$K128,"Yes"),"")</f>
        <v/>
      </c>
      <c r="Q128">
        <f t="shared" ca="1" si="7"/>
        <v>0</v>
      </c>
      <c r="R128" t="str">
        <f ca="1">IF($Q128=1,SUM($Q$4:$Q128),"")</f>
        <v/>
      </c>
    </row>
    <row r="129" spans="1:18" ht="22.5" customHeight="1" x14ac:dyDescent="0.3">
      <c r="A129" s="2" t="s">
        <v>128</v>
      </c>
      <c r="B129" s="2" t="s">
        <v>21</v>
      </c>
      <c r="C129" s="3"/>
      <c r="D129" s="3"/>
      <c r="E129" s="2"/>
      <c r="F129" s="2"/>
      <c r="G129" s="5">
        <v>46404</v>
      </c>
      <c r="H129" s="5">
        <v>46497</v>
      </c>
      <c r="I129" s="4"/>
      <c r="J129" s="6">
        <f t="shared" si="5"/>
        <v>93</v>
      </c>
      <c r="K129" s="4" t="str">
        <f t="shared" ca="1" si="6"/>
        <v/>
      </c>
      <c r="L129" s="7">
        <f t="shared" ca="1" si="8"/>
        <v>289</v>
      </c>
      <c r="M129" s="4" t="str">
        <f>IF($I129="Complete","Green",IF($H129="","Amber",IF($H129&lt;'[2]Read Me'!$B$4,"Red",IF($H129-'[2]Read Me'!$B$4&lt;=21,"Amber","Green"))))</f>
        <v>Green</v>
      </c>
      <c r="N129" s="3"/>
      <c r="O129" t="str">
        <f>IF($I129&lt;&gt;"Complete",IF(COUNTIFS($A$4:$A128,$A129,$B$4:$B128,$B129,$I$4:$I128,"&lt;&gt;Complete")=0,$A129&amp;"|"&amp;$B129,""),"")</f>
        <v>Landscape (Phase.01)|Landscape</v>
      </c>
      <c r="P129" t="str">
        <f ca="1">IF($K129="Yes",COUNTIFS($K$4:$K129,"Yes"),"")</f>
        <v/>
      </c>
      <c r="Q129">
        <f t="shared" ca="1" si="7"/>
        <v>0</v>
      </c>
      <c r="R129" t="str">
        <f ca="1">IF($Q129=1,SUM($Q$4:$Q129),"")</f>
        <v/>
      </c>
    </row>
    <row r="130" spans="1:18" ht="22.5" customHeight="1" x14ac:dyDescent="0.3">
      <c r="A130" s="2" t="s">
        <v>128</v>
      </c>
      <c r="B130" s="2" t="s">
        <v>21</v>
      </c>
      <c r="C130" s="3" t="s">
        <v>128</v>
      </c>
      <c r="D130" s="3" t="s">
        <v>129</v>
      </c>
      <c r="E130" s="2" t="s">
        <v>130</v>
      </c>
      <c r="F130" s="2"/>
      <c r="G130" s="5">
        <v>46152</v>
      </c>
      <c r="H130" s="5">
        <v>46163</v>
      </c>
      <c r="I130" s="4" t="s">
        <v>31</v>
      </c>
      <c r="J130" s="6">
        <f t="shared" si="5"/>
        <v>11</v>
      </c>
      <c r="K130" s="4" t="str">
        <f t="shared" ca="1" si="6"/>
        <v>-</v>
      </c>
      <c r="L130" s="7">
        <f t="shared" ca="1" si="8"/>
        <v>0</v>
      </c>
      <c r="M130" s="4" t="str">
        <f>IF($I130="Complete","Green",IF($H130="","Amber",IF($H130&lt;'[2]Read Me'!$B$4,"Red",IF($H130-'[2]Read Me'!$B$4&lt;=21,"Amber","Green"))))</f>
        <v>Red</v>
      </c>
      <c r="N130" s="3"/>
      <c r="O130" t="str">
        <f>IF($I130&lt;&gt;"Complete",IF(COUNTIFS($A$4:$A129,$A130,$B$4:$B129,$B130,$I$4:$I129,"&lt;&gt;Complete")=0,$A130&amp;"|"&amp;$B130,""),"")</f>
        <v/>
      </c>
      <c r="P130" t="str">
        <f ca="1">IF($K130="Yes",COUNTIFS($K$4:$K130,"Yes"),"")</f>
        <v/>
      </c>
      <c r="Q130">
        <f t="shared" ca="1" si="7"/>
        <v>0</v>
      </c>
      <c r="R130" t="str">
        <f ca="1">IF($Q130=1,SUM($Q$4:$Q130),"")</f>
        <v/>
      </c>
    </row>
    <row r="131" spans="1:18" ht="22.5" customHeight="1" x14ac:dyDescent="0.3">
      <c r="A131" s="2" t="s">
        <v>128</v>
      </c>
      <c r="B131" s="2" t="s">
        <v>21</v>
      </c>
      <c r="C131" s="3" t="s">
        <v>128</v>
      </c>
      <c r="D131" s="3" t="s">
        <v>131</v>
      </c>
      <c r="E131" s="2" t="s">
        <v>130</v>
      </c>
      <c r="F131" s="2"/>
      <c r="G131" s="5">
        <v>46173</v>
      </c>
      <c r="H131" s="5">
        <v>46208</v>
      </c>
      <c r="I131" s="4" t="s">
        <v>46</v>
      </c>
      <c r="J131" s="6">
        <f t="shared" si="5"/>
        <v>35</v>
      </c>
      <c r="K131" s="4" t="str">
        <f t="shared" ca="1" si="6"/>
        <v>Yes</v>
      </c>
      <c r="L131" s="7">
        <f t="shared" ca="1" si="8"/>
        <v>0</v>
      </c>
      <c r="M131" s="4" t="str">
        <f>IF($I131="Complete","Green",IF($H131="","Amber",IF($H131&lt;'[2]Read Me'!$B$4,"Red",IF($H131-'[2]Read Me'!$B$4&lt;=21,"Amber","Green"))))</f>
        <v>Amber</v>
      </c>
      <c r="N131" s="3"/>
      <c r="O131" t="str">
        <f>IF($I131&lt;&gt;"Complete",IF(COUNTIFS($A$4:$A130,$A131,$B$4:$B130,$B131,$I$4:$I130,"&lt;&gt;Complete")=0,$A131&amp;"|"&amp;$B131,""),"")</f>
        <v/>
      </c>
      <c r="P131">
        <f ca="1">IF($K131="Yes",COUNTIFS($K$4:$K131,"Yes"),"")</f>
        <v>3</v>
      </c>
      <c r="Q131">
        <f t="shared" ca="1" si="7"/>
        <v>1</v>
      </c>
      <c r="R131">
        <f ca="1">IF($Q131=1,SUM($Q$4:$Q131),"")</f>
        <v>3</v>
      </c>
    </row>
    <row r="132" spans="1:18" ht="22.5" customHeight="1" x14ac:dyDescent="0.3">
      <c r="A132" s="2" t="s">
        <v>128</v>
      </c>
      <c r="B132" s="2" t="s">
        <v>21</v>
      </c>
      <c r="C132" s="3" t="s">
        <v>128</v>
      </c>
      <c r="D132" s="3" t="s">
        <v>97</v>
      </c>
      <c r="E132" s="2" t="s">
        <v>130</v>
      </c>
      <c r="F132" s="2"/>
      <c r="G132" s="5">
        <v>46201</v>
      </c>
      <c r="H132" s="5">
        <v>46294</v>
      </c>
      <c r="I132" s="4" t="s">
        <v>17</v>
      </c>
      <c r="J132" s="6">
        <f t="shared" ref="J132:J195" si="9">IF(OR($G132="",$H132=""),"",$H132-$G132)</f>
        <v>93</v>
      </c>
      <c r="K132" s="4" t="str">
        <f t="shared" ref="K132:K195" ca="1" si="10">IF(C132="","",IF(H132="","",IF($I132="completed","-",IF($H132&gt;TODAY(),"No","Yes"))))</f>
        <v>No</v>
      </c>
      <c r="L132" s="7">
        <f t="shared" ca="1" si="8"/>
        <v>86</v>
      </c>
      <c r="M132" s="4" t="str">
        <f>IF($I132="Complete","Green",IF($H132="","Amber",IF($H132&lt;'[2]Read Me'!$B$4,"Red",IF($H132-'[2]Read Me'!$B$4&lt;=21,"Amber","Green"))))</f>
        <v>Green</v>
      </c>
      <c r="N132" s="3"/>
      <c r="O132" t="str">
        <f>IF($I132&lt;&gt;"Complete",IF(COUNTIFS($A$4:$A131,$A132,$B$4:$B131,$B132,$I$4:$I131,"&lt;&gt;Complete")=0,$A132&amp;"|"&amp;$B132,""),"")</f>
        <v/>
      </c>
      <c r="P132" t="str">
        <f ca="1">IF($K132="Yes",COUNTIFS($K$4:$K132,"Yes"),"")</f>
        <v/>
      </c>
      <c r="Q132">
        <f t="shared" ref="Q132:Q195" ca="1" si="11">IF(OR($I132="In Progress",$K132="Yes"),1,0)</f>
        <v>0</v>
      </c>
      <c r="R132" t="str">
        <f ca="1">IF($Q132=1,SUM($Q$4:$Q132),"")</f>
        <v/>
      </c>
    </row>
    <row r="133" spans="1:18" ht="22.5" customHeight="1" x14ac:dyDescent="0.3">
      <c r="A133" s="2" t="s">
        <v>128</v>
      </c>
      <c r="B133" s="2" t="s">
        <v>21</v>
      </c>
      <c r="C133" s="3" t="s">
        <v>128</v>
      </c>
      <c r="D133" s="3" t="s">
        <v>70</v>
      </c>
      <c r="E133" s="2" t="s">
        <v>130</v>
      </c>
      <c r="F133" s="2"/>
      <c r="G133" s="5">
        <v>46208</v>
      </c>
      <c r="H133" s="5">
        <v>46301</v>
      </c>
      <c r="I133" s="4" t="s">
        <v>17</v>
      </c>
      <c r="J133" s="6">
        <f t="shared" si="9"/>
        <v>93</v>
      </c>
      <c r="K133" s="4" t="str">
        <f t="shared" ca="1" si="10"/>
        <v>No</v>
      </c>
      <c r="L133" s="7">
        <f t="shared" ref="L133:L196" ca="1" si="12">IF(I133="Completed",0,IF(H133="","",H133-TODAY()))</f>
        <v>93</v>
      </c>
      <c r="M133" s="4" t="str">
        <f>IF($I133="Complete","Green",IF($H133="","Amber",IF($H133&lt;'[2]Read Me'!$B$4,"Red",IF($H133-'[2]Read Me'!$B$4&lt;=21,"Amber","Green"))))</f>
        <v>Green</v>
      </c>
      <c r="N133" s="3"/>
      <c r="O133" t="str">
        <f>IF($I133&lt;&gt;"Complete",IF(COUNTIFS($A$4:$A132,$A133,$B$4:$B132,$B133,$I$4:$I132,"&lt;&gt;Complete")=0,$A133&amp;"|"&amp;$B133,""),"")</f>
        <v/>
      </c>
      <c r="P133" t="str">
        <f ca="1">IF($K133="Yes",COUNTIFS($K$4:$K133,"Yes"),"")</f>
        <v/>
      </c>
      <c r="Q133">
        <f t="shared" ca="1" si="11"/>
        <v>0</v>
      </c>
      <c r="R133" t="str">
        <f ca="1">IF($Q133=1,SUM($Q$4:$Q133),"")</f>
        <v/>
      </c>
    </row>
    <row r="134" spans="1:18" ht="22.5" customHeight="1" x14ac:dyDescent="0.3">
      <c r="A134" s="2" t="s">
        <v>128</v>
      </c>
      <c r="B134" s="2" t="s">
        <v>21</v>
      </c>
      <c r="C134" s="3" t="s">
        <v>128</v>
      </c>
      <c r="D134" s="3" t="s">
        <v>98</v>
      </c>
      <c r="E134" s="2" t="s">
        <v>130</v>
      </c>
      <c r="F134" s="2"/>
      <c r="G134" s="5">
        <v>46222</v>
      </c>
      <c r="H134" s="5">
        <v>46315</v>
      </c>
      <c r="I134" s="4" t="s">
        <v>17</v>
      </c>
      <c r="J134" s="6">
        <f t="shared" si="9"/>
        <v>93</v>
      </c>
      <c r="K134" s="4" t="str">
        <f t="shared" ca="1" si="10"/>
        <v>No</v>
      </c>
      <c r="L134" s="7">
        <f t="shared" ca="1" si="12"/>
        <v>107</v>
      </c>
      <c r="M134" s="4" t="str">
        <f>IF($I134="Complete","Green",IF($H134="","Amber",IF($H134&lt;'[2]Read Me'!$B$4,"Red",IF($H134-'[2]Read Me'!$B$4&lt;=21,"Amber","Green"))))</f>
        <v>Green</v>
      </c>
      <c r="N134" s="3"/>
      <c r="O134" t="str">
        <f>IF($I134&lt;&gt;"Complete",IF(COUNTIFS($A$4:$A133,$A134,$B$4:$B133,$B134,$I$4:$I133,"&lt;&gt;Complete")=0,$A134&amp;"|"&amp;$B134,""),"")</f>
        <v/>
      </c>
      <c r="P134" t="str">
        <f ca="1">IF($K134="Yes",COUNTIFS($K$4:$K134,"Yes"),"")</f>
        <v/>
      </c>
      <c r="Q134">
        <f t="shared" ca="1" si="11"/>
        <v>0</v>
      </c>
      <c r="R134" t="str">
        <f ca="1">IF($Q134=1,SUM($Q$4:$Q134),"")</f>
        <v/>
      </c>
    </row>
    <row r="135" spans="1:18" ht="22.5" customHeight="1" x14ac:dyDescent="0.3">
      <c r="A135" s="2" t="s">
        <v>128</v>
      </c>
      <c r="B135" s="2" t="s">
        <v>21</v>
      </c>
      <c r="C135" s="3" t="s">
        <v>128</v>
      </c>
      <c r="D135" s="3" t="s">
        <v>47</v>
      </c>
      <c r="E135" s="2" t="s">
        <v>130</v>
      </c>
      <c r="F135" s="2"/>
      <c r="G135" s="5">
        <v>46236</v>
      </c>
      <c r="H135" s="5">
        <v>46329</v>
      </c>
      <c r="I135" s="4" t="s">
        <v>17</v>
      </c>
      <c r="J135" s="6">
        <f t="shared" si="9"/>
        <v>93</v>
      </c>
      <c r="K135" s="4" t="str">
        <f t="shared" ca="1" si="10"/>
        <v>No</v>
      </c>
      <c r="L135" s="7">
        <f t="shared" ca="1" si="12"/>
        <v>121</v>
      </c>
      <c r="M135" s="4" t="str">
        <f>IF($I135="Complete","Green",IF($H135="","Amber",IF($H135&lt;'[2]Read Me'!$B$4,"Red",IF($H135-'[2]Read Me'!$B$4&lt;=21,"Amber","Green"))))</f>
        <v>Green</v>
      </c>
      <c r="N135" s="3"/>
      <c r="O135" t="str">
        <f>IF($I135&lt;&gt;"Complete",IF(COUNTIFS($A$4:$A134,$A135,$B$4:$B134,$B135,$I$4:$I134,"&lt;&gt;Complete")=0,$A135&amp;"|"&amp;$B135,""),"")</f>
        <v/>
      </c>
      <c r="P135" t="str">
        <f ca="1">IF($K135="Yes",COUNTIFS($K$4:$K135,"Yes"),"")</f>
        <v/>
      </c>
      <c r="Q135">
        <f t="shared" ca="1" si="11"/>
        <v>0</v>
      </c>
      <c r="R135" t="str">
        <f ca="1">IF($Q135=1,SUM($Q$4:$Q135),"")</f>
        <v/>
      </c>
    </row>
    <row r="136" spans="1:18" ht="22.5" customHeight="1" x14ac:dyDescent="0.3">
      <c r="A136" s="2" t="s">
        <v>128</v>
      </c>
      <c r="B136" s="2" t="s">
        <v>21</v>
      </c>
      <c r="C136" s="3" t="s">
        <v>128</v>
      </c>
      <c r="D136" s="3" t="s">
        <v>132</v>
      </c>
      <c r="E136" s="2" t="s">
        <v>33</v>
      </c>
      <c r="F136" s="2" t="s">
        <v>81</v>
      </c>
      <c r="G136" s="5">
        <v>46243</v>
      </c>
      <c r="H136" s="5">
        <v>46336</v>
      </c>
      <c r="I136" s="4" t="s">
        <v>17</v>
      </c>
      <c r="J136" s="6">
        <f t="shared" si="9"/>
        <v>93</v>
      </c>
      <c r="K136" s="4" t="str">
        <f t="shared" ca="1" si="10"/>
        <v>No</v>
      </c>
      <c r="L136" s="7">
        <f t="shared" ca="1" si="12"/>
        <v>128</v>
      </c>
      <c r="M136" s="4" t="str">
        <f>IF($I136="Complete","Green",IF($H136="","Amber",IF($H136&lt;'[2]Read Me'!$B$4,"Red",IF($H136-'[2]Read Me'!$B$4&lt;=21,"Amber","Green"))))</f>
        <v>Green</v>
      </c>
      <c r="N136" s="3"/>
      <c r="O136" t="str">
        <f>IF($I136&lt;&gt;"Complete",IF(COUNTIFS($A$4:$A135,$A136,$B$4:$B135,$B136,$I$4:$I135,"&lt;&gt;Complete")=0,$A136&amp;"|"&amp;$B136,""),"")</f>
        <v/>
      </c>
      <c r="P136" t="str">
        <f ca="1">IF($K136="Yes",COUNTIFS($K$4:$K136,"Yes"),"")</f>
        <v/>
      </c>
      <c r="Q136">
        <f t="shared" ca="1" si="11"/>
        <v>0</v>
      </c>
      <c r="R136" t="str">
        <f ca="1">IF($Q136=1,SUM($Q$4:$Q136),"")</f>
        <v/>
      </c>
    </row>
    <row r="137" spans="1:18" ht="22.5" customHeight="1" x14ac:dyDescent="0.3">
      <c r="A137" s="2" t="s">
        <v>128</v>
      </c>
      <c r="B137" s="2" t="s">
        <v>21</v>
      </c>
      <c r="C137" s="3" t="s">
        <v>128</v>
      </c>
      <c r="D137" s="3" t="s">
        <v>133</v>
      </c>
      <c r="E137" s="2" t="s">
        <v>130</v>
      </c>
      <c r="F137" s="2"/>
      <c r="G137" s="5">
        <v>46250</v>
      </c>
      <c r="H137" s="5">
        <v>46343</v>
      </c>
      <c r="I137" s="4" t="s">
        <v>17</v>
      </c>
      <c r="J137" s="6">
        <f t="shared" si="9"/>
        <v>93</v>
      </c>
      <c r="K137" s="4" t="str">
        <f t="shared" ca="1" si="10"/>
        <v>No</v>
      </c>
      <c r="L137" s="7">
        <f t="shared" ca="1" si="12"/>
        <v>135</v>
      </c>
      <c r="M137" s="4" t="str">
        <f>IF($I137="Complete","Green",IF($H137="","Amber",IF($H137&lt;'[2]Read Me'!$B$4,"Red",IF($H137-'[2]Read Me'!$B$4&lt;=21,"Amber","Green"))))</f>
        <v>Green</v>
      </c>
      <c r="N137" s="3"/>
      <c r="O137" t="str">
        <f>IF($I137&lt;&gt;"Complete",IF(COUNTIFS($A$4:$A136,$A137,$B$4:$B136,$B137,$I$4:$I136,"&lt;&gt;Complete")=0,$A137&amp;"|"&amp;$B137,""),"")</f>
        <v/>
      </c>
      <c r="P137" t="str">
        <f ca="1">IF($K137="Yes",COUNTIFS($K$4:$K137,"Yes"),"")</f>
        <v/>
      </c>
      <c r="Q137">
        <f t="shared" ca="1" si="11"/>
        <v>0</v>
      </c>
      <c r="R137" t="str">
        <f ca="1">IF($Q137=1,SUM($Q$4:$Q137),"")</f>
        <v/>
      </c>
    </row>
    <row r="138" spans="1:18" ht="22.5" customHeight="1" x14ac:dyDescent="0.3">
      <c r="A138" s="2" t="s">
        <v>128</v>
      </c>
      <c r="B138" s="2" t="s">
        <v>21</v>
      </c>
      <c r="C138" s="3" t="s">
        <v>128</v>
      </c>
      <c r="D138" s="3" t="s">
        <v>134</v>
      </c>
      <c r="E138" s="2" t="s">
        <v>130</v>
      </c>
      <c r="F138" s="2"/>
      <c r="G138" s="5">
        <v>46264</v>
      </c>
      <c r="H138" s="5">
        <v>46357</v>
      </c>
      <c r="I138" s="4" t="s">
        <v>17</v>
      </c>
      <c r="J138" s="6">
        <f t="shared" si="9"/>
        <v>93</v>
      </c>
      <c r="K138" s="4" t="str">
        <f t="shared" ca="1" si="10"/>
        <v>No</v>
      </c>
      <c r="L138" s="7">
        <f t="shared" ca="1" si="12"/>
        <v>149</v>
      </c>
      <c r="M138" s="4" t="str">
        <f>IF($I138="Complete","Green",IF($H138="","Amber",IF($H138&lt;'[2]Read Me'!$B$4,"Red",IF($H138-'[2]Read Me'!$B$4&lt;=21,"Amber","Green"))))</f>
        <v>Green</v>
      </c>
      <c r="N138" s="3"/>
      <c r="O138" t="str">
        <f>IF($I138&lt;&gt;"Complete",IF(COUNTIFS($A$4:$A137,$A138,$B$4:$B137,$B138,$I$4:$I137,"&lt;&gt;Complete")=0,$A138&amp;"|"&amp;$B138,""),"")</f>
        <v/>
      </c>
      <c r="P138" t="str">
        <f ca="1">IF($K138="Yes",COUNTIFS($K$4:$K138,"Yes"),"")</f>
        <v/>
      </c>
      <c r="Q138">
        <f t="shared" ca="1" si="11"/>
        <v>0</v>
      </c>
      <c r="R138" t="str">
        <f ca="1">IF($Q138=1,SUM($Q$4:$Q138),"")</f>
        <v/>
      </c>
    </row>
    <row r="139" spans="1:18" ht="22.5" customHeight="1" x14ac:dyDescent="0.3">
      <c r="A139" s="2" t="s">
        <v>128</v>
      </c>
      <c r="B139" s="2" t="s">
        <v>21</v>
      </c>
      <c r="C139" s="3" t="s">
        <v>128</v>
      </c>
      <c r="D139" s="3" t="s">
        <v>123</v>
      </c>
      <c r="E139" s="2" t="s">
        <v>130</v>
      </c>
      <c r="F139" s="2"/>
      <c r="G139" s="5">
        <v>46292</v>
      </c>
      <c r="H139" s="5">
        <v>46385</v>
      </c>
      <c r="I139" s="4" t="s">
        <v>17</v>
      </c>
      <c r="J139" s="6">
        <f t="shared" si="9"/>
        <v>93</v>
      </c>
      <c r="K139" s="4" t="str">
        <f t="shared" ca="1" si="10"/>
        <v>No</v>
      </c>
      <c r="L139" s="7">
        <f t="shared" ca="1" si="12"/>
        <v>177</v>
      </c>
      <c r="M139" s="4" t="str">
        <f>IF($I139="Complete","Green",IF($H139="","Amber",IF($H139&lt;'[2]Read Me'!$B$4,"Red",IF($H139-'[2]Read Me'!$B$4&lt;=21,"Amber","Green"))))</f>
        <v>Green</v>
      </c>
      <c r="N139" s="3"/>
      <c r="O139" t="str">
        <f>IF($I139&lt;&gt;"Complete",IF(COUNTIFS($A$4:$A138,$A139,$B$4:$B138,$B139,$I$4:$I138,"&lt;&gt;Complete")=0,$A139&amp;"|"&amp;$B139,""),"")</f>
        <v/>
      </c>
      <c r="P139" t="str">
        <f ca="1">IF($K139="Yes",COUNTIFS($K$4:$K139,"Yes"),"")</f>
        <v/>
      </c>
      <c r="Q139">
        <f t="shared" ca="1" si="11"/>
        <v>0</v>
      </c>
      <c r="R139" t="str">
        <f ca="1">IF($Q139=1,SUM($Q$4:$Q139),"")</f>
        <v/>
      </c>
    </row>
    <row r="140" spans="1:18" ht="22.5" customHeight="1" x14ac:dyDescent="0.3">
      <c r="A140" s="2" t="s">
        <v>128</v>
      </c>
      <c r="B140" s="2" t="s">
        <v>21</v>
      </c>
      <c r="C140" s="3" t="s">
        <v>128</v>
      </c>
      <c r="D140" s="3" t="s">
        <v>32</v>
      </c>
      <c r="E140" s="2" t="s">
        <v>130</v>
      </c>
      <c r="F140" s="2"/>
      <c r="G140" s="5">
        <v>46306</v>
      </c>
      <c r="H140" s="5">
        <v>46399</v>
      </c>
      <c r="I140" s="4" t="s">
        <v>17</v>
      </c>
      <c r="J140" s="6">
        <f t="shared" si="9"/>
        <v>93</v>
      </c>
      <c r="K140" s="4" t="str">
        <f t="shared" ca="1" si="10"/>
        <v>No</v>
      </c>
      <c r="L140" s="7">
        <f t="shared" ca="1" si="12"/>
        <v>191</v>
      </c>
      <c r="M140" s="4" t="str">
        <f>IF($I140="Complete","Green",IF($H140="","Amber",IF($H140&lt;'[2]Read Me'!$B$4,"Red",IF($H140-'[2]Read Me'!$B$4&lt;=21,"Amber","Green"))))</f>
        <v>Green</v>
      </c>
      <c r="N140" s="3"/>
      <c r="O140" t="str">
        <f>IF($I140&lt;&gt;"Complete",IF(COUNTIFS($A$4:$A139,$A140,$B$4:$B139,$B140,$I$4:$I139,"&lt;&gt;Complete")=0,$A140&amp;"|"&amp;$B140,""),"")</f>
        <v/>
      </c>
      <c r="P140" t="str">
        <f ca="1">IF($K140="Yes",COUNTIFS($K$4:$K140,"Yes"),"")</f>
        <v/>
      </c>
      <c r="Q140">
        <f t="shared" ca="1" si="11"/>
        <v>0</v>
      </c>
      <c r="R140" t="str">
        <f ca="1">IF($Q140=1,SUM($Q$4:$Q140),"")</f>
        <v/>
      </c>
    </row>
    <row r="141" spans="1:18" ht="22.5" customHeight="1" x14ac:dyDescent="0.3">
      <c r="A141" s="2" t="s">
        <v>128</v>
      </c>
      <c r="B141" s="2" t="s">
        <v>21</v>
      </c>
      <c r="C141" s="3" t="s">
        <v>128</v>
      </c>
      <c r="D141" s="3" t="s">
        <v>19</v>
      </c>
      <c r="E141" s="2" t="s">
        <v>33</v>
      </c>
      <c r="F141" s="2" t="s">
        <v>81</v>
      </c>
      <c r="G141" s="5">
        <v>46313</v>
      </c>
      <c r="H141" s="5">
        <v>46406</v>
      </c>
      <c r="I141" s="4" t="s">
        <v>17</v>
      </c>
      <c r="J141" s="6">
        <f t="shared" si="9"/>
        <v>93</v>
      </c>
      <c r="K141" s="4" t="str">
        <f t="shared" ca="1" si="10"/>
        <v>No</v>
      </c>
      <c r="L141" s="7">
        <f t="shared" ca="1" si="12"/>
        <v>198</v>
      </c>
      <c r="M141" s="4" t="str">
        <f>IF($I141="Complete","Green",IF($H141="","Amber",IF($H141&lt;'[2]Read Me'!$B$4,"Red",IF($H141-'[2]Read Me'!$B$4&lt;=21,"Amber","Green"))))</f>
        <v>Green</v>
      </c>
      <c r="N141" s="3"/>
      <c r="O141" t="str">
        <f>IF($I141&lt;&gt;"Complete",IF(COUNTIFS($A$4:$A140,$A141,$B$4:$B140,$B141,$I$4:$I140,"&lt;&gt;Complete")=0,$A141&amp;"|"&amp;$B141,""),"")</f>
        <v/>
      </c>
      <c r="P141" t="str">
        <f ca="1">IF($K141="Yes",COUNTIFS($K$4:$K141,"Yes"),"")</f>
        <v/>
      </c>
      <c r="Q141">
        <f t="shared" ca="1" si="11"/>
        <v>0</v>
      </c>
      <c r="R141" t="str">
        <f ca="1">IF($Q141=1,SUM($Q$4:$Q141),"")</f>
        <v/>
      </c>
    </row>
    <row r="142" spans="1:18" ht="22.5" customHeight="1" x14ac:dyDescent="0.3">
      <c r="A142" s="2" t="s">
        <v>128</v>
      </c>
      <c r="B142" s="2" t="s">
        <v>21</v>
      </c>
      <c r="C142" s="3" t="s">
        <v>128</v>
      </c>
      <c r="D142" s="3" t="s">
        <v>14</v>
      </c>
      <c r="E142" s="2" t="s">
        <v>130</v>
      </c>
      <c r="F142" s="2"/>
      <c r="G142" s="5">
        <v>46327</v>
      </c>
      <c r="H142" s="5">
        <v>46420</v>
      </c>
      <c r="I142" s="4" t="s">
        <v>17</v>
      </c>
      <c r="J142" s="6">
        <f t="shared" si="9"/>
        <v>93</v>
      </c>
      <c r="K142" s="4" t="str">
        <f t="shared" ca="1" si="10"/>
        <v>No</v>
      </c>
      <c r="L142" s="7">
        <f t="shared" ca="1" si="12"/>
        <v>212</v>
      </c>
      <c r="M142" s="4" t="str">
        <f>IF($I142="Complete","Green",IF($H142="","Amber",IF($H142&lt;'[2]Read Me'!$B$4,"Red",IF($H142-'[2]Read Me'!$B$4&lt;=21,"Amber","Green"))))</f>
        <v>Green</v>
      </c>
      <c r="N142" s="3"/>
      <c r="O142" t="str">
        <f>IF($I142&lt;&gt;"Complete",IF(COUNTIFS($A$4:$A141,$A142,$B$4:$B141,$B142,$I$4:$I141,"&lt;&gt;Complete")=0,$A142&amp;"|"&amp;$B142,""),"")</f>
        <v/>
      </c>
      <c r="P142" t="str">
        <f ca="1">IF($K142="Yes",COUNTIFS($K$4:$K142,"Yes"),"")</f>
        <v/>
      </c>
      <c r="Q142">
        <f t="shared" ca="1" si="11"/>
        <v>0</v>
      </c>
      <c r="R142" t="str">
        <f ca="1">IF($Q142=1,SUM($Q$4:$Q142),"")</f>
        <v/>
      </c>
    </row>
    <row r="143" spans="1:18" ht="22.5" customHeight="1" x14ac:dyDescent="0.3">
      <c r="A143" s="2" t="s">
        <v>128</v>
      </c>
      <c r="B143" s="2" t="s">
        <v>21</v>
      </c>
      <c r="C143" s="3" t="s">
        <v>128</v>
      </c>
      <c r="D143" s="3" t="s">
        <v>34</v>
      </c>
      <c r="E143" s="2" t="s">
        <v>130</v>
      </c>
      <c r="F143" s="2"/>
      <c r="G143" s="5">
        <v>46341</v>
      </c>
      <c r="H143" s="5">
        <v>46434</v>
      </c>
      <c r="I143" s="4" t="s">
        <v>17</v>
      </c>
      <c r="J143" s="6">
        <f t="shared" si="9"/>
        <v>93</v>
      </c>
      <c r="K143" s="4" t="str">
        <f t="shared" ca="1" si="10"/>
        <v>No</v>
      </c>
      <c r="L143" s="7">
        <f t="shared" ca="1" si="12"/>
        <v>226</v>
      </c>
      <c r="M143" s="4" t="str">
        <f>IF($I143="Complete","Green",IF($H143="","Amber",IF($H143&lt;'[2]Read Me'!$B$4,"Red",IF($H143-'[2]Read Me'!$B$4&lt;=21,"Amber","Green"))))</f>
        <v>Green</v>
      </c>
      <c r="N143" s="3"/>
      <c r="O143" t="str">
        <f>IF($I143&lt;&gt;"Complete",IF(COUNTIFS($A$4:$A142,$A143,$B$4:$B142,$B143,$I$4:$I142,"&lt;&gt;Complete")=0,$A143&amp;"|"&amp;$B143,""),"")</f>
        <v/>
      </c>
      <c r="P143" t="str">
        <f ca="1">IF($K143="Yes",COUNTIFS($K$4:$K143,"Yes"),"")</f>
        <v/>
      </c>
      <c r="Q143">
        <f t="shared" ca="1" si="11"/>
        <v>0</v>
      </c>
      <c r="R143" t="str">
        <f ca="1">IF($Q143=1,SUM($Q$4:$Q143),"")</f>
        <v/>
      </c>
    </row>
    <row r="144" spans="1:18" ht="22.5" customHeight="1" x14ac:dyDescent="0.3">
      <c r="A144" s="2" t="s">
        <v>128</v>
      </c>
      <c r="B144" s="2" t="s">
        <v>21</v>
      </c>
      <c r="C144" s="3" t="s">
        <v>128</v>
      </c>
      <c r="D144" s="3" t="s">
        <v>127</v>
      </c>
      <c r="E144" s="2" t="s">
        <v>130</v>
      </c>
      <c r="F144" s="2"/>
      <c r="G144" s="5">
        <v>46355</v>
      </c>
      <c r="H144" s="5">
        <v>46448</v>
      </c>
      <c r="I144" s="4" t="s">
        <v>17</v>
      </c>
      <c r="J144" s="6">
        <f t="shared" si="9"/>
        <v>93</v>
      </c>
      <c r="K144" s="4" t="str">
        <f t="shared" ca="1" si="10"/>
        <v>No</v>
      </c>
      <c r="L144" s="7">
        <f t="shared" ca="1" si="12"/>
        <v>240</v>
      </c>
      <c r="M144" s="4" t="str">
        <f>IF($I144="Complete","Green",IF($H144="","Amber",IF($H144&lt;'[2]Read Me'!$B$4,"Red",IF($H144-'[2]Read Me'!$B$4&lt;=21,"Amber","Green"))))</f>
        <v>Green</v>
      </c>
      <c r="N144" s="3"/>
      <c r="O144" t="str">
        <f>IF($I144&lt;&gt;"Complete",IF(COUNTIFS($A$4:$A143,$A144,$B$4:$B143,$B144,$I$4:$I143,"&lt;&gt;Complete")=0,$A144&amp;"|"&amp;$B144,""),"")</f>
        <v/>
      </c>
      <c r="P144" t="str">
        <f ca="1">IF($K144="Yes",COUNTIFS($K$4:$K144,"Yes"),"")</f>
        <v/>
      </c>
      <c r="Q144">
        <f t="shared" ca="1" si="11"/>
        <v>0</v>
      </c>
      <c r="R144" t="str">
        <f ca="1">IF($Q144=1,SUM($Q$4:$Q144),"")</f>
        <v/>
      </c>
    </row>
    <row r="145" spans="1:18" ht="22.5" customHeight="1" x14ac:dyDescent="0.3">
      <c r="A145" s="2" t="s">
        <v>128</v>
      </c>
      <c r="B145" s="2" t="s">
        <v>21</v>
      </c>
      <c r="C145" s="3" t="s">
        <v>128</v>
      </c>
      <c r="D145" s="3" t="s">
        <v>35</v>
      </c>
      <c r="E145" s="2" t="s">
        <v>130</v>
      </c>
      <c r="F145" s="2"/>
      <c r="G145" s="5">
        <v>46369</v>
      </c>
      <c r="H145" s="5">
        <v>46462</v>
      </c>
      <c r="I145" s="4" t="s">
        <v>17</v>
      </c>
      <c r="J145" s="6">
        <f t="shared" si="9"/>
        <v>93</v>
      </c>
      <c r="K145" s="4" t="str">
        <f t="shared" ca="1" si="10"/>
        <v>No</v>
      </c>
      <c r="L145" s="7">
        <f t="shared" ca="1" si="12"/>
        <v>254</v>
      </c>
      <c r="M145" s="4" t="str">
        <f>IF($I145="Complete","Green",IF($H145="","Amber",IF($H145&lt;'[2]Read Me'!$B$4,"Red",IF($H145-'[2]Read Me'!$B$4&lt;=21,"Amber","Green"))))</f>
        <v>Green</v>
      </c>
      <c r="N145" s="3"/>
      <c r="O145" t="str">
        <f>IF($I145&lt;&gt;"Complete",IF(COUNTIFS($A$4:$A144,$A145,$B$4:$B144,$B145,$I$4:$I144,"&lt;&gt;Complete")=0,$A145&amp;"|"&amp;$B145,""),"")</f>
        <v/>
      </c>
      <c r="P145" t="str">
        <f ca="1">IF($K145="Yes",COUNTIFS($K$4:$K145,"Yes"),"")</f>
        <v/>
      </c>
      <c r="Q145">
        <f t="shared" ca="1" si="11"/>
        <v>0</v>
      </c>
      <c r="R145" t="str">
        <f ca="1">IF($Q145=1,SUM($Q$4:$Q145),"")</f>
        <v/>
      </c>
    </row>
    <row r="146" spans="1:18" ht="22.5" customHeight="1" x14ac:dyDescent="0.3">
      <c r="A146" s="2" t="s">
        <v>128</v>
      </c>
      <c r="B146" s="2" t="s">
        <v>21</v>
      </c>
      <c r="C146" s="3" t="s">
        <v>128</v>
      </c>
      <c r="D146" s="3" t="s">
        <v>20</v>
      </c>
      <c r="E146" s="2" t="s">
        <v>33</v>
      </c>
      <c r="F146" s="2" t="s">
        <v>81</v>
      </c>
      <c r="G146" s="5">
        <v>46376</v>
      </c>
      <c r="H146" s="5">
        <v>46469</v>
      </c>
      <c r="I146" s="4" t="s">
        <v>17</v>
      </c>
      <c r="J146" s="6">
        <f t="shared" si="9"/>
        <v>93</v>
      </c>
      <c r="K146" s="4" t="str">
        <f t="shared" ca="1" si="10"/>
        <v>No</v>
      </c>
      <c r="L146" s="7">
        <f t="shared" ca="1" si="12"/>
        <v>261</v>
      </c>
      <c r="M146" s="4" t="str">
        <f>IF($I146="Complete","Green",IF($H146="","Amber",IF($H146&lt;'[2]Read Me'!$B$4,"Red",IF($H146-'[2]Read Me'!$B$4&lt;=21,"Amber","Green"))))</f>
        <v>Green</v>
      </c>
      <c r="N146" s="3"/>
      <c r="O146" t="str">
        <f>IF($I146&lt;&gt;"Complete",IF(COUNTIFS($A$4:$A145,$A146,$B$4:$B145,$B146,$I$4:$I145,"&lt;&gt;Complete")=0,$A146&amp;"|"&amp;$B146,""),"")</f>
        <v/>
      </c>
      <c r="P146" t="str">
        <f ca="1">IF($K146="Yes",COUNTIFS($K$4:$K146,"Yes"),"")</f>
        <v/>
      </c>
      <c r="Q146">
        <f t="shared" ca="1" si="11"/>
        <v>0</v>
      </c>
      <c r="R146" t="str">
        <f ca="1">IF($Q146=1,SUM($Q$4:$Q146),"")</f>
        <v/>
      </c>
    </row>
    <row r="147" spans="1:18" ht="22.5" customHeight="1" x14ac:dyDescent="0.3">
      <c r="A147" s="2" t="s">
        <v>128</v>
      </c>
      <c r="B147" s="2" t="s">
        <v>21</v>
      </c>
      <c r="C147" s="3" t="s">
        <v>128</v>
      </c>
      <c r="D147" s="3" t="s">
        <v>108</v>
      </c>
      <c r="E147" s="2" t="s">
        <v>130</v>
      </c>
      <c r="F147" s="2"/>
      <c r="G147" s="5">
        <v>46390</v>
      </c>
      <c r="H147" s="5">
        <v>46483</v>
      </c>
      <c r="I147" s="4" t="s">
        <v>17</v>
      </c>
      <c r="J147" s="6">
        <f t="shared" si="9"/>
        <v>93</v>
      </c>
      <c r="K147" s="4" t="str">
        <f t="shared" ca="1" si="10"/>
        <v>No</v>
      </c>
      <c r="L147" s="7">
        <f t="shared" ca="1" si="12"/>
        <v>275</v>
      </c>
      <c r="M147" s="4" t="str">
        <f>IF($I147="Complete","Green",IF($H147="","Amber",IF($H147&lt;'[2]Read Me'!$B$4,"Red",IF($H147-'[2]Read Me'!$B$4&lt;=21,"Amber","Green"))))</f>
        <v>Green</v>
      </c>
      <c r="N147" s="3"/>
      <c r="O147" t="str">
        <f>IF($I147&lt;&gt;"Complete",IF(COUNTIFS($A$4:$A146,$A147,$B$4:$B146,$B147,$I$4:$I146,"&lt;&gt;Complete")=0,$A147&amp;"|"&amp;$B147,""),"")</f>
        <v/>
      </c>
      <c r="P147" t="str">
        <f ca="1">IF($K147="Yes",COUNTIFS($K$4:$K147,"Yes"),"")</f>
        <v/>
      </c>
      <c r="Q147">
        <f t="shared" ca="1" si="11"/>
        <v>0</v>
      </c>
      <c r="R147" t="str">
        <f ca="1">IF($Q147=1,SUM($Q$4:$Q147),"")</f>
        <v/>
      </c>
    </row>
    <row r="148" spans="1:18" ht="22.5" customHeight="1" x14ac:dyDescent="0.3">
      <c r="A148" s="2" t="s">
        <v>128</v>
      </c>
      <c r="B148" s="2" t="s">
        <v>21</v>
      </c>
      <c r="C148" s="3" t="s">
        <v>128</v>
      </c>
      <c r="D148" s="3" t="s">
        <v>37</v>
      </c>
      <c r="E148" s="2" t="s">
        <v>130</v>
      </c>
      <c r="F148" s="2"/>
      <c r="G148" s="5">
        <v>46404</v>
      </c>
      <c r="H148" s="5">
        <v>46497</v>
      </c>
      <c r="I148" s="4" t="s">
        <v>17</v>
      </c>
      <c r="J148" s="6">
        <f t="shared" si="9"/>
        <v>93</v>
      </c>
      <c r="K148" s="4" t="str">
        <f t="shared" ca="1" si="10"/>
        <v>No</v>
      </c>
      <c r="L148" s="7">
        <f t="shared" ca="1" si="12"/>
        <v>289</v>
      </c>
      <c r="M148" s="4" t="str">
        <f>IF($I148="Complete","Green",IF($H148="","Amber",IF($H148&lt;'[2]Read Me'!$B$4,"Red",IF($H148-'[2]Read Me'!$B$4&lt;=21,"Amber","Green"))))</f>
        <v>Green</v>
      </c>
      <c r="N148" s="3"/>
      <c r="O148" t="str">
        <f>IF($I148&lt;&gt;"Complete",IF(COUNTIFS($A$4:$A147,$A148,$B$4:$B147,$B148,$I$4:$I147,"&lt;&gt;Complete")=0,$A148&amp;"|"&amp;$B148,""),"")</f>
        <v/>
      </c>
      <c r="P148" t="str">
        <f ca="1">IF($K148="Yes",COUNTIFS($K$4:$K148,"Yes"),"")</f>
        <v/>
      </c>
      <c r="Q148">
        <f t="shared" ca="1" si="11"/>
        <v>0</v>
      </c>
      <c r="R148" t="str">
        <f ca="1">IF($Q148=1,SUM($Q$4:$Q148),"")</f>
        <v/>
      </c>
    </row>
    <row r="149" spans="1:18" ht="22.5" customHeight="1" x14ac:dyDescent="0.3">
      <c r="A149" s="2" t="s">
        <v>135</v>
      </c>
      <c r="B149" s="2" t="s">
        <v>21</v>
      </c>
      <c r="C149" s="3"/>
      <c r="D149" s="3"/>
      <c r="E149" s="2"/>
      <c r="F149" s="2"/>
      <c r="G149" s="5">
        <v>46460</v>
      </c>
      <c r="H149" s="5">
        <v>46553</v>
      </c>
      <c r="I149" s="4"/>
      <c r="J149" s="6">
        <f t="shared" si="9"/>
        <v>93</v>
      </c>
      <c r="K149" s="4" t="str">
        <f t="shared" ca="1" si="10"/>
        <v/>
      </c>
      <c r="L149" s="7">
        <f t="shared" ca="1" si="12"/>
        <v>345</v>
      </c>
      <c r="M149" s="4" t="str">
        <f>IF($I149="Complete","Green",IF($H149="","Amber",IF($H149&lt;'[2]Read Me'!$B$4,"Red",IF($H149-'[2]Read Me'!$B$4&lt;=21,"Amber","Green"))))</f>
        <v>Green</v>
      </c>
      <c r="N149" s="3"/>
      <c r="O149" t="str">
        <f>IF($I149&lt;&gt;"Complete",IF(COUNTIFS($A$4:$A148,$A149,$B$4:$B148,$B149,$I$4:$I148,"&lt;&gt;Complete")=0,$A149&amp;"|"&amp;$B149,""),"")</f>
        <v>Landscape (Phase.02)|Landscape</v>
      </c>
      <c r="P149" t="str">
        <f ca="1">IF($K149="Yes",COUNTIFS($K$4:$K149,"Yes"),"")</f>
        <v/>
      </c>
      <c r="Q149">
        <f t="shared" ca="1" si="11"/>
        <v>0</v>
      </c>
      <c r="R149" t="str">
        <f ca="1">IF($Q149=1,SUM($Q$4:$Q149),"")</f>
        <v/>
      </c>
    </row>
    <row r="150" spans="1:18" ht="22.5" customHeight="1" x14ac:dyDescent="0.3">
      <c r="A150" s="2" t="s">
        <v>135</v>
      </c>
      <c r="B150" s="2" t="s">
        <v>21</v>
      </c>
      <c r="C150" s="3" t="s">
        <v>135</v>
      </c>
      <c r="D150" s="3" t="s">
        <v>98</v>
      </c>
      <c r="E150" s="2" t="s">
        <v>130</v>
      </c>
      <c r="F150" s="2"/>
      <c r="G150" s="5">
        <v>46278</v>
      </c>
      <c r="H150" s="5">
        <v>46371</v>
      </c>
      <c r="I150" s="4" t="s">
        <v>17</v>
      </c>
      <c r="J150" s="6">
        <f t="shared" si="9"/>
        <v>93</v>
      </c>
      <c r="K150" s="4" t="str">
        <f t="shared" ca="1" si="10"/>
        <v>No</v>
      </c>
      <c r="L150" s="7">
        <f t="shared" ca="1" si="12"/>
        <v>163</v>
      </c>
      <c r="M150" s="4" t="str">
        <f>IF($I150="Complete","Green",IF($H150="","Amber",IF($H150&lt;'[2]Read Me'!$B$4,"Red",IF($H150-'[2]Read Me'!$B$4&lt;=21,"Amber","Green"))))</f>
        <v>Green</v>
      </c>
      <c r="N150" s="3"/>
      <c r="O150" t="str">
        <f>IF($I150&lt;&gt;"Complete",IF(COUNTIFS($A$4:$A149,$A150,$B$4:$B149,$B150,$I$4:$I149,"&lt;&gt;Complete")=0,$A150&amp;"|"&amp;$B150,""),"")</f>
        <v/>
      </c>
      <c r="P150" t="str">
        <f ca="1">IF($K150="Yes",COUNTIFS($K$4:$K150,"Yes"),"")</f>
        <v/>
      </c>
      <c r="Q150">
        <f t="shared" ca="1" si="11"/>
        <v>0</v>
      </c>
      <c r="R150" t="str">
        <f ca="1">IF($Q150=1,SUM($Q$4:$Q150),"")</f>
        <v/>
      </c>
    </row>
    <row r="151" spans="1:18" ht="22.5" customHeight="1" x14ac:dyDescent="0.3">
      <c r="A151" s="2" t="s">
        <v>135</v>
      </c>
      <c r="B151" s="2" t="s">
        <v>21</v>
      </c>
      <c r="C151" s="3" t="s">
        <v>135</v>
      </c>
      <c r="D151" s="3" t="s">
        <v>47</v>
      </c>
      <c r="E151" s="2" t="s">
        <v>130</v>
      </c>
      <c r="F151" s="2"/>
      <c r="G151" s="5">
        <v>46292</v>
      </c>
      <c r="H151" s="5">
        <v>46385</v>
      </c>
      <c r="I151" s="4" t="s">
        <v>17</v>
      </c>
      <c r="J151" s="6">
        <f t="shared" si="9"/>
        <v>93</v>
      </c>
      <c r="K151" s="4" t="str">
        <f t="shared" ca="1" si="10"/>
        <v>No</v>
      </c>
      <c r="L151" s="7">
        <f t="shared" ca="1" si="12"/>
        <v>177</v>
      </c>
      <c r="M151" s="4" t="str">
        <f>IF($I151="Complete","Green",IF($H151="","Amber",IF($H151&lt;'[2]Read Me'!$B$4,"Red",IF($H151-'[2]Read Me'!$B$4&lt;=21,"Amber","Green"))))</f>
        <v>Green</v>
      </c>
      <c r="N151" s="3"/>
      <c r="O151" t="str">
        <f>IF($I151&lt;&gt;"Complete",IF(COUNTIFS($A$4:$A150,$A151,$B$4:$B150,$B151,$I$4:$I150,"&lt;&gt;Complete")=0,$A151&amp;"|"&amp;$B151,""),"")</f>
        <v/>
      </c>
      <c r="P151" t="str">
        <f ca="1">IF($K151="Yes",COUNTIFS($K$4:$K151,"Yes"),"")</f>
        <v/>
      </c>
      <c r="Q151">
        <f t="shared" ca="1" si="11"/>
        <v>0</v>
      </c>
      <c r="R151" t="str">
        <f ca="1">IF($Q151=1,SUM($Q$4:$Q151),"")</f>
        <v/>
      </c>
    </row>
    <row r="152" spans="1:18" ht="22.5" customHeight="1" x14ac:dyDescent="0.3">
      <c r="A152" s="2" t="s">
        <v>135</v>
      </c>
      <c r="B152" s="2" t="s">
        <v>21</v>
      </c>
      <c r="C152" s="3" t="s">
        <v>135</v>
      </c>
      <c r="D152" s="3" t="s">
        <v>132</v>
      </c>
      <c r="E152" s="2" t="s">
        <v>33</v>
      </c>
      <c r="F152" s="2" t="s">
        <v>81</v>
      </c>
      <c r="G152" s="5">
        <v>46299</v>
      </c>
      <c r="H152" s="5">
        <v>46392</v>
      </c>
      <c r="I152" s="4" t="s">
        <v>17</v>
      </c>
      <c r="J152" s="6">
        <f t="shared" si="9"/>
        <v>93</v>
      </c>
      <c r="K152" s="4" t="str">
        <f t="shared" ca="1" si="10"/>
        <v>No</v>
      </c>
      <c r="L152" s="7">
        <f t="shared" ca="1" si="12"/>
        <v>184</v>
      </c>
      <c r="M152" s="4" t="str">
        <f>IF($I152="Complete","Green",IF($H152="","Amber",IF($H152&lt;'[2]Read Me'!$B$4,"Red",IF($H152-'[2]Read Me'!$B$4&lt;=21,"Amber","Green"))))</f>
        <v>Green</v>
      </c>
      <c r="N152" s="3"/>
      <c r="O152" t="str">
        <f>IF($I152&lt;&gt;"Complete",IF(COUNTIFS($A$4:$A151,$A152,$B$4:$B151,$B152,$I$4:$I151,"&lt;&gt;Complete")=0,$A152&amp;"|"&amp;$B152,""),"")</f>
        <v/>
      </c>
      <c r="P152" t="str">
        <f ca="1">IF($K152="Yes",COUNTIFS($K$4:$K152,"Yes"),"")</f>
        <v/>
      </c>
      <c r="Q152">
        <f t="shared" ca="1" si="11"/>
        <v>0</v>
      </c>
      <c r="R152" t="str">
        <f ca="1">IF($Q152=1,SUM($Q$4:$Q152),"")</f>
        <v/>
      </c>
    </row>
    <row r="153" spans="1:18" ht="22.5" customHeight="1" x14ac:dyDescent="0.3">
      <c r="A153" s="2" t="s">
        <v>135</v>
      </c>
      <c r="B153" s="2" t="s">
        <v>21</v>
      </c>
      <c r="C153" s="3" t="s">
        <v>135</v>
      </c>
      <c r="D153" s="3" t="s">
        <v>133</v>
      </c>
      <c r="E153" s="2" t="s">
        <v>130</v>
      </c>
      <c r="F153" s="2"/>
      <c r="G153" s="5">
        <v>46306</v>
      </c>
      <c r="H153" s="5">
        <v>46399</v>
      </c>
      <c r="I153" s="4" t="s">
        <v>17</v>
      </c>
      <c r="J153" s="6">
        <f t="shared" si="9"/>
        <v>93</v>
      </c>
      <c r="K153" s="4" t="str">
        <f t="shared" ca="1" si="10"/>
        <v>No</v>
      </c>
      <c r="L153" s="7">
        <f t="shared" ca="1" si="12"/>
        <v>191</v>
      </c>
      <c r="M153" s="4" t="str">
        <f>IF($I153="Complete","Green",IF($H153="","Amber",IF($H153&lt;'[2]Read Me'!$B$4,"Red",IF($H153-'[2]Read Me'!$B$4&lt;=21,"Amber","Green"))))</f>
        <v>Green</v>
      </c>
      <c r="N153" s="3"/>
      <c r="O153" t="str">
        <f>IF($I153&lt;&gt;"Complete",IF(COUNTIFS($A$4:$A152,$A153,$B$4:$B152,$B153,$I$4:$I152,"&lt;&gt;Complete")=0,$A153&amp;"|"&amp;$B153,""),"")</f>
        <v/>
      </c>
      <c r="P153" t="str">
        <f ca="1">IF($K153="Yes",COUNTIFS($K$4:$K153,"Yes"),"")</f>
        <v/>
      </c>
      <c r="Q153">
        <f t="shared" ca="1" si="11"/>
        <v>0</v>
      </c>
      <c r="R153" t="str">
        <f ca="1">IF($Q153=1,SUM($Q$4:$Q153),"")</f>
        <v/>
      </c>
    </row>
    <row r="154" spans="1:18" ht="22.5" customHeight="1" x14ac:dyDescent="0.3">
      <c r="A154" s="2" t="s">
        <v>135</v>
      </c>
      <c r="B154" s="2" t="s">
        <v>21</v>
      </c>
      <c r="C154" s="3" t="s">
        <v>135</v>
      </c>
      <c r="D154" s="3" t="s">
        <v>134</v>
      </c>
      <c r="E154" s="2" t="s">
        <v>130</v>
      </c>
      <c r="F154" s="2"/>
      <c r="G154" s="5">
        <v>46320</v>
      </c>
      <c r="H154" s="5">
        <v>46413</v>
      </c>
      <c r="I154" s="4" t="s">
        <v>17</v>
      </c>
      <c r="J154" s="6">
        <f t="shared" si="9"/>
        <v>93</v>
      </c>
      <c r="K154" s="4" t="str">
        <f t="shared" ca="1" si="10"/>
        <v>No</v>
      </c>
      <c r="L154" s="7">
        <f t="shared" ca="1" si="12"/>
        <v>205</v>
      </c>
      <c r="M154" s="4" t="str">
        <f>IF($I154="Complete","Green",IF($H154="","Amber",IF($H154&lt;'[2]Read Me'!$B$4,"Red",IF($H154-'[2]Read Me'!$B$4&lt;=21,"Amber","Green"))))</f>
        <v>Green</v>
      </c>
      <c r="N154" s="3"/>
      <c r="O154" t="str">
        <f>IF($I154&lt;&gt;"Complete",IF(COUNTIFS($A$4:$A153,$A154,$B$4:$B153,$B154,$I$4:$I153,"&lt;&gt;Complete")=0,$A154&amp;"|"&amp;$B154,""),"")</f>
        <v/>
      </c>
      <c r="P154" t="str">
        <f ca="1">IF($K154="Yes",COUNTIFS($K$4:$K154,"Yes"),"")</f>
        <v/>
      </c>
      <c r="Q154">
        <f t="shared" ca="1" si="11"/>
        <v>0</v>
      </c>
      <c r="R154" t="str">
        <f ca="1">IF($Q154=1,SUM($Q$4:$Q154),"")</f>
        <v/>
      </c>
    </row>
    <row r="155" spans="1:18" ht="22.5" customHeight="1" x14ac:dyDescent="0.3">
      <c r="A155" s="2" t="s">
        <v>135</v>
      </c>
      <c r="B155" s="2" t="s">
        <v>21</v>
      </c>
      <c r="C155" s="3" t="s">
        <v>135</v>
      </c>
      <c r="D155" s="3" t="s">
        <v>123</v>
      </c>
      <c r="E155" s="2" t="s">
        <v>130</v>
      </c>
      <c r="F155" s="2"/>
      <c r="G155" s="5">
        <v>46348</v>
      </c>
      <c r="H155" s="5">
        <v>46441</v>
      </c>
      <c r="I155" s="4" t="s">
        <v>17</v>
      </c>
      <c r="J155" s="6">
        <f t="shared" si="9"/>
        <v>93</v>
      </c>
      <c r="K155" s="4" t="str">
        <f t="shared" ca="1" si="10"/>
        <v>No</v>
      </c>
      <c r="L155" s="7">
        <f t="shared" ca="1" si="12"/>
        <v>233</v>
      </c>
      <c r="M155" s="4" t="str">
        <f>IF($I155="Complete","Green",IF($H155="","Amber",IF($H155&lt;'[2]Read Me'!$B$4,"Red",IF($H155-'[2]Read Me'!$B$4&lt;=21,"Amber","Green"))))</f>
        <v>Green</v>
      </c>
      <c r="N155" s="3"/>
      <c r="O155" t="str">
        <f>IF($I155&lt;&gt;"Complete",IF(COUNTIFS($A$4:$A154,$A155,$B$4:$B154,$B155,$I$4:$I154,"&lt;&gt;Complete")=0,$A155&amp;"|"&amp;$B155,""),"")</f>
        <v/>
      </c>
      <c r="P155" t="str">
        <f ca="1">IF($K155="Yes",COUNTIFS($K$4:$K155,"Yes"),"")</f>
        <v/>
      </c>
      <c r="Q155">
        <f t="shared" ca="1" si="11"/>
        <v>0</v>
      </c>
      <c r="R155" t="str">
        <f ca="1">IF($Q155=1,SUM($Q$4:$Q155),"")</f>
        <v/>
      </c>
    </row>
    <row r="156" spans="1:18" ht="22.5" customHeight="1" x14ac:dyDescent="0.3">
      <c r="A156" s="2" t="s">
        <v>135</v>
      </c>
      <c r="B156" s="2" t="s">
        <v>21</v>
      </c>
      <c r="C156" s="3" t="s">
        <v>135</v>
      </c>
      <c r="D156" s="3" t="s">
        <v>32</v>
      </c>
      <c r="E156" s="2" t="s">
        <v>130</v>
      </c>
      <c r="F156" s="2"/>
      <c r="G156" s="5">
        <v>46362</v>
      </c>
      <c r="H156" s="5">
        <v>46455</v>
      </c>
      <c r="I156" s="4" t="s">
        <v>17</v>
      </c>
      <c r="J156" s="6">
        <f t="shared" si="9"/>
        <v>93</v>
      </c>
      <c r="K156" s="4" t="str">
        <f t="shared" ca="1" si="10"/>
        <v>No</v>
      </c>
      <c r="L156" s="7">
        <f t="shared" ca="1" si="12"/>
        <v>247</v>
      </c>
      <c r="M156" s="4" t="str">
        <f>IF($I156="Complete","Green",IF($H156="","Amber",IF($H156&lt;'[2]Read Me'!$B$4,"Red",IF($H156-'[2]Read Me'!$B$4&lt;=21,"Amber","Green"))))</f>
        <v>Green</v>
      </c>
      <c r="N156" s="3"/>
      <c r="O156" t="str">
        <f>IF($I156&lt;&gt;"Complete",IF(COUNTIFS($A$4:$A155,$A156,$B$4:$B155,$B156,$I$4:$I155,"&lt;&gt;Complete")=0,$A156&amp;"|"&amp;$B156,""),"")</f>
        <v/>
      </c>
      <c r="P156" t="str">
        <f ca="1">IF($K156="Yes",COUNTIFS($K$4:$K156,"Yes"),"")</f>
        <v/>
      </c>
      <c r="Q156">
        <f t="shared" ca="1" si="11"/>
        <v>0</v>
      </c>
      <c r="R156" t="str">
        <f ca="1">IF($Q156=1,SUM($Q$4:$Q156),"")</f>
        <v/>
      </c>
    </row>
    <row r="157" spans="1:18" ht="33.75" customHeight="1" x14ac:dyDescent="0.3">
      <c r="A157" s="2" t="s">
        <v>135</v>
      </c>
      <c r="B157" s="2" t="s">
        <v>21</v>
      </c>
      <c r="C157" s="3" t="s">
        <v>135</v>
      </c>
      <c r="D157" s="3" t="s">
        <v>19</v>
      </c>
      <c r="E157" s="2" t="s">
        <v>33</v>
      </c>
      <c r="F157" s="2" t="s">
        <v>81</v>
      </c>
      <c r="G157" s="5">
        <v>46369</v>
      </c>
      <c r="H157" s="5">
        <v>46462</v>
      </c>
      <c r="I157" s="4" t="s">
        <v>17</v>
      </c>
      <c r="J157" s="6">
        <f t="shared" si="9"/>
        <v>93</v>
      </c>
      <c r="K157" s="4" t="str">
        <f t="shared" ca="1" si="10"/>
        <v>No</v>
      </c>
      <c r="L157" s="7">
        <f t="shared" ca="1" si="12"/>
        <v>254</v>
      </c>
      <c r="M157" s="4" t="str">
        <f>IF($I157="Complete","Green",IF($H157="","Amber",IF($H157&lt;'[2]Read Me'!$B$4,"Red",IF($H157-'[2]Read Me'!$B$4&lt;=21,"Amber","Green"))))</f>
        <v>Green</v>
      </c>
      <c r="N157" s="3"/>
      <c r="O157" t="str">
        <f>IF($I157&lt;&gt;"Complete",IF(COUNTIFS($A$4:$A156,$A157,$B$4:$B156,$B157,$I$4:$I156,"&lt;&gt;Complete")=0,$A157&amp;"|"&amp;$B157,""),"")</f>
        <v/>
      </c>
      <c r="P157" t="str">
        <f ca="1">IF($K157="Yes",COUNTIFS($K$4:$K157,"Yes"),"")</f>
        <v/>
      </c>
      <c r="Q157">
        <f t="shared" ca="1" si="11"/>
        <v>0</v>
      </c>
      <c r="R157" t="str">
        <f ca="1">IF($Q157=1,SUM($Q$4:$Q157),"")</f>
        <v/>
      </c>
    </row>
    <row r="158" spans="1:18" ht="33.75" customHeight="1" x14ac:dyDescent="0.3">
      <c r="A158" s="2" t="s">
        <v>135</v>
      </c>
      <c r="B158" s="2" t="s">
        <v>21</v>
      </c>
      <c r="C158" s="3" t="s">
        <v>135</v>
      </c>
      <c r="D158" s="3" t="s">
        <v>14</v>
      </c>
      <c r="E158" s="2" t="s">
        <v>130</v>
      </c>
      <c r="F158" s="2"/>
      <c r="G158" s="5">
        <v>46383</v>
      </c>
      <c r="H158" s="5">
        <v>46476</v>
      </c>
      <c r="I158" s="4" t="s">
        <v>17</v>
      </c>
      <c r="J158" s="6">
        <f t="shared" si="9"/>
        <v>93</v>
      </c>
      <c r="K158" s="4" t="str">
        <f t="shared" ca="1" si="10"/>
        <v>No</v>
      </c>
      <c r="L158" s="7">
        <f t="shared" ca="1" si="12"/>
        <v>268</v>
      </c>
      <c r="M158" s="4" t="str">
        <f>IF($I158="Complete","Green",IF($H158="","Amber",IF($H158&lt;'[2]Read Me'!$B$4,"Red",IF($H158-'[2]Read Me'!$B$4&lt;=21,"Amber","Green"))))</f>
        <v>Green</v>
      </c>
      <c r="N158" s="3"/>
      <c r="O158" t="str">
        <f>IF($I158&lt;&gt;"Complete",IF(COUNTIFS($A$4:$A157,$A158,$B$4:$B157,$B158,$I$4:$I157,"&lt;&gt;Complete")=0,$A158&amp;"|"&amp;$B158,""),"")</f>
        <v/>
      </c>
      <c r="P158" t="str">
        <f ca="1">IF($K158="Yes",COUNTIFS($K$4:$K158,"Yes"),"")</f>
        <v/>
      </c>
      <c r="Q158">
        <f t="shared" ca="1" si="11"/>
        <v>0</v>
      </c>
      <c r="R158" t="str">
        <f ca="1">IF($Q158=1,SUM($Q$4:$Q158),"")</f>
        <v/>
      </c>
    </row>
    <row r="159" spans="1:18" ht="33.75" customHeight="1" x14ac:dyDescent="0.3">
      <c r="A159" s="2" t="s">
        <v>135</v>
      </c>
      <c r="B159" s="2" t="s">
        <v>21</v>
      </c>
      <c r="C159" s="3" t="s">
        <v>135</v>
      </c>
      <c r="D159" s="3" t="s">
        <v>34</v>
      </c>
      <c r="E159" s="2" t="s">
        <v>130</v>
      </c>
      <c r="F159" s="2"/>
      <c r="G159" s="5">
        <v>46397</v>
      </c>
      <c r="H159" s="5">
        <v>46490</v>
      </c>
      <c r="I159" s="4" t="s">
        <v>17</v>
      </c>
      <c r="J159" s="6">
        <f t="shared" si="9"/>
        <v>93</v>
      </c>
      <c r="K159" s="4" t="str">
        <f t="shared" ca="1" si="10"/>
        <v>No</v>
      </c>
      <c r="L159" s="7">
        <f t="shared" ca="1" si="12"/>
        <v>282</v>
      </c>
      <c r="M159" s="4" t="str">
        <f>IF($I159="Complete","Green",IF($H159="","Amber",IF($H159&lt;'[2]Read Me'!$B$4,"Red",IF($H159-'[2]Read Me'!$B$4&lt;=21,"Amber","Green"))))</f>
        <v>Green</v>
      </c>
      <c r="N159" s="3"/>
      <c r="O159" t="str">
        <f>IF($I159&lt;&gt;"Complete",IF(COUNTIFS($A$4:$A158,$A159,$B$4:$B158,$B159,$I$4:$I158,"&lt;&gt;Complete")=0,$A159&amp;"|"&amp;$B159,""),"")</f>
        <v/>
      </c>
      <c r="P159" t="str">
        <f ca="1">IF($K159="Yes",COUNTIFS($K$4:$K159,"Yes"),"")</f>
        <v/>
      </c>
      <c r="Q159">
        <f t="shared" ca="1" si="11"/>
        <v>0</v>
      </c>
      <c r="R159" t="str">
        <f ca="1">IF($Q159=1,SUM($Q$4:$Q159),"")</f>
        <v/>
      </c>
    </row>
    <row r="160" spans="1:18" ht="33.75" customHeight="1" x14ac:dyDescent="0.3">
      <c r="A160" s="2" t="s">
        <v>135</v>
      </c>
      <c r="B160" s="2" t="s">
        <v>21</v>
      </c>
      <c r="C160" s="3" t="s">
        <v>135</v>
      </c>
      <c r="D160" s="3" t="s">
        <v>127</v>
      </c>
      <c r="E160" s="2" t="s">
        <v>130</v>
      </c>
      <c r="F160" s="2"/>
      <c r="G160" s="5">
        <v>46411</v>
      </c>
      <c r="H160" s="5">
        <v>46504</v>
      </c>
      <c r="I160" s="4" t="s">
        <v>17</v>
      </c>
      <c r="J160" s="6">
        <f t="shared" si="9"/>
        <v>93</v>
      </c>
      <c r="K160" s="4" t="str">
        <f t="shared" ca="1" si="10"/>
        <v>No</v>
      </c>
      <c r="L160" s="7">
        <f t="shared" ca="1" si="12"/>
        <v>296</v>
      </c>
      <c r="M160" s="4" t="str">
        <f>IF($I160="Complete","Green",IF($H160="","Amber",IF($H160&lt;'[2]Read Me'!$B$4,"Red",IF($H160-'[2]Read Me'!$B$4&lt;=21,"Amber","Green"))))</f>
        <v>Green</v>
      </c>
      <c r="N160" s="3"/>
      <c r="O160" t="str">
        <f>IF($I160&lt;&gt;"Complete",IF(COUNTIFS($A$4:$A159,$A160,$B$4:$B159,$B160,$I$4:$I159,"&lt;&gt;Complete")=0,$A160&amp;"|"&amp;$B160,""),"")</f>
        <v/>
      </c>
      <c r="P160" t="str">
        <f ca="1">IF($K160="Yes",COUNTIFS($K$4:$K160,"Yes"),"")</f>
        <v/>
      </c>
      <c r="Q160">
        <f t="shared" ca="1" si="11"/>
        <v>0</v>
      </c>
      <c r="R160" t="str">
        <f ca="1">IF($Q160=1,SUM($Q$4:$Q160),"")</f>
        <v/>
      </c>
    </row>
    <row r="161" spans="1:18" ht="33.75" customHeight="1" x14ac:dyDescent="0.3">
      <c r="A161" s="2" t="s">
        <v>135</v>
      </c>
      <c r="B161" s="2" t="s">
        <v>21</v>
      </c>
      <c r="C161" s="3" t="s">
        <v>135</v>
      </c>
      <c r="D161" s="3" t="s">
        <v>35</v>
      </c>
      <c r="E161" s="2" t="s">
        <v>130</v>
      </c>
      <c r="F161" s="2"/>
      <c r="G161" s="5">
        <v>46425</v>
      </c>
      <c r="H161" s="5">
        <v>46518</v>
      </c>
      <c r="I161" s="4" t="s">
        <v>17</v>
      </c>
      <c r="J161" s="6">
        <f t="shared" si="9"/>
        <v>93</v>
      </c>
      <c r="K161" s="4" t="str">
        <f t="shared" ca="1" si="10"/>
        <v>No</v>
      </c>
      <c r="L161" s="7">
        <f t="shared" ca="1" si="12"/>
        <v>310</v>
      </c>
      <c r="M161" s="4" t="str">
        <f>IF($I161="Complete","Green",IF($H161="","Amber",IF($H161&lt;'[2]Read Me'!$B$4,"Red",IF($H161-'[2]Read Me'!$B$4&lt;=21,"Amber","Green"))))</f>
        <v>Green</v>
      </c>
      <c r="N161" s="3"/>
      <c r="O161" t="str">
        <f>IF($I161&lt;&gt;"Complete",IF(COUNTIFS($A$4:$A160,$A161,$B$4:$B160,$B161,$I$4:$I160,"&lt;&gt;Complete")=0,$A161&amp;"|"&amp;$B161,""),"")</f>
        <v/>
      </c>
      <c r="P161" t="str">
        <f ca="1">IF($K161="Yes",COUNTIFS($K$4:$K161,"Yes"),"")</f>
        <v/>
      </c>
      <c r="Q161">
        <f t="shared" ca="1" si="11"/>
        <v>0</v>
      </c>
      <c r="R161" t="str">
        <f ca="1">IF($Q161=1,SUM($Q$4:$Q161),"")</f>
        <v/>
      </c>
    </row>
    <row r="162" spans="1:18" ht="33.75" customHeight="1" x14ac:dyDescent="0.3">
      <c r="A162" s="2" t="s">
        <v>135</v>
      </c>
      <c r="B162" s="2" t="s">
        <v>21</v>
      </c>
      <c r="C162" s="3" t="s">
        <v>135</v>
      </c>
      <c r="D162" s="3" t="s">
        <v>20</v>
      </c>
      <c r="E162" s="2" t="s">
        <v>33</v>
      </c>
      <c r="F162" s="2" t="s">
        <v>81</v>
      </c>
      <c r="G162" s="5">
        <v>46432</v>
      </c>
      <c r="H162" s="5">
        <v>46525</v>
      </c>
      <c r="I162" s="4" t="s">
        <v>17</v>
      </c>
      <c r="J162" s="6">
        <f t="shared" si="9"/>
        <v>93</v>
      </c>
      <c r="K162" s="4" t="str">
        <f t="shared" ca="1" si="10"/>
        <v>No</v>
      </c>
      <c r="L162" s="7">
        <f t="shared" ca="1" si="12"/>
        <v>317</v>
      </c>
      <c r="M162" s="4" t="str">
        <f>IF($I162="Complete","Green",IF($H162="","Amber",IF($H162&lt;'[2]Read Me'!$B$4,"Red",IF($H162-'[2]Read Me'!$B$4&lt;=21,"Amber","Green"))))</f>
        <v>Green</v>
      </c>
      <c r="N162" s="3"/>
      <c r="O162" t="str">
        <f>IF($I162&lt;&gt;"Complete",IF(COUNTIFS($A$4:$A161,$A162,$B$4:$B161,$B162,$I$4:$I161,"&lt;&gt;Complete")=0,$A162&amp;"|"&amp;$B162,""),"")</f>
        <v/>
      </c>
      <c r="P162" t="str">
        <f ca="1">IF($K162="Yes",COUNTIFS($K$4:$K162,"Yes"),"")</f>
        <v/>
      </c>
      <c r="Q162">
        <f t="shared" ca="1" si="11"/>
        <v>0</v>
      </c>
      <c r="R162" t="str">
        <f ca="1">IF($Q162=1,SUM($Q$4:$Q162),"")</f>
        <v/>
      </c>
    </row>
    <row r="163" spans="1:18" ht="33.75" customHeight="1" x14ac:dyDescent="0.3">
      <c r="A163" s="2" t="s">
        <v>135</v>
      </c>
      <c r="B163" s="2" t="s">
        <v>21</v>
      </c>
      <c r="C163" s="3" t="s">
        <v>135</v>
      </c>
      <c r="D163" s="3" t="s">
        <v>108</v>
      </c>
      <c r="E163" s="2" t="s">
        <v>130</v>
      </c>
      <c r="F163" s="2"/>
      <c r="G163" s="5">
        <v>46446</v>
      </c>
      <c r="H163" s="5">
        <v>46539</v>
      </c>
      <c r="I163" s="4" t="s">
        <v>17</v>
      </c>
      <c r="J163" s="6">
        <f t="shared" si="9"/>
        <v>93</v>
      </c>
      <c r="K163" s="4" t="str">
        <f t="shared" ca="1" si="10"/>
        <v>No</v>
      </c>
      <c r="L163" s="7">
        <f t="shared" ca="1" si="12"/>
        <v>331</v>
      </c>
      <c r="M163" s="4" t="str">
        <f>IF($I163="Complete","Green",IF($H163="","Amber",IF($H163&lt;'[2]Read Me'!$B$4,"Red",IF($H163-'[2]Read Me'!$B$4&lt;=21,"Amber","Green"))))</f>
        <v>Green</v>
      </c>
      <c r="N163" s="3"/>
      <c r="O163" t="str">
        <f>IF($I163&lt;&gt;"Complete",IF(COUNTIFS($A$4:$A162,$A163,$B$4:$B162,$B163,$I$4:$I162,"&lt;&gt;Complete")=0,$A163&amp;"|"&amp;$B163,""),"")</f>
        <v/>
      </c>
      <c r="P163" t="str">
        <f ca="1">IF($K163="Yes",COUNTIFS($K$4:$K163,"Yes"),"")</f>
        <v/>
      </c>
      <c r="Q163">
        <f t="shared" ca="1" si="11"/>
        <v>0</v>
      </c>
      <c r="R163" t="str">
        <f ca="1">IF($Q163=1,SUM($Q$4:$Q163),"")</f>
        <v/>
      </c>
    </row>
    <row r="164" spans="1:18" ht="33.75" customHeight="1" x14ac:dyDescent="0.3">
      <c r="A164" s="2" t="s">
        <v>135</v>
      </c>
      <c r="B164" s="2" t="s">
        <v>21</v>
      </c>
      <c r="C164" s="3" t="s">
        <v>135</v>
      </c>
      <c r="D164" s="3" t="s">
        <v>37</v>
      </c>
      <c r="E164" s="2" t="s">
        <v>130</v>
      </c>
      <c r="F164" s="2"/>
      <c r="G164" s="5">
        <v>46460</v>
      </c>
      <c r="H164" s="5">
        <v>46553</v>
      </c>
      <c r="I164" s="4" t="s">
        <v>17</v>
      </c>
      <c r="J164" s="6">
        <f t="shared" si="9"/>
        <v>93</v>
      </c>
      <c r="K164" s="4" t="str">
        <f t="shared" ca="1" si="10"/>
        <v>No</v>
      </c>
      <c r="L164" s="7">
        <f t="shared" ca="1" si="12"/>
        <v>345</v>
      </c>
      <c r="M164" s="4" t="str">
        <f>IF($I164="Complete","Green",IF($H164="","Amber",IF($H164&lt;'[2]Read Me'!$B$4,"Red",IF($H164-'[2]Read Me'!$B$4&lt;=21,"Amber","Green"))))</f>
        <v>Green</v>
      </c>
      <c r="N164" s="3"/>
      <c r="O164" t="str">
        <f>IF($I164&lt;&gt;"Complete",IF(COUNTIFS($A$4:$A163,$A164,$B$4:$B163,$B164,$I$4:$I163,"&lt;&gt;Complete")=0,$A164&amp;"|"&amp;$B164,""),"")</f>
        <v/>
      </c>
      <c r="P164" t="str">
        <f ca="1">IF($K164="Yes",COUNTIFS($K$4:$K164,"Yes"),"")</f>
        <v/>
      </c>
      <c r="Q164">
        <f t="shared" ca="1" si="11"/>
        <v>0</v>
      </c>
      <c r="R164" t="str">
        <f ca="1">IF($Q164=1,SUM($Q$4:$Q164),"")</f>
        <v/>
      </c>
    </row>
    <row r="165" spans="1:18" ht="33.75" customHeight="1" x14ac:dyDescent="0.3">
      <c r="A165" s="2" t="s">
        <v>136</v>
      </c>
      <c r="B165" s="2" t="s">
        <v>21</v>
      </c>
      <c r="C165" s="3"/>
      <c r="D165" s="3"/>
      <c r="E165" s="2"/>
      <c r="F165" s="2"/>
      <c r="G165" s="5">
        <v>46516</v>
      </c>
      <c r="H165" s="5">
        <v>46609</v>
      </c>
      <c r="I165" s="4"/>
      <c r="J165" s="6">
        <f t="shared" si="9"/>
        <v>93</v>
      </c>
      <c r="K165" s="4" t="str">
        <f t="shared" ca="1" si="10"/>
        <v/>
      </c>
      <c r="L165" s="7">
        <f t="shared" ca="1" si="12"/>
        <v>401</v>
      </c>
      <c r="M165" s="4" t="str">
        <f>IF($I165="Complete","Green",IF($H165="","Amber",IF($H165&lt;'[2]Read Me'!$B$4,"Red",IF($H165-'[2]Read Me'!$B$4&lt;=21,"Amber","Green"))))</f>
        <v>Green</v>
      </c>
      <c r="N165" s="3"/>
      <c r="O165" t="str">
        <f>IF($I165&lt;&gt;"Complete",IF(COUNTIFS($A$4:$A164,$A165,$B$4:$B164,$B165,$I$4:$I164,"&lt;&gt;Complete")=0,$A165&amp;"|"&amp;$B165,""),"")</f>
        <v>Landscape (Phase.03)|Landscape</v>
      </c>
      <c r="P165" t="str">
        <f ca="1">IF($K165="Yes",COUNTIFS($K$4:$K165,"Yes"),"")</f>
        <v/>
      </c>
      <c r="Q165">
        <f t="shared" ca="1" si="11"/>
        <v>0</v>
      </c>
      <c r="R165" t="str">
        <f ca="1">IF($Q165=1,SUM($Q$4:$Q165),"")</f>
        <v/>
      </c>
    </row>
    <row r="166" spans="1:18" ht="33.75" customHeight="1" x14ac:dyDescent="0.3">
      <c r="A166" s="2" t="s">
        <v>136</v>
      </c>
      <c r="B166" s="2" t="s">
        <v>21</v>
      </c>
      <c r="C166" s="3" t="s">
        <v>136</v>
      </c>
      <c r="D166" s="3" t="s">
        <v>98</v>
      </c>
      <c r="E166" s="2" t="s">
        <v>130</v>
      </c>
      <c r="F166" s="2"/>
      <c r="G166" s="5">
        <v>46334</v>
      </c>
      <c r="H166" s="5">
        <v>46427</v>
      </c>
      <c r="I166" s="4" t="s">
        <v>17</v>
      </c>
      <c r="J166" s="6">
        <f t="shared" si="9"/>
        <v>93</v>
      </c>
      <c r="K166" s="4" t="str">
        <f t="shared" ca="1" si="10"/>
        <v>No</v>
      </c>
      <c r="L166" s="7">
        <f t="shared" ca="1" si="12"/>
        <v>219</v>
      </c>
      <c r="M166" s="4" t="str">
        <f>IF($I166="Complete","Green",IF($H166="","Amber",IF($H166&lt;'[2]Read Me'!$B$4,"Red",IF($H166-'[2]Read Me'!$B$4&lt;=21,"Amber","Green"))))</f>
        <v>Green</v>
      </c>
      <c r="N166" s="3"/>
      <c r="O166" t="str">
        <f>IF($I166&lt;&gt;"Complete",IF(COUNTIFS($A$4:$A165,$A166,$B$4:$B165,$B166,$I$4:$I165,"&lt;&gt;Complete")=0,$A166&amp;"|"&amp;$B166,""),"")</f>
        <v/>
      </c>
      <c r="P166" t="str">
        <f ca="1">IF($K166="Yes",COUNTIFS($K$4:$K166,"Yes"),"")</f>
        <v/>
      </c>
      <c r="Q166">
        <f t="shared" ca="1" si="11"/>
        <v>0</v>
      </c>
      <c r="R166" t="str">
        <f ca="1">IF($Q166=1,SUM($Q$4:$Q166),"")</f>
        <v/>
      </c>
    </row>
    <row r="167" spans="1:18" ht="33.75" customHeight="1" x14ac:dyDescent="0.3">
      <c r="A167" s="2" t="s">
        <v>136</v>
      </c>
      <c r="B167" s="2" t="s">
        <v>21</v>
      </c>
      <c r="C167" s="3" t="s">
        <v>136</v>
      </c>
      <c r="D167" s="3" t="s">
        <v>47</v>
      </c>
      <c r="E167" s="2" t="s">
        <v>130</v>
      </c>
      <c r="F167" s="2"/>
      <c r="G167" s="5">
        <v>46348</v>
      </c>
      <c r="H167" s="5">
        <v>46441</v>
      </c>
      <c r="I167" s="4" t="s">
        <v>17</v>
      </c>
      <c r="J167" s="6">
        <f t="shared" si="9"/>
        <v>93</v>
      </c>
      <c r="K167" s="4" t="str">
        <f t="shared" ca="1" si="10"/>
        <v>No</v>
      </c>
      <c r="L167" s="7">
        <f t="shared" ca="1" si="12"/>
        <v>233</v>
      </c>
      <c r="M167" s="4" t="str">
        <f>IF($I167="Complete","Green",IF($H167="","Amber",IF($H167&lt;'[2]Read Me'!$B$4,"Red",IF($H167-'[2]Read Me'!$B$4&lt;=21,"Amber","Green"))))</f>
        <v>Green</v>
      </c>
      <c r="N167" s="3"/>
      <c r="O167" t="str">
        <f>IF($I167&lt;&gt;"Complete",IF(COUNTIFS($A$4:$A166,$A167,$B$4:$B166,$B167,$I$4:$I166,"&lt;&gt;Complete")=0,$A167&amp;"|"&amp;$B167,""),"")</f>
        <v/>
      </c>
      <c r="P167" t="str">
        <f ca="1">IF($K167="Yes",COUNTIFS($K$4:$K167,"Yes"),"")</f>
        <v/>
      </c>
      <c r="Q167">
        <f t="shared" ca="1" si="11"/>
        <v>0</v>
      </c>
      <c r="R167" t="str">
        <f ca="1">IF($Q167=1,SUM($Q$4:$Q167),"")</f>
        <v/>
      </c>
    </row>
    <row r="168" spans="1:18" ht="33.75" customHeight="1" x14ac:dyDescent="0.3">
      <c r="A168" s="2" t="s">
        <v>136</v>
      </c>
      <c r="B168" s="2" t="s">
        <v>21</v>
      </c>
      <c r="C168" s="3" t="s">
        <v>136</v>
      </c>
      <c r="D168" s="3" t="s">
        <v>132</v>
      </c>
      <c r="E168" s="2" t="s">
        <v>33</v>
      </c>
      <c r="F168" s="2" t="s">
        <v>81</v>
      </c>
      <c r="G168" s="5">
        <v>46355</v>
      </c>
      <c r="H168" s="5">
        <v>46448</v>
      </c>
      <c r="I168" s="4" t="s">
        <v>17</v>
      </c>
      <c r="J168" s="6">
        <f t="shared" si="9"/>
        <v>93</v>
      </c>
      <c r="K168" s="4" t="str">
        <f t="shared" ca="1" si="10"/>
        <v>No</v>
      </c>
      <c r="L168" s="7">
        <f t="shared" ca="1" si="12"/>
        <v>240</v>
      </c>
      <c r="M168" s="4" t="str">
        <f>IF($I168="Complete","Green",IF($H168="","Amber",IF($H168&lt;'[2]Read Me'!$B$4,"Red",IF($H168-'[2]Read Me'!$B$4&lt;=21,"Amber","Green"))))</f>
        <v>Green</v>
      </c>
      <c r="N168" s="3"/>
      <c r="O168" t="str">
        <f>IF($I168&lt;&gt;"Complete",IF(COUNTIFS($A$4:$A167,$A168,$B$4:$B167,$B168,$I$4:$I167,"&lt;&gt;Complete")=0,$A168&amp;"|"&amp;$B168,""),"")</f>
        <v/>
      </c>
      <c r="P168" t="str">
        <f ca="1">IF($K168="Yes",COUNTIFS($K$4:$K168,"Yes"),"")</f>
        <v/>
      </c>
      <c r="Q168">
        <f t="shared" ca="1" si="11"/>
        <v>0</v>
      </c>
      <c r="R168" t="str">
        <f ca="1">IF($Q168=1,SUM($Q$4:$Q168),"")</f>
        <v/>
      </c>
    </row>
    <row r="169" spans="1:18" ht="33.75" customHeight="1" x14ac:dyDescent="0.3">
      <c r="A169" s="2" t="s">
        <v>136</v>
      </c>
      <c r="B169" s="2" t="s">
        <v>21</v>
      </c>
      <c r="C169" s="3" t="s">
        <v>136</v>
      </c>
      <c r="D169" s="3" t="s">
        <v>133</v>
      </c>
      <c r="E169" s="2" t="s">
        <v>130</v>
      </c>
      <c r="F169" s="2"/>
      <c r="G169" s="5">
        <v>46362</v>
      </c>
      <c r="H169" s="5">
        <v>46455</v>
      </c>
      <c r="I169" s="4" t="s">
        <v>17</v>
      </c>
      <c r="J169" s="6">
        <f t="shared" si="9"/>
        <v>93</v>
      </c>
      <c r="K169" s="4" t="str">
        <f t="shared" ca="1" si="10"/>
        <v>No</v>
      </c>
      <c r="L169" s="7">
        <f t="shared" ca="1" si="12"/>
        <v>247</v>
      </c>
      <c r="M169" s="4" t="str">
        <f>IF($I169="Complete","Green",IF($H169="","Amber",IF($H169&lt;'[2]Read Me'!$B$4,"Red",IF($H169-'[2]Read Me'!$B$4&lt;=21,"Amber","Green"))))</f>
        <v>Green</v>
      </c>
      <c r="N169" s="3"/>
      <c r="O169" t="str">
        <f>IF($I169&lt;&gt;"Complete",IF(COUNTIFS($A$4:$A168,$A169,$B$4:$B168,$B169,$I$4:$I168,"&lt;&gt;Complete")=0,$A169&amp;"|"&amp;$B169,""),"")</f>
        <v/>
      </c>
      <c r="P169" t="str">
        <f ca="1">IF($K169="Yes",COUNTIFS($K$4:$K169,"Yes"),"")</f>
        <v/>
      </c>
      <c r="Q169">
        <f t="shared" ca="1" si="11"/>
        <v>0</v>
      </c>
      <c r="R169" t="str">
        <f ca="1">IF($Q169=1,SUM($Q$4:$Q169),"")</f>
        <v/>
      </c>
    </row>
    <row r="170" spans="1:18" ht="33.75" customHeight="1" x14ac:dyDescent="0.3">
      <c r="A170" s="2" t="s">
        <v>136</v>
      </c>
      <c r="B170" s="2" t="s">
        <v>21</v>
      </c>
      <c r="C170" s="3" t="s">
        <v>136</v>
      </c>
      <c r="D170" s="3" t="s">
        <v>134</v>
      </c>
      <c r="E170" s="2" t="s">
        <v>130</v>
      </c>
      <c r="F170" s="2"/>
      <c r="G170" s="5">
        <v>46376</v>
      </c>
      <c r="H170" s="5">
        <v>46469</v>
      </c>
      <c r="I170" s="4" t="s">
        <v>17</v>
      </c>
      <c r="J170" s="6">
        <f t="shared" si="9"/>
        <v>93</v>
      </c>
      <c r="K170" s="4" t="str">
        <f t="shared" ca="1" si="10"/>
        <v>No</v>
      </c>
      <c r="L170" s="7">
        <f t="shared" ca="1" si="12"/>
        <v>261</v>
      </c>
      <c r="M170" s="4" t="str">
        <f>IF($I170="Complete","Green",IF($H170="","Amber",IF($H170&lt;'[2]Read Me'!$B$4,"Red",IF($H170-'[2]Read Me'!$B$4&lt;=21,"Amber","Green"))))</f>
        <v>Green</v>
      </c>
      <c r="N170" s="3"/>
      <c r="O170" t="str">
        <f>IF($I170&lt;&gt;"Complete",IF(COUNTIFS($A$4:$A169,$A170,$B$4:$B169,$B170,$I$4:$I169,"&lt;&gt;Complete")=0,$A170&amp;"|"&amp;$B170,""),"")</f>
        <v/>
      </c>
      <c r="P170" t="str">
        <f ca="1">IF($K170="Yes",COUNTIFS($K$4:$K170,"Yes"),"")</f>
        <v/>
      </c>
      <c r="Q170">
        <f t="shared" ca="1" si="11"/>
        <v>0</v>
      </c>
      <c r="R170" t="str">
        <f ca="1">IF($Q170=1,SUM($Q$4:$Q170),"")</f>
        <v/>
      </c>
    </row>
    <row r="171" spans="1:18" ht="33.75" customHeight="1" x14ac:dyDescent="0.3">
      <c r="A171" s="2" t="s">
        <v>136</v>
      </c>
      <c r="B171" s="2" t="s">
        <v>21</v>
      </c>
      <c r="C171" s="3" t="s">
        <v>136</v>
      </c>
      <c r="D171" s="3" t="s">
        <v>123</v>
      </c>
      <c r="E171" s="2" t="s">
        <v>130</v>
      </c>
      <c r="F171" s="2"/>
      <c r="G171" s="5">
        <v>46404</v>
      </c>
      <c r="H171" s="5">
        <v>46497</v>
      </c>
      <c r="I171" s="4" t="s">
        <v>17</v>
      </c>
      <c r="J171" s="6">
        <f t="shared" si="9"/>
        <v>93</v>
      </c>
      <c r="K171" s="4" t="str">
        <f t="shared" ca="1" si="10"/>
        <v>No</v>
      </c>
      <c r="L171" s="7">
        <f t="shared" ca="1" si="12"/>
        <v>289</v>
      </c>
      <c r="M171" s="4" t="str">
        <f>IF($I171="Complete","Green",IF($H171="","Amber",IF($H171&lt;'[2]Read Me'!$B$4,"Red",IF($H171-'[2]Read Me'!$B$4&lt;=21,"Amber","Green"))))</f>
        <v>Green</v>
      </c>
      <c r="N171" s="3"/>
      <c r="O171" t="str">
        <f>IF($I171&lt;&gt;"Complete",IF(COUNTIFS($A$4:$A170,$A171,$B$4:$B170,$B171,$I$4:$I170,"&lt;&gt;Complete")=0,$A171&amp;"|"&amp;$B171,""),"")</f>
        <v/>
      </c>
      <c r="P171" t="str">
        <f ca="1">IF($K171="Yes",COUNTIFS($K$4:$K171,"Yes"),"")</f>
        <v/>
      </c>
      <c r="Q171">
        <f t="shared" ca="1" si="11"/>
        <v>0</v>
      </c>
      <c r="R171" t="str">
        <f ca="1">IF($Q171=1,SUM($Q$4:$Q171),"")</f>
        <v/>
      </c>
    </row>
    <row r="172" spans="1:18" ht="33.75" customHeight="1" x14ac:dyDescent="0.3">
      <c r="A172" s="2" t="s">
        <v>136</v>
      </c>
      <c r="B172" s="2" t="s">
        <v>21</v>
      </c>
      <c r="C172" s="3" t="s">
        <v>136</v>
      </c>
      <c r="D172" s="3" t="s">
        <v>32</v>
      </c>
      <c r="E172" s="2" t="s">
        <v>130</v>
      </c>
      <c r="F172" s="2"/>
      <c r="G172" s="5">
        <v>46418</v>
      </c>
      <c r="H172" s="5">
        <v>46511</v>
      </c>
      <c r="I172" s="4" t="s">
        <v>17</v>
      </c>
      <c r="J172" s="6">
        <f t="shared" si="9"/>
        <v>93</v>
      </c>
      <c r="K172" s="4" t="str">
        <f t="shared" ca="1" si="10"/>
        <v>No</v>
      </c>
      <c r="L172" s="7">
        <f t="shared" ca="1" si="12"/>
        <v>303</v>
      </c>
      <c r="M172" s="4" t="str">
        <f>IF($I172="Complete","Green",IF($H172="","Amber",IF($H172&lt;'[2]Read Me'!$B$4,"Red",IF($H172-'[2]Read Me'!$B$4&lt;=21,"Amber","Green"))))</f>
        <v>Green</v>
      </c>
      <c r="N172" s="3"/>
      <c r="O172" t="str">
        <f>IF($I172&lt;&gt;"Complete",IF(COUNTIFS($A$4:$A171,$A172,$B$4:$B171,$B172,$I$4:$I171,"&lt;&gt;Complete")=0,$A172&amp;"|"&amp;$B172,""),"")</f>
        <v/>
      </c>
      <c r="P172" t="str">
        <f ca="1">IF($K172="Yes",COUNTIFS($K$4:$K172,"Yes"),"")</f>
        <v/>
      </c>
      <c r="Q172">
        <f t="shared" ca="1" si="11"/>
        <v>0</v>
      </c>
      <c r="R172" t="str">
        <f ca="1">IF($Q172=1,SUM($Q$4:$Q172),"")</f>
        <v/>
      </c>
    </row>
    <row r="173" spans="1:18" ht="33.75" customHeight="1" x14ac:dyDescent="0.3">
      <c r="A173" s="2" t="s">
        <v>136</v>
      </c>
      <c r="B173" s="2" t="s">
        <v>21</v>
      </c>
      <c r="C173" s="3" t="s">
        <v>136</v>
      </c>
      <c r="D173" s="3" t="s">
        <v>19</v>
      </c>
      <c r="E173" s="2" t="s">
        <v>33</v>
      </c>
      <c r="F173" s="2" t="s">
        <v>81</v>
      </c>
      <c r="G173" s="5">
        <v>46425</v>
      </c>
      <c r="H173" s="5">
        <v>46518</v>
      </c>
      <c r="I173" s="4" t="s">
        <v>17</v>
      </c>
      <c r="J173" s="6">
        <f t="shared" si="9"/>
        <v>93</v>
      </c>
      <c r="K173" s="4" t="str">
        <f t="shared" ca="1" si="10"/>
        <v>No</v>
      </c>
      <c r="L173" s="7">
        <f t="shared" ca="1" si="12"/>
        <v>310</v>
      </c>
      <c r="M173" s="4" t="str">
        <f>IF($I173="Complete","Green",IF($H173="","Amber",IF($H173&lt;'[2]Read Me'!$B$4,"Red",IF($H173-'[2]Read Me'!$B$4&lt;=21,"Amber","Green"))))</f>
        <v>Green</v>
      </c>
      <c r="N173" s="3"/>
      <c r="O173" t="str">
        <f>IF($I173&lt;&gt;"Complete",IF(COUNTIFS($A$4:$A172,$A173,$B$4:$B172,$B173,$I$4:$I172,"&lt;&gt;Complete")=0,$A173&amp;"|"&amp;$B173,""),"")</f>
        <v/>
      </c>
      <c r="P173" t="str">
        <f ca="1">IF($K173="Yes",COUNTIFS($K$4:$K173,"Yes"),"")</f>
        <v/>
      </c>
      <c r="Q173">
        <f t="shared" ca="1" si="11"/>
        <v>0</v>
      </c>
      <c r="R173" t="str">
        <f ca="1">IF($Q173=1,SUM($Q$4:$Q173),"")</f>
        <v/>
      </c>
    </row>
    <row r="174" spans="1:18" ht="33.75" customHeight="1" x14ac:dyDescent="0.3">
      <c r="A174" s="2" t="s">
        <v>136</v>
      </c>
      <c r="B174" s="2" t="s">
        <v>21</v>
      </c>
      <c r="C174" s="3" t="s">
        <v>136</v>
      </c>
      <c r="D174" s="3" t="s">
        <v>14</v>
      </c>
      <c r="E174" s="2" t="s">
        <v>130</v>
      </c>
      <c r="F174" s="2"/>
      <c r="G174" s="5">
        <v>46439</v>
      </c>
      <c r="H174" s="5">
        <v>46532</v>
      </c>
      <c r="I174" s="4" t="s">
        <v>17</v>
      </c>
      <c r="J174" s="6">
        <f t="shared" si="9"/>
        <v>93</v>
      </c>
      <c r="K174" s="4" t="str">
        <f t="shared" ca="1" si="10"/>
        <v>No</v>
      </c>
      <c r="L174" s="7">
        <f t="shared" ca="1" si="12"/>
        <v>324</v>
      </c>
      <c r="M174" s="4" t="str">
        <f>IF($I174="Complete","Green",IF($H174="","Amber",IF($H174&lt;'[2]Read Me'!$B$4,"Red",IF($H174-'[2]Read Me'!$B$4&lt;=21,"Amber","Green"))))</f>
        <v>Green</v>
      </c>
      <c r="N174" s="3"/>
      <c r="O174" t="str">
        <f>IF($I174&lt;&gt;"Complete",IF(COUNTIFS($A$4:$A173,$A174,$B$4:$B173,$B174,$I$4:$I173,"&lt;&gt;Complete")=0,$A174&amp;"|"&amp;$B174,""),"")</f>
        <v/>
      </c>
      <c r="P174" t="str">
        <f ca="1">IF($K174="Yes",COUNTIFS($K$4:$K174,"Yes"),"")</f>
        <v/>
      </c>
      <c r="Q174">
        <f t="shared" ca="1" si="11"/>
        <v>0</v>
      </c>
      <c r="R174" t="str">
        <f ca="1">IF($Q174=1,SUM($Q$4:$Q174),"")</f>
        <v/>
      </c>
    </row>
    <row r="175" spans="1:18" ht="33.75" customHeight="1" x14ac:dyDescent="0.3">
      <c r="A175" s="2" t="s">
        <v>136</v>
      </c>
      <c r="B175" s="2" t="s">
        <v>21</v>
      </c>
      <c r="C175" s="3" t="s">
        <v>136</v>
      </c>
      <c r="D175" s="3" t="s">
        <v>34</v>
      </c>
      <c r="E175" s="2" t="s">
        <v>130</v>
      </c>
      <c r="F175" s="2"/>
      <c r="G175" s="5">
        <v>46453</v>
      </c>
      <c r="H175" s="5">
        <v>46546</v>
      </c>
      <c r="I175" s="4" t="s">
        <v>17</v>
      </c>
      <c r="J175" s="6">
        <f t="shared" si="9"/>
        <v>93</v>
      </c>
      <c r="K175" s="4" t="str">
        <f t="shared" ca="1" si="10"/>
        <v>No</v>
      </c>
      <c r="L175" s="7">
        <f t="shared" ca="1" si="12"/>
        <v>338</v>
      </c>
      <c r="M175" s="4" t="str">
        <f>IF($I175="Complete","Green",IF($H175="","Amber",IF($H175&lt;'[2]Read Me'!$B$4,"Red",IF($H175-'[2]Read Me'!$B$4&lt;=21,"Amber","Green"))))</f>
        <v>Green</v>
      </c>
      <c r="N175" s="3"/>
      <c r="O175" t="str">
        <f>IF($I175&lt;&gt;"Complete",IF(COUNTIFS($A$4:$A174,$A175,$B$4:$B174,$B175,$I$4:$I174,"&lt;&gt;Complete")=0,$A175&amp;"|"&amp;$B175,""),"")</f>
        <v/>
      </c>
      <c r="P175" t="str">
        <f ca="1">IF($K175="Yes",COUNTIFS($K$4:$K175,"Yes"),"")</f>
        <v/>
      </c>
      <c r="Q175">
        <f t="shared" ca="1" si="11"/>
        <v>0</v>
      </c>
      <c r="R175" t="str">
        <f ca="1">IF($Q175=1,SUM($Q$4:$Q175),"")</f>
        <v/>
      </c>
    </row>
    <row r="176" spans="1:18" ht="22.5" customHeight="1" x14ac:dyDescent="0.3">
      <c r="A176" s="2" t="s">
        <v>136</v>
      </c>
      <c r="B176" s="2" t="s">
        <v>21</v>
      </c>
      <c r="C176" s="3" t="s">
        <v>136</v>
      </c>
      <c r="D176" s="3" t="s">
        <v>127</v>
      </c>
      <c r="E176" s="2"/>
      <c r="F176" s="2"/>
      <c r="G176" s="5">
        <v>46467</v>
      </c>
      <c r="H176" s="5">
        <v>46560</v>
      </c>
      <c r="I176" s="4"/>
      <c r="J176" s="6">
        <f t="shared" si="9"/>
        <v>93</v>
      </c>
      <c r="K176" s="4" t="str">
        <f t="shared" ca="1" si="10"/>
        <v>No</v>
      </c>
      <c r="L176" s="7">
        <f t="shared" ca="1" si="12"/>
        <v>352</v>
      </c>
      <c r="M176" s="4" t="str">
        <f>IF($I176="Complete","Green",IF($H176="","Amber",IF($H176&lt;'[2]Read Me'!$B$4,"Red",IF($H176-'[2]Read Me'!$B$4&lt;=21,"Amber","Green"))))</f>
        <v>Green</v>
      </c>
      <c r="N176" s="3"/>
      <c r="O176" t="str">
        <f>IF($I176&lt;&gt;"Complete",IF(COUNTIFS($A$4:$A175,$A176,$B$4:$B175,$B176,$I$4:$I175,"&lt;&gt;Complete")=0,$A176&amp;"|"&amp;$B176,""),"")</f>
        <v/>
      </c>
      <c r="P176" t="str">
        <f ca="1">IF($K176="Yes",COUNTIFS($K$4:$K176,"Yes"),"")</f>
        <v/>
      </c>
      <c r="Q176">
        <f t="shared" ca="1" si="11"/>
        <v>0</v>
      </c>
      <c r="R176" t="str">
        <f ca="1">IF($Q176=1,SUM($Q$4:$Q176),"")</f>
        <v/>
      </c>
    </row>
    <row r="177" spans="1:18" ht="22.5" customHeight="1" x14ac:dyDescent="0.3">
      <c r="A177" s="2" t="s">
        <v>136</v>
      </c>
      <c r="B177" s="2" t="s">
        <v>21</v>
      </c>
      <c r="C177" s="3" t="s">
        <v>136</v>
      </c>
      <c r="D177" s="3" t="s">
        <v>35</v>
      </c>
      <c r="E177" s="2"/>
      <c r="F177" s="2"/>
      <c r="G177" s="5">
        <v>46481</v>
      </c>
      <c r="H177" s="5">
        <v>46574</v>
      </c>
      <c r="I177" s="4"/>
      <c r="J177" s="6">
        <f t="shared" si="9"/>
        <v>93</v>
      </c>
      <c r="K177" s="4" t="str">
        <f t="shared" ca="1" si="10"/>
        <v>No</v>
      </c>
      <c r="L177" s="7">
        <f t="shared" ca="1" si="12"/>
        <v>366</v>
      </c>
      <c r="M177" s="4" t="str">
        <f>IF($I177="Complete","Green",IF($H177="","Amber",IF($H177&lt;'[2]Read Me'!$B$4,"Red",IF($H177-'[2]Read Me'!$B$4&lt;=21,"Amber","Green"))))</f>
        <v>Green</v>
      </c>
      <c r="N177" s="3"/>
      <c r="O177" t="str">
        <f>IF($I177&lt;&gt;"Complete",IF(COUNTIFS($A$4:$A176,$A177,$B$4:$B176,$B177,$I$4:$I176,"&lt;&gt;Complete")=0,$A177&amp;"|"&amp;$B177,""),"")</f>
        <v/>
      </c>
      <c r="P177" t="str">
        <f ca="1">IF($K177="Yes",COUNTIFS($K$4:$K177,"Yes"),"")</f>
        <v/>
      </c>
      <c r="Q177">
        <f t="shared" ca="1" si="11"/>
        <v>0</v>
      </c>
      <c r="R177" t="str">
        <f ca="1">IF($Q177=1,SUM($Q$4:$Q177),"")</f>
        <v/>
      </c>
    </row>
    <row r="178" spans="1:18" ht="22.5" customHeight="1" x14ac:dyDescent="0.3">
      <c r="A178" s="2" t="s">
        <v>136</v>
      </c>
      <c r="B178" s="2" t="s">
        <v>21</v>
      </c>
      <c r="C178" s="3" t="s">
        <v>136</v>
      </c>
      <c r="D178" s="3" t="s">
        <v>20</v>
      </c>
      <c r="E178" s="2"/>
      <c r="F178" s="2"/>
      <c r="G178" s="5">
        <v>46488</v>
      </c>
      <c r="H178" s="5">
        <v>46581</v>
      </c>
      <c r="I178" s="4"/>
      <c r="J178" s="6">
        <f t="shared" si="9"/>
        <v>93</v>
      </c>
      <c r="K178" s="4" t="str">
        <f t="shared" ca="1" si="10"/>
        <v>No</v>
      </c>
      <c r="L178" s="7">
        <f t="shared" ca="1" si="12"/>
        <v>373</v>
      </c>
      <c r="M178" s="4" t="str">
        <f>IF($I178="Complete","Green",IF($H178="","Amber",IF($H178&lt;'[2]Read Me'!$B$4,"Red",IF($H178-'[2]Read Me'!$B$4&lt;=21,"Amber","Green"))))</f>
        <v>Green</v>
      </c>
      <c r="N178" s="3"/>
      <c r="O178" t="str">
        <f>IF($I178&lt;&gt;"Complete",IF(COUNTIFS($A$4:$A177,$A178,$B$4:$B177,$B178,$I$4:$I177,"&lt;&gt;Complete")=0,$A178&amp;"|"&amp;$B178,""),"")</f>
        <v/>
      </c>
      <c r="P178" t="str">
        <f ca="1">IF($K178="Yes",COUNTIFS($K$4:$K178,"Yes"),"")</f>
        <v/>
      </c>
      <c r="Q178">
        <f t="shared" ca="1" si="11"/>
        <v>0</v>
      </c>
      <c r="R178" t="str">
        <f ca="1">IF($Q178=1,SUM($Q$4:$Q178),"")</f>
        <v/>
      </c>
    </row>
    <row r="179" spans="1:18" ht="22.5" customHeight="1" x14ac:dyDescent="0.3">
      <c r="A179" s="2" t="s">
        <v>136</v>
      </c>
      <c r="B179" s="2" t="s">
        <v>21</v>
      </c>
      <c r="C179" s="3" t="s">
        <v>136</v>
      </c>
      <c r="D179" s="3" t="s">
        <v>108</v>
      </c>
      <c r="E179" s="2"/>
      <c r="F179" s="2"/>
      <c r="G179" s="5">
        <v>46502</v>
      </c>
      <c r="H179" s="5">
        <v>46595</v>
      </c>
      <c r="I179" s="4"/>
      <c r="J179" s="6">
        <f t="shared" si="9"/>
        <v>93</v>
      </c>
      <c r="K179" s="4" t="str">
        <f t="shared" ca="1" si="10"/>
        <v>No</v>
      </c>
      <c r="L179" s="7">
        <f t="shared" ca="1" si="12"/>
        <v>387</v>
      </c>
      <c r="M179" s="4" t="str">
        <f>IF($I179="Complete","Green",IF($H179="","Amber",IF($H179&lt;'[2]Read Me'!$B$4,"Red",IF($H179-'[2]Read Me'!$B$4&lt;=21,"Amber","Green"))))</f>
        <v>Green</v>
      </c>
      <c r="N179" s="3"/>
      <c r="O179" t="str">
        <f>IF($I179&lt;&gt;"Complete",IF(COUNTIFS($A$4:$A178,$A179,$B$4:$B178,$B179,$I$4:$I178,"&lt;&gt;Complete")=0,$A179&amp;"|"&amp;$B179,""),"")</f>
        <v/>
      </c>
      <c r="P179" t="str">
        <f ca="1">IF($K179="Yes",COUNTIFS($K$4:$K179,"Yes"),"")</f>
        <v/>
      </c>
      <c r="Q179">
        <f t="shared" ca="1" si="11"/>
        <v>0</v>
      </c>
      <c r="R179" t="str">
        <f ca="1">IF($Q179=1,SUM($Q$4:$Q179),"")</f>
        <v/>
      </c>
    </row>
    <row r="180" spans="1:18" ht="22.5" customHeight="1" x14ac:dyDescent="0.3">
      <c r="A180" s="2" t="s">
        <v>136</v>
      </c>
      <c r="B180" s="2" t="s">
        <v>21</v>
      </c>
      <c r="C180" s="3" t="s">
        <v>136</v>
      </c>
      <c r="D180" s="3" t="s">
        <v>37</v>
      </c>
      <c r="E180" s="2"/>
      <c r="F180" s="2"/>
      <c r="G180" s="5">
        <v>46516</v>
      </c>
      <c r="H180" s="5">
        <v>46609</v>
      </c>
      <c r="I180" s="4"/>
      <c r="J180" s="6">
        <f t="shared" si="9"/>
        <v>93</v>
      </c>
      <c r="K180" s="4" t="str">
        <f t="shared" ca="1" si="10"/>
        <v>No</v>
      </c>
      <c r="L180" s="7">
        <f t="shared" ca="1" si="12"/>
        <v>401</v>
      </c>
      <c r="M180" s="4" t="str">
        <f>IF($I180="Complete","Green",IF($H180="","Amber",IF($H180&lt;'[2]Read Me'!$B$4,"Red",IF($H180-'[2]Read Me'!$B$4&lt;=21,"Amber","Green"))))</f>
        <v>Green</v>
      </c>
      <c r="N180" s="3"/>
      <c r="O180" t="str">
        <f>IF($I180&lt;&gt;"Complete",IF(COUNTIFS($A$4:$A179,$A180,$B$4:$B179,$B180,$I$4:$I179,"&lt;&gt;Complete")=0,$A180&amp;"|"&amp;$B180,""),"")</f>
        <v/>
      </c>
      <c r="P180" t="str">
        <f ca="1">IF($K180="Yes",COUNTIFS($K$4:$K180,"Yes"),"")</f>
        <v/>
      </c>
      <c r="Q180">
        <f t="shared" ca="1" si="11"/>
        <v>0</v>
      </c>
      <c r="R180" t="str">
        <f ca="1">IF($Q180=1,SUM($Q$4:$Q180),"")</f>
        <v/>
      </c>
    </row>
    <row r="181" spans="1:18" ht="22.5" customHeight="1" x14ac:dyDescent="0.3">
      <c r="A181" s="2"/>
      <c r="B181" s="2"/>
      <c r="C181" s="3"/>
      <c r="D181" s="3"/>
      <c r="E181" s="2"/>
      <c r="F181" s="2"/>
      <c r="G181" s="5"/>
      <c r="H181" s="5"/>
      <c r="I181" s="4"/>
      <c r="J181" s="6" t="str">
        <f t="shared" si="9"/>
        <v/>
      </c>
      <c r="K181" s="4" t="str">
        <f t="shared" ca="1" si="10"/>
        <v/>
      </c>
      <c r="L181" s="7" t="str">
        <f t="shared" ca="1" si="12"/>
        <v/>
      </c>
      <c r="M181" s="4" t="str">
        <f>IF($I181="Complete","Green",IF($H181="","Amber",IF($H181&lt;'[2]Read Me'!$B$4,"Red",IF($H181-'[2]Read Me'!$B$4&lt;=21,"Amber","Green"))))</f>
        <v>Amber</v>
      </c>
      <c r="N181" s="3"/>
      <c r="O181" t="str">
        <f>IF($I181&lt;&gt;"Complete",IF(COUNTIFS($A$4:$A180,$A181,$B$4:$B180,$B181,$I$4:$I180,"&lt;&gt;Complete")=0,$A181&amp;"|"&amp;$B181,""),"")</f>
        <v>|</v>
      </c>
      <c r="P181" t="str">
        <f ca="1">IF($K181="Yes",COUNTIFS($K$4:$K181,"Yes"),"")</f>
        <v/>
      </c>
      <c r="Q181">
        <f t="shared" ca="1" si="11"/>
        <v>0</v>
      </c>
      <c r="R181" t="str">
        <f ca="1">IF($Q181=1,SUM($Q$4:$Q181),"")</f>
        <v/>
      </c>
    </row>
    <row r="182" spans="1:18" ht="22.5" customHeight="1" x14ac:dyDescent="0.3">
      <c r="A182" s="2"/>
      <c r="B182" s="2"/>
      <c r="C182" s="3"/>
      <c r="D182" s="3"/>
      <c r="E182" s="2"/>
      <c r="F182" s="2"/>
      <c r="G182" s="5"/>
      <c r="H182" s="5"/>
      <c r="I182" s="4"/>
      <c r="J182" s="6" t="str">
        <f t="shared" si="9"/>
        <v/>
      </c>
      <c r="K182" s="4" t="str">
        <f t="shared" ca="1" si="10"/>
        <v/>
      </c>
      <c r="L182" s="7" t="str">
        <f t="shared" ca="1" si="12"/>
        <v/>
      </c>
      <c r="M182" s="4" t="str">
        <f>IF($I182="Complete","Green",IF($H182="","Amber",IF($H182&lt;'[2]Read Me'!$B$4,"Red",IF($H182-'[2]Read Me'!$B$4&lt;=21,"Amber","Green"))))</f>
        <v>Amber</v>
      </c>
      <c r="N182" s="3"/>
      <c r="O182" t="str">
        <f>IF($I182&lt;&gt;"Complete",IF(COUNTIFS($A$4:$A181,$A182,$B$4:$B181,$B182,$I$4:$I181,"&lt;&gt;Complete")=0,$A182&amp;"|"&amp;$B182,""),"")</f>
        <v>|</v>
      </c>
      <c r="P182" t="str">
        <f ca="1">IF($K182="Yes",COUNTIFS($K$4:$K182,"Yes"),"")</f>
        <v/>
      </c>
      <c r="Q182">
        <f t="shared" ca="1" si="11"/>
        <v>0</v>
      </c>
      <c r="R182" t="str">
        <f ca="1">IF($Q182=1,SUM($Q$4:$Q182),"")</f>
        <v/>
      </c>
    </row>
    <row r="183" spans="1:18" ht="22.5" customHeight="1" x14ac:dyDescent="0.3">
      <c r="A183" s="2"/>
      <c r="B183" s="2"/>
      <c r="C183" s="3"/>
      <c r="D183" s="3"/>
      <c r="E183" s="2"/>
      <c r="F183" s="2"/>
      <c r="G183" s="5"/>
      <c r="H183" s="5"/>
      <c r="I183" s="4"/>
      <c r="J183" s="6" t="str">
        <f t="shared" si="9"/>
        <v/>
      </c>
      <c r="K183" s="4" t="str">
        <f t="shared" ca="1" si="10"/>
        <v/>
      </c>
      <c r="L183" s="7" t="str">
        <f t="shared" ca="1" si="12"/>
        <v/>
      </c>
      <c r="M183" s="4" t="str">
        <f>IF($I183="Complete","Green",IF($H183="","Amber",IF($H183&lt;'[2]Read Me'!$B$4,"Red",IF($H183-'[2]Read Me'!$B$4&lt;=21,"Amber","Green"))))</f>
        <v>Amber</v>
      </c>
      <c r="N183" s="3"/>
      <c r="O183" t="str">
        <f>IF($I183&lt;&gt;"Complete",IF(COUNTIFS($A$4:$A182,$A183,$B$4:$B182,$B183,$I$4:$I182,"&lt;&gt;Complete")=0,$A183&amp;"|"&amp;$B183,""),"")</f>
        <v>|</v>
      </c>
      <c r="P183" t="str">
        <f ca="1">IF($K183="Yes",COUNTIFS($K$4:$K183,"Yes"),"")</f>
        <v/>
      </c>
      <c r="Q183">
        <f t="shared" ca="1" si="11"/>
        <v>0</v>
      </c>
      <c r="R183" t="str">
        <f ca="1">IF($Q183=1,SUM($Q$4:$Q183),"")</f>
        <v/>
      </c>
    </row>
    <row r="184" spans="1:18" ht="22.5" customHeight="1" x14ac:dyDescent="0.3">
      <c r="A184" s="2"/>
      <c r="B184" s="2"/>
      <c r="C184" s="3"/>
      <c r="D184" s="3"/>
      <c r="E184" s="2"/>
      <c r="F184" s="2"/>
      <c r="G184" s="5"/>
      <c r="H184" s="5"/>
      <c r="I184" s="4"/>
      <c r="J184" s="6" t="str">
        <f t="shared" si="9"/>
        <v/>
      </c>
      <c r="K184" s="4" t="str">
        <f t="shared" ca="1" si="10"/>
        <v/>
      </c>
      <c r="L184" s="7" t="str">
        <f t="shared" ca="1" si="12"/>
        <v/>
      </c>
      <c r="M184" s="4" t="str">
        <f>IF($I184="Complete","Green",IF($H184="","Amber",IF($H184&lt;'[2]Read Me'!$B$4,"Red",IF($H184-'[2]Read Me'!$B$4&lt;=21,"Amber","Green"))))</f>
        <v>Amber</v>
      </c>
      <c r="N184" s="3"/>
      <c r="O184" t="str">
        <f>IF($I184&lt;&gt;"Complete",IF(COUNTIFS($A$4:$A183,$A184,$B$4:$B183,$B184,$I$4:$I183,"&lt;&gt;Complete")=0,$A184&amp;"|"&amp;$B184,""),"")</f>
        <v>|</v>
      </c>
      <c r="P184" t="str">
        <f ca="1">IF($K184="Yes",COUNTIFS($K$4:$K184,"Yes"),"")</f>
        <v/>
      </c>
      <c r="Q184">
        <f t="shared" ca="1" si="11"/>
        <v>0</v>
      </c>
      <c r="R184" t="str">
        <f ca="1">IF($Q184=1,SUM($Q$4:$Q184),"")</f>
        <v/>
      </c>
    </row>
    <row r="185" spans="1:18" ht="22.5" customHeight="1" x14ac:dyDescent="0.3">
      <c r="A185" s="2"/>
      <c r="B185" s="2"/>
      <c r="C185" s="3"/>
      <c r="D185" s="3"/>
      <c r="E185" s="2"/>
      <c r="F185" s="2"/>
      <c r="G185" s="5"/>
      <c r="H185" s="5"/>
      <c r="I185" s="4"/>
      <c r="J185" s="6" t="str">
        <f t="shared" si="9"/>
        <v/>
      </c>
      <c r="K185" s="4" t="str">
        <f t="shared" ca="1" si="10"/>
        <v/>
      </c>
      <c r="L185" s="7" t="str">
        <f t="shared" ca="1" si="12"/>
        <v/>
      </c>
      <c r="M185" s="4" t="str">
        <f>IF($I185="Complete","Green",IF($H185="","Amber",IF($H185&lt;'[2]Read Me'!$B$4,"Red",IF($H185-'[2]Read Me'!$B$4&lt;=21,"Amber","Green"))))</f>
        <v>Amber</v>
      </c>
      <c r="N185" s="3"/>
      <c r="O185" t="str">
        <f>IF($I185&lt;&gt;"Complete",IF(COUNTIFS($A$4:$A184,$A185,$B$4:$B184,$B185,$I$4:$I184,"&lt;&gt;Complete")=0,$A185&amp;"|"&amp;$B185,""),"")</f>
        <v>|</v>
      </c>
      <c r="P185" t="str">
        <f ca="1">IF($K185="Yes",COUNTIFS($K$4:$K185,"Yes"),"")</f>
        <v/>
      </c>
      <c r="Q185">
        <f t="shared" ca="1" si="11"/>
        <v>0</v>
      </c>
      <c r="R185" t="str">
        <f ca="1">IF($Q185=1,SUM($Q$4:$Q185),"")</f>
        <v/>
      </c>
    </row>
    <row r="186" spans="1:18" ht="22.5" customHeight="1" x14ac:dyDescent="0.3">
      <c r="A186" s="2"/>
      <c r="B186" s="2"/>
      <c r="C186" s="3"/>
      <c r="D186" s="3"/>
      <c r="E186" s="2"/>
      <c r="F186" s="2"/>
      <c r="G186" s="5"/>
      <c r="H186" s="5"/>
      <c r="I186" s="4"/>
      <c r="J186" s="6" t="str">
        <f t="shared" si="9"/>
        <v/>
      </c>
      <c r="K186" s="4" t="str">
        <f t="shared" ca="1" si="10"/>
        <v/>
      </c>
      <c r="L186" s="7" t="str">
        <f t="shared" ca="1" si="12"/>
        <v/>
      </c>
      <c r="M186" s="4" t="str">
        <f>IF($I186="Complete","Green",IF($H186="","Amber",IF($H186&lt;'[2]Read Me'!$B$4,"Red",IF($H186-'[2]Read Me'!$B$4&lt;=21,"Amber","Green"))))</f>
        <v>Amber</v>
      </c>
      <c r="N186" s="3"/>
      <c r="O186" t="str">
        <f>IF($I186&lt;&gt;"Complete",IF(COUNTIFS($A$4:$A185,$A186,$B$4:$B185,$B186,$I$4:$I185,"&lt;&gt;Complete")=0,$A186&amp;"|"&amp;$B186,""),"")</f>
        <v>|</v>
      </c>
      <c r="P186" t="str">
        <f ca="1">IF($K186="Yes",COUNTIFS($K$4:$K186,"Yes"),"")</f>
        <v/>
      </c>
      <c r="Q186">
        <f t="shared" ca="1" si="11"/>
        <v>0</v>
      </c>
      <c r="R186" t="str">
        <f ca="1">IF($Q186=1,SUM($Q$4:$Q186),"")</f>
        <v/>
      </c>
    </row>
    <row r="187" spans="1:18" ht="22.5" customHeight="1" x14ac:dyDescent="0.3">
      <c r="A187" s="2"/>
      <c r="B187" s="2"/>
      <c r="C187" s="3"/>
      <c r="D187" s="3"/>
      <c r="E187" s="2"/>
      <c r="F187" s="2"/>
      <c r="G187" s="5"/>
      <c r="H187" s="5"/>
      <c r="I187" s="4"/>
      <c r="J187" s="6" t="str">
        <f t="shared" si="9"/>
        <v/>
      </c>
      <c r="K187" s="4" t="str">
        <f t="shared" ca="1" si="10"/>
        <v/>
      </c>
      <c r="L187" s="7" t="str">
        <f t="shared" ca="1" si="12"/>
        <v/>
      </c>
      <c r="M187" s="4" t="str">
        <f>IF($I187="Complete","Green",IF($H187="","Amber",IF($H187&lt;'[2]Read Me'!$B$4,"Red",IF($H187-'[2]Read Me'!$B$4&lt;=21,"Amber","Green"))))</f>
        <v>Amber</v>
      </c>
      <c r="N187" s="3"/>
      <c r="O187" t="str">
        <f>IF($I187&lt;&gt;"Complete",IF(COUNTIFS($A$4:$A186,$A187,$B$4:$B186,$B187,$I$4:$I186,"&lt;&gt;Complete")=0,$A187&amp;"|"&amp;$B187,""),"")</f>
        <v>|</v>
      </c>
      <c r="P187" t="str">
        <f ca="1">IF($K187="Yes",COUNTIFS($K$4:$K187,"Yes"),"")</f>
        <v/>
      </c>
      <c r="Q187">
        <f t="shared" ca="1" si="11"/>
        <v>0</v>
      </c>
      <c r="R187" t="str">
        <f ca="1">IF($Q187=1,SUM($Q$4:$Q187),"")</f>
        <v/>
      </c>
    </row>
    <row r="188" spans="1:18" ht="22.5" customHeight="1" x14ac:dyDescent="0.3">
      <c r="A188" s="2"/>
      <c r="B188" s="2"/>
      <c r="C188" s="3"/>
      <c r="D188" s="3"/>
      <c r="E188" s="2"/>
      <c r="F188" s="2"/>
      <c r="G188" s="5"/>
      <c r="H188" s="5"/>
      <c r="I188" s="4"/>
      <c r="J188" s="6" t="str">
        <f t="shared" si="9"/>
        <v/>
      </c>
      <c r="K188" s="4" t="str">
        <f t="shared" ca="1" si="10"/>
        <v/>
      </c>
      <c r="L188" s="7" t="str">
        <f t="shared" ca="1" si="12"/>
        <v/>
      </c>
      <c r="M188" s="4" t="str">
        <f>IF($I188="Complete","Green",IF($H188="","Amber",IF($H188&lt;'[2]Read Me'!$B$4,"Red",IF($H188-'[2]Read Me'!$B$4&lt;=21,"Amber","Green"))))</f>
        <v>Amber</v>
      </c>
      <c r="N188" s="3"/>
      <c r="O188" t="str">
        <f>IF($I188&lt;&gt;"Complete",IF(COUNTIFS($A$4:$A187,$A188,$B$4:$B187,$B188,$I$4:$I187,"&lt;&gt;Complete")=0,$A188&amp;"|"&amp;$B188,""),"")</f>
        <v>|</v>
      </c>
      <c r="P188" t="str">
        <f ca="1">IF($K188="Yes",COUNTIFS($K$4:$K188,"Yes"),"")</f>
        <v/>
      </c>
      <c r="Q188">
        <f t="shared" ca="1" si="11"/>
        <v>0</v>
      </c>
      <c r="R188" t="str">
        <f ca="1">IF($Q188=1,SUM($Q$4:$Q188),"")</f>
        <v/>
      </c>
    </row>
    <row r="189" spans="1:18" ht="22.5" customHeight="1" x14ac:dyDescent="0.3">
      <c r="A189" s="2"/>
      <c r="B189" s="2"/>
      <c r="C189" s="3"/>
      <c r="D189" s="3"/>
      <c r="E189" s="2"/>
      <c r="F189" s="2"/>
      <c r="G189" s="5"/>
      <c r="H189" s="5"/>
      <c r="I189" s="4"/>
      <c r="J189" s="6" t="str">
        <f t="shared" si="9"/>
        <v/>
      </c>
      <c r="K189" s="4" t="str">
        <f t="shared" ca="1" si="10"/>
        <v/>
      </c>
      <c r="L189" s="7" t="str">
        <f t="shared" ca="1" si="12"/>
        <v/>
      </c>
      <c r="M189" s="4" t="str">
        <f>IF($I189="Complete","Green",IF($H189="","Amber",IF($H189&lt;'[2]Read Me'!$B$4,"Red",IF($H189-'[2]Read Me'!$B$4&lt;=21,"Amber","Green"))))</f>
        <v>Amber</v>
      </c>
      <c r="N189" s="3"/>
      <c r="O189" t="str">
        <f>IF($I189&lt;&gt;"Complete",IF(COUNTIFS($A$4:$A188,$A189,$B$4:$B188,$B189,$I$4:$I188,"&lt;&gt;Complete")=0,$A189&amp;"|"&amp;$B189,""),"")</f>
        <v>|</v>
      </c>
      <c r="P189" t="str">
        <f ca="1">IF($K189="Yes",COUNTIFS($K$4:$K189,"Yes"),"")</f>
        <v/>
      </c>
      <c r="Q189">
        <f t="shared" ca="1" si="11"/>
        <v>0</v>
      </c>
      <c r="R189" t="str">
        <f ca="1">IF($Q189=1,SUM($Q$4:$Q189),"")</f>
        <v/>
      </c>
    </row>
    <row r="190" spans="1:18" ht="22.5" customHeight="1" x14ac:dyDescent="0.3">
      <c r="A190" s="2"/>
      <c r="B190" s="2"/>
      <c r="C190" s="3"/>
      <c r="D190" s="3"/>
      <c r="E190" s="2"/>
      <c r="F190" s="2"/>
      <c r="G190" s="5"/>
      <c r="H190" s="5"/>
      <c r="I190" s="4"/>
      <c r="J190" s="6" t="str">
        <f t="shared" si="9"/>
        <v/>
      </c>
      <c r="K190" s="4" t="str">
        <f t="shared" ca="1" si="10"/>
        <v/>
      </c>
      <c r="L190" s="7" t="str">
        <f t="shared" ca="1" si="12"/>
        <v/>
      </c>
      <c r="M190" s="4" t="str">
        <f>IF($I190="Complete","Green",IF($H190="","Amber",IF($H190&lt;'[2]Read Me'!$B$4,"Red",IF($H190-'[2]Read Me'!$B$4&lt;=21,"Amber","Green"))))</f>
        <v>Amber</v>
      </c>
      <c r="N190" s="3"/>
      <c r="O190" t="str">
        <f>IF($I190&lt;&gt;"Complete",IF(COUNTIFS($A$4:$A189,$A190,$B$4:$B189,$B190,$I$4:$I189,"&lt;&gt;Complete")=0,$A190&amp;"|"&amp;$B190,""),"")</f>
        <v>|</v>
      </c>
      <c r="P190" t="str">
        <f ca="1">IF($K190="Yes",COUNTIFS($K$4:$K190,"Yes"),"")</f>
        <v/>
      </c>
      <c r="Q190">
        <f t="shared" ca="1" si="11"/>
        <v>0</v>
      </c>
      <c r="R190" t="str">
        <f ca="1">IF($Q190=1,SUM($Q$4:$Q190),"")</f>
        <v/>
      </c>
    </row>
    <row r="191" spans="1:18" ht="22.5" customHeight="1" x14ac:dyDescent="0.3">
      <c r="A191" s="2"/>
      <c r="B191" s="2"/>
      <c r="C191" s="3"/>
      <c r="D191" s="3"/>
      <c r="E191" s="2"/>
      <c r="F191" s="2"/>
      <c r="G191" s="5"/>
      <c r="H191" s="5"/>
      <c r="I191" s="4"/>
      <c r="J191" s="6" t="str">
        <f t="shared" si="9"/>
        <v/>
      </c>
      <c r="K191" s="4" t="str">
        <f t="shared" ca="1" si="10"/>
        <v/>
      </c>
      <c r="L191" s="7" t="str">
        <f t="shared" ca="1" si="12"/>
        <v/>
      </c>
      <c r="M191" s="4" t="str">
        <f>IF($I191="Complete","Green",IF($H191="","Amber",IF($H191&lt;'[2]Read Me'!$B$4,"Red",IF($H191-'[2]Read Me'!$B$4&lt;=21,"Amber","Green"))))</f>
        <v>Amber</v>
      </c>
      <c r="N191" s="3"/>
      <c r="O191" t="str">
        <f>IF($I191&lt;&gt;"Complete",IF(COUNTIFS($A$4:$A190,$A191,$B$4:$B190,$B191,$I$4:$I190,"&lt;&gt;Complete")=0,$A191&amp;"|"&amp;$B191,""),"")</f>
        <v>|</v>
      </c>
      <c r="P191" t="str">
        <f ca="1">IF($K191="Yes",COUNTIFS($K$4:$K191,"Yes"),"")</f>
        <v/>
      </c>
      <c r="Q191">
        <f t="shared" ca="1" si="11"/>
        <v>0</v>
      </c>
      <c r="R191" t="str">
        <f ca="1">IF($Q191=1,SUM($Q$4:$Q191),"")</f>
        <v/>
      </c>
    </row>
    <row r="192" spans="1:18" ht="33.75" customHeight="1" x14ac:dyDescent="0.3">
      <c r="A192" s="2"/>
      <c r="B192" s="2"/>
      <c r="C192" s="3"/>
      <c r="D192" s="3"/>
      <c r="E192" s="2"/>
      <c r="F192" s="2"/>
      <c r="G192" s="5"/>
      <c r="H192" s="5"/>
      <c r="I192" s="4"/>
      <c r="J192" s="6" t="str">
        <f t="shared" si="9"/>
        <v/>
      </c>
      <c r="K192" s="4" t="str">
        <f t="shared" ca="1" si="10"/>
        <v/>
      </c>
      <c r="L192" s="7" t="str">
        <f t="shared" ca="1" si="12"/>
        <v/>
      </c>
      <c r="M192" s="4" t="str">
        <f>IF($I192="Complete","Green",IF($H192="","Amber",IF($H192&lt;'[2]Read Me'!$B$4,"Red",IF($H192-'[2]Read Me'!$B$4&lt;=21,"Amber","Green"))))</f>
        <v>Amber</v>
      </c>
      <c r="N192" s="3"/>
      <c r="O192" t="str">
        <f>IF($I192&lt;&gt;"Complete",IF(COUNTIFS($A$4:$A191,$A192,$B$4:$B191,$B192,$I$4:$I191,"&lt;&gt;Complete")=0,$A192&amp;"|"&amp;$B192,""),"")</f>
        <v>|</v>
      </c>
      <c r="P192" t="str">
        <f ca="1">IF($K192="Yes",COUNTIFS($K$4:$K192,"Yes"),"")</f>
        <v/>
      </c>
      <c r="Q192">
        <f t="shared" ca="1" si="11"/>
        <v>0</v>
      </c>
      <c r="R192" t="str">
        <f ca="1">IF($Q192=1,SUM($Q$4:$Q192),"")</f>
        <v/>
      </c>
    </row>
    <row r="193" spans="1:18" ht="33.75" customHeight="1" x14ac:dyDescent="0.3">
      <c r="A193" s="2"/>
      <c r="B193" s="2"/>
      <c r="C193" s="3"/>
      <c r="D193" s="3"/>
      <c r="E193" s="2"/>
      <c r="F193" s="2"/>
      <c r="G193" s="5"/>
      <c r="H193" s="5"/>
      <c r="I193" s="4"/>
      <c r="J193" s="6" t="str">
        <f t="shared" si="9"/>
        <v/>
      </c>
      <c r="K193" s="4" t="str">
        <f t="shared" ca="1" si="10"/>
        <v/>
      </c>
      <c r="L193" s="7" t="str">
        <f t="shared" ca="1" si="12"/>
        <v/>
      </c>
      <c r="M193" s="4" t="str">
        <f>IF($I193="Complete","Green",IF($H193="","Amber",IF($H193&lt;'[2]Read Me'!$B$4,"Red",IF($H193-'[2]Read Me'!$B$4&lt;=21,"Amber","Green"))))</f>
        <v>Amber</v>
      </c>
      <c r="N193" s="3"/>
      <c r="O193" t="str">
        <f>IF($I193&lt;&gt;"Complete",IF(COUNTIFS($A$4:$A192,$A193,$B$4:$B192,$B193,$I$4:$I192,"&lt;&gt;Complete")=0,$A193&amp;"|"&amp;$B193,""),"")</f>
        <v>|</v>
      </c>
      <c r="P193" t="str">
        <f ca="1">IF($K193="Yes",COUNTIFS($K$4:$K193,"Yes"),"")</f>
        <v/>
      </c>
      <c r="Q193">
        <f t="shared" ca="1" si="11"/>
        <v>0</v>
      </c>
      <c r="R193" t="str">
        <f ca="1">IF($Q193=1,SUM($Q$4:$Q193),"")</f>
        <v/>
      </c>
    </row>
    <row r="194" spans="1:18" ht="33.75" customHeight="1" x14ac:dyDescent="0.3">
      <c r="A194" s="2"/>
      <c r="B194" s="2"/>
      <c r="C194" s="3"/>
      <c r="D194" s="3"/>
      <c r="E194" s="2"/>
      <c r="F194" s="2"/>
      <c r="G194" s="5"/>
      <c r="H194" s="5"/>
      <c r="I194" s="4"/>
      <c r="J194" s="6" t="str">
        <f t="shared" si="9"/>
        <v/>
      </c>
      <c r="K194" s="4" t="str">
        <f t="shared" ca="1" si="10"/>
        <v/>
      </c>
      <c r="L194" s="7" t="str">
        <f t="shared" ca="1" si="12"/>
        <v/>
      </c>
      <c r="M194" s="4" t="str">
        <f>IF($I194="Complete","Green",IF($H194="","Amber",IF($H194&lt;'[2]Read Me'!$B$4,"Red",IF($H194-'[2]Read Me'!$B$4&lt;=21,"Amber","Green"))))</f>
        <v>Amber</v>
      </c>
      <c r="N194" s="3"/>
      <c r="O194" t="str">
        <f>IF($I194&lt;&gt;"Complete",IF(COUNTIFS($A$4:$A193,$A194,$B$4:$B193,$B194,$I$4:$I193,"&lt;&gt;Complete")=0,$A194&amp;"|"&amp;$B194,""),"")</f>
        <v>|</v>
      </c>
      <c r="P194" t="str">
        <f ca="1">IF($K194="Yes",COUNTIFS($K$4:$K194,"Yes"),"")</f>
        <v/>
      </c>
      <c r="Q194">
        <f t="shared" ca="1" si="11"/>
        <v>0</v>
      </c>
      <c r="R194" t="str">
        <f ca="1">IF($Q194=1,SUM($Q$4:$Q194),"")</f>
        <v/>
      </c>
    </row>
    <row r="195" spans="1:18" ht="33.75" customHeight="1" x14ac:dyDescent="0.3">
      <c r="A195" s="2"/>
      <c r="B195" s="2"/>
      <c r="C195" s="3"/>
      <c r="D195" s="3"/>
      <c r="E195" s="2"/>
      <c r="F195" s="2"/>
      <c r="G195" s="5"/>
      <c r="H195" s="5"/>
      <c r="I195" s="4"/>
      <c r="J195" s="6" t="str">
        <f t="shared" si="9"/>
        <v/>
      </c>
      <c r="K195" s="4" t="str">
        <f t="shared" ca="1" si="10"/>
        <v/>
      </c>
      <c r="L195" s="7" t="str">
        <f t="shared" ca="1" si="12"/>
        <v/>
      </c>
      <c r="M195" s="4" t="str">
        <f>IF($I195="Complete","Green",IF($H195="","Amber",IF($H195&lt;'[2]Read Me'!$B$4,"Red",IF($H195-'[2]Read Me'!$B$4&lt;=21,"Amber","Green"))))</f>
        <v>Amber</v>
      </c>
      <c r="N195" s="3"/>
      <c r="O195" t="str">
        <f>IF($I195&lt;&gt;"Complete",IF(COUNTIFS($A$4:$A194,$A195,$B$4:$B194,$B195,$I$4:$I194,"&lt;&gt;Complete")=0,$A195&amp;"|"&amp;$B195,""),"")</f>
        <v>|</v>
      </c>
      <c r="P195" t="str">
        <f ca="1">IF($K195="Yes",COUNTIFS($K$4:$K195,"Yes"),"")</f>
        <v/>
      </c>
      <c r="Q195">
        <f t="shared" ca="1" si="11"/>
        <v>0</v>
      </c>
      <c r="R195" t="str">
        <f ca="1">IF($Q195=1,SUM($Q$4:$Q195),"")</f>
        <v/>
      </c>
    </row>
    <row r="196" spans="1:18" ht="33.75" customHeight="1" x14ac:dyDescent="0.3">
      <c r="A196" s="2"/>
      <c r="B196" s="2"/>
      <c r="C196" s="3"/>
      <c r="D196" s="3"/>
      <c r="E196" s="2"/>
      <c r="F196" s="2"/>
      <c r="G196" s="5"/>
      <c r="H196" s="5"/>
      <c r="I196" s="4"/>
      <c r="J196" s="6" t="str">
        <f t="shared" ref="J196:J259" si="13">IF(OR($G196="",$H196=""),"",$H196-$G196)</f>
        <v/>
      </c>
      <c r="K196" s="4" t="str">
        <f t="shared" ref="K196:K243" ca="1" si="14">IF(C196="","",IF(H196="","",IF($I196="completed","-",IF($H196&gt;TODAY(),"No","Yes"))))</f>
        <v/>
      </c>
      <c r="L196" s="7" t="str">
        <f t="shared" ca="1" si="12"/>
        <v/>
      </c>
      <c r="M196" s="4" t="str">
        <f>IF($I196="Complete","Green",IF($H196="","Amber",IF($H196&lt;'[2]Read Me'!$B$4,"Red",IF($H196-'[2]Read Me'!$B$4&lt;=21,"Amber","Green"))))</f>
        <v>Amber</v>
      </c>
      <c r="N196" s="3"/>
      <c r="O196" t="str">
        <f>IF($I196&lt;&gt;"Complete",IF(COUNTIFS($A$4:$A195,$A196,$B$4:$B195,$B196,$I$4:$I195,"&lt;&gt;Complete")=0,$A196&amp;"|"&amp;$B196,""),"")</f>
        <v>|</v>
      </c>
      <c r="P196" t="str">
        <f ca="1">IF($K196="Yes",COUNTIFS($K$4:$K196,"Yes"),"")</f>
        <v/>
      </c>
      <c r="Q196">
        <f t="shared" ref="Q196:Q259" ca="1" si="15">IF(OR($I196="In Progress",$K196="Yes"),1,0)</f>
        <v>0</v>
      </c>
      <c r="R196" t="str">
        <f ca="1">IF($Q196=1,SUM($Q$4:$Q196),"")</f>
        <v/>
      </c>
    </row>
    <row r="197" spans="1:18" ht="22.5" customHeight="1" x14ac:dyDescent="0.3">
      <c r="A197" s="2"/>
      <c r="B197" s="2"/>
      <c r="C197" s="3"/>
      <c r="D197" s="3"/>
      <c r="E197" s="2"/>
      <c r="F197" s="2"/>
      <c r="G197" s="5"/>
      <c r="H197" s="5"/>
      <c r="I197" s="4"/>
      <c r="J197" s="6" t="str">
        <f t="shared" si="13"/>
        <v/>
      </c>
      <c r="K197" s="4" t="str">
        <f t="shared" ca="1" si="14"/>
        <v/>
      </c>
      <c r="L197" s="7" t="str">
        <f t="shared" ref="L197:L260" ca="1" si="16">IF(I197="Completed",0,IF(H197="","",H197-TODAY()))</f>
        <v/>
      </c>
      <c r="M197" s="4" t="str">
        <f>IF($I197="Complete","Green",IF($H197="","Amber",IF($H197&lt;'[2]Read Me'!$B$4,"Red",IF($H197-'[2]Read Me'!$B$4&lt;=21,"Amber","Green"))))</f>
        <v>Amber</v>
      </c>
      <c r="N197" s="3"/>
      <c r="O197" t="str">
        <f>IF($I197&lt;&gt;"Complete",IF(COUNTIFS($A$4:$A196,$A197,$B$4:$B196,$B197,$I$4:$I196,"&lt;&gt;Complete")=0,$A197&amp;"|"&amp;$B197,""),"")</f>
        <v>|</v>
      </c>
      <c r="P197" t="str">
        <f ca="1">IF($K197="Yes",COUNTIFS($K$4:$K197,"Yes"),"")</f>
        <v/>
      </c>
      <c r="Q197">
        <f t="shared" ca="1" si="15"/>
        <v>0</v>
      </c>
      <c r="R197" t="str">
        <f ca="1">IF($Q197=1,SUM($Q$4:$Q197),"")</f>
        <v/>
      </c>
    </row>
    <row r="198" spans="1:18" ht="22.5" customHeight="1" x14ac:dyDescent="0.3">
      <c r="A198" s="2"/>
      <c r="B198" s="2"/>
      <c r="C198" s="3"/>
      <c r="D198" s="3"/>
      <c r="E198" s="2"/>
      <c r="F198" s="2"/>
      <c r="G198" s="5"/>
      <c r="H198" s="5"/>
      <c r="I198" s="4"/>
      <c r="J198" s="6" t="str">
        <f t="shared" si="13"/>
        <v/>
      </c>
      <c r="K198" s="4" t="str">
        <f t="shared" ca="1" si="14"/>
        <v/>
      </c>
      <c r="L198" s="7" t="str">
        <f t="shared" ca="1" si="16"/>
        <v/>
      </c>
      <c r="M198" s="4" t="str">
        <f>IF($I198="Complete","Green",IF($H198="","Amber",IF($H198&lt;'[2]Read Me'!$B$4,"Red",IF($H198-'[2]Read Me'!$B$4&lt;=21,"Amber","Green"))))</f>
        <v>Amber</v>
      </c>
      <c r="N198" s="3"/>
      <c r="O198" t="str">
        <f>IF($I198&lt;&gt;"Complete",IF(COUNTIFS($A$4:$A197,$A198,$B$4:$B197,$B198,$I$4:$I197,"&lt;&gt;Complete")=0,$A198&amp;"|"&amp;$B198,""),"")</f>
        <v>|</v>
      </c>
      <c r="P198" t="str">
        <f ca="1">IF($K198="Yes",COUNTIFS($K$4:$K198,"Yes"),"")</f>
        <v/>
      </c>
      <c r="Q198">
        <f t="shared" ca="1" si="15"/>
        <v>0</v>
      </c>
      <c r="R198" t="str">
        <f ca="1">IF($Q198=1,SUM($Q$4:$Q198),"")</f>
        <v/>
      </c>
    </row>
    <row r="199" spans="1:18" ht="22.5" customHeight="1" x14ac:dyDescent="0.3">
      <c r="A199" s="2"/>
      <c r="B199" s="2"/>
      <c r="C199" s="3"/>
      <c r="D199" s="3"/>
      <c r="E199" s="2"/>
      <c r="F199" s="2"/>
      <c r="G199" s="5"/>
      <c r="H199" s="5"/>
      <c r="I199" s="4"/>
      <c r="J199" s="6" t="str">
        <f t="shared" si="13"/>
        <v/>
      </c>
      <c r="K199" s="4" t="str">
        <f t="shared" ca="1" si="14"/>
        <v/>
      </c>
      <c r="L199" s="7" t="str">
        <f t="shared" ca="1" si="16"/>
        <v/>
      </c>
      <c r="M199" s="4" t="str">
        <f>IF($I199="Complete","Green",IF($H199="","Amber",IF($H199&lt;'[2]Read Me'!$B$4,"Red",IF($H199-'[2]Read Me'!$B$4&lt;=21,"Amber","Green"))))</f>
        <v>Amber</v>
      </c>
      <c r="N199" s="3"/>
      <c r="O199" t="str">
        <f>IF($I199&lt;&gt;"Complete",IF(COUNTIFS($A$4:$A198,$A199,$B$4:$B198,$B199,$I$4:$I198,"&lt;&gt;Complete")=0,$A199&amp;"|"&amp;$B199,""),"")</f>
        <v>|</v>
      </c>
      <c r="P199" t="str">
        <f ca="1">IF($K199="Yes",COUNTIFS($K$4:$K199,"Yes"),"")</f>
        <v/>
      </c>
      <c r="Q199">
        <f t="shared" ca="1" si="15"/>
        <v>0</v>
      </c>
      <c r="R199" t="str">
        <f ca="1">IF($Q199=1,SUM($Q$4:$Q199),"")</f>
        <v/>
      </c>
    </row>
    <row r="200" spans="1:18" ht="22.5" customHeight="1" x14ac:dyDescent="0.3">
      <c r="A200" s="2"/>
      <c r="B200" s="2"/>
      <c r="C200" s="3"/>
      <c r="D200" s="3"/>
      <c r="E200" s="2"/>
      <c r="F200" s="2"/>
      <c r="G200" s="5"/>
      <c r="H200" s="5"/>
      <c r="I200" s="4"/>
      <c r="J200" s="6" t="str">
        <f t="shared" si="13"/>
        <v/>
      </c>
      <c r="K200" s="4" t="str">
        <f t="shared" ca="1" si="14"/>
        <v/>
      </c>
      <c r="L200" s="7" t="str">
        <f t="shared" ca="1" si="16"/>
        <v/>
      </c>
      <c r="M200" s="4" t="str">
        <f>IF($I200="Complete","Green",IF($H200="","Amber",IF($H200&lt;'[2]Read Me'!$B$4,"Red",IF($H200-'[2]Read Me'!$B$4&lt;=21,"Amber","Green"))))</f>
        <v>Amber</v>
      </c>
      <c r="N200" s="3"/>
      <c r="O200" t="str">
        <f>IF($I200&lt;&gt;"Complete",IF(COUNTIFS($A$4:$A199,$A200,$B$4:$B199,$B200,$I$4:$I199,"&lt;&gt;Complete")=0,$A200&amp;"|"&amp;$B200,""),"")</f>
        <v>|</v>
      </c>
      <c r="P200" t="str">
        <f ca="1">IF($K200="Yes",COUNTIFS($K$4:$K200,"Yes"),"")</f>
        <v/>
      </c>
      <c r="Q200">
        <f t="shared" ca="1" si="15"/>
        <v>0</v>
      </c>
      <c r="R200" t="str">
        <f ca="1">IF($Q200=1,SUM($Q$4:$Q200),"")</f>
        <v/>
      </c>
    </row>
    <row r="201" spans="1:18" ht="22.5" customHeight="1" x14ac:dyDescent="0.3">
      <c r="A201" s="2"/>
      <c r="B201" s="2"/>
      <c r="C201" s="3"/>
      <c r="D201" s="3"/>
      <c r="E201" s="2"/>
      <c r="F201" s="2"/>
      <c r="G201" s="5"/>
      <c r="H201" s="5"/>
      <c r="I201" s="4"/>
      <c r="J201" s="6" t="str">
        <f t="shared" si="13"/>
        <v/>
      </c>
      <c r="K201" s="4" t="str">
        <f t="shared" ca="1" si="14"/>
        <v/>
      </c>
      <c r="L201" s="7" t="str">
        <f t="shared" ca="1" si="16"/>
        <v/>
      </c>
      <c r="M201" s="4" t="str">
        <f>IF($I201="Complete","Green",IF($H201="","Amber",IF($H201&lt;'[2]Read Me'!$B$4,"Red",IF($H201-'[2]Read Me'!$B$4&lt;=21,"Amber","Green"))))</f>
        <v>Amber</v>
      </c>
      <c r="N201" s="3"/>
      <c r="O201" t="str">
        <f>IF($I201&lt;&gt;"Complete",IF(COUNTIFS($A$4:$A200,$A201,$B$4:$B200,$B201,$I$4:$I200,"&lt;&gt;Complete")=0,$A201&amp;"|"&amp;$B201,""),"")</f>
        <v>|</v>
      </c>
      <c r="P201" t="str">
        <f ca="1">IF($K201="Yes",COUNTIFS($K$4:$K201,"Yes"),"")</f>
        <v/>
      </c>
      <c r="Q201">
        <f t="shared" ca="1" si="15"/>
        <v>0</v>
      </c>
      <c r="R201" t="str">
        <f ca="1">IF($Q201=1,SUM($Q$4:$Q201),"")</f>
        <v/>
      </c>
    </row>
    <row r="202" spans="1:18" ht="22.5" customHeight="1" x14ac:dyDescent="0.3">
      <c r="A202" s="2"/>
      <c r="B202" s="2"/>
      <c r="C202" s="3"/>
      <c r="D202" s="3"/>
      <c r="E202" s="2"/>
      <c r="F202" s="2"/>
      <c r="G202" s="5"/>
      <c r="H202" s="5"/>
      <c r="I202" s="4"/>
      <c r="J202" s="6" t="str">
        <f t="shared" si="13"/>
        <v/>
      </c>
      <c r="K202" s="4" t="str">
        <f t="shared" ca="1" si="14"/>
        <v/>
      </c>
      <c r="L202" s="7" t="str">
        <f t="shared" ca="1" si="16"/>
        <v/>
      </c>
      <c r="M202" s="4" t="str">
        <f>IF($I202="Complete","Green",IF($H202="","Amber",IF($H202&lt;'[2]Read Me'!$B$4,"Red",IF($H202-'[2]Read Me'!$B$4&lt;=21,"Amber","Green"))))</f>
        <v>Amber</v>
      </c>
      <c r="N202" s="3"/>
      <c r="O202" t="str">
        <f>IF($I202&lt;&gt;"Complete",IF(COUNTIFS($A$4:$A201,$A202,$B$4:$B201,$B202,$I$4:$I201,"&lt;&gt;Complete")=0,$A202&amp;"|"&amp;$B202,""),"")</f>
        <v>|</v>
      </c>
      <c r="P202" t="str">
        <f ca="1">IF($K202="Yes",COUNTIFS($K$4:$K202,"Yes"),"")</f>
        <v/>
      </c>
      <c r="Q202">
        <f t="shared" ca="1" si="15"/>
        <v>0</v>
      </c>
      <c r="R202" t="str">
        <f ca="1">IF($Q202=1,SUM($Q$4:$Q202),"")</f>
        <v/>
      </c>
    </row>
    <row r="203" spans="1:18" ht="22.5" customHeight="1" x14ac:dyDescent="0.3">
      <c r="A203" s="2"/>
      <c r="B203" s="2"/>
      <c r="C203" s="3"/>
      <c r="D203" s="3"/>
      <c r="E203" s="2"/>
      <c r="F203" s="2"/>
      <c r="G203" s="5"/>
      <c r="H203" s="5"/>
      <c r="I203" s="4"/>
      <c r="J203" s="6" t="str">
        <f t="shared" si="13"/>
        <v/>
      </c>
      <c r="K203" s="4" t="str">
        <f t="shared" ca="1" si="14"/>
        <v/>
      </c>
      <c r="L203" s="7" t="str">
        <f t="shared" ca="1" si="16"/>
        <v/>
      </c>
      <c r="M203" s="4" t="str">
        <f>IF($I203="Complete","Green",IF($H203="","Amber",IF($H203&lt;'[2]Read Me'!$B$4,"Red",IF($H203-'[2]Read Me'!$B$4&lt;=21,"Amber","Green"))))</f>
        <v>Amber</v>
      </c>
      <c r="N203" s="3"/>
      <c r="O203" t="str">
        <f>IF($I203&lt;&gt;"Complete",IF(COUNTIFS($A$4:$A202,$A203,$B$4:$B202,$B203,$I$4:$I202,"&lt;&gt;Complete")=0,$A203&amp;"|"&amp;$B203,""),"")</f>
        <v>|</v>
      </c>
      <c r="P203" t="str">
        <f ca="1">IF($K203="Yes",COUNTIFS($K$4:$K203,"Yes"),"")</f>
        <v/>
      </c>
      <c r="Q203">
        <f t="shared" ca="1" si="15"/>
        <v>0</v>
      </c>
      <c r="R203" t="str">
        <f ca="1">IF($Q203=1,SUM($Q$4:$Q203),"")</f>
        <v/>
      </c>
    </row>
    <row r="204" spans="1:18" ht="33.75" customHeight="1" x14ac:dyDescent="0.3">
      <c r="A204" s="2"/>
      <c r="B204" s="2"/>
      <c r="C204" s="3"/>
      <c r="D204" s="3"/>
      <c r="E204" s="2"/>
      <c r="F204" s="2"/>
      <c r="G204" s="5"/>
      <c r="H204" s="5"/>
      <c r="I204" s="4"/>
      <c r="J204" s="6" t="str">
        <f t="shared" si="13"/>
        <v/>
      </c>
      <c r="K204" s="4" t="str">
        <f t="shared" ca="1" si="14"/>
        <v/>
      </c>
      <c r="L204" s="7" t="str">
        <f t="shared" ca="1" si="16"/>
        <v/>
      </c>
      <c r="M204" s="4" t="str">
        <f>IF($I204="Complete","Green",IF($H204="","Amber",IF($H204&lt;'[2]Read Me'!$B$4,"Red",IF($H204-'[2]Read Me'!$B$4&lt;=21,"Amber","Green"))))</f>
        <v>Amber</v>
      </c>
      <c r="N204" s="3"/>
      <c r="O204" t="str">
        <f>IF($I204&lt;&gt;"Complete",IF(COUNTIFS($A$4:$A203,$A204,$B$4:$B203,$B204,$I$4:$I203,"&lt;&gt;Complete")=0,$A204&amp;"|"&amp;$B204,""),"")</f>
        <v>|</v>
      </c>
      <c r="P204" t="str">
        <f ca="1">IF($K204="Yes",COUNTIFS($K$4:$K204,"Yes"),"")</f>
        <v/>
      </c>
      <c r="Q204">
        <f t="shared" ca="1" si="15"/>
        <v>0</v>
      </c>
      <c r="R204" t="str">
        <f ca="1">IF($Q204=1,SUM($Q$4:$Q204),"")</f>
        <v/>
      </c>
    </row>
    <row r="205" spans="1:18" ht="33.75" customHeight="1" x14ac:dyDescent="0.3">
      <c r="A205" s="2"/>
      <c r="B205" s="2"/>
      <c r="C205" s="3"/>
      <c r="D205" s="3"/>
      <c r="E205" s="2"/>
      <c r="F205" s="2"/>
      <c r="G205" s="5"/>
      <c r="H205" s="5"/>
      <c r="I205" s="4"/>
      <c r="J205" s="6" t="str">
        <f t="shared" si="13"/>
        <v/>
      </c>
      <c r="K205" s="4" t="str">
        <f t="shared" ca="1" si="14"/>
        <v/>
      </c>
      <c r="L205" s="7" t="str">
        <f t="shared" ca="1" si="16"/>
        <v/>
      </c>
      <c r="M205" s="4" t="str">
        <f>IF($I205="Complete","Green",IF($H205="","Amber",IF($H205&lt;'[2]Read Me'!$B$4,"Red",IF($H205-'[2]Read Me'!$B$4&lt;=21,"Amber","Green"))))</f>
        <v>Amber</v>
      </c>
      <c r="N205" s="3"/>
      <c r="O205" t="str">
        <f>IF($I205&lt;&gt;"Complete",IF(COUNTIFS($A$4:$A204,$A205,$B$4:$B204,$B205,$I$4:$I204,"&lt;&gt;Complete")=0,$A205&amp;"|"&amp;$B205,""),"")</f>
        <v>|</v>
      </c>
      <c r="P205" t="str">
        <f ca="1">IF($K205="Yes",COUNTIFS($K$4:$K205,"Yes"),"")</f>
        <v/>
      </c>
      <c r="Q205">
        <f t="shared" ca="1" si="15"/>
        <v>0</v>
      </c>
      <c r="R205" t="str">
        <f ca="1">IF($Q205=1,SUM($Q$4:$Q205),"")</f>
        <v/>
      </c>
    </row>
    <row r="206" spans="1:18" ht="33.75" customHeight="1" x14ac:dyDescent="0.3">
      <c r="A206" s="2"/>
      <c r="B206" s="2"/>
      <c r="C206" s="3"/>
      <c r="D206" s="3"/>
      <c r="E206" s="2"/>
      <c r="F206" s="2"/>
      <c r="G206" s="5"/>
      <c r="H206" s="5"/>
      <c r="I206" s="4"/>
      <c r="J206" s="6" t="str">
        <f t="shared" si="13"/>
        <v/>
      </c>
      <c r="K206" s="4" t="str">
        <f t="shared" ca="1" si="14"/>
        <v/>
      </c>
      <c r="L206" s="7" t="str">
        <f t="shared" ca="1" si="16"/>
        <v/>
      </c>
      <c r="M206" s="4" t="str">
        <f>IF($I206="Complete","Green",IF($H206="","Amber",IF($H206&lt;'[2]Read Me'!$B$4,"Red",IF($H206-'[2]Read Me'!$B$4&lt;=21,"Amber","Green"))))</f>
        <v>Amber</v>
      </c>
      <c r="N206" s="3"/>
      <c r="O206" t="str">
        <f>IF($I206&lt;&gt;"Complete",IF(COUNTIFS($A$4:$A205,$A206,$B$4:$B205,$B206,$I$4:$I205,"&lt;&gt;Complete")=0,$A206&amp;"|"&amp;$B206,""),"")</f>
        <v>|</v>
      </c>
      <c r="P206" t="str">
        <f ca="1">IF($K206="Yes",COUNTIFS($K$4:$K206,"Yes"),"")</f>
        <v/>
      </c>
      <c r="Q206">
        <f t="shared" ca="1" si="15"/>
        <v>0</v>
      </c>
      <c r="R206" t="str">
        <f ca="1">IF($Q206=1,SUM($Q$4:$Q206),"")</f>
        <v/>
      </c>
    </row>
    <row r="207" spans="1:18" ht="33.75" customHeight="1" x14ac:dyDescent="0.3">
      <c r="A207" s="2"/>
      <c r="B207" s="2"/>
      <c r="C207" s="3"/>
      <c r="D207" s="3"/>
      <c r="E207" s="2"/>
      <c r="F207" s="2"/>
      <c r="G207" s="5"/>
      <c r="H207" s="5"/>
      <c r="I207" s="4"/>
      <c r="J207" s="6" t="str">
        <f t="shared" si="13"/>
        <v/>
      </c>
      <c r="K207" s="4" t="str">
        <f t="shared" ca="1" si="14"/>
        <v/>
      </c>
      <c r="L207" s="7" t="str">
        <f t="shared" ca="1" si="16"/>
        <v/>
      </c>
      <c r="M207" s="4" t="str">
        <f>IF($I207="Complete","Green",IF($H207="","Amber",IF($H207&lt;'[2]Read Me'!$B$4,"Red",IF($H207-'[2]Read Me'!$B$4&lt;=21,"Amber","Green"))))</f>
        <v>Amber</v>
      </c>
      <c r="N207" s="3"/>
      <c r="O207" t="str">
        <f>IF($I207&lt;&gt;"Complete",IF(COUNTIFS($A$4:$A206,$A207,$B$4:$B206,$B207,$I$4:$I206,"&lt;&gt;Complete")=0,$A207&amp;"|"&amp;$B207,""),"")</f>
        <v>|</v>
      </c>
      <c r="P207" t="str">
        <f ca="1">IF($K207="Yes",COUNTIFS($K$4:$K207,"Yes"),"")</f>
        <v/>
      </c>
      <c r="Q207">
        <f t="shared" ca="1" si="15"/>
        <v>0</v>
      </c>
      <c r="R207" t="str">
        <f ca="1">IF($Q207=1,SUM($Q$4:$Q207),"")</f>
        <v/>
      </c>
    </row>
    <row r="208" spans="1:18" ht="33.75" customHeight="1" x14ac:dyDescent="0.3">
      <c r="A208" s="2"/>
      <c r="B208" s="2"/>
      <c r="C208" s="3"/>
      <c r="D208" s="3"/>
      <c r="E208" s="2"/>
      <c r="F208" s="2"/>
      <c r="G208" s="5"/>
      <c r="H208" s="5"/>
      <c r="I208" s="4"/>
      <c r="J208" s="6" t="str">
        <f t="shared" si="13"/>
        <v/>
      </c>
      <c r="K208" s="4" t="str">
        <f t="shared" ca="1" si="14"/>
        <v/>
      </c>
      <c r="L208" s="7" t="str">
        <f t="shared" ca="1" si="16"/>
        <v/>
      </c>
      <c r="M208" s="4" t="str">
        <f>IF($I208="Complete","Green",IF($H208="","Amber",IF($H208&lt;'[2]Read Me'!$B$4,"Red",IF($H208-'[2]Read Me'!$B$4&lt;=21,"Amber","Green"))))</f>
        <v>Amber</v>
      </c>
      <c r="N208" s="3"/>
      <c r="O208" t="str">
        <f>IF($I208&lt;&gt;"Complete",IF(COUNTIFS($A$4:$A207,$A208,$B$4:$B207,$B208,$I$4:$I207,"&lt;&gt;Complete")=0,$A208&amp;"|"&amp;$B208,""),"")</f>
        <v>|</v>
      </c>
      <c r="P208" t="str">
        <f ca="1">IF($K208="Yes",COUNTIFS($K$4:$K208,"Yes"),"")</f>
        <v/>
      </c>
      <c r="Q208">
        <f t="shared" ca="1" si="15"/>
        <v>0</v>
      </c>
      <c r="R208" t="str">
        <f ca="1">IF($Q208=1,SUM($Q$4:$Q208),"")</f>
        <v/>
      </c>
    </row>
    <row r="209" spans="1:18" ht="33.75" customHeight="1" x14ac:dyDescent="0.3">
      <c r="A209" s="2"/>
      <c r="B209" s="2"/>
      <c r="C209" s="3"/>
      <c r="D209" s="3"/>
      <c r="E209" s="2"/>
      <c r="F209" s="2"/>
      <c r="G209" s="5"/>
      <c r="H209" s="5"/>
      <c r="I209" s="4"/>
      <c r="J209" s="6" t="str">
        <f t="shared" si="13"/>
        <v/>
      </c>
      <c r="K209" s="4" t="str">
        <f t="shared" ca="1" si="14"/>
        <v/>
      </c>
      <c r="L209" s="7" t="str">
        <f t="shared" ca="1" si="16"/>
        <v/>
      </c>
      <c r="M209" s="4" t="str">
        <f>IF($I209="Complete","Green",IF($H209="","Amber",IF($H209&lt;'[2]Read Me'!$B$4,"Red",IF($H209-'[2]Read Me'!$B$4&lt;=21,"Amber","Green"))))</f>
        <v>Amber</v>
      </c>
      <c r="N209" s="3"/>
      <c r="O209" t="str">
        <f>IF($I209&lt;&gt;"Complete",IF(COUNTIFS($A$4:$A208,$A209,$B$4:$B208,$B209,$I$4:$I208,"&lt;&gt;Complete")=0,$A209&amp;"|"&amp;$B209,""),"")</f>
        <v>|</v>
      </c>
      <c r="P209" t="str">
        <f ca="1">IF($K209="Yes",COUNTIFS($K$4:$K209,"Yes"),"")</f>
        <v/>
      </c>
      <c r="Q209">
        <f t="shared" ca="1" si="15"/>
        <v>0</v>
      </c>
      <c r="R209" t="str">
        <f ca="1">IF($Q209=1,SUM($Q$4:$Q209),"")</f>
        <v/>
      </c>
    </row>
    <row r="210" spans="1:18" ht="33.75" customHeight="1" x14ac:dyDescent="0.3">
      <c r="A210" s="2"/>
      <c r="B210" s="2"/>
      <c r="C210" s="3"/>
      <c r="D210" s="3"/>
      <c r="E210" s="2"/>
      <c r="F210" s="2"/>
      <c r="G210" s="5"/>
      <c r="H210" s="5"/>
      <c r="I210" s="4"/>
      <c r="J210" s="6" t="str">
        <f t="shared" si="13"/>
        <v/>
      </c>
      <c r="K210" s="4" t="str">
        <f t="shared" ca="1" si="14"/>
        <v/>
      </c>
      <c r="L210" s="7" t="str">
        <f t="shared" ca="1" si="16"/>
        <v/>
      </c>
      <c r="M210" s="4" t="str">
        <f>IF($I210="Complete","Green",IF($H210="","Amber",IF($H210&lt;'[2]Read Me'!$B$4,"Red",IF($H210-'[2]Read Me'!$B$4&lt;=21,"Amber","Green"))))</f>
        <v>Amber</v>
      </c>
      <c r="N210" s="3"/>
      <c r="O210" t="str">
        <f>IF($I210&lt;&gt;"Complete",IF(COUNTIFS($A$4:$A209,$A210,$B$4:$B209,$B210,$I$4:$I209,"&lt;&gt;Complete")=0,$A210&amp;"|"&amp;$B210,""),"")</f>
        <v>|</v>
      </c>
      <c r="P210" t="str">
        <f ca="1">IF($K210="Yes",COUNTIFS($K$4:$K210,"Yes"),"")</f>
        <v/>
      </c>
      <c r="Q210">
        <f t="shared" ca="1" si="15"/>
        <v>0</v>
      </c>
      <c r="R210" t="str">
        <f ca="1">IF($Q210=1,SUM($Q$4:$Q210),"")</f>
        <v/>
      </c>
    </row>
    <row r="211" spans="1:18" ht="22.5" customHeight="1" x14ac:dyDescent="0.3">
      <c r="A211" s="2"/>
      <c r="B211" s="2"/>
      <c r="C211" s="3"/>
      <c r="D211" s="3"/>
      <c r="E211" s="2"/>
      <c r="F211" s="2"/>
      <c r="G211" s="5"/>
      <c r="H211" s="5"/>
      <c r="I211" s="4"/>
      <c r="J211" s="6" t="str">
        <f t="shared" si="13"/>
        <v/>
      </c>
      <c r="K211" s="4" t="str">
        <f t="shared" ca="1" si="14"/>
        <v/>
      </c>
      <c r="L211" s="7" t="str">
        <f t="shared" ca="1" si="16"/>
        <v/>
      </c>
      <c r="M211" s="4" t="str">
        <f>IF($I211="Complete","Green",IF($H211="","Amber",IF($H211&lt;'[2]Read Me'!$B$4,"Red",IF($H211-'[2]Read Me'!$B$4&lt;=21,"Amber","Green"))))</f>
        <v>Amber</v>
      </c>
      <c r="N211" s="3"/>
      <c r="O211" t="str">
        <f>IF($I211&lt;&gt;"Complete",IF(COUNTIFS($A$4:$A210,$A211,$B$4:$B210,$B211,$I$4:$I210,"&lt;&gt;Complete")=0,$A211&amp;"|"&amp;$B211,""),"")</f>
        <v>|</v>
      </c>
      <c r="P211" t="str">
        <f ca="1">IF($K211="Yes",COUNTIFS($K$4:$K211,"Yes"),"")</f>
        <v/>
      </c>
      <c r="Q211">
        <f t="shared" ca="1" si="15"/>
        <v>0</v>
      </c>
      <c r="R211" t="str">
        <f ca="1">IF($Q211=1,SUM($Q$4:$Q211),"")</f>
        <v/>
      </c>
    </row>
    <row r="212" spans="1:18" ht="22.5" customHeight="1" x14ac:dyDescent="0.3">
      <c r="A212" s="2"/>
      <c r="B212" s="2"/>
      <c r="C212" s="3"/>
      <c r="D212" s="3"/>
      <c r="E212" s="2"/>
      <c r="F212" s="2"/>
      <c r="G212" s="5"/>
      <c r="H212" s="5"/>
      <c r="I212" s="4"/>
      <c r="J212" s="6" t="str">
        <f t="shared" si="13"/>
        <v/>
      </c>
      <c r="K212" s="4" t="str">
        <f t="shared" ca="1" si="14"/>
        <v/>
      </c>
      <c r="L212" s="7" t="str">
        <f t="shared" ca="1" si="16"/>
        <v/>
      </c>
      <c r="M212" s="4" t="str">
        <f>IF($I212="Complete","Green",IF($H212="","Amber",IF($H212&lt;'[2]Read Me'!$B$4,"Red",IF($H212-'[2]Read Me'!$B$4&lt;=21,"Amber","Green"))))</f>
        <v>Amber</v>
      </c>
      <c r="N212" s="3"/>
      <c r="O212" t="str">
        <f>IF($I212&lt;&gt;"Complete",IF(COUNTIFS($A$4:$A211,$A212,$B$4:$B211,$B212,$I$4:$I211,"&lt;&gt;Complete")=0,$A212&amp;"|"&amp;$B212,""),"")</f>
        <v>|</v>
      </c>
      <c r="P212" t="str">
        <f ca="1">IF($K212="Yes",COUNTIFS($K$4:$K212,"Yes"),"")</f>
        <v/>
      </c>
      <c r="Q212">
        <f t="shared" ca="1" si="15"/>
        <v>0</v>
      </c>
      <c r="R212" t="str">
        <f ca="1">IF($Q212=1,SUM($Q$4:$Q212),"")</f>
        <v/>
      </c>
    </row>
    <row r="213" spans="1:18" ht="22.5" customHeight="1" x14ac:dyDescent="0.3">
      <c r="A213" s="2"/>
      <c r="B213" s="2"/>
      <c r="C213" s="3"/>
      <c r="D213" s="3"/>
      <c r="E213" s="2"/>
      <c r="F213" s="2"/>
      <c r="G213" s="5"/>
      <c r="H213" s="5"/>
      <c r="I213" s="4"/>
      <c r="J213" s="6" t="str">
        <f t="shared" si="13"/>
        <v/>
      </c>
      <c r="K213" s="4" t="str">
        <f t="shared" ca="1" si="14"/>
        <v/>
      </c>
      <c r="L213" s="7" t="str">
        <f t="shared" ca="1" si="16"/>
        <v/>
      </c>
      <c r="M213" s="4" t="str">
        <f>IF($I213="Complete","Green",IF($H213="","Amber",IF($H213&lt;'[2]Read Me'!$B$4,"Red",IF($H213-'[2]Read Me'!$B$4&lt;=21,"Amber","Green"))))</f>
        <v>Amber</v>
      </c>
      <c r="N213" s="3"/>
      <c r="O213" t="str">
        <f>IF($I213&lt;&gt;"Complete",IF(COUNTIFS($A$4:$A212,$A213,$B$4:$B212,$B213,$I$4:$I212,"&lt;&gt;Complete")=0,$A213&amp;"|"&amp;$B213,""),"")</f>
        <v>|</v>
      </c>
      <c r="P213" t="str">
        <f ca="1">IF($K213="Yes",COUNTIFS($K$4:$K213,"Yes"),"")</f>
        <v/>
      </c>
      <c r="Q213">
        <f t="shared" ca="1" si="15"/>
        <v>0</v>
      </c>
      <c r="R213" t="str">
        <f ca="1">IF($Q213=1,SUM($Q$4:$Q213),"")</f>
        <v/>
      </c>
    </row>
    <row r="214" spans="1:18" ht="22.5" customHeight="1" x14ac:dyDescent="0.3">
      <c r="A214" s="2"/>
      <c r="B214" s="2"/>
      <c r="C214" s="3"/>
      <c r="D214" s="3"/>
      <c r="E214" s="2"/>
      <c r="F214" s="2"/>
      <c r="G214" s="5"/>
      <c r="H214" s="5"/>
      <c r="I214" s="4"/>
      <c r="J214" s="6" t="str">
        <f t="shared" si="13"/>
        <v/>
      </c>
      <c r="K214" s="4" t="str">
        <f t="shared" ca="1" si="14"/>
        <v/>
      </c>
      <c r="L214" s="7" t="str">
        <f t="shared" ca="1" si="16"/>
        <v/>
      </c>
      <c r="M214" s="4" t="str">
        <f>IF($I214="Complete","Green",IF($H214="","Amber",IF($H214&lt;'[2]Read Me'!$B$4,"Red",IF($H214-'[2]Read Me'!$B$4&lt;=21,"Amber","Green"))))</f>
        <v>Amber</v>
      </c>
      <c r="N214" s="3"/>
      <c r="O214" t="str">
        <f>IF($I214&lt;&gt;"Complete",IF(COUNTIFS($A$4:$A213,$A214,$B$4:$B213,$B214,$I$4:$I213,"&lt;&gt;Complete")=0,$A214&amp;"|"&amp;$B214,""),"")</f>
        <v>|</v>
      </c>
      <c r="P214" t="str">
        <f ca="1">IF($K214="Yes",COUNTIFS($K$4:$K214,"Yes"),"")</f>
        <v/>
      </c>
      <c r="Q214">
        <f t="shared" ca="1" si="15"/>
        <v>0</v>
      </c>
      <c r="R214" t="str">
        <f ca="1">IF($Q214=1,SUM($Q$4:$Q214),"")</f>
        <v/>
      </c>
    </row>
    <row r="215" spans="1:18" ht="22.5" customHeight="1" x14ac:dyDescent="0.3">
      <c r="A215" s="2"/>
      <c r="B215" s="2"/>
      <c r="C215" s="3"/>
      <c r="D215" s="3"/>
      <c r="E215" s="2"/>
      <c r="F215" s="2"/>
      <c r="G215" s="5"/>
      <c r="H215" s="5"/>
      <c r="I215" s="4"/>
      <c r="J215" s="6" t="str">
        <f t="shared" si="13"/>
        <v/>
      </c>
      <c r="K215" s="4" t="str">
        <f t="shared" ca="1" si="14"/>
        <v/>
      </c>
      <c r="L215" s="7" t="str">
        <f t="shared" ca="1" si="16"/>
        <v/>
      </c>
      <c r="M215" s="4" t="str">
        <f>IF($I215="Complete","Green",IF($H215="","Amber",IF($H215&lt;'[2]Read Me'!$B$4,"Red",IF($H215-'[2]Read Me'!$B$4&lt;=21,"Amber","Green"))))</f>
        <v>Amber</v>
      </c>
      <c r="N215" s="3"/>
      <c r="O215" t="str">
        <f>IF($I215&lt;&gt;"Complete",IF(COUNTIFS($A$4:$A214,$A215,$B$4:$B214,$B215,$I$4:$I214,"&lt;&gt;Complete")=0,$A215&amp;"|"&amp;$B215,""),"")</f>
        <v>|</v>
      </c>
      <c r="P215" t="str">
        <f ca="1">IF($K215="Yes",COUNTIFS($K$4:$K215,"Yes"),"")</f>
        <v/>
      </c>
      <c r="Q215">
        <f t="shared" ca="1" si="15"/>
        <v>0</v>
      </c>
      <c r="R215" t="str">
        <f ca="1">IF($Q215=1,SUM($Q$4:$Q215),"")</f>
        <v/>
      </c>
    </row>
    <row r="216" spans="1:18" ht="22.5" customHeight="1" x14ac:dyDescent="0.3">
      <c r="A216" s="2"/>
      <c r="B216" s="2"/>
      <c r="C216" s="3"/>
      <c r="D216" s="3"/>
      <c r="E216" s="2"/>
      <c r="F216" s="2"/>
      <c r="G216" s="5"/>
      <c r="H216" s="5"/>
      <c r="I216" s="4"/>
      <c r="J216" s="6" t="str">
        <f t="shared" si="13"/>
        <v/>
      </c>
      <c r="K216" s="4" t="str">
        <f t="shared" ca="1" si="14"/>
        <v/>
      </c>
      <c r="L216" s="7" t="str">
        <f t="shared" ca="1" si="16"/>
        <v/>
      </c>
      <c r="M216" s="4" t="str">
        <f>IF($I216="Complete","Green",IF($H216="","Amber",IF($H216&lt;'[2]Read Me'!$B$4,"Red",IF($H216-'[2]Read Me'!$B$4&lt;=21,"Amber","Green"))))</f>
        <v>Amber</v>
      </c>
      <c r="N216" s="3"/>
      <c r="O216" t="str">
        <f>IF($I216&lt;&gt;"Complete",IF(COUNTIFS($A$4:$A215,$A216,$B$4:$B215,$B216,$I$4:$I215,"&lt;&gt;Complete")=0,$A216&amp;"|"&amp;$B216,""),"")</f>
        <v>|</v>
      </c>
      <c r="P216" t="str">
        <f ca="1">IF($K216="Yes",COUNTIFS($K$4:$K216,"Yes"),"")</f>
        <v/>
      </c>
      <c r="Q216">
        <f t="shared" ca="1" si="15"/>
        <v>0</v>
      </c>
      <c r="R216" t="str">
        <f ca="1">IF($Q216=1,SUM($Q$4:$Q216),"")</f>
        <v/>
      </c>
    </row>
    <row r="217" spans="1:18" ht="22.5" customHeight="1" x14ac:dyDescent="0.3">
      <c r="A217" s="2"/>
      <c r="B217" s="2"/>
      <c r="C217" s="3"/>
      <c r="D217" s="3"/>
      <c r="E217" s="2"/>
      <c r="F217" s="2"/>
      <c r="G217" s="5"/>
      <c r="H217" s="5"/>
      <c r="I217" s="4"/>
      <c r="J217" s="6" t="str">
        <f t="shared" si="13"/>
        <v/>
      </c>
      <c r="K217" s="4" t="str">
        <f t="shared" ca="1" si="14"/>
        <v/>
      </c>
      <c r="L217" s="7" t="str">
        <f t="shared" ca="1" si="16"/>
        <v/>
      </c>
      <c r="M217" s="4" t="str">
        <f>IF($I217="Complete","Green",IF($H217="","Amber",IF($H217&lt;'[2]Read Me'!$B$4,"Red",IF($H217-'[2]Read Me'!$B$4&lt;=21,"Amber","Green"))))</f>
        <v>Amber</v>
      </c>
      <c r="N217" s="3"/>
      <c r="O217" t="str">
        <f>IF($I217&lt;&gt;"Complete",IF(COUNTIFS($A$4:$A216,$A217,$B$4:$B216,$B217,$I$4:$I216,"&lt;&gt;Complete")=0,$A217&amp;"|"&amp;$B217,""),"")</f>
        <v>|</v>
      </c>
      <c r="P217" t="str">
        <f ca="1">IF($K217="Yes",COUNTIFS($K$4:$K217,"Yes"),"")</f>
        <v/>
      </c>
      <c r="Q217">
        <f t="shared" ca="1" si="15"/>
        <v>0</v>
      </c>
      <c r="R217" t="str">
        <f ca="1">IF($Q217=1,SUM($Q$4:$Q217),"")</f>
        <v/>
      </c>
    </row>
    <row r="218" spans="1:18" ht="22.5" customHeight="1" x14ac:dyDescent="0.3">
      <c r="A218" s="2"/>
      <c r="B218" s="2"/>
      <c r="C218" s="3"/>
      <c r="D218" s="3"/>
      <c r="E218" s="2"/>
      <c r="F218" s="2"/>
      <c r="G218" s="5"/>
      <c r="H218" s="5"/>
      <c r="I218" s="4"/>
      <c r="J218" s="6" t="str">
        <f t="shared" si="13"/>
        <v/>
      </c>
      <c r="K218" s="4" t="str">
        <f t="shared" ca="1" si="14"/>
        <v/>
      </c>
      <c r="L218" s="7" t="str">
        <f t="shared" ca="1" si="16"/>
        <v/>
      </c>
      <c r="M218" s="4" t="str">
        <f>IF($I218="Complete","Green",IF($H218="","Amber",IF($H218&lt;'[2]Read Me'!$B$4,"Red",IF($H218-'[2]Read Me'!$B$4&lt;=21,"Amber","Green"))))</f>
        <v>Amber</v>
      </c>
      <c r="N218" s="3"/>
      <c r="O218" t="str">
        <f>IF($I218&lt;&gt;"Complete",IF(COUNTIFS($A$4:$A217,$A218,$B$4:$B217,$B218,$I$4:$I217,"&lt;&gt;Complete")=0,$A218&amp;"|"&amp;$B218,""),"")</f>
        <v>|</v>
      </c>
      <c r="P218" t="str">
        <f ca="1">IF($K218="Yes",COUNTIFS($K$4:$K218,"Yes"),"")</f>
        <v/>
      </c>
      <c r="Q218">
        <f t="shared" ca="1" si="15"/>
        <v>0</v>
      </c>
      <c r="R218" t="str">
        <f ca="1">IF($Q218=1,SUM($Q$4:$Q218),"")</f>
        <v/>
      </c>
    </row>
    <row r="219" spans="1:18" ht="22.5" customHeight="1" x14ac:dyDescent="0.3">
      <c r="A219" s="2"/>
      <c r="B219" s="2"/>
      <c r="C219" s="3"/>
      <c r="D219" s="3"/>
      <c r="E219" s="2"/>
      <c r="F219" s="2"/>
      <c r="G219" s="5"/>
      <c r="H219" s="5"/>
      <c r="I219" s="4"/>
      <c r="J219" s="6" t="str">
        <f t="shared" si="13"/>
        <v/>
      </c>
      <c r="K219" s="4" t="str">
        <f t="shared" ca="1" si="14"/>
        <v/>
      </c>
      <c r="L219" s="7" t="str">
        <f t="shared" ca="1" si="16"/>
        <v/>
      </c>
      <c r="M219" s="4" t="str">
        <f>IF($I219="Complete","Green",IF($H219="","Amber",IF($H219&lt;'[2]Read Me'!$B$4,"Red",IF($H219-'[2]Read Me'!$B$4&lt;=21,"Amber","Green"))))</f>
        <v>Amber</v>
      </c>
      <c r="N219" s="3"/>
      <c r="O219" t="str">
        <f>IF($I219&lt;&gt;"Complete",IF(COUNTIFS($A$4:$A218,$A219,$B$4:$B218,$B219,$I$4:$I218,"&lt;&gt;Complete")=0,$A219&amp;"|"&amp;$B219,""),"")</f>
        <v>|</v>
      </c>
      <c r="P219" t="str">
        <f ca="1">IF($K219="Yes",COUNTIFS($K$4:$K219,"Yes"),"")</f>
        <v/>
      </c>
      <c r="Q219">
        <f t="shared" ca="1" si="15"/>
        <v>0</v>
      </c>
      <c r="R219" t="str">
        <f ca="1">IF($Q219=1,SUM($Q$4:$Q219),"")</f>
        <v/>
      </c>
    </row>
    <row r="220" spans="1:18" ht="22.5" customHeight="1" x14ac:dyDescent="0.3">
      <c r="A220" s="2"/>
      <c r="B220" s="2"/>
      <c r="C220" s="3"/>
      <c r="D220" s="3"/>
      <c r="E220" s="2"/>
      <c r="F220" s="2"/>
      <c r="G220" s="5"/>
      <c r="H220" s="5"/>
      <c r="I220" s="4"/>
      <c r="J220" s="6" t="str">
        <f t="shared" si="13"/>
        <v/>
      </c>
      <c r="K220" s="4" t="str">
        <f t="shared" ca="1" si="14"/>
        <v/>
      </c>
      <c r="L220" s="7" t="str">
        <f t="shared" ca="1" si="16"/>
        <v/>
      </c>
      <c r="M220" s="4" t="str">
        <f>IF($I220="Complete","Green",IF($H220="","Amber",IF($H220&lt;'[2]Read Me'!$B$4,"Red",IF($H220-'[2]Read Me'!$B$4&lt;=21,"Amber","Green"))))</f>
        <v>Amber</v>
      </c>
      <c r="N220" s="3"/>
      <c r="O220" t="str">
        <f>IF($I220&lt;&gt;"Complete",IF(COUNTIFS($A$4:$A219,$A220,$B$4:$B219,$B220,$I$4:$I219,"&lt;&gt;Complete")=0,$A220&amp;"|"&amp;$B220,""),"")</f>
        <v>|</v>
      </c>
      <c r="P220" t="str">
        <f ca="1">IF($K220="Yes",COUNTIFS($K$4:$K220,"Yes"),"")</f>
        <v/>
      </c>
      <c r="Q220">
        <f t="shared" ca="1" si="15"/>
        <v>0</v>
      </c>
      <c r="R220" t="str">
        <f ca="1">IF($Q220=1,SUM($Q$4:$Q220),"")</f>
        <v/>
      </c>
    </row>
    <row r="221" spans="1:18" ht="22.5" customHeight="1" x14ac:dyDescent="0.3">
      <c r="A221" s="2"/>
      <c r="B221" s="2"/>
      <c r="C221" s="3"/>
      <c r="D221" s="3"/>
      <c r="E221" s="2"/>
      <c r="F221" s="2"/>
      <c r="G221" s="5"/>
      <c r="H221" s="5"/>
      <c r="I221" s="4"/>
      <c r="J221" s="6" t="str">
        <f t="shared" si="13"/>
        <v/>
      </c>
      <c r="K221" s="4" t="str">
        <f t="shared" ca="1" si="14"/>
        <v/>
      </c>
      <c r="L221" s="7" t="str">
        <f t="shared" ca="1" si="16"/>
        <v/>
      </c>
      <c r="M221" s="4" t="str">
        <f>IF($I221="Complete","Green",IF($H221="","Amber",IF($H221&lt;'[2]Read Me'!$B$4,"Red",IF($H221-'[2]Read Me'!$B$4&lt;=21,"Amber","Green"))))</f>
        <v>Amber</v>
      </c>
      <c r="N221" s="3"/>
      <c r="O221" t="str">
        <f>IF($I221&lt;&gt;"Complete",IF(COUNTIFS($A$4:$A220,$A221,$B$4:$B220,$B221,$I$4:$I220,"&lt;&gt;Complete")=0,$A221&amp;"|"&amp;$B221,""),"")</f>
        <v>|</v>
      </c>
      <c r="P221" t="str">
        <f ca="1">IF($K221="Yes",COUNTIFS($K$4:$K221,"Yes"),"")</f>
        <v/>
      </c>
      <c r="Q221">
        <f t="shared" ca="1" si="15"/>
        <v>0</v>
      </c>
      <c r="R221" t="str">
        <f ca="1">IF($Q221=1,SUM($Q$4:$Q221),"")</f>
        <v/>
      </c>
    </row>
    <row r="222" spans="1:18" ht="22.5" customHeight="1" x14ac:dyDescent="0.3">
      <c r="A222" s="2"/>
      <c r="B222" s="2"/>
      <c r="C222" s="3"/>
      <c r="D222" s="3"/>
      <c r="E222" s="2"/>
      <c r="F222" s="2"/>
      <c r="G222" s="5"/>
      <c r="H222" s="5"/>
      <c r="I222" s="4"/>
      <c r="J222" s="6" t="str">
        <f t="shared" si="13"/>
        <v/>
      </c>
      <c r="K222" s="4" t="str">
        <f t="shared" ca="1" si="14"/>
        <v/>
      </c>
      <c r="L222" s="7" t="str">
        <f t="shared" ca="1" si="16"/>
        <v/>
      </c>
      <c r="M222" s="4" t="str">
        <f>IF($I222="Complete","Green",IF($H222="","Amber",IF($H222&lt;'[2]Read Me'!$B$4,"Red",IF($H222-'[2]Read Me'!$B$4&lt;=21,"Amber","Green"))))</f>
        <v>Amber</v>
      </c>
      <c r="N222" s="3"/>
      <c r="O222" t="str">
        <f>IF($I222&lt;&gt;"Complete",IF(COUNTIFS($A$4:$A221,$A222,$B$4:$B221,$B222,$I$4:$I221,"&lt;&gt;Complete")=0,$A222&amp;"|"&amp;$B222,""),"")</f>
        <v>|</v>
      </c>
      <c r="P222" t="str">
        <f ca="1">IF($K222="Yes",COUNTIFS($K$4:$K222,"Yes"),"")</f>
        <v/>
      </c>
      <c r="Q222">
        <f t="shared" ca="1" si="15"/>
        <v>0</v>
      </c>
      <c r="R222" t="str">
        <f ca="1">IF($Q222=1,SUM($Q$4:$Q222),"")</f>
        <v/>
      </c>
    </row>
    <row r="223" spans="1:18" ht="22.5" customHeight="1" x14ac:dyDescent="0.3">
      <c r="A223" s="2"/>
      <c r="B223" s="2"/>
      <c r="C223" s="3"/>
      <c r="D223" s="3"/>
      <c r="E223" s="2"/>
      <c r="F223" s="2"/>
      <c r="G223" s="5"/>
      <c r="H223" s="5"/>
      <c r="I223" s="4"/>
      <c r="J223" s="6" t="str">
        <f t="shared" si="13"/>
        <v/>
      </c>
      <c r="K223" s="4" t="str">
        <f t="shared" ca="1" si="14"/>
        <v/>
      </c>
      <c r="L223" s="7" t="str">
        <f t="shared" ca="1" si="16"/>
        <v/>
      </c>
      <c r="M223" s="4" t="str">
        <f>IF($I223="Complete","Green",IF($H223="","Amber",IF($H223&lt;'[2]Read Me'!$B$4,"Red",IF($H223-'[2]Read Me'!$B$4&lt;=21,"Amber","Green"))))</f>
        <v>Amber</v>
      </c>
      <c r="N223" s="3"/>
      <c r="O223" t="str">
        <f>IF($I223&lt;&gt;"Complete",IF(COUNTIFS($A$4:$A222,$A223,$B$4:$B222,$B223,$I$4:$I222,"&lt;&gt;Complete")=0,$A223&amp;"|"&amp;$B223,""),"")</f>
        <v>|</v>
      </c>
      <c r="P223" t="str">
        <f ca="1">IF($K223="Yes",COUNTIFS($K$4:$K223,"Yes"),"")</f>
        <v/>
      </c>
      <c r="Q223">
        <f t="shared" ca="1" si="15"/>
        <v>0</v>
      </c>
      <c r="R223" t="str">
        <f ca="1">IF($Q223=1,SUM($Q$4:$Q223),"")</f>
        <v/>
      </c>
    </row>
    <row r="224" spans="1:18" ht="22.5" customHeight="1" x14ac:dyDescent="0.3">
      <c r="A224" s="2"/>
      <c r="B224" s="2"/>
      <c r="C224" s="3"/>
      <c r="D224" s="3"/>
      <c r="E224" s="2"/>
      <c r="F224" s="2"/>
      <c r="G224" s="5"/>
      <c r="H224" s="5"/>
      <c r="I224" s="4"/>
      <c r="J224" s="6" t="str">
        <f t="shared" si="13"/>
        <v/>
      </c>
      <c r="K224" s="4" t="str">
        <f t="shared" ca="1" si="14"/>
        <v/>
      </c>
      <c r="L224" s="7" t="str">
        <f t="shared" ca="1" si="16"/>
        <v/>
      </c>
      <c r="M224" s="4" t="str">
        <f>IF($I224="Complete","Green",IF($H224="","Amber",IF($H224&lt;'[2]Read Me'!$B$4,"Red",IF($H224-'[2]Read Me'!$B$4&lt;=21,"Amber","Green"))))</f>
        <v>Amber</v>
      </c>
      <c r="N224" s="3"/>
      <c r="O224" t="str">
        <f>IF($I224&lt;&gt;"Complete",IF(COUNTIFS($A$4:$A223,$A224,$B$4:$B223,$B224,$I$4:$I223,"&lt;&gt;Complete")=0,$A224&amp;"|"&amp;$B224,""),"")</f>
        <v>|</v>
      </c>
      <c r="P224" t="str">
        <f ca="1">IF($K224="Yes",COUNTIFS($K$4:$K224,"Yes"),"")</f>
        <v/>
      </c>
      <c r="Q224">
        <f t="shared" ca="1" si="15"/>
        <v>0</v>
      </c>
      <c r="R224" t="str">
        <f ca="1">IF($Q224=1,SUM($Q$4:$Q224),"")</f>
        <v/>
      </c>
    </row>
    <row r="225" spans="1:18" ht="22.5" customHeight="1" x14ac:dyDescent="0.3">
      <c r="A225" s="2"/>
      <c r="B225" s="2"/>
      <c r="C225" s="3"/>
      <c r="D225" s="3"/>
      <c r="E225" s="2"/>
      <c r="F225" s="2"/>
      <c r="G225" s="5"/>
      <c r="H225" s="5"/>
      <c r="I225" s="4"/>
      <c r="J225" s="6" t="str">
        <f t="shared" si="13"/>
        <v/>
      </c>
      <c r="K225" s="4" t="str">
        <f t="shared" ca="1" si="14"/>
        <v/>
      </c>
      <c r="L225" s="7" t="str">
        <f t="shared" ca="1" si="16"/>
        <v/>
      </c>
      <c r="M225" s="4" t="str">
        <f>IF($I225="Complete","Green",IF($H225="","Amber",IF($H225&lt;'[2]Read Me'!$B$4,"Red",IF($H225-'[2]Read Me'!$B$4&lt;=21,"Amber","Green"))))</f>
        <v>Amber</v>
      </c>
      <c r="N225" s="3"/>
      <c r="O225" t="str">
        <f>IF($I225&lt;&gt;"Complete",IF(COUNTIFS($A$4:$A224,$A225,$B$4:$B224,$B225,$I$4:$I224,"&lt;&gt;Complete")=0,$A225&amp;"|"&amp;$B225,""),"")</f>
        <v>|</v>
      </c>
      <c r="P225" t="str">
        <f ca="1">IF($K225="Yes",COUNTIFS($K$4:$K225,"Yes"),"")</f>
        <v/>
      </c>
      <c r="Q225">
        <f t="shared" ca="1" si="15"/>
        <v>0</v>
      </c>
      <c r="R225" t="str">
        <f ca="1">IF($Q225=1,SUM($Q$4:$Q225),"")</f>
        <v/>
      </c>
    </row>
    <row r="226" spans="1:18" ht="22.5" customHeight="1" x14ac:dyDescent="0.3">
      <c r="A226" s="2"/>
      <c r="B226" s="2"/>
      <c r="C226" s="3"/>
      <c r="D226" s="3"/>
      <c r="E226" s="2"/>
      <c r="F226" s="2"/>
      <c r="G226" s="5"/>
      <c r="H226" s="5"/>
      <c r="I226" s="4"/>
      <c r="J226" s="6" t="str">
        <f t="shared" si="13"/>
        <v/>
      </c>
      <c r="K226" s="4" t="str">
        <f t="shared" ca="1" si="14"/>
        <v/>
      </c>
      <c r="L226" s="7" t="str">
        <f t="shared" ca="1" si="16"/>
        <v/>
      </c>
      <c r="M226" s="4" t="str">
        <f>IF($I226="Complete","Green",IF($H226="","Amber",IF($H226&lt;'[2]Read Me'!$B$4,"Red",IF($H226-'[2]Read Me'!$B$4&lt;=21,"Amber","Green"))))</f>
        <v>Amber</v>
      </c>
      <c r="N226" s="3"/>
      <c r="O226" t="str">
        <f>IF($I226&lt;&gt;"Complete",IF(COUNTIFS($A$4:$A225,$A226,$B$4:$B225,$B226,$I$4:$I225,"&lt;&gt;Complete")=0,$A226&amp;"|"&amp;$B226,""),"")</f>
        <v>|</v>
      </c>
      <c r="P226" t="str">
        <f ca="1">IF($K226="Yes",COUNTIFS($K$4:$K226,"Yes"),"")</f>
        <v/>
      </c>
      <c r="Q226">
        <f t="shared" ca="1" si="15"/>
        <v>0</v>
      </c>
      <c r="R226" t="str">
        <f ca="1">IF($Q226=1,SUM($Q$4:$Q226),"")</f>
        <v/>
      </c>
    </row>
    <row r="227" spans="1:18" ht="22.5" customHeight="1" x14ac:dyDescent="0.3">
      <c r="A227" s="2"/>
      <c r="B227" s="2"/>
      <c r="C227" s="3"/>
      <c r="D227" s="3"/>
      <c r="E227" s="2"/>
      <c r="F227" s="2"/>
      <c r="G227" s="5"/>
      <c r="H227" s="5"/>
      <c r="I227" s="4"/>
      <c r="J227" s="6" t="str">
        <f t="shared" si="13"/>
        <v/>
      </c>
      <c r="K227" s="4" t="str">
        <f t="shared" ca="1" si="14"/>
        <v/>
      </c>
      <c r="L227" s="7" t="str">
        <f t="shared" ca="1" si="16"/>
        <v/>
      </c>
      <c r="M227" s="4" t="str">
        <f>IF($I227="Complete","Green",IF($H227="","Amber",IF($H227&lt;'[2]Read Me'!$B$4,"Red",IF($H227-'[2]Read Me'!$B$4&lt;=21,"Amber","Green"))))</f>
        <v>Amber</v>
      </c>
      <c r="N227" s="3"/>
      <c r="O227" t="str">
        <f>IF($I227&lt;&gt;"Complete",IF(COUNTIFS($A$4:$A226,$A227,$B$4:$B226,$B227,$I$4:$I226,"&lt;&gt;Complete")=0,$A227&amp;"|"&amp;$B227,""),"")</f>
        <v>|</v>
      </c>
      <c r="P227" t="str">
        <f ca="1">IF($K227="Yes",COUNTIFS($K$4:$K227,"Yes"),"")</f>
        <v/>
      </c>
      <c r="Q227">
        <f t="shared" ca="1" si="15"/>
        <v>0</v>
      </c>
      <c r="R227" t="str">
        <f ca="1">IF($Q227=1,SUM($Q$4:$Q227),"")</f>
        <v/>
      </c>
    </row>
    <row r="228" spans="1:18" ht="22.5" customHeight="1" x14ac:dyDescent="0.3">
      <c r="A228" s="2"/>
      <c r="B228" s="2"/>
      <c r="C228" s="3"/>
      <c r="D228" s="3"/>
      <c r="E228" s="2"/>
      <c r="F228" s="2"/>
      <c r="G228" s="5"/>
      <c r="H228" s="5"/>
      <c r="I228" s="4"/>
      <c r="J228" s="6" t="str">
        <f t="shared" si="13"/>
        <v/>
      </c>
      <c r="K228" s="4" t="str">
        <f t="shared" ca="1" si="14"/>
        <v/>
      </c>
      <c r="L228" s="7" t="str">
        <f t="shared" ca="1" si="16"/>
        <v/>
      </c>
      <c r="M228" s="4" t="str">
        <f>IF($I228="Complete","Green",IF($H228="","Amber",IF($H228&lt;'[2]Read Me'!$B$4,"Red",IF($H228-'[2]Read Me'!$B$4&lt;=21,"Amber","Green"))))</f>
        <v>Amber</v>
      </c>
      <c r="N228" s="3"/>
      <c r="O228" t="str">
        <f>IF($I228&lt;&gt;"Complete",IF(COUNTIFS($A$4:$A227,$A228,$B$4:$B227,$B228,$I$4:$I227,"&lt;&gt;Complete")=0,$A228&amp;"|"&amp;$B228,""),"")</f>
        <v>|</v>
      </c>
      <c r="P228" t="str">
        <f ca="1">IF($K228="Yes",COUNTIFS($K$4:$K228,"Yes"),"")</f>
        <v/>
      </c>
      <c r="Q228">
        <f t="shared" ca="1" si="15"/>
        <v>0</v>
      </c>
      <c r="R228" t="str">
        <f ca="1">IF($Q228=1,SUM($Q$4:$Q228),"")</f>
        <v/>
      </c>
    </row>
    <row r="229" spans="1:18" ht="22.5" customHeight="1" x14ac:dyDescent="0.3">
      <c r="A229" s="2"/>
      <c r="B229" s="2"/>
      <c r="C229" s="3"/>
      <c r="D229" s="3"/>
      <c r="E229" s="2"/>
      <c r="F229" s="2"/>
      <c r="G229" s="5"/>
      <c r="H229" s="5"/>
      <c r="I229" s="4"/>
      <c r="J229" s="6" t="str">
        <f t="shared" si="13"/>
        <v/>
      </c>
      <c r="K229" s="4" t="str">
        <f t="shared" ca="1" si="14"/>
        <v/>
      </c>
      <c r="L229" s="7" t="str">
        <f t="shared" ca="1" si="16"/>
        <v/>
      </c>
      <c r="M229" s="4" t="str">
        <f>IF($I229="Complete","Green",IF($H229="","Amber",IF($H229&lt;'[2]Read Me'!$B$4,"Red",IF($H229-'[2]Read Me'!$B$4&lt;=21,"Amber","Green"))))</f>
        <v>Amber</v>
      </c>
      <c r="N229" s="3"/>
      <c r="O229" t="str">
        <f>IF($I229&lt;&gt;"Complete",IF(COUNTIFS($A$4:$A228,$A229,$B$4:$B228,$B229,$I$4:$I228,"&lt;&gt;Complete")=0,$A229&amp;"|"&amp;$B229,""),"")</f>
        <v>|</v>
      </c>
      <c r="P229" t="str">
        <f ca="1">IF($K229="Yes",COUNTIFS($K$4:$K229,"Yes"),"")</f>
        <v/>
      </c>
      <c r="Q229">
        <f t="shared" ca="1" si="15"/>
        <v>0</v>
      </c>
      <c r="R229" t="str">
        <f ca="1">IF($Q229=1,SUM($Q$4:$Q229),"")</f>
        <v/>
      </c>
    </row>
    <row r="230" spans="1:18" ht="22.5" customHeight="1" x14ac:dyDescent="0.3">
      <c r="A230" s="2"/>
      <c r="B230" s="2"/>
      <c r="C230" s="3"/>
      <c r="D230" s="3"/>
      <c r="E230" s="2"/>
      <c r="F230" s="2"/>
      <c r="G230" s="5"/>
      <c r="H230" s="5"/>
      <c r="I230" s="4"/>
      <c r="J230" s="6" t="str">
        <f t="shared" si="13"/>
        <v/>
      </c>
      <c r="K230" s="4" t="str">
        <f t="shared" ca="1" si="14"/>
        <v/>
      </c>
      <c r="L230" s="7" t="str">
        <f t="shared" ca="1" si="16"/>
        <v/>
      </c>
      <c r="M230" s="4" t="str">
        <f>IF($I230="Complete","Green",IF($H230="","Amber",IF($H230&lt;'[2]Read Me'!$B$4,"Red",IF($H230-'[2]Read Me'!$B$4&lt;=21,"Amber","Green"))))</f>
        <v>Amber</v>
      </c>
      <c r="N230" s="3"/>
      <c r="O230" t="str">
        <f>IF($I230&lt;&gt;"Complete",IF(COUNTIFS($A$4:$A229,$A230,$B$4:$B229,$B230,$I$4:$I229,"&lt;&gt;Complete")=0,$A230&amp;"|"&amp;$B230,""),"")</f>
        <v>|</v>
      </c>
      <c r="P230" t="str">
        <f ca="1">IF($K230="Yes",COUNTIFS($K$4:$K230,"Yes"),"")</f>
        <v/>
      </c>
      <c r="Q230">
        <f t="shared" ca="1" si="15"/>
        <v>0</v>
      </c>
      <c r="R230" t="str">
        <f ca="1">IF($Q230=1,SUM($Q$4:$Q230),"")</f>
        <v/>
      </c>
    </row>
    <row r="231" spans="1:18" ht="22.5" customHeight="1" x14ac:dyDescent="0.3">
      <c r="A231" s="2"/>
      <c r="B231" s="2"/>
      <c r="C231" s="3"/>
      <c r="D231" s="3"/>
      <c r="E231" s="2"/>
      <c r="F231" s="2"/>
      <c r="G231" s="5"/>
      <c r="H231" s="5"/>
      <c r="I231" s="4"/>
      <c r="J231" s="6" t="str">
        <f t="shared" si="13"/>
        <v/>
      </c>
      <c r="K231" s="4" t="str">
        <f t="shared" ca="1" si="14"/>
        <v/>
      </c>
      <c r="L231" s="7" t="str">
        <f t="shared" ca="1" si="16"/>
        <v/>
      </c>
      <c r="M231" s="4" t="str">
        <f>IF($I231="Complete","Green",IF($H231="","Amber",IF($H231&lt;'[2]Read Me'!$B$4,"Red",IF($H231-'[2]Read Me'!$B$4&lt;=21,"Amber","Green"))))</f>
        <v>Amber</v>
      </c>
      <c r="N231" s="3"/>
      <c r="O231" t="str">
        <f>IF($I231&lt;&gt;"Complete",IF(COUNTIFS($A$4:$A230,$A231,$B$4:$B230,$B231,$I$4:$I230,"&lt;&gt;Complete")=0,$A231&amp;"|"&amp;$B231,""),"")</f>
        <v>|</v>
      </c>
      <c r="P231" t="str">
        <f ca="1">IF($K231="Yes",COUNTIFS($K$4:$K231,"Yes"),"")</f>
        <v/>
      </c>
      <c r="Q231">
        <f t="shared" ca="1" si="15"/>
        <v>0</v>
      </c>
      <c r="R231" t="str">
        <f ca="1">IF($Q231=1,SUM($Q$4:$Q231),"")</f>
        <v/>
      </c>
    </row>
    <row r="232" spans="1:18" ht="22.5" customHeight="1" x14ac:dyDescent="0.3">
      <c r="A232" s="2"/>
      <c r="B232" s="2"/>
      <c r="C232" s="3"/>
      <c r="D232" s="3"/>
      <c r="E232" s="2"/>
      <c r="F232" s="2"/>
      <c r="G232" s="5"/>
      <c r="H232" s="5"/>
      <c r="I232" s="4"/>
      <c r="J232" s="6" t="str">
        <f t="shared" si="13"/>
        <v/>
      </c>
      <c r="K232" s="4" t="str">
        <f t="shared" ca="1" si="14"/>
        <v/>
      </c>
      <c r="L232" s="7" t="str">
        <f t="shared" ca="1" si="16"/>
        <v/>
      </c>
      <c r="M232" s="4" t="str">
        <f>IF($I232="Complete","Green",IF($H232="","Amber",IF($H232&lt;'[2]Read Me'!$B$4,"Red",IF($H232-'[2]Read Me'!$B$4&lt;=21,"Amber","Green"))))</f>
        <v>Amber</v>
      </c>
      <c r="N232" s="3"/>
      <c r="O232" t="str">
        <f>IF($I232&lt;&gt;"Complete",IF(COUNTIFS($A$4:$A231,$A232,$B$4:$B231,$B232,$I$4:$I231,"&lt;&gt;Complete")=0,$A232&amp;"|"&amp;$B232,""),"")</f>
        <v>|</v>
      </c>
      <c r="P232" t="str">
        <f ca="1">IF($K232="Yes",COUNTIFS($K$4:$K232,"Yes"),"")</f>
        <v/>
      </c>
      <c r="Q232">
        <f t="shared" ca="1" si="15"/>
        <v>0</v>
      </c>
      <c r="R232" t="str">
        <f ca="1">IF($Q232=1,SUM($Q$4:$Q232),"")</f>
        <v/>
      </c>
    </row>
    <row r="233" spans="1:18" ht="22.5" customHeight="1" x14ac:dyDescent="0.3">
      <c r="A233" s="2"/>
      <c r="B233" s="2"/>
      <c r="C233" s="3"/>
      <c r="D233" s="3"/>
      <c r="E233" s="2"/>
      <c r="F233" s="2"/>
      <c r="G233" s="5"/>
      <c r="H233" s="5"/>
      <c r="I233" s="4"/>
      <c r="J233" s="6" t="str">
        <f t="shared" si="13"/>
        <v/>
      </c>
      <c r="K233" s="4" t="str">
        <f t="shared" ca="1" si="14"/>
        <v/>
      </c>
      <c r="L233" s="7" t="str">
        <f t="shared" ca="1" si="16"/>
        <v/>
      </c>
      <c r="M233" s="4" t="str">
        <f>IF($I233="Complete","Green",IF($H233="","Amber",IF($H233&lt;'[2]Read Me'!$B$4,"Red",IF($H233-'[2]Read Me'!$B$4&lt;=21,"Amber","Green"))))</f>
        <v>Amber</v>
      </c>
      <c r="N233" s="3"/>
      <c r="O233" t="str">
        <f>IF($I233&lt;&gt;"Complete",IF(COUNTIFS($A$4:$A232,$A233,$B$4:$B232,$B233,$I$4:$I232,"&lt;&gt;Complete")=0,$A233&amp;"|"&amp;$B233,""),"")</f>
        <v>|</v>
      </c>
      <c r="P233" t="str">
        <f ca="1">IF($K233="Yes",COUNTIFS($K$4:$K233,"Yes"),"")</f>
        <v/>
      </c>
      <c r="Q233">
        <f t="shared" ca="1" si="15"/>
        <v>0</v>
      </c>
      <c r="R233" t="str">
        <f ca="1">IF($Q233=1,SUM($Q$4:$Q233),"")</f>
        <v/>
      </c>
    </row>
    <row r="234" spans="1:18" ht="22.5" customHeight="1" x14ac:dyDescent="0.3">
      <c r="A234" s="2"/>
      <c r="B234" s="2"/>
      <c r="C234" s="3"/>
      <c r="D234" s="3"/>
      <c r="E234" s="2"/>
      <c r="F234" s="2"/>
      <c r="G234" s="5"/>
      <c r="H234" s="5"/>
      <c r="I234" s="4"/>
      <c r="J234" s="6" t="str">
        <f t="shared" si="13"/>
        <v/>
      </c>
      <c r="K234" s="4" t="str">
        <f t="shared" ca="1" si="14"/>
        <v/>
      </c>
      <c r="L234" s="7" t="str">
        <f t="shared" ca="1" si="16"/>
        <v/>
      </c>
      <c r="M234" s="4" t="str">
        <f>IF($I234="Complete","Green",IF($H234="","Amber",IF($H234&lt;'[2]Read Me'!$B$4,"Red",IF($H234-'[2]Read Me'!$B$4&lt;=21,"Amber","Green"))))</f>
        <v>Amber</v>
      </c>
      <c r="N234" s="3"/>
      <c r="O234" t="str">
        <f>IF($I234&lt;&gt;"Complete",IF(COUNTIFS($A$4:$A233,$A234,$B$4:$B233,$B234,$I$4:$I233,"&lt;&gt;Complete")=0,$A234&amp;"|"&amp;$B234,""),"")</f>
        <v>|</v>
      </c>
      <c r="P234" t="str">
        <f ca="1">IF($K234="Yes",COUNTIFS($K$4:$K234,"Yes"),"")</f>
        <v/>
      </c>
      <c r="Q234">
        <f t="shared" ca="1" si="15"/>
        <v>0</v>
      </c>
      <c r="R234" t="str">
        <f ca="1">IF($Q234=1,SUM($Q$4:$Q234),"")</f>
        <v/>
      </c>
    </row>
    <row r="235" spans="1:18" ht="22.5" customHeight="1" x14ac:dyDescent="0.3">
      <c r="A235" s="2"/>
      <c r="B235" s="2"/>
      <c r="C235" s="3"/>
      <c r="D235" s="3"/>
      <c r="E235" s="2"/>
      <c r="F235" s="2"/>
      <c r="G235" s="5"/>
      <c r="H235" s="5"/>
      <c r="I235" s="4"/>
      <c r="J235" s="6" t="str">
        <f t="shared" si="13"/>
        <v/>
      </c>
      <c r="K235" s="4" t="str">
        <f t="shared" ca="1" si="14"/>
        <v/>
      </c>
      <c r="L235" s="7" t="str">
        <f t="shared" ca="1" si="16"/>
        <v/>
      </c>
      <c r="M235" s="4" t="str">
        <f>IF($I235="Complete","Green",IF($H235="","Amber",IF($H235&lt;'[2]Read Me'!$B$4,"Red",IF($H235-'[2]Read Me'!$B$4&lt;=21,"Amber","Green"))))</f>
        <v>Amber</v>
      </c>
      <c r="N235" s="3"/>
      <c r="O235" t="str">
        <f>IF($I235&lt;&gt;"Complete",IF(COUNTIFS($A$4:$A234,$A235,$B$4:$B234,$B235,$I$4:$I234,"&lt;&gt;Complete")=0,$A235&amp;"|"&amp;$B235,""),"")</f>
        <v>|</v>
      </c>
      <c r="P235" t="str">
        <f ca="1">IF($K235="Yes",COUNTIFS($K$4:$K235,"Yes"),"")</f>
        <v/>
      </c>
      <c r="Q235">
        <f t="shared" ca="1" si="15"/>
        <v>0</v>
      </c>
      <c r="R235" t="str">
        <f ca="1">IF($Q235=1,SUM($Q$4:$Q235),"")</f>
        <v/>
      </c>
    </row>
    <row r="236" spans="1:18" ht="22.5" customHeight="1" x14ac:dyDescent="0.3">
      <c r="A236" s="2"/>
      <c r="B236" s="2"/>
      <c r="C236" s="3"/>
      <c r="D236" s="3"/>
      <c r="E236" s="2"/>
      <c r="F236" s="2"/>
      <c r="G236" s="5"/>
      <c r="H236" s="5"/>
      <c r="I236" s="4"/>
      <c r="J236" s="6" t="str">
        <f t="shared" si="13"/>
        <v/>
      </c>
      <c r="K236" s="4" t="str">
        <f t="shared" ca="1" si="14"/>
        <v/>
      </c>
      <c r="L236" s="7" t="str">
        <f t="shared" ca="1" si="16"/>
        <v/>
      </c>
      <c r="M236" s="4" t="str">
        <f>IF($I236="Complete","Green",IF($H236="","Amber",IF($H236&lt;'[2]Read Me'!$B$4,"Red",IF($H236-'[2]Read Me'!$B$4&lt;=21,"Amber","Green"))))</f>
        <v>Amber</v>
      </c>
      <c r="N236" s="3"/>
      <c r="O236" t="str">
        <f>IF($I236&lt;&gt;"Complete",IF(COUNTIFS($A$4:$A235,$A236,$B$4:$B235,$B236,$I$4:$I235,"&lt;&gt;Complete")=0,$A236&amp;"|"&amp;$B236,""),"")</f>
        <v>|</v>
      </c>
      <c r="P236" t="str">
        <f ca="1">IF($K236="Yes",COUNTIFS($K$4:$K236,"Yes"),"")</f>
        <v/>
      </c>
      <c r="Q236">
        <f t="shared" ca="1" si="15"/>
        <v>0</v>
      </c>
      <c r="R236" t="str">
        <f ca="1">IF($Q236=1,SUM($Q$4:$Q236),"")</f>
        <v/>
      </c>
    </row>
    <row r="237" spans="1:18" ht="22.5" customHeight="1" x14ac:dyDescent="0.3">
      <c r="A237" s="2"/>
      <c r="B237" s="2"/>
      <c r="C237" s="3"/>
      <c r="D237" s="3"/>
      <c r="E237" s="2"/>
      <c r="F237" s="2"/>
      <c r="G237" s="5"/>
      <c r="H237" s="5"/>
      <c r="I237" s="4"/>
      <c r="J237" s="6" t="str">
        <f t="shared" si="13"/>
        <v/>
      </c>
      <c r="K237" s="4" t="str">
        <f t="shared" ca="1" si="14"/>
        <v/>
      </c>
      <c r="L237" s="7" t="str">
        <f t="shared" ca="1" si="16"/>
        <v/>
      </c>
      <c r="M237" s="4" t="str">
        <f>IF($I237="Complete","Green",IF($H237="","Amber",IF($H237&lt;'[2]Read Me'!$B$4,"Red",IF($H237-'[2]Read Me'!$B$4&lt;=21,"Amber","Green"))))</f>
        <v>Amber</v>
      </c>
      <c r="N237" s="3"/>
      <c r="O237" t="str">
        <f>IF($I237&lt;&gt;"Complete",IF(COUNTIFS($A$4:$A236,$A237,$B$4:$B236,$B237,$I$4:$I236,"&lt;&gt;Complete")=0,$A237&amp;"|"&amp;$B237,""),"")</f>
        <v>|</v>
      </c>
      <c r="P237" t="str">
        <f ca="1">IF($K237="Yes",COUNTIFS($K$4:$K237,"Yes"),"")</f>
        <v/>
      </c>
      <c r="Q237">
        <f t="shared" ca="1" si="15"/>
        <v>0</v>
      </c>
      <c r="R237" t="str">
        <f ca="1">IF($Q237=1,SUM($Q$4:$Q237),"")</f>
        <v/>
      </c>
    </row>
    <row r="238" spans="1:18" ht="22.5" customHeight="1" x14ac:dyDescent="0.3">
      <c r="A238" s="2"/>
      <c r="B238" s="2"/>
      <c r="C238" s="3"/>
      <c r="D238" s="3"/>
      <c r="E238" s="2"/>
      <c r="F238" s="2"/>
      <c r="G238" s="5"/>
      <c r="H238" s="5"/>
      <c r="I238" s="4"/>
      <c r="J238" s="6" t="str">
        <f t="shared" si="13"/>
        <v/>
      </c>
      <c r="K238" s="4" t="str">
        <f t="shared" ca="1" si="14"/>
        <v/>
      </c>
      <c r="L238" s="7" t="str">
        <f t="shared" ca="1" si="16"/>
        <v/>
      </c>
      <c r="M238" s="4" t="str">
        <f>IF($I238="Complete","Green",IF($H238="","Amber",IF($H238&lt;'[2]Read Me'!$B$4,"Red",IF($H238-'[2]Read Me'!$B$4&lt;=21,"Amber","Green"))))</f>
        <v>Amber</v>
      </c>
      <c r="N238" s="3"/>
      <c r="O238" t="str">
        <f>IF($I238&lt;&gt;"Complete",IF(COUNTIFS($A$4:$A237,$A238,$B$4:$B237,$B238,$I$4:$I237,"&lt;&gt;Complete")=0,$A238&amp;"|"&amp;$B238,""),"")</f>
        <v>|</v>
      </c>
      <c r="P238" t="str">
        <f ca="1">IF($K238="Yes",COUNTIFS($K$4:$K238,"Yes"),"")</f>
        <v/>
      </c>
      <c r="Q238">
        <f t="shared" ca="1" si="15"/>
        <v>0</v>
      </c>
      <c r="R238" t="str">
        <f ca="1">IF($Q238=1,SUM($Q$4:$Q238),"")</f>
        <v/>
      </c>
    </row>
    <row r="239" spans="1:18" ht="22.5" customHeight="1" x14ac:dyDescent="0.3">
      <c r="A239" s="2"/>
      <c r="B239" s="2"/>
      <c r="C239" s="3"/>
      <c r="D239" s="3"/>
      <c r="E239" s="2"/>
      <c r="F239" s="2"/>
      <c r="G239" s="5"/>
      <c r="H239" s="5"/>
      <c r="I239" s="4"/>
      <c r="J239" s="6" t="str">
        <f t="shared" si="13"/>
        <v/>
      </c>
      <c r="K239" s="4" t="str">
        <f t="shared" ca="1" si="14"/>
        <v/>
      </c>
      <c r="L239" s="7" t="str">
        <f t="shared" ca="1" si="16"/>
        <v/>
      </c>
      <c r="M239" s="4" t="str">
        <f>IF($I239="Complete","Green",IF($H239="","Amber",IF($H239&lt;'[2]Read Me'!$B$4,"Red",IF($H239-'[2]Read Me'!$B$4&lt;=21,"Amber","Green"))))</f>
        <v>Amber</v>
      </c>
      <c r="N239" s="3"/>
      <c r="O239" t="str">
        <f>IF($I239&lt;&gt;"Complete",IF(COUNTIFS($A$4:$A238,$A239,$B$4:$B238,$B239,$I$4:$I238,"&lt;&gt;Complete")=0,$A239&amp;"|"&amp;$B239,""),"")</f>
        <v>|</v>
      </c>
      <c r="P239" t="str">
        <f ca="1">IF($K239="Yes",COUNTIFS($K$4:$K239,"Yes"),"")</f>
        <v/>
      </c>
      <c r="Q239">
        <f t="shared" ca="1" si="15"/>
        <v>0</v>
      </c>
      <c r="R239" t="str">
        <f ca="1">IF($Q239=1,SUM($Q$4:$Q239),"")</f>
        <v/>
      </c>
    </row>
    <row r="240" spans="1:18" ht="22.5" customHeight="1" x14ac:dyDescent="0.3">
      <c r="A240" s="2"/>
      <c r="B240" s="2"/>
      <c r="C240" s="3"/>
      <c r="D240" s="3"/>
      <c r="E240" s="2"/>
      <c r="F240" s="2"/>
      <c r="G240" s="5"/>
      <c r="H240" s="5"/>
      <c r="I240" s="4"/>
      <c r="J240" s="6" t="str">
        <f t="shared" si="13"/>
        <v/>
      </c>
      <c r="K240" s="4" t="str">
        <f t="shared" ca="1" si="14"/>
        <v/>
      </c>
      <c r="L240" s="7" t="str">
        <f t="shared" ca="1" si="16"/>
        <v/>
      </c>
      <c r="M240" s="4" t="str">
        <f>IF($I240="Complete","Green",IF($H240="","Amber",IF($H240&lt;'[2]Read Me'!$B$4,"Red",IF($H240-'[2]Read Me'!$B$4&lt;=21,"Amber","Green"))))</f>
        <v>Amber</v>
      </c>
      <c r="N240" s="3"/>
      <c r="O240" t="str">
        <f>IF($I240&lt;&gt;"Complete",IF(COUNTIFS($A$4:$A239,$A240,$B$4:$B239,$B240,$I$4:$I239,"&lt;&gt;Complete")=0,$A240&amp;"|"&amp;$B240,""),"")</f>
        <v>|</v>
      </c>
      <c r="P240" t="str">
        <f ca="1">IF($K240="Yes",COUNTIFS($K$4:$K240,"Yes"),"")</f>
        <v/>
      </c>
      <c r="Q240">
        <f t="shared" ca="1" si="15"/>
        <v>0</v>
      </c>
      <c r="R240" t="str">
        <f ca="1">IF($Q240=1,SUM($Q$4:$Q240),"")</f>
        <v/>
      </c>
    </row>
    <row r="241" spans="1:18" ht="22.5" customHeight="1" x14ac:dyDescent="0.3">
      <c r="A241" s="2"/>
      <c r="B241" s="2"/>
      <c r="C241" s="3"/>
      <c r="D241" s="3"/>
      <c r="E241" s="2"/>
      <c r="F241" s="2"/>
      <c r="G241" s="5"/>
      <c r="H241" s="5"/>
      <c r="I241" s="4"/>
      <c r="J241" s="6" t="str">
        <f t="shared" si="13"/>
        <v/>
      </c>
      <c r="K241" s="4" t="str">
        <f t="shared" ca="1" si="14"/>
        <v/>
      </c>
      <c r="L241" s="7" t="str">
        <f t="shared" ca="1" si="16"/>
        <v/>
      </c>
      <c r="M241" s="4" t="str">
        <f>IF($I241="Complete","Green",IF($H241="","Amber",IF($H241&lt;'[2]Read Me'!$B$4,"Red",IF($H241-'[2]Read Me'!$B$4&lt;=21,"Amber","Green"))))</f>
        <v>Amber</v>
      </c>
      <c r="N241" s="3"/>
      <c r="O241" t="str">
        <f>IF($I241&lt;&gt;"Complete",IF(COUNTIFS($A$4:$A240,$A241,$B$4:$B240,$B241,$I$4:$I240,"&lt;&gt;Complete")=0,$A241&amp;"|"&amp;$B241,""),"")</f>
        <v>|</v>
      </c>
      <c r="P241" t="str">
        <f ca="1">IF($K241="Yes",COUNTIFS($K$4:$K241,"Yes"),"")</f>
        <v/>
      </c>
      <c r="Q241">
        <f t="shared" ca="1" si="15"/>
        <v>0</v>
      </c>
      <c r="R241" t="str">
        <f ca="1">IF($Q241=1,SUM($Q$4:$Q241),"")</f>
        <v/>
      </c>
    </row>
    <row r="242" spans="1:18" ht="22.5" customHeight="1" x14ac:dyDescent="0.3">
      <c r="A242" s="2"/>
      <c r="B242" s="2"/>
      <c r="C242" s="3"/>
      <c r="D242" s="3"/>
      <c r="E242" s="2"/>
      <c r="F242" s="2"/>
      <c r="G242" s="5"/>
      <c r="H242" s="5"/>
      <c r="I242" s="4"/>
      <c r="J242" s="6" t="str">
        <f t="shared" si="13"/>
        <v/>
      </c>
      <c r="K242" s="4" t="str">
        <f t="shared" ca="1" si="14"/>
        <v/>
      </c>
      <c r="L242" s="7" t="str">
        <f t="shared" ca="1" si="16"/>
        <v/>
      </c>
      <c r="M242" s="4" t="str">
        <f>IF($I242="Complete","Green",IF($H242="","Amber",IF($H242&lt;'[2]Read Me'!$B$4,"Red",IF($H242-'[2]Read Me'!$B$4&lt;=21,"Amber","Green"))))</f>
        <v>Amber</v>
      </c>
      <c r="N242" s="3"/>
      <c r="O242" t="str">
        <f>IF($I242&lt;&gt;"Complete",IF(COUNTIFS($A$4:$A241,$A242,$B$4:$B241,$B242,$I$4:$I241,"&lt;&gt;Complete")=0,$A242&amp;"|"&amp;$B242,""),"")</f>
        <v>|</v>
      </c>
      <c r="P242" t="str">
        <f ca="1">IF($K242="Yes",COUNTIFS($K$4:$K242,"Yes"),"")</f>
        <v/>
      </c>
      <c r="Q242">
        <f t="shared" ca="1" si="15"/>
        <v>0</v>
      </c>
      <c r="R242" t="str">
        <f ca="1">IF($Q242=1,SUM($Q$4:$Q242),"")</f>
        <v/>
      </c>
    </row>
    <row r="243" spans="1:18" ht="22.5" customHeight="1" x14ac:dyDescent="0.3">
      <c r="A243" s="2"/>
      <c r="B243" s="2"/>
      <c r="C243" s="3"/>
      <c r="D243" s="3"/>
      <c r="E243" s="2"/>
      <c r="F243" s="2"/>
      <c r="G243" s="5"/>
      <c r="H243" s="5"/>
      <c r="I243" s="4"/>
      <c r="J243" s="6" t="str">
        <f t="shared" si="13"/>
        <v/>
      </c>
      <c r="K243" s="4" t="str">
        <f t="shared" ca="1" si="14"/>
        <v/>
      </c>
      <c r="L243" s="7" t="str">
        <f t="shared" ca="1" si="16"/>
        <v/>
      </c>
      <c r="M243" s="4" t="str">
        <f>IF($I243="Complete","Green",IF($H243="","Amber",IF($H243&lt;'[2]Read Me'!$B$4,"Red",IF($H243-'[2]Read Me'!$B$4&lt;=21,"Amber","Green"))))</f>
        <v>Amber</v>
      </c>
      <c r="N243" s="3"/>
      <c r="O243" t="str">
        <f>IF($I243&lt;&gt;"Complete",IF(COUNTIFS($A$4:$A242,$A243,$B$4:$B242,$B243,$I$4:$I242,"&lt;&gt;Complete")=0,$A243&amp;"|"&amp;$B243,""),"")</f>
        <v>|</v>
      </c>
      <c r="P243" t="str">
        <f ca="1">IF($K243="Yes",COUNTIFS($K$4:$K243,"Yes"),"")</f>
        <v/>
      </c>
      <c r="Q243">
        <f t="shared" ca="1" si="15"/>
        <v>0</v>
      </c>
      <c r="R243" t="str">
        <f ca="1">IF($Q243=1,SUM($Q$4:$Q243),"")</f>
        <v/>
      </c>
    </row>
    <row r="244" spans="1:18" ht="22.5" customHeight="1" x14ac:dyDescent="0.3">
      <c r="A244" s="2"/>
      <c r="B244" s="2"/>
      <c r="C244" s="3"/>
      <c r="D244" s="3"/>
      <c r="E244" s="2"/>
      <c r="F244" s="2"/>
      <c r="G244" s="5"/>
      <c r="H244" s="5"/>
      <c r="I244" s="4"/>
      <c r="J244" s="6" t="str">
        <f t="shared" si="13"/>
        <v/>
      </c>
      <c r="K244" s="4" t="str">
        <f t="shared" ref="K244:K264" ca="1" si="17">IF($H244="","",IF($H244&gt;TODAY(),"No","Yes"))</f>
        <v/>
      </c>
      <c r="L244" s="7" t="str">
        <f t="shared" ca="1" si="16"/>
        <v/>
      </c>
      <c r="M244" s="4" t="str">
        <f>IF($I244="Complete","Green",IF($H244="","Amber",IF($H244&lt;'[2]Read Me'!$B$4,"Red",IF($H244-'[2]Read Me'!$B$4&lt;=21,"Amber","Green"))))</f>
        <v>Amber</v>
      </c>
      <c r="N244" s="3"/>
      <c r="O244" t="str">
        <f>IF($I244&lt;&gt;"Complete",IF(COUNTIFS($A$4:$A243,$A244,$B$4:$B243,$B244,$I$4:$I243,"&lt;&gt;Complete")=0,$A244&amp;"|"&amp;$B244,""),"")</f>
        <v>|</v>
      </c>
      <c r="P244" t="str">
        <f ca="1">IF($K244="Yes",COUNTIFS($K$4:$K244,"Yes"),"")</f>
        <v/>
      </c>
      <c r="Q244">
        <f t="shared" ca="1" si="15"/>
        <v>0</v>
      </c>
      <c r="R244" t="str">
        <f ca="1">IF($Q244=1,SUM($Q$4:$Q244),"")</f>
        <v/>
      </c>
    </row>
    <row r="245" spans="1:18" ht="22.5" customHeight="1" x14ac:dyDescent="0.3">
      <c r="A245" s="2"/>
      <c r="B245" s="2"/>
      <c r="C245" s="3"/>
      <c r="D245" s="3"/>
      <c r="E245" s="2"/>
      <c r="F245" s="2"/>
      <c r="G245" s="5"/>
      <c r="H245" s="5"/>
      <c r="I245" s="4"/>
      <c r="J245" s="6" t="str">
        <f t="shared" si="13"/>
        <v/>
      </c>
      <c r="K245" s="4" t="str">
        <f t="shared" ca="1" si="17"/>
        <v/>
      </c>
      <c r="L245" s="7" t="str">
        <f t="shared" ca="1" si="16"/>
        <v/>
      </c>
      <c r="M245" s="4" t="str">
        <f>IF($I245="Complete","Green",IF($H245="","Amber",IF($H245&lt;'[2]Read Me'!$B$4,"Red",IF($H245-'[2]Read Me'!$B$4&lt;=21,"Amber","Green"))))</f>
        <v>Amber</v>
      </c>
      <c r="N245" s="3"/>
      <c r="O245" t="str">
        <f>IF($I245&lt;&gt;"Complete",IF(COUNTIFS($A$4:$A244,$A245,$B$4:$B244,$B245,$I$4:$I244,"&lt;&gt;Complete")=0,$A245&amp;"|"&amp;$B245,""),"")</f>
        <v>|</v>
      </c>
      <c r="P245" t="str">
        <f ca="1">IF($K245="Yes",COUNTIFS($K$4:$K245,"Yes"),"")</f>
        <v/>
      </c>
      <c r="Q245">
        <f t="shared" ca="1" si="15"/>
        <v>0</v>
      </c>
      <c r="R245" t="str">
        <f ca="1">IF($Q245=1,SUM($Q$4:$Q245),"")</f>
        <v/>
      </c>
    </row>
    <row r="246" spans="1:18" ht="22.5" customHeight="1" x14ac:dyDescent="0.3">
      <c r="A246" s="2"/>
      <c r="B246" s="2"/>
      <c r="C246" s="3"/>
      <c r="D246" s="3"/>
      <c r="E246" s="2"/>
      <c r="F246" s="2"/>
      <c r="G246" s="5"/>
      <c r="H246" s="5"/>
      <c r="I246" s="4"/>
      <c r="J246" s="6" t="str">
        <f t="shared" si="13"/>
        <v/>
      </c>
      <c r="K246" s="4" t="str">
        <f t="shared" ca="1" si="17"/>
        <v/>
      </c>
      <c r="L246" s="7" t="str">
        <f t="shared" ca="1" si="16"/>
        <v/>
      </c>
      <c r="M246" s="4" t="str">
        <f>IF($I246="Complete","Green",IF($H246="","Amber",IF($H246&lt;'[2]Read Me'!$B$4,"Red",IF($H246-'[2]Read Me'!$B$4&lt;=21,"Amber","Green"))))</f>
        <v>Amber</v>
      </c>
      <c r="N246" s="3"/>
      <c r="O246" t="str">
        <f>IF($I246&lt;&gt;"Complete",IF(COUNTIFS($A$4:$A245,$A246,$B$4:$B245,$B246,$I$4:$I245,"&lt;&gt;Complete")=0,$A246&amp;"|"&amp;$B246,""),"")</f>
        <v>|</v>
      </c>
      <c r="P246" t="str">
        <f ca="1">IF($K246="Yes",COUNTIFS($K$4:$K246,"Yes"),"")</f>
        <v/>
      </c>
      <c r="Q246">
        <f t="shared" ca="1" si="15"/>
        <v>0</v>
      </c>
      <c r="R246" t="str">
        <f ca="1">IF($Q246=1,SUM($Q$4:$Q246),"")</f>
        <v/>
      </c>
    </row>
    <row r="247" spans="1:18" ht="22.5" customHeight="1" x14ac:dyDescent="0.3">
      <c r="A247" s="2"/>
      <c r="B247" s="2"/>
      <c r="C247" s="3"/>
      <c r="D247" s="3"/>
      <c r="E247" s="2"/>
      <c r="F247" s="2"/>
      <c r="G247" s="5"/>
      <c r="H247" s="5"/>
      <c r="I247" s="4"/>
      <c r="J247" s="6" t="str">
        <f t="shared" si="13"/>
        <v/>
      </c>
      <c r="K247" s="4" t="str">
        <f t="shared" ca="1" si="17"/>
        <v/>
      </c>
      <c r="L247" s="7" t="str">
        <f t="shared" ca="1" si="16"/>
        <v/>
      </c>
      <c r="M247" s="4" t="str">
        <f>IF($I247="Complete","Green",IF($H247="","Amber",IF($H247&lt;'[2]Read Me'!$B$4,"Red",IF($H247-'[2]Read Me'!$B$4&lt;=21,"Amber","Green"))))</f>
        <v>Amber</v>
      </c>
      <c r="N247" s="3"/>
      <c r="O247" t="str">
        <f>IF($I247&lt;&gt;"Complete",IF(COUNTIFS($A$4:$A246,$A247,$B$4:$B246,$B247,$I$4:$I246,"&lt;&gt;Complete")=0,$A247&amp;"|"&amp;$B247,""),"")</f>
        <v>|</v>
      </c>
      <c r="P247" t="str">
        <f ca="1">IF($K247="Yes",COUNTIFS($K$4:$K247,"Yes"),"")</f>
        <v/>
      </c>
      <c r="Q247">
        <f t="shared" ca="1" si="15"/>
        <v>0</v>
      </c>
      <c r="R247" t="str">
        <f ca="1">IF($Q247=1,SUM($Q$4:$Q247),"")</f>
        <v/>
      </c>
    </row>
    <row r="248" spans="1:18" ht="22.5" customHeight="1" x14ac:dyDescent="0.3">
      <c r="A248" s="2"/>
      <c r="B248" s="2"/>
      <c r="C248" s="3"/>
      <c r="D248" s="3"/>
      <c r="E248" s="2"/>
      <c r="F248" s="2"/>
      <c r="G248" s="5"/>
      <c r="H248" s="5"/>
      <c r="I248" s="4"/>
      <c r="J248" s="6" t="str">
        <f t="shared" si="13"/>
        <v/>
      </c>
      <c r="K248" s="4" t="str">
        <f t="shared" ca="1" si="17"/>
        <v/>
      </c>
      <c r="L248" s="7" t="str">
        <f t="shared" ca="1" si="16"/>
        <v/>
      </c>
      <c r="M248" s="4" t="str">
        <f>IF($I248="Complete","Green",IF($H248="","Amber",IF($H248&lt;'[2]Read Me'!$B$4,"Red",IF($H248-'[2]Read Me'!$B$4&lt;=21,"Amber","Green"))))</f>
        <v>Amber</v>
      </c>
      <c r="N248" s="3"/>
      <c r="O248" t="str">
        <f>IF($I248&lt;&gt;"Complete",IF(COUNTIFS($A$4:$A247,$A248,$B$4:$B247,$B248,$I$4:$I247,"&lt;&gt;Complete")=0,$A248&amp;"|"&amp;$B248,""),"")</f>
        <v>|</v>
      </c>
      <c r="P248" t="str">
        <f ca="1">IF($K248="Yes",COUNTIFS($K$4:$K248,"Yes"),"")</f>
        <v/>
      </c>
      <c r="Q248">
        <f t="shared" ca="1" si="15"/>
        <v>0</v>
      </c>
      <c r="R248" t="str">
        <f ca="1">IF($Q248=1,SUM($Q$4:$Q248),"")</f>
        <v/>
      </c>
    </row>
    <row r="249" spans="1:18" ht="22.5" customHeight="1" x14ac:dyDescent="0.3">
      <c r="A249" s="2"/>
      <c r="B249" s="2"/>
      <c r="C249" s="3"/>
      <c r="D249" s="3"/>
      <c r="E249" s="2"/>
      <c r="F249" s="2"/>
      <c r="G249" s="5"/>
      <c r="H249" s="5"/>
      <c r="I249" s="4"/>
      <c r="J249" s="6" t="str">
        <f t="shared" si="13"/>
        <v/>
      </c>
      <c r="K249" s="4" t="str">
        <f t="shared" ca="1" si="17"/>
        <v/>
      </c>
      <c r="L249" s="7" t="str">
        <f t="shared" ca="1" si="16"/>
        <v/>
      </c>
      <c r="M249" s="4" t="str">
        <f>IF($I249="Complete","Green",IF($H249="","Amber",IF($H249&lt;'[2]Read Me'!$B$4,"Red",IF($H249-'[2]Read Me'!$B$4&lt;=21,"Amber","Green"))))</f>
        <v>Amber</v>
      </c>
      <c r="N249" s="3"/>
      <c r="O249" t="str">
        <f>IF($I249&lt;&gt;"Complete",IF(COUNTIFS($A$4:$A248,$A249,$B$4:$B248,$B249,$I$4:$I248,"&lt;&gt;Complete")=0,$A249&amp;"|"&amp;$B249,""),"")</f>
        <v>|</v>
      </c>
      <c r="P249" t="str">
        <f ca="1">IF($K249="Yes",COUNTIFS($K$4:$K249,"Yes"),"")</f>
        <v/>
      </c>
      <c r="Q249">
        <f t="shared" ca="1" si="15"/>
        <v>0</v>
      </c>
      <c r="R249" t="str">
        <f ca="1">IF($Q249=1,SUM($Q$4:$Q249),"")</f>
        <v/>
      </c>
    </row>
    <row r="250" spans="1:18" ht="22.5" customHeight="1" x14ac:dyDescent="0.3">
      <c r="A250" s="2"/>
      <c r="B250" s="2"/>
      <c r="C250" s="3"/>
      <c r="D250" s="3"/>
      <c r="E250" s="2"/>
      <c r="F250" s="2"/>
      <c r="G250" s="5"/>
      <c r="H250" s="5"/>
      <c r="I250" s="4"/>
      <c r="J250" s="6" t="str">
        <f t="shared" si="13"/>
        <v/>
      </c>
      <c r="K250" s="4" t="str">
        <f t="shared" ca="1" si="17"/>
        <v/>
      </c>
      <c r="L250" s="7" t="str">
        <f t="shared" ca="1" si="16"/>
        <v/>
      </c>
      <c r="M250" s="4" t="str">
        <f>IF($I250="Complete","Green",IF($H250="","Amber",IF($H250&lt;'[2]Read Me'!$B$4,"Red",IF($H250-'[2]Read Me'!$B$4&lt;=21,"Amber","Green"))))</f>
        <v>Amber</v>
      </c>
      <c r="N250" s="8"/>
      <c r="O250" t="str">
        <f>IF($I250&lt;&gt;"Complete",IF(COUNTIFS($A$4:$A249,$A250,$B$4:$B249,$B250,$I$4:$I249,"&lt;&gt;Complete")=0,$A250&amp;"|"&amp;$B250,""),"")</f>
        <v>|</v>
      </c>
      <c r="P250" t="str">
        <f ca="1">IF($K250="Yes",COUNTIFS($K$4:$K250,"Yes"),"")</f>
        <v/>
      </c>
      <c r="Q250">
        <f t="shared" ca="1" si="15"/>
        <v>0</v>
      </c>
      <c r="R250" t="str">
        <f ca="1">IF($Q250=1,SUM($Q$4:$Q250),"")</f>
        <v/>
      </c>
    </row>
    <row r="251" spans="1:18" ht="22.5" customHeight="1" x14ac:dyDescent="0.3">
      <c r="A251" s="2"/>
      <c r="B251" s="2"/>
      <c r="C251" s="3"/>
      <c r="D251" s="3"/>
      <c r="E251" s="2"/>
      <c r="F251" s="2"/>
      <c r="G251" s="5"/>
      <c r="H251" s="5"/>
      <c r="I251" s="4"/>
      <c r="J251" s="6" t="str">
        <f t="shared" si="13"/>
        <v/>
      </c>
      <c r="K251" s="4" t="str">
        <f t="shared" ca="1" si="17"/>
        <v/>
      </c>
      <c r="L251" s="7" t="str">
        <f t="shared" ca="1" si="16"/>
        <v/>
      </c>
      <c r="M251" s="4" t="str">
        <f>IF($I251="Complete","Green",IF($H251="","Amber",IF($H251&lt;'[2]Read Me'!$B$4,"Red",IF($H251-'[2]Read Me'!$B$4&lt;=21,"Amber","Green"))))</f>
        <v>Amber</v>
      </c>
      <c r="N251" s="3"/>
      <c r="O251" t="str">
        <f>IF($I251&lt;&gt;"Complete",IF(COUNTIFS($A$4:$A250,$A251,$B$4:$B250,$B251,$I$4:$I250,"&lt;&gt;Complete")=0,$A251&amp;"|"&amp;$B251,""),"")</f>
        <v>|</v>
      </c>
      <c r="P251" t="str">
        <f ca="1">IF($K251="Yes",COUNTIFS($K$4:$K251,"Yes"),"")</f>
        <v/>
      </c>
      <c r="Q251">
        <f t="shared" ca="1" si="15"/>
        <v>0</v>
      </c>
      <c r="R251" t="str">
        <f ca="1">IF($Q251=1,SUM($Q$4:$Q251),"")</f>
        <v/>
      </c>
    </row>
    <row r="252" spans="1:18" ht="22.5" customHeight="1" x14ac:dyDescent="0.3">
      <c r="A252" s="2"/>
      <c r="B252" s="2"/>
      <c r="C252" s="3"/>
      <c r="D252" s="3"/>
      <c r="E252" s="2"/>
      <c r="F252" s="2"/>
      <c r="G252" s="5"/>
      <c r="H252" s="5"/>
      <c r="I252" s="4"/>
      <c r="J252" s="6" t="str">
        <f t="shared" si="13"/>
        <v/>
      </c>
      <c r="K252" s="4" t="str">
        <f t="shared" ca="1" si="17"/>
        <v/>
      </c>
      <c r="L252" s="7" t="str">
        <f t="shared" ca="1" si="16"/>
        <v/>
      </c>
      <c r="M252" s="4" t="str">
        <f>IF($I252="Complete","Green",IF($H252="","Amber",IF($H252&lt;'[2]Read Me'!$B$4,"Red",IF($H252-'[2]Read Me'!$B$4&lt;=21,"Amber","Green"))))</f>
        <v>Amber</v>
      </c>
      <c r="N252" s="3"/>
      <c r="O252" t="str">
        <f>IF($I252&lt;&gt;"Complete",IF(COUNTIFS($A$4:$A251,$A252,$B$4:$B251,$B252,$I$4:$I251,"&lt;&gt;Complete")=0,$A252&amp;"|"&amp;$B252,""),"")</f>
        <v>|</v>
      </c>
      <c r="P252" t="str">
        <f ca="1">IF($K252="Yes",COUNTIFS($K$4:$K252,"Yes"),"")</f>
        <v/>
      </c>
      <c r="Q252">
        <f t="shared" ca="1" si="15"/>
        <v>0</v>
      </c>
      <c r="R252" t="str">
        <f ca="1">IF($Q252=1,SUM($Q$4:$Q252),"")</f>
        <v/>
      </c>
    </row>
    <row r="253" spans="1:18" ht="22.5" customHeight="1" x14ac:dyDescent="0.3">
      <c r="A253" s="2"/>
      <c r="B253" s="2"/>
      <c r="C253" s="3"/>
      <c r="D253" s="3"/>
      <c r="E253" s="2"/>
      <c r="F253" s="2"/>
      <c r="G253" s="5"/>
      <c r="H253" s="5"/>
      <c r="I253" s="4"/>
      <c r="J253" s="6" t="str">
        <f t="shared" si="13"/>
        <v/>
      </c>
      <c r="K253" s="4" t="str">
        <f t="shared" ca="1" si="17"/>
        <v/>
      </c>
      <c r="L253" s="7" t="str">
        <f t="shared" ca="1" si="16"/>
        <v/>
      </c>
      <c r="M253" s="4" t="str">
        <f>IF($I253="Complete","Green",IF($H253="","Amber",IF($H253&lt;'[2]Read Me'!$B$4,"Red",IF($H253-'[2]Read Me'!$B$4&lt;=21,"Amber","Green"))))</f>
        <v>Amber</v>
      </c>
      <c r="N253" s="3"/>
      <c r="O253" t="str">
        <f>IF($I253&lt;&gt;"Complete",IF(COUNTIFS($A$4:$A252,$A253,$B$4:$B252,$B253,$I$4:$I252,"&lt;&gt;Complete")=0,$A253&amp;"|"&amp;$B253,""),"")</f>
        <v>|</v>
      </c>
      <c r="P253" t="str">
        <f ca="1">IF($K253="Yes",COUNTIFS($K$4:$K253,"Yes"),"")</f>
        <v/>
      </c>
      <c r="Q253">
        <f t="shared" ca="1" si="15"/>
        <v>0</v>
      </c>
      <c r="R253" t="str">
        <f ca="1">IF($Q253=1,SUM($Q$4:$Q253),"")</f>
        <v/>
      </c>
    </row>
    <row r="254" spans="1:18" ht="22.5" customHeight="1" x14ac:dyDescent="0.3">
      <c r="A254" s="2"/>
      <c r="B254" s="2"/>
      <c r="C254" s="3"/>
      <c r="D254" s="3"/>
      <c r="E254" s="2"/>
      <c r="F254" s="2"/>
      <c r="G254" s="5"/>
      <c r="H254" s="5"/>
      <c r="I254" s="4"/>
      <c r="J254" s="6" t="str">
        <f t="shared" si="13"/>
        <v/>
      </c>
      <c r="K254" s="4" t="str">
        <f t="shared" ca="1" si="17"/>
        <v/>
      </c>
      <c r="L254" s="7" t="str">
        <f t="shared" ca="1" si="16"/>
        <v/>
      </c>
      <c r="M254" s="4" t="str">
        <f>IF($I254="Complete","Green",IF($H254="","Amber",IF($H254&lt;'[2]Read Me'!$B$4,"Red",IF($H254-'[2]Read Me'!$B$4&lt;=21,"Amber","Green"))))</f>
        <v>Amber</v>
      </c>
      <c r="N254" s="3"/>
      <c r="O254" t="str">
        <f>IF($I254&lt;&gt;"Complete",IF(COUNTIFS($A$4:$A253,$A254,$B$4:$B253,$B254,$I$4:$I253,"&lt;&gt;Complete")=0,$A254&amp;"|"&amp;$B254,""),"")</f>
        <v>|</v>
      </c>
      <c r="P254" t="str">
        <f ca="1">IF($K254="Yes",COUNTIFS($K$4:$K254,"Yes"),"")</f>
        <v/>
      </c>
      <c r="Q254">
        <f t="shared" ca="1" si="15"/>
        <v>0</v>
      </c>
      <c r="R254" t="str">
        <f ca="1">IF($Q254=1,SUM($Q$4:$Q254),"")</f>
        <v/>
      </c>
    </row>
    <row r="255" spans="1:18" ht="22.5" customHeight="1" x14ac:dyDescent="0.3">
      <c r="A255" s="2"/>
      <c r="B255" s="2"/>
      <c r="C255" s="3"/>
      <c r="D255" s="3"/>
      <c r="E255" s="2"/>
      <c r="F255" s="2"/>
      <c r="G255" s="5"/>
      <c r="H255" s="5"/>
      <c r="I255" s="4"/>
      <c r="J255" s="6" t="str">
        <f t="shared" si="13"/>
        <v/>
      </c>
      <c r="K255" s="4" t="str">
        <f t="shared" ca="1" si="17"/>
        <v/>
      </c>
      <c r="L255" s="7" t="str">
        <f t="shared" ca="1" si="16"/>
        <v/>
      </c>
      <c r="M255" s="4" t="str">
        <f>IF($I255="Complete","Green",IF($H255="","Amber",IF($H255&lt;'[2]Read Me'!$B$4,"Red",IF($H255-'[2]Read Me'!$B$4&lt;=21,"Amber","Green"))))</f>
        <v>Amber</v>
      </c>
      <c r="N255" s="3"/>
      <c r="O255" t="str">
        <f>IF($I255&lt;&gt;"Complete",IF(COUNTIFS($A$4:$A254,$A255,$B$4:$B254,$B255,$I$4:$I254,"&lt;&gt;Complete")=0,$A255&amp;"|"&amp;$B255,""),"")</f>
        <v>|</v>
      </c>
      <c r="P255" t="str">
        <f ca="1">IF($K255="Yes",COUNTIFS($K$4:$K255,"Yes"),"")</f>
        <v/>
      </c>
      <c r="Q255">
        <f t="shared" ca="1" si="15"/>
        <v>0</v>
      </c>
      <c r="R255" t="str">
        <f ca="1">IF($Q255=1,SUM($Q$4:$Q255),"")</f>
        <v/>
      </c>
    </row>
    <row r="256" spans="1:18" ht="22.5" customHeight="1" x14ac:dyDescent="0.3">
      <c r="A256" s="2"/>
      <c r="B256" s="2"/>
      <c r="C256" s="3"/>
      <c r="D256" s="3"/>
      <c r="E256" s="2"/>
      <c r="F256" s="2"/>
      <c r="G256" s="5"/>
      <c r="H256" s="5"/>
      <c r="I256" s="4"/>
      <c r="J256" s="6" t="str">
        <f t="shared" si="13"/>
        <v/>
      </c>
      <c r="K256" s="4" t="str">
        <f t="shared" ca="1" si="17"/>
        <v/>
      </c>
      <c r="L256" s="7" t="str">
        <f t="shared" ca="1" si="16"/>
        <v/>
      </c>
      <c r="M256" s="4" t="str">
        <f>IF($I256="Complete","Green",IF($H256="","Amber",IF($H256&lt;'[2]Read Me'!$B$4,"Red",IF($H256-'[2]Read Me'!$B$4&lt;=21,"Amber","Green"))))</f>
        <v>Amber</v>
      </c>
      <c r="N256" s="3"/>
      <c r="O256" t="str">
        <f>IF($I256&lt;&gt;"Complete",IF(COUNTIFS($A$4:$A255,$A256,$B$4:$B255,$B256,$I$4:$I255,"&lt;&gt;Complete")=0,$A256&amp;"|"&amp;$B256,""),"")</f>
        <v>|</v>
      </c>
      <c r="P256" t="str">
        <f ca="1">IF($K256="Yes",COUNTIFS($K$4:$K256,"Yes"),"")</f>
        <v/>
      </c>
      <c r="Q256">
        <f t="shared" ca="1" si="15"/>
        <v>0</v>
      </c>
      <c r="R256" t="str">
        <f ca="1">IF($Q256=1,SUM($Q$4:$Q256),"")</f>
        <v/>
      </c>
    </row>
    <row r="257" spans="1:18" ht="22.5" customHeight="1" x14ac:dyDescent="0.3">
      <c r="A257" s="2"/>
      <c r="B257" s="2"/>
      <c r="C257" s="3"/>
      <c r="D257" s="3"/>
      <c r="E257" s="2"/>
      <c r="F257" s="2"/>
      <c r="G257" s="5"/>
      <c r="H257" s="5"/>
      <c r="I257" s="4"/>
      <c r="J257" s="6" t="str">
        <f t="shared" si="13"/>
        <v/>
      </c>
      <c r="K257" s="4" t="str">
        <f t="shared" ca="1" si="17"/>
        <v/>
      </c>
      <c r="L257" s="7" t="str">
        <f t="shared" ca="1" si="16"/>
        <v/>
      </c>
      <c r="M257" s="4" t="str">
        <f>IF($I257="Complete","Green",IF($H257="","Amber",IF($H257&lt;'[2]Read Me'!$B$4,"Red",IF($H257-'[2]Read Me'!$B$4&lt;=21,"Amber","Green"))))</f>
        <v>Amber</v>
      </c>
      <c r="N257" s="3"/>
      <c r="O257" t="str">
        <f>IF($I257&lt;&gt;"Complete",IF(COUNTIFS($A$4:$A256,$A257,$B$4:$B256,$B257,$I$4:$I256,"&lt;&gt;Complete")=0,$A257&amp;"|"&amp;$B257,""),"")</f>
        <v>|</v>
      </c>
      <c r="P257" t="str">
        <f ca="1">IF($K257="Yes",COUNTIFS($K$4:$K257,"Yes"),"")</f>
        <v/>
      </c>
      <c r="Q257">
        <f t="shared" ca="1" si="15"/>
        <v>0</v>
      </c>
      <c r="R257" t="str">
        <f ca="1">IF($Q257=1,SUM($Q$4:$Q257),"")</f>
        <v/>
      </c>
    </row>
    <row r="258" spans="1:18" ht="45" customHeight="1" x14ac:dyDescent="0.3">
      <c r="A258" s="2"/>
      <c r="B258" s="2"/>
      <c r="C258" s="3"/>
      <c r="D258" s="3"/>
      <c r="E258" s="2"/>
      <c r="F258" s="2"/>
      <c r="G258" s="5"/>
      <c r="H258" s="5"/>
      <c r="I258" s="4"/>
      <c r="J258" s="6" t="str">
        <f t="shared" si="13"/>
        <v/>
      </c>
      <c r="K258" s="4" t="str">
        <f t="shared" ca="1" si="17"/>
        <v/>
      </c>
      <c r="L258" s="7" t="str">
        <f t="shared" ca="1" si="16"/>
        <v/>
      </c>
      <c r="M258" s="4" t="str">
        <f>IF($I258="Complete","Green",IF($H258="","Amber",IF($H258&lt;'[2]Read Me'!$B$4,"Red",IF($H258-'[2]Read Me'!$B$4&lt;=21,"Amber","Green"))))</f>
        <v>Amber</v>
      </c>
      <c r="N258" s="3"/>
      <c r="O258" t="str">
        <f>IF($I258&lt;&gt;"Complete",IF(COUNTIFS($A$4:$A257,$A258,$B$4:$B257,$B258,$I$4:$I257,"&lt;&gt;Complete")=0,$A258&amp;"|"&amp;$B258,""),"")</f>
        <v>|</v>
      </c>
      <c r="P258" t="str">
        <f ca="1">IF($K258="Yes",COUNTIFS($K$4:$K258,"Yes"),"")</f>
        <v/>
      </c>
      <c r="Q258">
        <f t="shared" ca="1" si="15"/>
        <v>0</v>
      </c>
      <c r="R258" t="str">
        <f ca="1">IF($Q258=1,SUM($Q$4:$Q258),"")</f>
        <v/>
      </c>
    </row>
    <row r="259" spans="1:18" ht="45" customHeight="1" x14ac:dyDescent="0.3">
      <c r="A259" s="2"/>
      <c r="B259" s="2"/>
      <c r="C259" s="3"/>
      <c r="D259" s="3"/>
      <c r="E259" s="2"/>
      <c r="F259" s="2"/>
      <c r="G259" s="5"/>
      <c r="H259" s="5"/>
      <c r="I259" s="4"/>
      <c r="J259" s="6" t="str">
        <f t="shared" si="13"/>
        <v/>
      </c>
      <c r="K259" s="4" t="str">
        <f t="shared" ca="1" si="17"/>
        <v/>
      </c>
      <c r="L259" s="7" t="str">
        <f t="shared" ca="1" si="16"/>
        <v/>
      </c>
      <c r="M259" s="4" t="str">
        <f>IF($I259="Complete","Green",IF($H259="","Amber",IF($H259&lt;'[2]Read Me'!$B$4,"Red",IF($H259-'[2]Read Me'!$B$4&lt;=21,"Amber","Green"))))</f>
        <v>Amber</v>
      </c>
      <c r="N259" s="3"/>
      <c r="O259" t="str">
        <f>IF($I259&lt;&gt;"Complete",IF(COUNTIFS($A$4:$A258,$A259,$B$4:$B258,$B259,$I$4:$I258,"&lt;&gt;Complete")=0,$A259&amp;"|"&amp;$B259,""),"")</f>
        <v>|</v>
      </c>
      <c r="P259" t="str">
        <f ca="1">IF($K259="Yes",COUNTIFS($K$4:$K259,"Yes"),"")</f>
        <v/>
      </c>
      <c r="Q259">
        <f t="shared" ca="1" si="15"/>
        <v>0</v>
      </c>
      <c r="R259" t="str">
        <f ca="1">IF($Q259=1,SUM($Q$4:$Q259),"")</f>
        <v/>
      </c>
    </row>
    <row r="260" spans="1:18" ht="45" customHeight="1" x14ac:dyDescent="0.3">
      <c r="A260" s="2"/>
      <c r="B260" s="2"/>
      <c r="C260" s="3"/>
      <c r="D260" s="3"/>
      <c r="E260" s="2"/>
      <c r="F260" s="2"/>
      <c r="G260" s="5"/>
      <c r="H260" s="5"/>
      <c r="I260" s="4"/>
      <c r="J260" s="6" t="str">
        <f t="shared" ref="J260:J312" si="18">IF(OR($G260="",$H260=""),"",$H260-$G260)</f>
        <v/>
      </c>
      <c r="K260" s="4" t="str">
        <f t="shared" ca="1" si="17"/>
        <v/>
      </c>
      <c r="L260" s="7" t="str">
        <f t="shared" ca="1" si="16"/>
        <v/>
      </c>
      <c r="M260" s="4" t="str">
        <f>IF($I260="Complete","Green",IF($H260="","Amber",IF($H260&lt;'[2]Read Me'!$B$4,"Red",IF($H260-'[2]Read Me'!$B$4&lt;=21,"Amber","Green"))))</f>
        <v>Amber</v>
      </c>
      <c r="N260" s="3"/>
      <c r="O260" t="str">
        <f>IF($I260&lt;&gt;"Complete",IF(COUNTIFS($A$4:$A259,$A260,$B$4:$B259,$B260,$I$4:$I259,"&lt;&gt;Complete")=0,$A260&amp;"|"&amp;$B260,""),"")</f>
        <v>|</v>
      </c>
      <c r="P260" t="str">
        <f ca="1">IF($K260="Yes",COUNTIFS($K$4:$K260,"Yes"),"")</f>
        <v/>
      </c>
      <c r="Q260">
        <f t="shared" ref="Q260:Q312" ca="1" si="19">IF(OR($I260="In Progress",$K260="Yes"),1,0)</f>
        <v>0</v>
      </c>
      <c r="R260" t="str">
        <f ca="1">IF($Q260=1,SUM($Q$4:$Q260),"")</f>
        <v/>
      </c>
    </row>
    <row r="261" spans="1:18" ht="45" customHeight="1" x14ac:dyDescent="0.3">
      <c r="A261" s="2"/>
      <c r="B261" s="2"/>
      <c r="C261" s="3"/>
      <c r="D261" s="3"/>
      <c r="E261" s="2"/>
      <c r="F261" s="2"/>
      <c r="G261" s="5"/>
      <c r="H261" s="5"/>
      <c r="I261" s="4"/>
      <c r="J261" s="6" t="str">
        <f t="shared" si="18"/>
        <v/>
      </c>
      <c r="K261" s="4" t="str">
        <f t="shared" ca="1" si="17"/>
        <v/>
      </c>
      <c r="L261" s="7" t="str">
        <f t="shared" ref="L261:L324" ca="1" si="20">IF(I261="Completed",0,IF(H261="","",H261-TODAY()))</f>
        <v/>
      </c>
      <c r="M261" s="4" t="str">
        <f>IF($I261="Complete","Green",IF($H261="","Amber",IF($H261&lt;'[2]Read Me'!$B$4,"Red",IF($H261-'[2]Read Me'!$B$4&lt;=21,"Amber","Green"))))</f>
        <v>Amber</v>
      </c>
      <c r="N261" s="3"/>
      <c r="O261" t="str">
        <f>IF($I261&lt;&gt;"Complete",IF(COUNTIFS($A$4:$A260,$A261,$B$4:$B260,$B261,$I$4:$I260,"&lt;&gt;Complete")=0,$A261&amp;"|"&amp;$B261,""),"")</f>
        <v>|</v>
      </c>
      <c r="P261" t="str">
        <f ca="1">IF($K261="Yes",COUNTIFS($K$4:$K261,"Yes"),"")</f>
        <v/>
      </c>
      <c r="Q261">
        <f t="shared" ca="1" si="19"/>
        <v>0</v>
      </c>
      <c r="R261" t="str">
        <f ca="1">IF($Q261=1,SUM($Q$4:$Q261),"")</f>
        <v/>
      </c>
    </row>
    <row r="262" spans="1:18" ht="45" customHeight="1" x14ac:dyDescent="0.3">
      <c r="A262" s="2"/>
      <c r="B262" s="2"/>
      <c r="C262" s="3"/>
      <c r="D262" s="3"/>
      <c r="E262" s="2"/>
      <c r="F262" s="2"/>
      <c r="G262" s="5"/>
      <c r="H262" s="5"/>
      <c r="I262" s="4"/>
      <c r="J262" s="6" t="str">
        <f t="shared" si="18"/>
        <v/>
      </c>
      <c r="K262" s="4" t="str">
        <f t="shared" ca="1" si="17"/>
        <v/>
      </c>
      <c r="L262" s="7" t="str">
        <f t="shared" ca="1" si="20"/>
        <v/>
      </c>
      <c r="M262" s="4" t="str">
        <f>IF($I262="Complete","Green",IF($H262="","Amber",IF($H262&lt;'[2]Read Me'!$B$4,"Red",IF($H262-'[2]Read Me'!$B$4&lt;=21,"Amber","Green"))))</f>
        <v>Amber</v>
      </c>
      <c r="N262" s="3"/>
      <c r="O262" t="str">
        <f>IF($I262&lt;&gt;"Complete",IF(COUNTIFS($A$4:$A261,$A262,$B$4:$B261,$B262,$I$4:$I261,"&lt;&gt;Complete")=0,$A262&amp;"|"&amp;$B262,""),"")</f>
        <v>|</v>
      </c>
      <c r="P262" t="str">
        <f ca="1">IF($K262="Yes",COUNTIFS($K$4:$K262,"Yes"),"")</f>
        <v/>
      </c>
      <c r="Q262">
        <f t="shared" ca="1" si="19"/>
        <v>0</v>
      </c>
      <c r="R262" t="str">
        <f ca="1">IF($Q262=1,SUM($Q$4:$Q262),"")</f>
        <v/>
      </c>
    </row>
    <row r="263" spans="1:18" ht="45" customHeight="1" x14ac:dyDescent="0.3">
      <c r="A263" s="2"/>
      <c r="B263" s="2"/>
      <c r="C263" s="3"/>
      <c r="D263" s="3"/>
      <c r="E263" s="2"/>
      <c r="F263" s="2"/>
      <c r="G263" s="5"/>
      <c r="H263" s="5"/>
      <c r="I263" s="4"/>
      <c r="J263" s="6" t="str">
        <f t="shared" si="18"/>
        <v/>
      </c>
      <c r="K263" s="4" t="str">
        <f t="shared" ca="1" si="17"/>
        <v/>
      </c>
      <c r="L263" s="7" t="str">
        <f t="shared" ca="1" si="20"/>
        <v/>
      </c>
      <c r="M263" s="4" t="str">
        <f>IF($I263="Complete","Green",IF($H263="","Amber",IF($H263&lt;'[2]Read Me'!$B$4,"Red",IF($H263-'[2]Read Me'!$B$4&lt;=21,"Amber","Green"))))</f>
        <v>Amber</v>
      </c>
      <c r="N263" s="3"/>
      <c r="O263" t="str">
        <f>IF($I263&lt;&gt;"Complete",IF(COUNTIFS($A$4:$A262,$A263,$B$4:$B262,$B263,$I$4:$I262,"&lt;&gt;Complete")=0,$A263&amp;"|"&amp;$B263,""),"")</f>
        <v>|</v>
      </c>
      <c r="P263" t="str">
        <f ca="1">IF($K263="Yes",COUNTIFS($K$4:$K263,"Yes"),"")</f>
        <v/>
      </c>
      <c r="Q263">
        <f t="shared" ca="1" si="19"/>
        <v>0</v>
      </c>
      <c r="R263" t="str">
        <f ca="1">IF($Q263=1,SUM($Q$4:$Q263),"")</f>
        <v/>
      </c>
    </row>
    <row r="264" spans="1:18" ht="45" customHeight="1" x14ac:dyDescent="0.3">
      <c r="A264" s="2"/>
      <c r="B264" s="2"/>
      <c r="C264" s="3"/>
      <c r="D264" s="3"/>
      <c r="E264" s="2"/>
      <c r="F264" s="2"/>
      <c r="G264" s="5"/>
      <c r="H264" s="5"/>
      <c r="I264" s="4"/>
      <c r="J264" s="6" t="str">
        <f t="shared" si="18"/>
        <v/>
      </c>
      <c r="K264" s="4" t="str">
        <f t="shared" ca="1" si="17"/>
        <v/>
      </c>
      <c r="L264" s="7" t="str">
        <f t="shared" ca="1" si="20"/>
        <v/>
      </c>
      <c r="M264" s="4" t="str">
        <f>IF($I264="Complete","Green",IF($H264="","Amber",IF($H264&lt;'[2]Read Me'!$B$4,"Red",IF($H264-'[2]Read Me'!$B$4&lt;=21,"Amber","Green"))))</f>
        <v>Amber</v>
      </c>
      <c r="N264" s="3"/>
      <c r="O264" t="str">
        <f>IF($I264&lt;&gt;"Complete",IF(COUNTIFS($A$4:$A263,$A264,$B$4:$B263,$B264,$I$4:$I263,"&lt;&gt;Complete")=0,$A264&amp;"|"&amp;$B264,""),"")</f>
        <v>|</v>
      </c>
      <c r="P264" t="str">
        <f ca="1">IF($K264="Yes",COUNTIFS($K$4:$K264,"Yes"),"")</f>
        <v/>
      </c>
      <c r="Q264">
        <f t="shared" ca="1" si="19"/>
        <v>0</v>
      </c>
      <c r="R264" t="str">
        <f ca="1">IF($Q264=1,SUM($Q$4:$Q264),"")</f>
        <v/>
      </c>
    </row>
    <row r="265" spans="1:18" ht="45" customHeight="1" x14ac:dyDescent="0.3">
      <c r="A265" s="2"/>
      <c r="B265" s="2"/>
      <c r="C265" s="3"/>
      <c r="D265" s="3"/>
      <c r="E265" s="2"/>
      <c r="F265" s="2"/>
      <c r="G265" s="5"/>
      <c r="H265" s="5"/>
      <c r="I265" s="4"/>
      <c r="J265" s="6" t="str">
        <f t="shared" si="18"/>
        <v/>
      </c>
      <c r="K265" s="4" t="str">
        <f t="shared" ref="K265:K312" ca="1" si="21">IF($H265="","",IF($H265&lt;TODAY(),"No","Yes"))</f>
        <v/>
      </c>
      <c r="L265" s="7" t="str">
        <f t="shared" ca="1" si="20"/>
        <v/>
      </c>
      <c r="M265" s="4" t="str">
        <f>IF($I265="Complete","Green",IF($H265="","Amber",IF($H265&lt;'[2]Read Me'!$B$4,"Red",IF($H265-'[2]Read Me'!$B$4&lt;=21,"Amber","Green"))))</f>
        <v>Amber</v>
      </c>
      <c r="N265" s="3"/>
      <c r="O265" t="str">
        <f>IF($I265&lt;&gt;"Complete",IF(COUNTIFS($A$4:$A264,$A265,$B$4:$B264,$B265,$I$4:$I264,"&lt;&gt;Complete")=0,$A265&amp;"|"&amp;$B265,""),"")</f>
        <v>|</v>
      </c>
      <c r="P265" t="str">
        <f ca="1">IF($K265="Yes",COUNTIFS($K$4:$K265,"Yes"),"")</f>
        <v/>
      </c>
      <c r="Q265">
        <f t="shared" ca="1" si="19"/>
        <v>0</v>
      </c>
      <c r="R265" t="str">
        <f ca="1">IF($Q265=1,SUM($Q$4:$Q265),"")</f>
        <v/>
      </c>
    </row>
    <row r="266" spans="1:18" ht="45" customHeight="1" x14ac:dyDescent="0.3">
      <c r="A266" s="2"/>
      <c r="B266" s="2"/>
      <c r="C266" s="3"/>
      <c r="D266" s="3"/>
      <c r="E266" s="2"/>
      <c r="F266" s="2"/>
      <c r="G266" s="5"/>
      <c r="H266" s="5"/>
      <c r="I266" s="4"/>
      <c r="J266" s="6" t="str">
        <f t="shared" si="18"/>
        <v/>
      </c>
      <c r="K266" s="4" t="str">
        <f t="shared" ca="1" si="21"/>
        <v/>
      </c>
      <c r="L266" s="7" t="str">
        <f t="shared" ca="1" si="20"/>
        <v/>
      </c>
      <c r="M266" s="4" t="str">
        <f>IF($I266="Complete","Green",IF($H266="","Amber",IF($H266&lt;'[2]Read Me'!$B$4,"Red",IF($H266-'[2]Read Me'!$B$4&lt;=21,"Amber","Green"))))</f>
        <v>Amber</v>
      </c>
      <c r="N266" s="3"/>
      <c r="O266" t="str">
        <f>IF($I266&lt;&gt;"Complete",IF(COUNTIFS($A$4:$A265,$A266,$B$4:$B265,$B266,$I$4:$I265,"&lt;&gt;Complete")=0,$A266&amp;"|"&amp;$B266,""),"")</f>
        <v>|</v>
      </c>
      <c r="P266" t="str">
        <f ca="1">IF($K266="Yes",COUNTIFS($K$4:$K266,"Yes"),"")</f>
        <v/>
      </c>
      <c r="Q266">
        <f t="shared" ca="1" si="19"/>
        <v>0</v>
      </c>
      <c r="R266" t="str">
        <f ca="1">IF($Q266=1,SUM($Q$4:$Q266),"")</f>
        <v/>
      </c>
    </row>
    <row r="267" spans="1:18" ht="45" customHeight="1" x14ac:dyDescent="0.3">
      <c r="A267" s="2"/>
      <c r="B267" s="2"/>
      <c r="C267" s="3"/>
      <c r="D267" s="3"/>
      <c r="E267" s="2"/>
      <c r="F267" s="2"/>
      <c r="G267" s="5"/>
      <c r="H267" s="5"/>
      <c r="I267" s="4"/>
      <c r="J267" s="6" t="str">
        <f t="shared" si="18"/>
        <v/>
      </c>
      <c r="K267" s="4" t="str">
        <f t="shared" ca="1" si="21"/>
        <v/>
      </c>
      <c r="L267" s="7" t="str">
        <f t="shared" ca="1" si="20"/>
        <v/>
      </c>
      <c r="M267" s="4" t="str">
        <f>IF($I267="Complete","Green",IF($H267="","Amber",IF($H267&lt;'[2]Read Me'!$B$4,"Red",IF($H267-'[2]Read Me'!$B$4&lt;=21,"Amber","Green"))))</f>
        <v>Amber</v>
      </c>
      <c r="N267" s="3"/>
      <c r="O267" t="str">
        <f>IF($I267&lt;&gt;"Complete",IF(COUNTIFS($A$4:$A266,$A267,$B$4:$B266,$B267,$I$4:$I266,"&lt;&gt;Complete")=0,$A267&amp;"|"&amp;$B267,""),"")</f>
        <v>|</v>
      </c>
      <c r="P267" t="str">
        <f ca="1">IF($K267="Yes",COUNTIFS($K$4:$K267,"Yes"),"")</f>
        <v/>
      </c>
      <c r="Q267">
        <f t="shared" ca="1" si="19"/>
        <v>0</v>
      </c>
      <c r="R267" t="str">
        <f ca="1">IF($Q267=1,SUM($Q$4:$Q267),"")</f>
        <v/>
      </c>
    </row>
    <row r="268" spans="1:18" ht="14.25" customHeight="1" x14ac:dyDescent="0.3">
      <c r="A268" s="2"/>
      <c r="B268" s="2"/>
      <c r="C268" s="3"/>
      <c r="D268" s="3"/>
      <c r="E268" s="2"/>
      <c r="F268" s="2"/>
      <c r="G268" s="5"/>
      <c r="H268" s="5"/>
      <c r="I268" s="4"/>
      <c r="J268" s="6" t="str">
        <f t="shared" si="18"/>
        <v/>
      </c>
      <c r="K268" s="4" t="str">
        <f t="shared" ca="1" si="21"/>
        <v/>
      </c>
      <c r="L268" s="7" t="str">
        <f t="shared" ca="1" si="20"/>
        <v/>
      </c>
      <c r="M268" s="4" t="str">
        <f>IF($I268="Complete","Green",IF($H268="","Amber",IF($H268&lt;'[2]Read Me'!$B$4,"Red",IF($H268-'[2]Read Me'!$B$4&lt;=21,"Amber","Green"))))</f>
        <v>Amber</v>
      </c>
      <c r="N268" s="3"/>
      <c r="O268" t="str">
        <f>IF($I268&lt;&gt;"Complete",IF(COUNTIFS($A$4:$A267,$A268,$B$4:$B267,$B268,$I$4:$I267,"&lt;&gt;Complete")=0,$A268&amp;"|"&amp;$B268,""),"")</f>
        <v>|</v>
      </c>
      <c r="P268" t="str">
        <f ca="1">IF($K268="Yes",COUNTIFS($K$4:$K268,"Yes"),"")</f>
        <v/>
      </c>
      <c r="Q268">
        <f t="shared" ca="1" si="19"/>
        <v>0</v>
      </c>
      <c r="R268" t="str">
        <f ca="1">IF($Q268=1,SUM($Q$4:$Q268),"")</f>
        <v/>
      </c>
    </row>
    <row r="269" spans="1:18" ht="14.25" customHeight="1" x14ac:dyDescent="0.3">
      <c r="A269" s="2"/>
      <c r="B269" s="2"/>
      <c r="C269" s="3"/>
      <c r="D269" s="3"/>
      <c r="E269" s="2"/>
      <c r="F269" s="2"/>
      <c r="G269" s="5"/>
      <c r="H269" s="5"/>
      <c r="I269" s="4"/>
      <c r="J269" s="6" t="str">
        <f t="shared" si="18"/>
        <v/>
      </c>
      <c r="K269" s="4" t="str">
        <f t="shared" ca="1" si="21"/>
        <v/>
      </c>
      <c r="L269" s="7" t="str">
        <f t="shared" ca="1" si="20"/>
        <v/>
      </c>
      <c r="M269" s="4" t="str">
        <f>IF($I269="Complete","Green",IF($H269="","Amber",IF($H269&lt;'[2]Read Me'!$B$4,"Red",IF($H269-'[2]Read Me'!$B$4&lt;=21,"Amber","Green"))))</f>
        <v>Amber</v>
      </c>
      <c r="N269" s="3"/>
      <c r="O269" t="str">
        <f>IF($I269&lt;&gt;"Complete",IF(COUNTIFS($A$4:$A268,$A269,$B$4:$B268,$B269,$I$4:$I268,"&lt;&gt;Complete")=0,$A269&amp;"|"&amp;$B269,""),"")</f>
        <v>|</v>
      </c>
      <c r="P269" t="str">
        <f ca="1">IF($K269="Yes",COUNTIFS($K$4:$K269,"Yes"),"")</f>
        <v/>
      </c>
      <c r="Q269">
        <f t="shared" ca="1" si="19"/>
        <v>0</v>
      </c>
      <c r="R269" t="str">
        <f ca="1">IF($Q269=1,SUM($Q$4:$Q269),"")</f>
        <v/>
      </c>
    </row>
    <row r="270" spans="1:18" ht="14.25" customHeight="1" x14ac:dyDescent="0.3">
      <c r="A270" s="2"/>
      <c r="B270" s="2"/>
      <c r="C270" s="3"/>
      <c r="D270" s="3"/>
      <c r="E270" s="2"/>
      <c r="F270" s="2"/>
      <c r="G270" s="5"/>
      <c r="H270" s="5"/>
      <c r="I270" s="4"/>
      <c r="J270" s="6" t="str">
        <f t="shared" si="18"/>
        <v/>
      </c>
      <c r="K270" s="4" t="str">
        <f t="shared" ca="1" si="21"/>
        <v/>
      </c>
      <c r="L270" s="7" t="str">
        <f t="shared" ca="1" si="20"/>
        <v/>
      </c>
      <c r="M270" s="4" t="str">
        <f>IF($I270="Complete","Green",IF($H270="","Amber",IF($H270&lt;'[2]Read Me'!$B$4,"Red",IF($H270-'[2]Read Me'!$B$4&lt;=21,"Amber","Green"))))</f>
        <v>Amber</v>
      </c>
      <c r="N270" s="3"/>
      <c r="O270" t="str">
        <f>IF($I270&lt;&gt;"Complete",IF(COUNTIFS($A$4:$A269,$A270,$B$4:$B269,$B270,$I$4:$I269,"&lt;&gt;Complete")=0,$A270&amp;"|"&amp;$B270,""),"")</f>
        <v>|</v>
      </c>
      <c r="P270" t="str">
        <f ca="1">IF($K270="Yes",COUNTIFS($K$4:$K270,"Yes"),"")</f>
        <v/>
      </c>
      <c r="Q270">
        <f t="shared" ca="1" si="19"/>
        <v>0</v>
      </c>
      <c r="R270" t="str">
        <f ca="1">IF($Q270=1,SUM($Q$4:$Q270),"")</f>
        <v/>
      </c>
    </row>
    <row r="271" spans="1:18" ht="14.25" customHeight="1" x14ac:dyDescent="0.3">
      <c r="A271" s="2"/>
      <c r="B271" s="2"/>
      <c r="C271" s="3"/>
      <c r="D271" s="3"/>
      <c r="E271" s="2"/>
      <c r="F271" s="2"/>
      <c r="G271" s="5"/>
      <c r="H271" s="5"/>
      <c r="I271" s="4"/>
      <c r="J271" s="6" t="str">
        <f t="shared" si="18"/>
        <v/>
      </c>
      <c r="K271" s="4" t="str">
        <f t="shared" ca="1" si="21"/>
        <v/>
      </c>
      <c r="L271" s="7" t="str">
        <f t="shared" ca="1" si="20"/>
        <v/>
      </c>
      <c r="M271" s="4" t="str">
        <f>IF($I271="Complete","Green",IF($H271="","Amber",IF($H271&lt;'[2]Read Me'!$B$4,"Red",IF($H271-'[2]Read Me'!$B$4&lt;=21,"Amber","Green"))))</f>
        <v>Amber</v>
      </c>
      <c r="N271" s="3"/>
      <c r="O271" t="str">
        <f>IF($I271&lt;&gt;"Complete",IF(COUNTIFS($A$4:$A270,$A271,$B$4:$B270,$B271,$I$4:$I270,"&lt;&gt;Complete")=0,$A271&amp;"|"&amp;$B271,""),"")</f>
        <v>|</v>
      </c>
      <c r="P271" t="str">
        <f ca="1">IF($K271="Yes",COUNTIFS($K$4:$K271,"Yes"),"")</f>
        <v/>
      </c>
      <c r="Q271">
        <f t="shared" ca="1" si="19"/>
        <v>0</v>
      </c>
      <c r="R271" t="str">
        <f ca="1">IF($Q271=1,SUM($Q$4:$Q271),"")</f>
        <v/>
      </c>
    </row>
    <row r="272" spans="1:18" ht="14.25" customHeight="1" x14ac:dyDescent="0.3">
      <c r="A272" s="2"/>
      <c r="B272" s="2"/>
      <c r="C272" s="3"/>
      <c r="D272" s="3"/>
      <c r="E272" s="2"/>
      <c r="F272" s="2"/>
      <c r="G272" s="5"/>
      <c r="H272" s="5"/>
      <c r="I272" s="4"/>
      <c r="J272" s="6" t="str">
        <f t="shared" si="18"/>
        <v/>
      </c>
      <c r="K272" s="4" t="str">
        <f t="shared" ca="1" si="21"/>
        <v/>
      </c>
      <c r="L272" s="7" t="str">
        <f t="shared" ca="1" si="20"/>
        <v/>
      </c>
      <c r="M272" s="4" t="str">
        <f>IF($I272="Complete","Green",IF($H272="","Amber",IF($H272&lt;'[2]Read Me'!$B$4,"Red",IF($H272-'[2]Read Me'!$B$4&lt;=21,"Amber","Green"))))</f>
        <v>Amber</v>
      </c>
      <c r="N272" s="3"/>
      <c r="O272" t="str">
        <f>IF($I272&lt;&gt;"Complete",IF(COUNTIFS($A$4:$A271,$A272,$B$4:$B271,$B272,$I$4:$I271,"&lt;&gt;Complete")=0,$A272&amp;"|"&amp;$B272,""),"")</f>
        <v>|</v>
      </c>
      <c r="P272" t="str">
        <f ca="1">IF($K272="Yes",COUNTIFS($K$4:$K272,"Yes"),"")</f>
        <v/>
      </c>
      <c r="Q272">
        <f t="shared" ca="1" si="19"/>
        <v>0</v>
      </c>
      <c r="R272" t="str">
        <f ca="1">IF($Q272=1,SUM($Q$4:$Q272),"")</f>
        <v/>
      </c>
    </row>
    <row r="273" spans="1:18" ht="14.25" customHeight="1" x14ac:dyDescent="0.3">
      <c r="A273" s="2"/>
      <c r="B273" s="2"/>
      <c r="C273" s="3"/>
      <c r="D273" s="3"/>
      <c r="E273" s="2"/>
      <c r="F273" s="2"/>
      <c r="G273" s="5"/>
      <c r="H273" s="5"/>
      <c r="I273" s="4"/>
      <c r="J273" s="6" t="str">
        <f t="shared" si="18"/>
        <v/>
      </c>
      <c r="K273" s="4" t="str">
        <f t="shared" ca="1" si="21"/>
        <v/>
      </c>
      <c r="L273" s="7" t="str">
        <f t="shared" ca="1" si="20"/>
        <v/>
      </c>
      <c r="M273" s="4" t="str">
        <f>IF($I273="Complete","Green",IF($H273="","Amber",IF($H273&lt;'[2]Read Me'!$B$4,"Red",IF($H273-'[2]Read Me'!$B$4&lt;=21,"Amber","Green"))))</f>
        <v>Amber</v>
      </c>
      <c r="N273" s="3"/>
      <c r="O273" t="str">
        <f>IF($I273&lt;&gt;"Complete",IF(COUNTIFS($A$4:$A272,$A273,$B$4:$B272,$B273,$I$4:$I272,"&lt;&gt;Complete")=0,$A273&amp;"|"&amp;$B273,""),"")</f>
        <v>|</v>
      </c>
      <c r="P273" t="str">
        <f ca="1">IF($K273="Yes",COUNTIFS($K$4:$K273,"Yes"),"")</f>
        <v/>
      </c>
      <c r="Q273">
        <f t="shared" ca="1" si="19"/>
        <v>0</v>
      </c>
      <c r="R273" t="str">
        <f ca="1">IF($Q273=1,SUM($Q$4:$Q273),"")</f>
        <v/>
      </c>
    </row>
    <row r="274" spans="1:18" ht="14.25" customHeight="1" x14ac:dyDescent="0.3">
      <c r="A274" s="2"/>
      <c r="B274" s="2"/>
      <c r="C274" s="3"/>
      <c r="D274" s="3"/>
      <c r="E274" s="2"/>
      <c r="F274" s="2"/>
      <c r="G274" s="5"/>
      <c r="H274" s="5"/>
      <c r="I274" s="4"/>
      <c r="J274" s="6" t="str">
        <f t="shared" si="18"/>
        <v/>
      </c>
      <c r="K274" s="4" t="str">
        <f t="shared" ca="1" si="21"/>
        <v/>
      </c>
      <c r="L274" s="7" t="str">
        <f t="shared" ca="1" si="20"/>
        <v/>
      </c>
      <c r="M274" s="4" t="str">
        <f>IF($I274="Complete","Green",IF($H274="","Amber",IF($H274&lt;'[2]Read Me'!$B$4,"Red",IF($H274-'[2]Read Me'!$B$4&lt;=21,"Amber","Green"))))</f>
        <v>Amber</v>
      </c>
      <c r="N274" s="3"/>
      <c r="O274" t="str">
        <f>IF($I274&lt;&gt;"Complete",IF(COUNTIFS($A$4:$A273,$A274,$B$4:$B273,$B274,$I$4:$I273,"&lt;&gt;Complete")=0,$A274&amp;"|"&amp;$B274,""),"")</f>
        <v>|</v>
      </c>
      <c r="P274" t="str">
        <f ca="1">IF($K274="Yes",COUNTIFS($K$4:$K274,"Yes"),"")</f>
        <v/>
      </c>
      <c r="Q274">
        <f t="shared" ca="1" si="19"/>
        <v>0</v>
      </c>
      <c r="R274" t="str">
        <f ca="1">IF($Q274=1,SUM($Q$4:$Q274),"")</f>
        <v/>
      </c>
    </row>
    <row r="275" spans="1:18" ht="14.25" customHeight="1" x14ac:dyDescent="0.3">
      <c r="A275" s="2"/>
      <c r="B275" s="2"/>
      <c r="C275" s="3"/>
      <c r="D275" s="3"/>
      <c r="E275" s="2"/>
      <c r="F275" s="2"/>
      <c r="G275" s="5"/>
      <c r="H275" s="5"/>
      <c r="I275" s="4"/>
      <c r="J275" s="6" t="str">
        <f t="shared" si="18"/>
        <v/>
      </c>
      <c r="K275" s="4" t="str">
        <f t="shared" ca="1" si="21"/>
        <v/>
      </c>
      <c r="L275" s="7" t="str">
        <f t="shared" ca="1" si="20"/>
        <v/>
      </c>
      <c r="M275" s="4" t="str">
        <f>IF($I275="Complete","Green",IF($H275="","Amber",IF($H275&lt;'[2]Read Me'!$B$4,"Red",IF($H275-'[2]Read Me'!$B$4&lt;=21,"Amber","Green"))))</f>
        <v>Amber</v>
      </c>
      <c r="N275" s="3"/>
      <c r="O275" t="str">
        <f>IF($I275&lt;&gt;"Complete",IF(COUNTIFS($A$4:$A274,$A275,$B$4:$B274,$B275,$I$4:$I274,"&lt;&gt;Complete")=0,$A275&amp;"|"&amp;$B275,""),"")</f>
        <v>|</v>
      </c>
      <c r="P275" t="str">
        <f ca="1">IF($K275="Yes",COUNTIFS($K$4:$K275,"Yes"),"")</f>
        <v/>
      </c>
      <c r="Q275">
        <f t="shared" ca="1" si="19"/>
        <v>0</v>
      </c>
      <c r="R275" t="str">
        <f ca="1">IF($Q275=1,SUM($Q$4:$Q275),"")</f>
        <v/>
      </c>
    </row>
    <row r="276" spans="1:18" ht="14.25" customHeight="1" x14ac:dyDescent="0.3">
      <c r="A276" s="2"/>
      <c r="B276" s="2"/>
      <c r="C276" s="3"/>
      <c r="D276" s="3"/>
      <c r="E276" s="2"/>
      <c r="F276" s="2"/>
      <c r="G276" s="5"/>
      <c r="H276" s="5"/>
      <c r="I276" s="4"/>
      <c r="J276" s="6" t="str">
        <f t="shared" si="18"/>
        <v/>
      </c>
      <c r="K276" s="4" t="str">
        <f t="shared" ca="1" si="21"/>
        <v/>
      </c>
      <c r="L276" s="7" t="str">
        <f t="shared" ca="1" si="20"/>
        <v/>
      </c>
      <c r="M276" s="4" t="str">
        <f>IF($I276="Complete","Green",IF($H276="","Amber",IF($H276&lt;'[2]Read Me'!$B$4,"Red",IF($H276-'[2]Read Me'!$B$4&lt;=21,"Amber","Green"))))</f>
        <v>Amber</v>
      </c>
      <c r="N276" s="3"/>
      <c r="O276" t="str">
        <f>IF($I276&lt;&gt;"Complete",IF(COUNTIFS($A$4:$A275,$A276,$B$4:$B275,$B276,$I$4:$I275,"&lt;&gt;Complete")=0,$A276&amp;"|"&amp;$B276,""),"")</f>
        <v>|</v>
      </c>
      <c r="P276" t="str">
        <f ca="1">IF($K276="Yes",COUNTIFS($K$4:$K276,"Yes"),"")</f>
        <v/>
      </c>
      <c r="Q276">
        <f t="shared" ca="1" si="19"/>
        <v>0</v>
      </c>
      <c r="R276" t="str">
        <f ca="1">IF($Q276=1,SUM($Q$4:$Q276),"")</f>
        <v/>
      </c>
    </row>
    <row r="277" spans="1:18" ht="14.25" customHeight="1" x14ac:dyDescent="0.3">
      <c r="A277" s="2"/>
      <c r="B277" s="2"/>
      <c r="C277" s="3"/>
      <c r="D277" s="3"/>
      <c r="E277" s="2"/>
      <c r="F277" s="2"/>
      <c r="G277" s="5"/>
      <c r="H277" s="5"/>
      <c r="I277" s="4"/>
      <c r="J277" s="6" t="str">
        <f t="shared" si="18"/>
        <v/>
      </c>
      <c r="K277" s="4" t="str">
        <f t="shared" ca="1" si="21"/>
        <v/>
      </c>
      <c r="L277" s="7" t="str">
        <f t="shared" ca="1" si="20"/>
        <v/>
      </c>
      <c r="M277" s="4" t="str">
        <f>IF($I277="Complete","Green",IF($H277="","Amber",IF($H277&lt;'[2]Read Me'!$B$4,"Red",IF($H277-'[2]Read Me'!$B$4&lt;=21,"Amber","Green"))))</f>
        <v>Amber</v>
      </c>
      <c r="N277" s="3"/>
      <c r="O277" t="str">
        <f>IF($I277&lt;&gt;"Complete",IF(COUNTIFS($A$4:$A276,$A277,$B$4:$B276,$B277,$I$4:$I276,"&lt;&gt;Complete")=0,$A277&amp;"|"&amp;$B277,""),"")</f>
        <v>|</v>
      </c>
      <c r="P277" t="str">
        <f ca="1">IF($K277="Yes",COUNTIFS($K$4:$K277,"Yes"),"")</f>
        <v/>
      </c>
      <c r="Q277">
        <f t="shared" ca="1" si="19"/>
        <v>0</v>
      </c>
      <c r="R277" t="str">
        <f ca="1">IF($Q277=1,SUM($Q$4:$Q277),"")</f>
        <v/>
      </c>
    </row>
    <row r="278" spans="1:18" ht="14.25" customHeight="1" x14ac:dyDescent="0.3">
      <c r="A278" s="2"/>
      <c r="B278" s="2"/>
      <c r="C278" s="3"/>
      <c r="D278" s="3"/>
      <c r="E278" s="2"/>
      <c r="F278" s="2"/>
      <c r="G278" s="5"/>
      <c r="H278" s="5"/>
      <c r="I278" s="4"/>
      <c r="J278" s="6" t="str">
        <f t="shared" si="18"/>
        <v/>
      </c>
      <c r="K278" s="4" t="str">
        <f t="shared" ca="1" si="21"/>
        <v/>
      </c>
      <c r="L278" s="7" t="str">
        <f t="shared" ca="1" si="20"/>
        <v/>
      </c>
      <c r="M278" s="4" t="str">
        <f>IF($I278="Complete","Green",IF($H278="","Amber",IF($H278&lt;'[2]Read Me'!$B$4,"Red",IF($H278-'[2]Read Me'!$B$4&lt;=21,"Amber","Green"))))</f>
        <v>Amber</v>
      </c>
      <c r="N278" s="3"/>
      <c r="O278" t="str">
        <f>IF($I278&lt;&gt;"Complete",IF(COUNTIFS($A$4:$A277,$A278,$B$4:$B277,$B278,$I$4:$I277,"&lt;&gt;Complete")=0,$A278&amp;"|"&amp;$B278,""),"")</f>
        <v>|</v>
      </c>
      <c r="P278" t="str">
        <f ca="1">IF($K278="Yes",COUNTIFS($K$4:$K278,"Yes"),"")</f>
        <v/>
      </c>
      <c r="Q278">
        <f t="shared" ca="1" si="19"/>
        <v>0</v>
      </c>
      <c r="R278" t="str">
        <f ca="1">IF($Q278=1,SUM($Q$4:$Q278),"")</f>
        <v/>
      </c>
    </row>
    <row r="279" spans="1:18" ht="14.25" customHeight="1" x14ac:dyDescent="0.3">
      <c r="A279" s="2"/>
      <c r="B279" s="2"/>
      <c r="C279" s="3"/>
      <c r="D279" s="3"/>
      <c r="E279" s="2"/>
      <c r="F279" s="2"/>
      <c r="G279" s="5"/>
      <c r="H279" s="5"/>
      <c r="I279" s="4"/>
      <c r="J279" s="6" t="str">
        <f t="shared" si="18"/>
        <v/>
      </c>
      <c r="K279" s="4" t="str">
        <f t="shared" ca="1" si="21"/>
        <v/>
      </c>
      <c r="L279" s="7" t="str">
        <f t="shared" ca="1" si="20"/>
        <v/>
      </c>
      <c r="M279" s="4" t="str">
        <f>IF($I279="Complete","Green",IF($H279="","Amber",IF($H279&lt;'[2]Read Me'!$B$4,"Red",IF($H279-'[2]Read Me'!$B$4&lt;=21,"Amber","Green"))))</f>
        <v>Amber</v>
      </c>
      <c r="N279" s="3"/>
      <c r="O279" t="str">
        <f>IF($I279&lt;&gt;"Complete",IF(COUNTIFS($A$4:$A278,$A279,$B$4:$B278,$B279,$I$4:$I278,"&lt;&gt;Complete")=0,$A279&amp;"|"&amp;$B279,""),"")</f>
        <v>|</v>
      </c>
      <c r="P279" t="str">
        <f ca="1">IF($K279="Yes",COUNTIFS($K$4:$K279,"Yes"),"")</f>
        <v/>
      </c>
      <c r="Q279">
        <f t="shared" ca="1" si="19"/>
        <v>0</v>
      </c>
      <c r="R279" t="str">
        <f ca="1">IF($Q279=1,SUM($Q$4:$Q279),"")</f>
        <v/>
      </c>
    </row>
    <row r="280" spans="1:18" ht="14.25" customHeight="1" x14ac:dyDescent="0.3">
      <c r="A280" s="2"/>
      <c r="B280" s="2"/>
      <c r="C280" s="3"/>
      <c r="D280" s="3"/>
      <c r="E280" s="2"/>
      <c r="F280" s="2"/>
      <c r="G280" s="5"/>
      <c r="H280" s="5"/>
      <c r="I280" s="4"/>
      <c r="J280" s="6" t="str">
        <f t="shared" si="18"/>
        <v/>
      </c>
      <c r="K280" s="4" t="str">
        <f t="shared" ca="1" si="21"/>
        <v/>
      </c>
      <c r="L280" s="7" t="str">
        <f t="shared" ca="1" si="20"/>
        <v/>
      </c>
      <c r="M280" s="4" t="str">
        <f>IF($I280="Complete","Green",IF($H280="","Amber",IF($H280&lt;'[2]Read Me'!$B$4,"Red",IF($H280-'[2]Read Me'!$B$4&lt;=21,"Amber","Green"))))</f>
        <v>Amber</v>
      </c>
      <c r="N280" s="3"/>
      <c r="O280" t="str">
        <f>IF($I280&lt;&gt;"Complete",IF(COUNTIFS($A$4:$A279,$A280,$B$4:$B279,$B280,$I$4:$I279,"&lt;&gt;Complete")=0,$A280&amp;"|"&amp;$B280,""),"")</f>
        <v>|</v>
      </c>
      <c r="P280" t="str">
        <f ca="1">IF($K280="Yes",COUNTIFS($K$4:$K280,"Yes"),"")</f>
        <v/>
      </c>
      <c r="Q280">
        <f t="shared" ca="1" si="19"/>
        <v>0</v>
      </c>
      <c r="R280" t="str">
        <f ca="1">IF($Q280=1,SUM($Q$4:$Q280),"")</f>
        <v/>
      </c>
    </row>
    <row r="281" spans="1:18" ht="14.25" customHeight="1" x14ac:dyDescent="0.3">
      <c r="A281" s="2"/>
      <c r="B281" s="2"/>
      <c r="C281" s="3"/>
      <c r="D281" s="3"/>
      <c r="E281" s="2"/>
      <c r="F281" s="2"/>
      <c r="G281" s="5"/>
      <c r="H281" s="5"/>
      <c r="I281" s="4"/>
      <c r="J281" s="6" t="str">
        <f t="shared" si="18"/>
        <v/>
      </c>
      <c r="K281" s="4" t="str">
        <f t="shared" ca="1" si="21"/>
        <v/>
      </c>
      <c r="L281" s="7" t="str">
        <f t="shared" ca="1" si="20"/>
        <v/>
      </c>
      <c r="M281" s="4" t="str">
        <f>IF($I281="Complete","Green",IF($H281="","Amber",IF($H281&lt;'[2]Read Me'!$B$4,"Red",IF($H281-'[2]Read Me'!$B$4&lt;=21,"Amber","Green"))))</f>
        <v>Amber</v>
      </c>
      <c r="N281" s="3"/>
      <c r="O281" t="str">
        <f>IF($I281&lt;&gt;"Complete",IF(COUNTIFS($A$4:$A280,$A281,$B$4:$B280,$B281,$I$4:$I280,"&lt;&gt;Complete")=0,$A281&amp;"|"&amp;$B281,""),"")</f>
        <v>|</v>
      </c>
      <c r="P281" t="str">
        <f ca="1">IF($K281="Yes",COUNTIFS($K$4:$K281,"Yes"),"")</f>
        <v/>
      </c>
      <c r="Q281">
        <f t="shared" ca="1" si="19"/>
        <v>0</v>
      </c>
      <c r="R281" t="str">
        <f ca="1">IF($Q281=1,SUM($Q$4:$Q281),"")</f>
        <v/>
      </c>
    </row>
    <row r="282" spans="1:18" ht="14.25" customHeight="1" x14ac:dyDescent="0.3">
      <c r="A282" s="2"/>
      <c r="B282" s="2"/>
      <c r="C282" s="3"/>
      <c r="D282" s="3"/>
      <c r="E282" s="2"/>
      <c r="F282" s="2"/>
      <c r="G282" s="5"/>
      <c r="H282" s="5"/>
      <c r="I282" s="4"/>
      <c r="J282" s="6" t="str">
        <f t="shared" si="18"/>
        <v/>
      </c>
      <c r="K282" s="4" t="str">
        <f t="shared" ca="1" si="21"/>
        <v/>
      </c>
      <c r="L282" s="7" t="str">
        <f t="shared" ca="1" si="20"/>
        <v/>
      </c>
      <c r="M282" s="4" t="str">
        <f>IF($I282="Complete","Green",IF($H282="","Amber",IF($H282&lt;'[2]Read Me'!$B$4,"Red",IF($H282-'[2]Read Me'!$B$4&lt;=21,"Amber","Green"))))</f>
        <v>Amber</v>
      </c>
      <c r="N282" s="3"/>
      <c r="O282" t="str">
        <f>IF($I282&lt;&gt;"Complete",IF(COUNTIFS($A$4:$A281,$A282,$B$4:$B281,$B282,$I$4:$I281,"&lt;&gt;Complete")=0,$A282&amp;"|"&amp;$B282,""),"")</f>
        <v>|</v>
      </c>
      <c r="P282" t="str">
        <f ca="1">IF($K282="Yes",COUNTIFS($K$4:$K282,"Yes"),"")</f>
        <v/>
      </c>
      <c r="Q282">
        <f t="shared" ca="1" si="19"/>
        <v>0</v>
      </c>
      <c r="R282" t="str">
        <f ca="1">IF($Q282=1,SUM($Q$4:$Q282),"")</f>
        <v/>
      </c>
    </row>
    <row r="283" spans="1:18" ht="14.25" customHeight="1" x14ac:dyDescent="0.3">
      <c r="A283" s="2"/>
      <c r="B283" s="2"/>
      <c r="C283" s="3"/>
      <c r="D283" s="3"/>
      <c r="E283" s="2"/>
      <c r="F283" s="2"/>
      <c r="G283" s="5"/>
      <c r="H283" s="5"/>
      <c r="I283" s="4"/>
      <c r="J283" s="6" t="str">
        <f t="shared" si="18"/>
        <v/>
      </c>
      <c r="K283" s="4" t="str">
        <f t="shared" ca="1" si="21"/>
        <v/>
      </c>
      <c r="L283" s="7" t="str">
        <f t="shared" ca="1" si="20"/>
        <v/>
      </c>
      <c r="M283" s="4" t="str">
        <f>IF($I283="Complete","Green",IF($H283="","Amber",IF($H283&lt;'[2]Read Me'!$B$4,"Red",IF($H283-'[2]Read Me'!$B$4&lt;=21,"Amber","Green"))))</f>
        <v>Amber</v>
      </c>
      <c r="N283" s="3"/>
      <c r="O283" t="str">
        <f>IF($I283&lt;&gt;"Complete",IF(COUNTIFS($A$4:$A282,$A283,$B$4:$B282,$B283,$I$4:$I282,"&lt;&gt;Complete")=0,$A283&amp;"|"&amp;$B283,""),"")</f>
        <v>|</v>
      </c>
      <c r="P283" t="str">
        <f ca="1">IF($K283="Yes",COUNTIFS($K$4:$K283,"Yes"),"")</f>
        <v/>
      </c>
      <c r="Q283">
        <f t="shared" ca="1" si="19"/>
        <v>0</v>
      </c>
      <c r="R283" t="str">
        <f ca="1">IF($Q283=1,SUM($Q$4:$Q283),"")</f>
        <v/>
      </c>
    </row>
    <row r="284" spans="1:18" ht="14.25" customHeight="1" x14ac:dyDescent="0.3">
      <c r="A284" s="2"/>
      <c r="B284" s="2"/>
      <c r="C284" s="3"/>
      <c r="D284" s="3"/>
      <c r="E284" s="2"/>
      <c r="F284" s="2"/>
      <c r="G284" s="5"/>
      <c r="H284" s="5"/>
      <c r="I284" s="4"/>
      <c r="J284" s="6" t="str">
        <f t="shared" si="18"/>
        <v/>
      </c>
      <c r="K284" s="4" t="str">
        <f t="shared" ca="1" si="21"/>
        <v/>
      </c>
      <c r="L284" s="7" t="str">
        <f t="shared" ca="1" si="20"/>
        <v/>
      </c>
      <c r="M284" s="4" t="str">
        <f>IF($I284="Complete","Green",IF($H284="","Amber",IF($H284&lt;'[2]Read Me'!$B$4,"Red",IF($H284-'[2]Read Me'!$B$4&lt;=21,"Amber","Green"))))</f>
        <v>Amber</v>
      </c>
      <c r="N284" s="3"/>
      <c r="O284" t="str">
        <f>IF($I284&lt;&gt;"Complete",IF(COUNTIFS($A$4:$A283,$A284,$B$4:$B283,$B284,$I$4:$I283,"&lt;&gt;Complete")=0,$A284&amp;"|"&amp;$B284,""),"")</f>
        <v>|</v>
      </c>
      <c r="P284" t="str">
        <f ca="1">IF($K284="Yes",COUNTIFS($K$4:$K284,"Yes"),"")</f>
        <v/>
      </c>
      <c r="Q284">
        <f t="shared" ca="1" si="19"/>
        <v>0</v>
      </c>
      <c r="R284" t="str">
        <f ca="1">IF($Q284=1,SUM($Q$4:$Q284),"")</f>
        <v/>
      </c>
    </row>
    <row r="285" spans="1:18" ht="14.25" customHeight="1" x14ac:dyDescent="0.3">
      <c r="A285" s="2"/>
      <c r="B285" s="2"/>
      <c r="C285" s="3"/>
      <c r="D285" s="3"/>
      <c r="E285" s="2"/>
      <c r="F285" s="2"/>
      <c r="G285" s="5"/>
      <c r="H285" s="5"/>
      <c r="I285" s="4"/>
      <c r="J285" s="6" t="str">
        <f t="shared" si="18"/>
        <v/>
      </c>
      <c r="K285" s="4" t="str">
        <f t="shared" ca="1" si="21"/>
        <v/>
      </c>
      <c r="L285" s="7" t="str">
        <f t="shared" ca="1" si="20"/>
        <v/>
      </c>
      <c r="M285" s="4" t="str">
        <f>IF($I285="Complete","Green",IF($H285="","Amber",IF($H285&lt;'[2]Read Me'!$B$4,"Red",IF($H285-'[2]Read Me'!$B$4&lt;=21,"Amber","Green"))))</f>
        <v>Amber</v>
      </c>
      <c r="N285" s="3"/>
      <c r="O285" t="str">
        <f>IF($I285&lt;&gt;"Complete",IF(COUNTIFS($A$4:$A284,$A285,$B$4:$B284,$B285,$I$4:$I284,"&lt;&gt;Complete")=0,$A285&amp;"|"&amp;$B285,""),"")</f>
        <v>|</v>
      </c>
      <c r="P285" t="str">
        <f ca="1">IF($K285="Yes",COUNTIFS($K$4:$K285,"Yes"),"")</f>
        <v/>
      </c>
      <c r="Q285">
        <f t="shared" ca="1" si="19"/>
        <v>0</v>
      </c>
      <c r="R285" t="str">
        <f ca="1">IF($Q285=1,SUM($Q$4:$Q285),"")</f>
        <v/>
      </c>
    </row>
    <row r="286" spans="1:18" ht="14.25" customHeight="1" x14ac:dyDescent="0.3">
      <c r="A286" s="2"/>
      <c r="B286" s="2"/>
      <c r="C286" s="3"/>
      <c r="D286" s="3"/>
      <c r="E286" s="2"/>
      <c r="F286" s="2"/>
      <c r="G286" s="5"/>
      <c r="H286" s="5"/>
      <c r="I286" s="4"/>
      <c r="J286" s="6" t="str">
        <f t="shared" si="18"/>
        <v/>
      </c>
      <c r="K286" s="4" t="str">
        <f t="shared" ca="1" si="21"/>
        <v/>
      </c>
      <c r="L286" s="7" t="str">
        <f t="shared" ca="1" si="20"/>
        <v/>
      </c>
      <c r="M286" s="4" t="str">
        <f>IF($I286="Complete","Green",IF($H286="","Amber",IF($H286&lt;'[2]Read Me'!$B$4,"Red",IF($H286-'[2]Read Me'!$B$4&lt;=21,"Amber","Green"))))</f>
        <v>Amber</v>
      </c>
      <c r="N286" s="3"/>
      <c r="O286" t="str">
        <f>IF($I286&lt;&gt;"Complete",IF(COUNTIFS($A$4:$A285,$A286,$B$4:$B285,$B286,$I$4:$I285,"&lt;&gt;Complete")=0,$A286&amp;"|"&amp;$B286,""),"")</f>
        <v>|</v>
      </c>
      <c r="P286" t="str">
        <f ca="1">IF($K286="Yes",COUNTIFS($K$4:$K286,"Yes"),"")</f>
        <v/>
      </c>
      <c r="Q286">
        <f t="shared" ca="1" si="19"/>
        <v>0</v>
      </c>
      <c r="R286" t="str">
        <f ca="1">IF($Q286=1,SUM($Q$4:$Q286),"")</f>
        <v/>
      </c>
    </row>
    <row r="287" spans="1:18" ht="14.25" customHeight="1" x14ac:dyDescent="0.3">
      <c r="A287" s="2"/>
      <c r="B287" s="2"/>
      <c r="C287" s="3"/>
      <c r="D287" s="3"/>
      <c r="E287" s="2"/>
      <c r="F287" s="2"/>
      <c r="G287" s="5"/>
      <c r="H287" s="5"/>
      <c r="I287" s="4"/>
      <c r="J287" s="6" t="str">
        <f t="shared" si="18"/>
        <v/>
      </c>
      <c r="K287" s="4" t="str">
        <f t="shared" ca="1" si="21"/>
        <v/>
      </c>
      <c r="L287" s="7" t="str">
        <f t="shared" ca="1" si="20"/>
        <v/>
      </c>
      <c r="M287" s="4" t="str">
        <f>IF($I287="Complete","Green",IF($H287="","Amber",IF($H287&lt;'[2]Read Me'!$B$4,"Red",IF($H287-'[2]Read Me'!$B$4&lt;=21,"Amber","Green"))))</f>
        <v>Amber</v>
      </c>
      <c r="N287" s="3"/>
      <c r="O287" t="str">
        <f>IF($I287&lt;&gt;"Complete",IF(COUNTIFS($A$4:$A286,$A287,$B$4:$B286,$B287,$I$4:$I286,"&lt;&gt;Complete")=0,$A287&amp;"|"&amp;$B287,""),"")</f>
        <v>|</v>
      </c>
      <c r="P287" t="str">
        <f ca="1">IF($K287="Yes",COUNTIFS($K$4:$K287,"Yes"),"")</f>
        <v/>
      </c>
      <c r="Q287">
        <f t="shared" ca="1" si="19"/>
        <v>0</v>
      </c>
      <c r="R287" t="str">
        <f ca="1">IF($Q287=1,SUM($Q$4:$Q287),"")</f>
        <v/>
      </c>
    </row>
    <row r="288" spans="1:18" ht="14.25" customHeight="1" x14ac:dyDescent="0.3">
      <c r="A288" s="2"/>
      <c r="B288" s="2"/>
      <c r="C288" s="3"/>
      <c r="D288" s="3"/>
      <c r="E288" s="2"/>
      <c r="F288" s="2"/>
      <c r="G288" s="5"/>
      <c r="H288" s="5"/>
      <c r="I288" s="4"/>
      <c r="J288" s="6" t="str">
        <f t="shared" si="18"/>
        <v/>
      </c>
      <c r="K288" s="4" t="str">
        <f t="shared" ca="1" si="21"/>
        <v/>
      </c>
      <c r="L288" s="7" t="str">
        <f t="shared" ca="1" si="20"/>
        <v/>
      </c>
      <c r="M288" s="4" t="str">
        <f>IF($I288="Complete","Green",IF($H288="","Amber",IF($H288&lt;'[2]Read Me'!$B$4,"Red",IF($H288-'[2]Read Me'!$B$4&lt;=21,"Amber","Green"))))</f>
        <v>Amber</v>
      </c>
      <c r="N288" s="3"/>
      <c r="O288" t="str">
        <f>IF($I288&lt;&gt;"Complete",IF(COUNTIFS($A$4:$A287,$A288,$B$4:$B287,$B288,$I$4:$I287,"&lt;&gt;Complete")=0,$A288&amp;"|"&amp;$B288,""),"")</f>
        <v>|</v>
      </c>
      <c r="P288" t="str">
        <f ca="1">IF($K288="Yes",COUNTIFS($K$4:$K288,"Yes"),"")</f>
        <v/>
      </c>
      <c r="Q288">
        <f t="shared" ca="1" si="19"/>
        <v>0</v>
      </c>
      <c r="R288" t="str">
        <f ca="1">IF($Q288=1,SUM($Q$4:$Q288),"")</f>
        <v/>
      </c>
    </row>
    <row r="289" spans="1:18" ht="14.25" customHeight="1" x14ac:dyDescent="0.3">
      <c r="A289" s="2"/>
      <c r="B289" s="2"/>
      <c r="C289" s="3"/>
      <c r="D289" s="3"/>
      <c r="E289" s="2"/>
      <c r="F289" s="2"/>
      <c r="G289" s="5"/>
      <c r="H289" s="5"/>
      <c r="I289" s="4"/>
      <c r="J289" s="6" t="str">
        <f t="shared" si="18"/>
        <v/>
      </c>
      <c r="K289" s="4" t="str">
        <f t="shared" ca="1" si="21"/>
        <v/>
      </c>
      <c r="L289" s="7" t="str">
        <f t="shared" ca="1" si="20"/>
        <v/>
      </c>
      <c r="M289" s="4" t="str">
        <f>IF($I289="Complete","Green",IF($H289="","Amber",IF($H289&lt;'[2]Read Me'!$B$4,"Red",IF($H289-'[2]Read Me'!$B$4&lt;=21,"Amber","Green"))))</f>
        <v>Amber</v>
      </c>
      <c r="N289" s="3"/>
      <c r="O289" t="str">
        <f>IF($I289&lt;&gt;"Complete",IF(COUNTIFS($A$4:$A288,$A289,$B$4:$B288,$B289,$I$4:$I288,"&lt;&gt;Complete")=0,$A289&amp;"|"&amp;$B289,""),"")</f>
        <v>|</v>
      </c>
      <c r="P289" t="str">
        <f ca="1">IF($K289="Yes",COUNTIFS($K$4:$K289,"Yes"),"")</f>
        <v/>
      </c>
      <c r="Q289">
        <f t="shared" ca="1" si="19"/>
        <v>0</v>
      </c>
      <c r="R289" t="str">
        <f ca="1">IF($Q289=1,SUM($Q$4:$Q289),"")</f>
        <v/>
      </c>
    </row>
    <row r="290" spans="1:18" ht="14.25" customHeight="1" x14ac:dyDescent="0.3">
      <c r="A290" s="2"/>
      <c r="B290" s="2"/>
      <c r="C290" s="3"/>
      <c r="D290" s="3"/>
      <c r="E290" s="2"/>
      <c r="F290" s="2"/>
      <c r="G290" s="5"/>
      <c r="H290" s="5"/>
      <c r="I290" s="4"/>
      <c r="J290" s="6" t="str">
        <f t="shared" si="18"/>
        <v/>
      </c>
      <c r="K290" s="4" t="str">
        <f t="shared" ca="1" si="21"/>
        <v/>
      </c>
      <c r="L290" s="7" t="str">
        <f t="shared" ca="1" si="20"/>
        <v/>
      </c>
      <c r="M290" s="4" t="str">
        <f>IF($I290="Complete","Green",IF($H290="","Amber",IF($H290&lt;'[2]Read Me'!$B$4,"Red",IF($H290-'[2]Read Me'!$B$4&lt;=21,"Amber","Green"))))</f>
        <v>Amber</v>
      </c>
      <c r="N290" s="3"/>
      <c r="O290" t="str">
        <f>IF($I290&lt;&gt;"Complete",IF(COUNTIFS($A$4:$A289,$A290,$B$4:$B289,$B290,$I$4:$I289,"&lt;&gt;Complete")=0,$A290&amp;"|"&amp;$B290,""),"")</f>
        <v>|</v>
      </c>
      <c r="P290" t="str">
        <f ca="1">IF($K290="Yes",COUNTIFS($K$4:$K290,"Yes"),"")</f>
        <v/>
      </c>
      <c r="Q290">
        <f t="shared" ca="1" si="19"/>
        <v>0</v>
      </c>
      <c r="R290" t="str">
        <f ca="1">IF($Q290=1,SUM($Q$4:$Q290),"")</f>
        <v/>
      </c>
    </row>
    <row r="291" spans="1:18" ht="14.25" customHeight="1" x14ac:dyDescent="0.3">
      <c r="A291" s="2"/>
      <c r="B291" s="2"/>
      <c r="C291" s="3"/>
      <c r="D291" s="3"/>
      <c r="E291" s="2"/>
      <c r="F291" s="2"/>
      <c r="G291" s="5"/>
      <c r="H291" s="5"/>
      <c r="I291" s="4"/>
      <c r="J291" s="6" t="str">
        <f t="shared" si="18"/>
        <v/>
      </c>
      <c r="K291" s="4" t="str">
        <f t="shared" ca="1" si="21"/>
        <v/>
      </c>
      <c r="L291" s="7" t="str">
        <f t="shared" ca="1" si="20"/>
        <v/>
      </c>
      <c r="M291" s="4" t="str">
        <f>IF($I291="Complete","Green",IF($H291="","Amber",IF($H291&lt;'[2]Read Me'!$B$4,"Red",IF($H291-'[2]Read Me'!$B$4&lt;=21,"Amber","Green"))))</f>
        <v>Amber</v>
      </c>
      <c r="N291" s="3"/>
      <c r="O291" t="str">
        <f>IF($I291&lt;&gt;"Complete",IF(COUNTIFS($A$4:$A290,$A291,$B$4:$B290,$B291,$I$4:$I290,"&lt;&gt;Complete")=0,$A291&amp;"|"&amp;$B291,""),"")</f>
        <v>|</v>
      </c>
      <c r="P291" t="str">
        <f ca="1">IF($K291="Yes",COUNTIFS($K$4:$K291,"Yes"),"")</f>
        <v/>
      </c>
      <c r="Q291">
        <f t="shared" ca="1" si="19"/>
        <v>0</v>
      </c>
      <c r="R291" t="str">
        <f ca="1">IF($Q291=1,SUM($Q$4:$Q291),"")</f>
        <v/>
      </c>
    </row>
    <row r="292" spans="1:18" ht="14.25" customHeight="1" x14ac:dyDescent="0.3">
      <c r="A292" s="2"/>
      <c r="B292" s="2"/>
      <c r="C292" s="3"/>
      <c r="D292" s="3"/>
      <c r="E292" s="2"/>
      <c r="F292" s="2"/>
      <c r="G292" s="5"/>
      <c r="H292" s="5"/>
      <c r="I292" s="4"/>
      <c r="J292" s="6" t="str">
        <f t="shared" si="18"/>
        <v/>
      </c>
      <c r="K292" s="4" t="str">
        <f t="shared" ca="1" si="21"/>
        <v/>
      </c>
      <c r="L292" s="7" t="str">
        <f t="shared" ca="1" si="20"/>
        <v/>
      </c>
      <c r="M292" s="4" t="str">
        <f>IF($I292="Complete","Green",IF($H292="","Amber",IF($H292&lt;'[2]Read Me'!$B$4,"Red",IF($H292-'[2]Read Me'!$B$4&lt;=21,"Amber","Green"))))</f>
        <v>Amber</v>
      </c>
      <c r="N292" s="3"/>
      <c r="O292" t="str">
        <f>IF($I292&lt;&gt;"Complete",IF(COUNTIFS($A$4:$A291,$A292,$B$4:$B291,$B292,$I$4:$I291,"&lt;&gt;Complete")=0,$A292&amp;"|"&amp;$B292,""),"")</f>
        <v>|</v>
      </c>
      <c r="P292" t="str">
        <f ca="1">IF($K292="Yes",COUNTIFS($K$4:$K292,"Yes"),"")</f>
        <v/>
      </c>
      <c r="Q292">
        <f t="shared" ca="1" si="19"/>
        <v>0</v>
      </c>
      <c r="R292" t="str">
        <f ca="1">IF($Q292=1,SUM($Q$4:$Q292),"")</f>
        <v/>
      </c>
    </row>
    <row r="293" spans="1:18" ht="22.5" customHeight="1" x14ac:dyDescent="0.3">
      <c r="A293" s="2"/>
      <c r="B293" s="2"/>
      <c r="C293" s="3"/>
      <c r="D293" s="3"/>
      <c r="E293" s="2"/>
      <c r="F293" s="2"/>
      <c r="G293" s="5"/>
      <c r="H293" s="5"/>
      <c r="I293" s="4"/>
      <c r="J293" s="6" t="str">
        <f t="shared" si="18"/>
        <v/>
      </c>
      <c r="K293" s="4" t="str">
        <f t="shared" ca="1" si="21"/>
        <v/>
      </c>
      <c r="L293" s="7" t="str">
        <f t="shared" ca="1" si="20"/>
        <v/>
      </c>
      <c r="M293" s="4" t="str">
        <f>IF($I293="Complete","Green",IF($H293="","Amber",IF($H293&lt;'[2]Read Me'!$B$4,"Red",IF($H293-'[2]Read Me'!$B$4&lt;=21,"Amber","Green"))))</f>
        <v>Amber</v>
      </c>
      <c r="N293" s="3"/>
      <c r="O293" t="str">
        <f>IF($I293&lt;&gt;"Complete",IF(COUNTIFS($A$4:$A292,$A293,$B$4:$B292,$B293,$I$4:$I292,"&lt;&gt;Complete")=0,$A293&amp;"|"&amp;$B293,""),"")</f>
        <v>|</v>
      </c>
      <c r="P293" t="str">
        <f ca="1">IF($K293="Yes",COUNTIFS($K$4:$K293,"Yes"),"")</f>
        <v/>
      </c>
      <c r="Q293">
        <f t="shared" ca="1" si="19"/>
        <v>0</v>
      </c>
      <c r="R293" t="str">
        <f ca="1">IF($Q293=1,SUM($Q$4:$Q293),"")</f>
        <v/>
      </c>
    </row>
    <row r="294" spans="1:18" ht="22.5" customHeight="1" x14ac:dyDescent="0.3">
      <c r="A294" s="2"/>
      <c r="B294" s="2"/>
      <c r="C294" s="3"/>
      <c r="D294" s="3"/>
      <c r="E294" s="2"/>
      <c r="F294" s="2"/>
      <c r="G294" s="5"/>
      <c r="H294" s="5"/>
      <c r="I294" s="4"/>
      <c r="J294" s="6" t="str">
        <f t="shared" si="18"/>
        <v/>
      </c>
      <c r="K294" s="4" t="str">
        <f t="shared" ca="1" si="21"/>
        <v/>
      </c>
      <c r="L294" s="7" t="str">
        <f t="shared" ca="1" si="20"/>
        <v/>
      </c>
      <c r="M294" s="4" t="str">
        <f>IF($I294="Complete","Green",IF($H294="","Amber",IF($H294&lt;'[2]Read Me'!$B$4,"Red",IF($H294-'[2]Read Me'!$B$4&lt;=21,"Amber","Green"))))</f>
        <v>Amber</v>
      </c>
      <c r="N294" s="3"/>
      <c r="O294" t="str">
        <f>IF($I294&lt;&gt;"Complete",IF(COUNTIFS($A$4:$A293,$A294,$B$4:$B293,$B294,$I$4:$I293,"&lt;&gt;Complete")=0,$A294&amp;"|"&amp;$B294,""),"")</f>
        <v>|</v>
      </c>
      <c r="P294" t="str">
        <f ca="1">IF($K294="Yes",COUNTIFS($K$4:$K294,"Yes"),"")</f>
        <v/>
      </c>
      <c r="Q294">
        <f t="shared" ca="1" si="19"/>
        <v>0</v>
      </c>
      <c r="R294" t="str">
        <f ca="1">IF($Q294=1,SUM($Q$4:$Q294),"")</f>
        <v/>
      </c>
    </row>
    <row r="295" spans="1:18" ht="22.5" customHeight="1" x14ac:dyDescent="0.3">
      <c r="A295" s="2"/>
      <c r="B295" s="2"/>
      <c r="C295" s="3"/>
      <c r="D295" s="3"/>
      <c r="E295" s="2"/>
      <c r="F295" s="2"/>
      <c r="G295" s="5"/>
      <c r="H295" s="5"/>
      <c r="I295" s="4"/>
      <c r="J295" s="6" t="str">
        <f t="shared" si="18"/>
        <v/>
      </c>
      <c r="K295" s="4" t="str">
        <f t="shared" ca="1" si="21"/>
        <v/>
      </c>
      <c r="L295" s="7" t="str">
        <f t="shared" ca="1" si="20"/>
        <v/>
      </c>
      <c r="M295" s="4" t="str">
        <f>IF($I295="Complete","Green",IF($H295="","Amber",IF($H295&lt;'[2]Read Me'!$B$4,"Red",IF($H295-'[2]Read Me'!$B$4&lt;=21,"Amber","Green"))))</f>
        <v>Amber</v>
      </c>
      <c r="N295" s="3"/>
      <c r="O295" t="str">
        <f>IF($I295&lt;&gt;"Complete",IF(COUNTIFS($A$4:$A294,$A295,$B$4:$B294,$B295,$I$4:$I294,"&lt;&gt;Complete")=0,$A295&amp;"|"&amp;$B295,""),"")</f>
        <v>|</v>
      </c>
      <c r="P295" t="str">
        <f ca="1">IF($K295="Yes",COUNTIFS($K$4:$K295,"Yes"),"")</f>
        <v/>
      </c>
      <c r="Q295">
        <f t="shared" ca="1" si="19"/>
        <v>0</v>
      </c>
      <c r="R295" t="str">
        <f ca="1">IF($Q295=1,SUM($Q$4:$Q295),"")</f>
        <v/>
      </c>
    </row>
    <row r="296" spans="1:18" ht="22.5" customHeight="1" x14ac:dyDescent="0.3">
      <c r="A296" s="2"/>
      <c r="B296" s="2"/>
      <c r="C296" s="3"/>
      <c r="D296" s="3"/>
      <c r="E296" s="2"/>
      <c r="F296" s="2"/>
      <c r="G296" s="5"/>
      <c r="H296" s="5"/>
      <c r="I296" s="4"/>
      <c r="J296" s="6" t="str">
        <f t="shared" si="18"/>
        <v/>
      </c>
      <c r="K296" s="4" t="str">
        <f t="shared" ca="1" si="21"/>
        <v/>
      </c>
      <c r="L296" s="7" t="str">
        <f t="shared" ca="1" si="20"/>
        <v/>
      </c>
      <c r="M296" s="4" t="str">
        <f>IF($I296="Complete","Green",IF($H296="","Amber",IF($H296&lt;'[2]Read Me'!$B$4,"Red",IF($H296-'[2]Read Me'!$B$4&lt;=21,"Amber","Green"))))</f>
        <v>Amber</v>
      </c>
      <c r="N296" s="3"/>
      <c r="O296" t="str">
        <f>IF($I296&lt;&gt;"Complete",IF(COUNTIFS($A$4:$A295,$A296,$B$4:$B295,$B296,$I$4:$I295,"&lt;&gt;Complete")=0,$A296&amp;"|"&amp;$B296,""),"")</f>
        <v>|</v>
      </c>
      <c r="P296" t="str">
        <f ca="1">IF($K296="Yes",COUNTIFS($K$4:$K296,"Yes"),"")</f>
        <v/>
      </c>
      <c r="Q296">
        <f t="shared" ca="1" si="19"/>
        <v>0</v>
      </c>
      <c r="R296" t="str">
        <f ca="1">IF($Q296=1,SUM($Q$4:$Q296),"")</f>
        <v/>
      </c>
    </row>
    <row r="297" spans="1:18" ht="22.5" customHeight="1" x14ac:dyDescent="0.3">
      <c r="A297" s="2"/>
      <c r="B297" s="2"/>
      <c r="C297" s="3"/>
      <c r="D297" s="3"/>
      <c r="E297" s="2"/>
      <c r="F297" s="2"/>
      <c r="G297" s="5"/>
      <c r="H297" s="5"/>
      <c r="I297" s="4"/>
      <c r="J297" s="6" t="str">
        <f t="shared" si="18"/>
        <v/>
      </c>
      <c r="K297" s="4" t="str">
        <f t="shared" ca="1" si="21"/>
        <v/>
      </c>
      <c r="L297" s="7" t="str">
        <f t="shared" ca="1" si="20"/>
        <v/>
      </c>
      <c r="M297" s="4" t="str">
        <f>IF($I297="Complete","Green",IF($H297="","Amber",IF($H297&lt;'[2]Read Me'!$B$4,"Red",IF($H297-'[2]Read Me'!$B$4&lt;=21,"Amber","Green"))))</f>
        <v>Amber</v>
      </c>
      <c r="N297" s="3"/>
      <c r="O297" t="str">
        <f>IF($I297&lt;&gt;"Complete",IF(COUNTIFS($A$4:$A296,$A297,$B$4:$B296,$B297,$I$4:$I296,"&lt;&gt;Complete")=0,$A297&amp;"|"&amp;$B297,""),"")</f>
        <v>|</v>
      </c>
      <c r="P297" t="str">
        <f ca="1">IF($K297="Yes",COUNTIFS($K$4:$K297,"Yes"),"")</f>
        <v/>
      </c>
      <c r="Q297">
        <f t="shared" ca="1" si="19"/>
        <v>0</v>
      </c>
      <c r="R297" t="str">
        <f ca="1">IF($Q297=1,SUM($Q$4:$Q297),"")</f>
        <v/>
      </c>
    </row>
    <row r="298" spans="1:18" ht="22.5" customHeight="1" x14ac:dyDescent="0.3">
      <c r="A298" s="2"/>
      <c r="B298" s="2"/>
      <c r="C298" s="3"/>
      <c r="D298" s="3"/>
      <c r="E298" s="2"/>
      <c r="F298" s="2"/>
      <c r="G298" s="5"/>
      <c r="H298" s="5"/>
      <c r="I298" s="4"/>
      <c r="J298" s="6" t="str">
        <f t="shared" si="18"/>
        <v/>
      </c>
      <c r="K298" s="4" t="str">
        <f t="shared" ca="1" si="21"/>
        <v/>
      </c>
      <c r="L298" s="7" t="str">
        <f t="shared" ca="1" si="20"/>
        <v/>
      </c>
      <c r="M298" s="4" t="str">
        <f>IF($I298="Complete","Green",IF($H298="","Amber",IF($H298&lt;'[2]Read Me'!$B$4,"Red",IF($H298-'[2]Read Me'!$B$4&lt;=21,"Amber","Green"))))</f>
        <v>Amber</v>
      </c>
      <c r="N298" s="3"/>
      <c r="O298" t="str">
        <f>IF($I298&lt;&gt;"Complete",IF(COUNTIFS($A$4:$A297,$A298,$B$4:$B297,$B298,$I$4:$I297,"&lt;&gt;Complete")=0,$A298&amp;"|"&amp;$B298,""),"")</f>
        <v>|</v>
      </c>
      <c r="P298" t="str">
        <f ca="1">IF($K298="Yes",COUNTIFS($K$4:$K298,"Yes"),"")</f>
        <v/>
      </c>
      <c r="Q298">
        <f t="shared" ca="1" si="19"/>
        <v>0</v>
      </c>
      <c r="R298" t="str">
        <f ca="1">IF($Q298=1,SUM($Q$4:$Q298),"")</f>
        <v/>
      </c>
    </row>
    <row r="299" spans="1:18" ht="22.5" customHeight="1" x14ac:dyDescent="0.3">
      <c r="A299" s="2"/>
      <c r="B299" s="2"/>
      <c r="C299" s="3"/>
      <c r="D299" s="3"/>
      <c r="E299" s="2"/>
      <c r="F299" s="2"/>
      <c r="G299" s="5"/>
      <c r="H299" s="5"/>
      <c r="I299" s="4"/>
      <c r="J299" s="6" t="str">
        <f t="shared" si="18"/>
        <v/>
      </c>
      <c r="K299" s="4" t="str">
        <f t="shared" ca="1" si="21"/>
        <v/>
      </c>
      <c r="L299" s="7" t="str">
        <f t="shared" ca="1" si="20"/>
        <v/>
      </c>
      <c r="M299" s="4" t="str">
        <f>IF($I299="Complete","Green",IF($H299="","Amber",IF($H299&lt;'[2]Read Me'!$B$4,"Red",IF($H299-'[2]Read Me'!$B$4&lt;=21,"Amber","Green"))))</f>
        <v>Amber</v>
      </c>
      <c r="N299" s="3"/>
      <c r="O299" t="str">
        <f>IF($I299&lt;&gt;"Complete",IF(COUNTIFS($A$4:$A298,$A299,$B$4:$B298,$B299,$I$4:$I298,"&lt;&gt;Complete")=0,$A299&amp;"|"&amp;$B299,""),"")</f>
        <v>|</v>
      </c>
      <c r="P299" t="str">
        <f ca="1">IF($K299="Yes",COUNTIFS($K$4:$K299,"Yes"),"")</f>
        <v/>
      </c>
      <c r="Q299">
        <f t="shared" ca="1" si="19"/>
        <v>0</v>
      </c>
      <c r="R299" t="str">
        <f ca="1">IF($Q299=1,SUM($Q$4:$Q299),"")</f>
        <v/>
      </c>
    </row>
    <row r="300" spans="1:18" ht="22.5" customHeight="1" x14ac:dyDescent="0.3">
      <c r="A300" s="2"/>
      <c r="B300" s="2"/>
      <c r="C300" s="3"/>
      <c r="D300" s="3"/>
      <c r="E300" s="2"/>
      <c r="F300" s="2"/>
      <c r="G300" s="5"/>
      <c r="H300" s="5"/>
      <c r="I300" s="4"/>
      <c r="J300" s="6" t="str">
        <f t="shared" si="18"/>
        <v/>
      </c>
      <c r="K300" s="4" t="str">
        <f t="shared" ca="1" si="21"/>
        <v/>
      </c>
      <c r="L300" s="7" t="str">
        <f t="shared" ca="1" si="20"/>
        <v/>
      </c>
      <c r="M300" s="4" t="str">
        <f>IF($I300="Complete","Green",IF($H300="","Amber",IF($H300&lt;'[2]Read Me'!$B$4,"Red",IF($H300-'[2]Read Me'!$B$4&lt;=21,"Amber","Green"))))</f>
        <v>Amber</v>
      </c>
      <c r="N300" s="3"/>
      <c r="O300" t="str">
        <f>IF($I300&lt;&gt;"Complete",IF(COUNTIFS($A$4:$A299,$A300,$B$4:$B299,$B300,$I$4:$I299,"&lt;&gt;Complete")=0,$A300&amp;"|"&amp;$B300,""),"")</f>
        <v>|</v>
      </c>
      <c r="P300" t="str">
        <f ca="1">IF($K300="Yes",COUNTIFS($K$4:$K300,"Yes"),"")</f>
        <v/>
      </c>
      <c r="Q300">
        <f t="shared" ca="1" si="19"/>
        <v>0</v>
      </c>
      <c r="R300" t="str">
        <f ca="1">IF($Q300=1,SUM($Q$4:$Q300),"")</f>
        <v/>
      </c>
    </row>
    <row r="301" spans="1:18" ht="22.5" customHeight="1" x14ac:dyDescent="0.3">
      <c r="A301" s="2"/>
      <c r="B301" s="2"/>
      <c r="C301" s="3"/>
      <c r="D301" s="3"/>
      <c r="E301" s="2"/>
      <c r="F301" s="2"/>
      <c r="G301" s="5"/>
      <c r="H301" s="5"/>
      <c r="I301" s="4"/>
      <c r="J301" s="6" t="str">
        <f t="shared" si="18"/>
        <v/>
      </c>
      <c r="K301" s="4" t="str">
        <f t="shared" ca="1" si="21"/>
        <v/>
      </c>
      <c r="L301" s="7" t="str">
        <f t="shared" ca="1" si="20"/>
        <v/>
      </c>
      <c r="M301" s="4" t="str">
        <f>IF($I301="Complete","Green",IF($H301="","Amber",IF($H301&lt;'[2]Read Me'!$B$4,"Red",IF($H301-'[2]Read Me'!$B$4&lt;=21,"Amber","Green"))))</f>
        <v>Amber</v>
      </c>
      <c r="N301" s="3"/>
      <c r="O301" t="str">
        <f>IF($I301&lt;&gt;"Complete",IF(COUNTIFS($A$4:$A300,$A301,$B$4:$B300,$B301,$I$4:$I300,"&lt;&gt;Complete")=0,$A301&amp;"|"&amp;$B301,""),"")</f>
        <v>|</v>
      </c>
      <c r="P301" t="str">
        <f ca="1">IF($K301="Yes",COUNTIFS($K$4:$K301,"Yes"),"")</f>
        <v/>
      </c>
      <c r="Q301">
        <f t="shared" ca="1" si="19"/>
        <v>0</v>
      </c>
      <c r="R301" t="str">
        <f ca="1">IF($Q301=1,SUM($Q$4:$Q301),"")</f>
        <v/>
      </c>
    </row>
    <row r="302" spans="1:18" ht="22.5" customHeight="1" x14ac:dyDescent="0.3">
      <c r="A302" s="2"/>
      <c r="B302" s="2"/>
      <c r="C302" s="3"/>
      <c r="D302" s="3"/>
      <c r="E302" s="2"/>
      <c r="F302" s="2"/>
      <c r="G302" s="5"/>
      <c r="H302" s="5"/>
      <c r="I302" s="4"/>
      <c r="J302" s="6" t="str">
        <f t="shared" si="18"/>
        <v/>
      </c>
      <c r="K302" s="4" t="str">
        <f t="shared" ca="1" si="21"/>
        <v/>
      </c>
      <c r="L302" s="7" t="str">
        <f t="shared" ca="1" si="20"/>
        <v/>
      </c>
      <c r="M302" s="4" t="str">
        <f>IF($I302="Complete","Green",IF($H302="","Amber",IF($H302&lt;'[2]Read Me'!$B$4,"Red",IF($H302-'[2]Read Me'!$B$4&lt;=21,"Amber","Green"))))</f>
        <v>Amber</v>
      </c>
      <c r="N302" s="3"/>
      <c r="O302" t="str">
        <f>IF($I302&lt;&gt;"Complete",IF(COUNTIFS($A$4:$A301,$A302,$B$4:$B301,$B302,$I$4:$I301,"&lt;&gt;Complete")=0,$A302&amp;"|"&amp;$B302,""),"")</f>
        <v>|</v>
      </c>
      <c r="P302" t="str">
        <f ca="1">IF($K302="Yes",COUNTIFS($K$4:$K302,"Yes"),"")</f>
        <v/>
      </c>
      <c r="Q302">
        <f t="shared" ca="1" si="19"/>
        <v>0</v>
      </c>
      <c r="R302" t="str">
        <f ca="1">IF($Q302=1,SUM($Q$4:$Q302),"")</f>
        <v/>
      </c>
    </row>
    <row r="303" spans="1:18" ht="22.5" customHeight="1" x14ac:dyDescent="0.3">
      <c r="A303" s="2"/>
      <c r="B303" s="2"/>
      <c r="C303" s="3"/>
      <c r="D303" s="3"/>
      <c r="E303" s="2"/>
      <c r="F303" s="2"/>
      <c r="G303" s="5"/>
      <c r="H303" s="5"/>
      <c r="I303" s="4"/>
      <c r="J303" s="6" t="str">
        <f t="shared" si="18"/>
        <v/>
      </c>
      <c r="K303" s="4" t="str">
        <f t="shared" ca="1" si="21"/>
        <v/>
      </c>
      <c r="L303" s="7" t="str">
        <f t="shared" ca="1" si="20"/>
        <v/>
      </c>
      <c r="M303" s="4" t="str">
        <f>IF($I303="Complete","Green",IF($H303="","Amber",IF($H303&lt;'[2]Read Me'!$B$4,"Red",IF($H303-'[2]Read Me'!$B$4&lt;=21,"Amber","Green"))))</f>
        <v>Amber</v>
      </c>
      <c r="N303" s="3"/>
      <c r="O303" t="str">
        <f>IF($I303&lt;&gt;"Complete",IF(COUNTIFS($A$4:$A302,$A303,$B$4:$B302,$B303,$I$4:$I302,"&lt;&gt;Complete")=0,$A303&amp;"|"&amp;$B303,""),"")</f>
        <v>|</v>
      </c>
      <c r="P303" t="str">
        <f ca="1">IF($K303="Yes",COUNTIFS($K$4:$K303,"Yes"),"")</f>
        <v/>
      </c>
      <c r="Q303">
        <f t="shared" ca="1" si="19"/>
        <v>0</v>
      </c>
      <c r="R303" t="str">
        <f ca="1">IF($Q303=1,SUM($Q$4:$Q303),"")</f>
        <v/>
      </c>
    </row>
    <row r="304" spans="1:18" ht="22.5" customHeight="1" x14ac:dyDescent="0.3">
      <c r="A304" s="2"/>
      <c r="B304" s="2"/>
      <c r="C304" s="3"/>
      <c r="D304" s="3"/>
      <c r="E304" s="2"/>
      <c r="F304" s="2"/>
      <c r="G304" s="5"/>
      <c r="H304" s="5"/>
      <c r="I304" s="4"/>
      <c r="J304" s="6" t="str">
        <f t="shared" si="18"/>
        <v/>
      </c>
      <c r="K304" s="4" t="str">
        <f t="shared" ca="1" si="21"/>
        <v/>
      </c>
      <c r="L304" s="7" t="str">
        <f t="shared" ca="1" si="20"/>
        <v/>
      </c>
      <c r="M304" s="4" t="str">
        <f>IF($I304="Complete","Green",IF($H304="","Amber",IF($H304&lt;'[2]Read Me'!$B$4,"Red",IF($H304-'[2]Read Me'!$B$4&lt;=21,"Amber","Green"))))</f>
        <v>Amber</v>
      </c>
      <c r="N304" s="3"/>
      <c r="O304" t="str">
        <f>IF($I304&lt;&gt;"Complete",IF(COUNTIFS($A$4:$A303,$A304,$B$4:$B303,$B304,$I$4:$I303,"&lt;&gt;Complete")=0,$A304&amp;"|"&amp;$B304,""),"")</f>
        <v>|</v>
      </c>
      <c r="P304" t="str">
        <f ca="1">IF($K304="Yes",COUNTIFS($K$4:$K304,"Yes"),"")</f>
        <v/>
      </c>
      <c r="Q304">
        <f t="shared" ca="1" si="19"/>
        <v>0</v>
      </c>
      <c r="R304" t="str">
        <f ca="1">IF($Q304=1,SUM($Q$4:$Q304),"")</f>
        <v/>
      </c>
    </row>
    <row r="305" spans="1:18" ht="22.5" customHeight="1" x14ac:dyDescent="0.3">
      <c r="A305" s="2"/>
      <c r="B305" s="2"/>
      <c r="C305" s="3"/>
      <c r="D305" s="3"/>
      <c r="E305" s="2"/>
      <c r="F305" s="2"/>
      <c r="G305" s="5"/>
      <c r="H305" s="5"/>
      <c r="I305" s="4"/>
      <c r="J305" s="6" t="str">
        <f t="shared" si="18"/>
        <v/>
      </c>
      <c r="K305" s="4" t="str">
        <f t="shared" ca="1" si="21"/>
        <v/>
      </c>
      <c r="L305" s="7" t="str">
        <f t="shared" ca="1" si="20"/>
        <v/>
      </c>
      <c r="M305" s="4" t="str">
        <f>IF($I305="Complete","Green",IF($H305="","Amber",IF($H305&lt;'[2]Read Me'!$B$4,"Red",IF($H305-'[2]Read Me'!$B$4&lt;=21,"Amber","Green"))))</f>
        <v>Amber</v>
      </c>
      <c r="N305" s="3"/>
      <c r="O305" t="str">
        <f>IF($I305&lt;&gt;"Complete",IF(COUNTIFS($A$4:$A304,$A305,$B$4:$B304,$B305,$I$4:$I304,"&lt;&gt;Complete")=0,$A305&amp;"|"&amp;$B305,""),"")</f>
        <v>|</v>
      </c>
      <c r="P305" t="str">
        <f ca="1">IF($K305="Yes",COUNTIFS($K$4:$K305,"Yes"),"")</f>
        <v/>
      </c>
      <c r="Q305">
        <f t="shared" ca="1" si="19"/>
        <v>0</v>
      </c>
      <c r="R305" t="str">
        <f ca="1">IF($Q305=1,SUM($Q$4:$Q305),"")</f>
        <v/>
      </c>
    </row>
    <row r="306" spans="1:18" ht="22.5" customHeight="1" x14ac:dyDescent="0.3">
      <c r="A306" s="2"/>
      <c r="B306" s="2"/>
      <c r="C306" s="3"/>
      <c r="D306" s="3"/>
      <c r="E306" s="2"/>
      <c r="F306" s="2"/>
      <c r="G306" s="5"/>
      <c r="H306" s="5"/>
      <c r="I306" s="4"/>
      <c r="J306" s="6" t="str">
        <f t="shared" si="18"/>
        <v/>
      </c>
      <c r="K306" s="4" t="str">
        <f t="shared" ca="1" si="21"/>
        <v/>
      </c>
      <c r="L306" s="7" t="str">
        <f t="shared" ca="1" si="20"/>
        <v/>
      </c>
      <c r="M306" s="4" t="str">
        <f>IF($I306="Complete","Green",IF($H306="","Amber",IF($H306&lt;'[2]Read Me'!$B$4,"Red",IF($H306-'[2]Read Me'!$B$4&lt;=21,"Amber","Green"))))</f>
        <v>Amber</v>
      </c>
      <c r="N306" s="3"/>
      <c r="O306" t="str">
        <f>IF($I306&lt;&gt;"Complete",IF(COUNTIFS($A$4:$A305,$A306,$B$4:$B305,$B306,$I$4:$I305,"&lt;&gt;Complete")=0,$A306&amp;"|"&amp;$B306,""),"")</f>
        <v>|</v>
      </c>
      <c r="P306" t="str">
        <f ca="1">IF($K306="Yes",COUNTIFS($K$4:$K306,"Yes"),"")</f>
        <v/>
      </c>
      <c r="Q306">
        <f t="shared" ca="1" si="19"/>
        <v>0</v>
      </c>
      <c r="R306" t="str">
        <f ca="1">IF($Q306=1,SUM($Q$4:$Q306),"")</f>
        <v/>
      </c>
    </row>
    <row r="307" spans="1:18" ht="22.5" customHeight="1" x14ac:dyDescent="0.3">
      <c r="A307" s="2"/>
      <c r="B307" s="2"/>
      <c r="C307" s="3"/>
      <c r="D307" s="3"/>
      <c r="E307" s="2"/>
      <c r="F307" s="2"/>
      <c r="G307" s="5"/>
      <c r="H307" s="5"/>
      <c r="I307" s="4"/>
      <c r="J307" s="6" t="str">
        <f t="shared" si="18"/>
        <v/>
      </c>
      <c r="K307" s="4" t="str">
        <f t="shared" ca="1" si="21"/>
        <v/>
      </c>
      <c r="L307" s="7" t="str">
        <f t="shared" ca="1" si="20"/>
        <v/>
      </c>
      <c r="M307" s="4" t="str">
        <f>IF($I307="Complete","Green",IF($H307="","Amber",IF($H307&lt;'[2]Read Me'!$B$4,"Red",IF($H307-'[2]Read Me'!$B$4&lt;=21,"Amber","Green"))))</f>
        <v>Amber</v>
      </c>
      <c r="N307" s="3"/>
      <c r="O307" t="str">
        <f>IF($I307&lt;&gt;"Complete",IF(COUNTIFS($A$4:$A306,$A307,$B$4:$B306,$B307,$I$4:$I306,"&lt;&gt;Complete")=0,$A307&amp;"|"&amp;$B307,""),"")</f>
        <v>|</v>
      </c>
      <c r="P307" t="str">
        <f ca="1">IF($K307="Yes",COUNTIFS($K$4:$K307,"Yes"),"")</f>
        <v/>
      </c>
      <c r="Q307">
        <f t="shared" ca="1" si="19"/>
        <v>0</v>
      </c>
      <c r="R307" t="str">
        <f ca="1">IF($Q307=1,SUM($Q$4:$Q307),"")</f>
        <v/>
      </c>
    </row>
    <row r="308" spans="1:18" ht="22.5" customHeight="1" x14ac:dyDescent="0.3">
      <c r="A308" s="2"/>
      <c r="B308" s="2"/>
      <c r="C308" s="3"/>
      <c r="D308" s="3"/>
      <c r="E308" s="2"/>
      <c r="F308" s="2"/>
      <c r="G308" s="5"/>
      <c r="H308" s="5"/>
      <c r="I308" s="4"/>
      <c r="J308" s="6" t="str">
        <f t="shared" si="18"/>
        <v/>
      </c>
      <c r="K308" s="4" t="str">
        <f t="shared" ca="1" si="21"/>
        <v/>
      </c>
      <c r="L308" s="7" t="str">
        <f t="shared" ca="1" si="20"/>
        <v/>
      </c>
      <c r="M308" s="4" t="str">
        <f>IF($I308="Complete","Green",IF($H308="","Amber",IF($H308&lt;'[2]Read Me'!$B$4,"Red",IF($H308-'[2]Read Me'!$B$4&lt;=21,"Amber","Green"))))</f>
        <v>Amber</v>
      </c>
      <c r="N308" s="3"/>
      <c r="O308" t="str">
        <f>IF($I308&lt;&gt;"Complete",IF(COUNTIFS($A$4:$A307,$A308,$B$4:$B307,$B308,$I$4:$I307,"&lt;&gt;Complete")=0,$A308&amp;"|"&amp;$B308,""),"")</f>
        <v>|</v>
      </c>
      <c r="P308" t="str">
        <f ca="1">IF($K308="Yes",COUNTIFS($K$4:$K308,"Yes"),"")</f>
        <v/>
      </c>
      <c r="Q308">
        <f t="shared" ca="1" si="19"/>
        <v>0</v>
      </c>
      <c r="R308" t="str">
        <f ca="1">IF($Q308=1,SUM($Q$4:$Q308),"")</f>
        <v/>
      </c>
    </row>
    <row r="309" spans="1:18" ht="22.5" customHeight="1" x14ac:dyDescent="0.3">
      <c r="A309" s="2"/>
      <c r="B309" s="2"/>
      <c r="C309" s="3"/>
      <c r="D309" s="3"/>
      <c r="E309" s="2"/>
      <c r="F309" s="2"/>
      <c r="G309" s="5"/>
      <c r="H309" s="5"/>
      <c r="I309" s="4"/>
      <c r="J309" s="6" t="str">
        <f t="shared" si="18"/>
        <v/>
      </c>
      <c r="K309" s="4" t="str">
        <f t="shared" ca="1" si="21"/>
        <v/>
      </c>
      <c r="L309" s="7" t="str">
        <f t="shared" ca="1" si="20"/>
        <v/>
      </c>
      <c r="M309" s="4" t="str">
        <f>IF($I309="Complete","Green",IF($H309="","Amber",IF($H309&lt;'[2]Read Me'!$B$4,"Red",IF($H309-'[2]Read Me'!$B$4&lt;=21,"Amber","Green"))))</f>
        <v>Amber</v>
      </c>
      <c r="N309" s="3"/>
      <c r="O309" t="str">
        <f>IF($I309&lt;&gt;"Complete",IF(COUNTIFS($A$4:$A308,$A309,$B$4:$B308,$B309,$I$4:$I308,"&lt;&gt;Complete")=0,$A309&amp;"|"&amp;$B309,""),"")</f>
        <v>|</v>
      </c>
      <c r="P309" t="str">
        <f ca="1">IF($K309="Yes",COUNTIFS($K$4:$K309,"Yes"),"")</f>
        <v/>
      </c>
      <c r="Q309">
        <f t="shared" ca="1" si="19"/>
        <v>0</v>
      </c>
      <c r="R309" t="str">
        <f ca="1">IF($Q309=1,SUM($Q$4:$Q309),"")</f>
        <v/>
      </c>
    </row>
    <row r="310" spans="1:18" ht="14.25" customHeight="1" x14ac:dyDescent="0.3">
      <c r="A310" s="2"/>
      <c r="B310" s="2"/>
      <c r="C310" s="3"/>
      <c r="D310" s="3"/>
      <c r="E310" s="2"/>
      <c r="F310" s="2"/>
      <c r="G310" s="5"/>
      <c r="H310" s="5"/>
      <c r="I310" s="4"/>
      <c r="J310" s="6" t="str">
        <f t="shared" si="18"/>
        <v/>
      </c>
      <c r="K310" s="4" t="str">
        <f t="shared" ca="1" si="21"/>
        <v/>
      </c>
      <c r="L310" s="7" t="str">
        <f t="shared" ca="1" si="20"/>
        <v/>
      </c>
      <c r="M310" s="4" t="str">
        <f>IF($I310="Complete","Green",IF($H310="","Amber",IF($H310&lt;'[2]Read Me'!$B$4,"Red",IF($H310-'[2]Read Me'!$B$4&lt;=21,"Amber","Green"))))</f>
        <v>Amber</v>
      </c>
      <c r="N310" s="3"/>
      <c r="O310" t="str">
        <f>IF($I310&lt;&gt;"Complete",IF(COUNTIFS($A$4:$A309,$A310,$B$4:$B309,$B310,$I$4:$I309,"&lt;&gt;Complete")=0,$A310&amp;"|"&amp;$B310,""),"")</f>
        <v>|</v>
      </c>
      <c r="P310" t="str">
        <f ca="1">IF($K310="Yes",COUNTIFS($K$4:$K310,"Yes"),"")</f>
        <v/>
      </c>
      <c r="Q310">
        <f t="shared" ca="1" si="19"/>
        <v>0</v>
      </c>
      <c r="R310" t="str">
        <f ca="1">IF($Q310=1,SUM($Q$4:$Q310),"")</f>
        <v/>
      </c>
    </row>
    <row r="311" spans="1:18" ht="14.25" customHeight="1" x14ac:dyDescent="0.3">
      <c r="A311" s="2"/>
      <c r="B311" s="2"/>
      <c r="C311" s="3"/>
      <c r="D311" s="3"/>
      <c r="E311" s="2"/>
      <c r="F311" s="2"/>
      <c r="G311" s="5"/>
      <c r="H311" s="5"/>
      <c r="I311" s="4"/>
      <c r="J311" s="6" t="str">
        <f t="shared" si="18"/>
        <v/>
      </c>
      <c r="K311" s="4" t="str">
        <f t="shared" ca="1" si="21"/>
        <v/>
      </c>
      <c r="L311" s="7" t="str">
        <f t="shared" ca="1" si="20"/>
        <v/>
      </c>
      <c r="M311" s="4" t="str">
        <f>IF($I311="Complete","Green",IF($H311="","Amber",IF($H311&lt;'[2]Read Me'!$B$4,"Red",IF($H311-'[2]Read Me'!$B$4&lt;=21,"Amber","Green"))))</f>
        <v>Amber</v>
      </c>
      <c r="N311" s="3"/>
      <c r="O311" t="str">
        <f>IF($I311&lt;&gt;"Complete",IF(COUNTIFS($A$4:$A310,$A311,$B$4:$B310,$B311,$I$4:$I310,"&lt;&gt;Complete")=0,$A311&amp;"|"&amp;$B311,""),"")</f>
        <v>|</v>
      </c>
      <c r="P311" t="str">
        <f ca="1">IF($K311="Yes",COUNTIFS($K$4:$K311,"Yes"),"")</f>
        <v/>
      </c>
      <c r="Q311">
        <f t="shared" ca="1" si="19"/>
        <v>0</v>
      </c>
      <c r="R311" t="str">
        <f ca="1">IF($Q311=1,SUM($Q$4:$Q311),"")</f>
        <v/>
      </c>
    </row>
    <row r="312" spans="1:18" ht="14.25" customHeight="1" x14ac:dyDescent="0.3">
      <c r="A312" s="2"/>
      <c r="B312" s="2"/>
      <c r="C312" s="3"/>
      <c r="D312" s="3"/>
      <c r="E312" s="2"/>
      <c r="F312" s="2"/>
      <c r="G312" s="5"/>
      <c r="H312" s="5"/>
      <c r="I312" s="4"/>
      <c r="J312" s="6" t="str">
        <f t="shared" si="18"/>
        <v/>
      </c>
      <c r="K312" s="4" t="str">
        <f t="shared" ca="1" si="21"/>
        <v/>
      </c>
      <c r="L312" s="7" t="str">
        <f t="shared" ca="1" si="20"/>
        <v/>
      </c>
      <c r="M312" s="4" t="str">
        <f>IF($I312="Complete","Green",IF($H312="","Amber",IF($H312&lt;'[2]Read Me'!$B$4,"Red",IF($H312-'[2]Read Me'!$B$4&lt;=21,"Amber","Green"))))</f>
        <v>Amber</v>
      </c>
      <c r="N312" s="3"/>
      <c r="O312" t="str">
        <f>IF($I312&lt;&gt;"Complete",IF(COUNTIFS($A$4:$A311,$A312,$B$4:$B311,$B312,$I$4:$I311,"&lt;&gt;Complete")=0,$A312&amp;"|"&amp;$B312,""),"")</f>
        <v>|</v>
      </c>
      <c r="P312" t="str">
        <f ca="1">IF($K312="Yes",COUNTIFS($K$4:$K312,"Yes"),"")</f>
        <v/>
      </c>
      <c r="Q312">
        <f t="shared" ca="1" si="19"/>
        <v>0</v>
      </c>
      <c r="R312" t="str">
        <f ca="1">IF($Q312=1,SUM($Q$4:$Q312),"")</f>
        <v/>
      </c>
    </row>
    <row r="313" spans="1:18" x14ac:dyDescent="0.3">
      <c r="L313" s="7" t="str">
        <f t="shared" ca="1" si="20"/>
        <v/>
      </c>
    </row>
    <row r="314" spans="1:18" x14ac:dyDescent="0.3">
      <c r="L314" s="7" t="str">
        <f t="shared" ca="1" si="20"/>
        <v/>
      </c>
    </row>
    <row r="315" spans="1:18" x14ac:dyDescent="0.3">
      <c r="L315" s="7" t="str">
        <f t="shared" ca="1" si="20"/>
        <v/>
      </c>
    </row>
    <row r="316" spans="1:18" x14ac:dyDescent="0.3">
      <c r="L316" s="7" t="str">
        <f t="shared" ca="1" si="20"/>
        <v/>
      </c>
    </row>
    <row r="317" spans="1:18" x14ac:dyDescent="0.3">
      <c r="L317" s="7" t="str">
        <f t="shared" ca="1" si="20"/>
        <v/>
      </c>
    </row>
    <row r="318" spans="1:18" x14ac:dyDescent="0.3">
      <c r="L318" s="7" t="str">
        <f t="shared" ca="1" si="20"/>
        <v/>
      </c>
    </row>
    <row r="319" spans="1:18" x14ac:dyDescent="0.3">
      <c r="L319" s="7" t="str">
        <f t="shared" ca="1" si="20"/>
        <v/>
      </c>
    </row>
    <row r="320" spans="1:18" x14ac:dyDescent="0.3">
      <c r="L320" s="7" t="str">
        <f t="shared" ca="1" si="20"/>
        <v/>
      </c>
    </row>
    <row r="321" spans="12:12" x14ac:dyDescent="0.3">
      <c r="L321" s="7" t="str">
        <f t="shared" ca="1" si="20"/>
        <v/>
      </c>
    </row>
    <row r="322" spans="12:12" x14ac:dyDescent="0.3">
      <c r="L322" s="7" t="str">
        <f t="shared" ca="1" si="20"/>
        <v/>
      </c>
    </row>
    <row r="323" spans="12:12" x14ac:dyDescent="0.3">
      <c r="L323" s="7" t="str">
        <f t="shared" ca="1" si="20"/>
        <v/>
      </c>
    </row>
    <row r="324" spans="12:12" x14ac:dyDescent="0.3">
      <c r="L324" s="7" t="str">
        <f t="shared" ca="1" si="20"/>
        <v/>
      </c>
    </row>
    <row r="325" spans="12:12" x14ac:dyDescent="0.3">
      <c r="L325" s="7" t="str">
        <f t="shared" ref="L325:L388" ca="1" si="22">IF(I325="Completed",0,IF(H325="","",H325-TODAY()))</f>
        <v/>
      </c>
    </row>
    <row r="326" spans="12:12" x14ac:dyDescent="0.3">
      <c r="L326" s="7" t="str">
        <f t="shared" ca="1" si="22"/>
        <v/>
      </c>
    </row>
    <row r="327" spans="12:12" x14ac:dyDescent="0.3">
      <c r="L327" s="7" t="str">
        <f t="shared" ca="1" si="22"/>
        <v/>
      </c>
    </row>
    <row r="328" spans="12:12" x14ac:dyDescent="0.3">
      <c r="L328" s="7" t="str">
        <f t="shared" ca="1" si="22"/>
        <v/>
      </c>
    </row>
    <row r="329" spans="12:12" x14ac:dyDescent="0.3">
      <c r="L329" s="7" t="str">
        <f t="shared" ca="1" si="22"/>
        <v/>
      </c>
    </row>
    <row r="330" spans="12:12" x14ac:dyDescent="0.3">
      <c r="L330" s="7" t="str">
        <f t="shared" ca="1" si="22"/>
        <v/>
      </c>
    </row>
    <row r="331" spans="12:12" x14ac:dyDescent="0.3">
      <c r="L331" s="7" t="str">
        <f t="shared" ca="1" si="22"/>
        <v/>
      </c>
    </row>
    <row r="332" spans="12:12" x14ac:dyDescent="0.3">
      <c r="L332" s="7" t="str">
        <f t="shared" ca="1" si="22"/>
        <v/>
      </c>
    </row>
    <row r="333" spans="12:12" x14ac:dyDescent="0.3">
      <c r="L333" s="7" t="str">
        <f t="shared" ca="1" si="22"/>
        <v/>
      </c>
    </row>
    <row r="334" spans="12:12" x14ac:dyDescent="0.3">
      <c r="L334" s="7" t="str">
        <f t="shared" ca="1" si="22"/>
        <v/>
      </c>
    </row>
    <row r="335" spans="12:12" x14ac:dyDescent="0.3">
      <c r="L335" s="7" t="str">
        <f t="shared" ca="1" si="22"/>
        <v/>
      </c>
    </row>
    <row r="336" spans="12:12" x14ac:dyDescent="0.3">
      <c r="L336" s="7" t="str">
        <f t="shared" ca="1" si="22"/>
        <v/>
      </c>
    </row>
    <row r="337" spans="12:12" x14ac:dyDescent="0.3">
      <c r="L337" s="7" t="str">
        <f t="shared" ca="1" si="22"/>
        <v/>
      </c>
    </row>
    <row r="338" spans="12:12" x14ac:dyDescent="0.3">
      <c r="L338" s="7" t="str">
        <f t="shared" ca="1" si="22"/>
        <v/>
      </c>
    </row>
    <row r="339" spans="12:12" x14ac:dyDescent="0.3">
      <c r="L339" s="7" t="str">
        <f t="shared" ca="1" si="22"/>
        <v/>
      </c>
    </row>
    <row r="340" spans="12:12" x14ac:dyDescent="0.3">
      <c r="L340" s="7" t="str">
        <f t="shared" ca="1" si="22"/>
        <v/>
      </c>
    </row>
    <row r="341" spans="12:12" x14ac:dyDescent="0.3">
      <c r="L341" s="7" t="str">
        <f t="shared" ca="1" si="22"/>
        <v/>
      </c>
    </row>
    <row r="342" spans="12:12" x14ac:dyDescent="0.3">
      <c r="L342" s="7" t="str">
        <f t="shared" ca="1" si="22"/>
        <v/>
      </c>
    </row>
    <row r="343" spans="12:12" x14ac:dyDescent="0.3">
      <c r="L343" s="7" t="str">
        <f t="shared" ca="1" si="22"/>
        <v/>
      </c>
    </row>
    <row r="344" spans="12:12" x14ac:dyDescent="0.3">
      <c r="L344" s="7" t="str">
        <f t="shared" ca="1" si="22"/>
        <v/>
      </c>
    </row>
    <row r="345" spans="12:12" x14ac:dyDescent="0.3">
      <c r="L345" s="7" t="str">
        <f t="shared" ca="1" si="22"/>
        <v/>
      </c>
    </row>
    <row r="346" spans="12:12" x14ac:dyDescent="0.3">
      <c r="L346" s="7" t="str">
        <f t="shared" ca="1" si="22"/>
        <v/>
      </c>
    </row>
    <row r="347" spans="12:12" x14ac:dyDescent="0.3">
      <c r="L347" s="7" t="str">
        <f t="shared" ca="1" si="22"/>
        <v/>
      </c>
    </row>
    <row r="348" spans="12:12" x14ac:dyDescent="0.3">
      <c r="L348" s="7" t="str">
        <f t="shared" ca="1" si="22"/>
        <v/>
      </c>
    </row>
    <row r="349" spans="12:12" x14ac:dyDescent="0.3">
      <c r="L349" s="7" t="str">
        <f t="shared" ca="1" si="22"/>
        <v/>
      </c>
    </row>
    <row r="350" spans="12:12" x14ac:dyDescent="0.3">
      <c r="L350" s="7" t="str">
        <f t="shared" ca="1" si="22"/>
        <v/>
      </c>
    </row>
    <row r="351" spans="12:12" x14ac:dyDescent="0.3">
      <c r="L351" s="7" t="str">
        <f t="shared" ca="1" si="22"/>
        <v/>
      </c>
    </row>
    <row r="352" spans="12:12" x14ac:dyDescent="0.3">
      <c r="L352" s="7" t="str">
        <f t="shared" ca="1" si="22"/>
        <v/>
      </c>
    </row>
    <row r="353" spans="12:12" x14ac:dyDescent="0.3">
      <c r="L353" s="7" t="str">
        <f t="shared" ca="1" si="22"/>
        <v/>
      </c>
    </row>
    <row r="354" spans="12:12" x14ac:dyDescent="0.3">
      <c r="L354" s="7" t="str">
        <f t="shared" ca="1" si="22"/>
        <v/>
      </c>
    </row>
    <row r="355" spans="12:12" x14ac:dyDescent="0.3">
      <c r="L355" s="7" t="str">
        <f t="shared" ca="1" si="22"/>
        <v/>
      </c>
    </row>
    <row r="356" spans="12:12" x14ac:dyDescent="0.3">
      <c r="L356" s="7" t="str">
        <f t="shared" ca="1" si="22"/>
        <v/>
      </c>
    </row>
    <row r="357" spans="12:12" x14ac:dyDescent="0.3">
      <c r="L357" s="7" t="str">
        <f t="shared" ca="1" si="22"/>
        <v/>
      </c>
    </row>
    <row r="358" spans="12:12" x14ac:dyDescent="0.3">
      <c r="L358" s="7" t="str">
        <f t="shared" ca="1" si="22"/>
        <v/>
      </c>
    </row>
    <row r="359" spans="12:12" x14ac:dyDescent="0.3">
      <c r="L359" s="7" t="str">
        <f t="shared" ca="1" si="22"/>
        <v/>
      </c>
    </row>
    <row r="360" spans="12:12" x14ac:dyDescent="0.3">
      <c r="L360" s="7" t="str">
        <f t="shared" ca="1" si="22"/>
        <v/>
      </c>
    </row>
    <row r="361" spans="12:12" x14ac:dyDescent="0.3">
      <c r="L361" s="7" t="str">
        <f t="shared" ca="1" si="22"/>
        <v/>
      </c>
    </row>
    <row r="362" spans="12:12" x14ac:dyDescent="0.3">
      <c r="L362" s="7" t="str">
        <f t="shared" ca="1" si="22"/>
        <v/>
      </c>
    </row>
    <row r="363" spans="12:12" x14ac:dyDescent="0.3">
      <c r="L363" s="7" t="str">
        <f t="shared" ca="1" si="22"/>
        <v/>
      </c>
    </row>
    <row r="364" spans="12:12" x14ac:dyDescent="0.3">
      <c r="L364" s="7" t="str">
        <f t="shared" ca="1" si="22"/>
        <v/>
      </c>
    </row>
    <row r="365" spans="12:12" x14ac:dyDescent="0.3">
      <c r="L365" s="7" t="str">
        <f t="shared" ca="1" si="22"/>
        <v/>
      </c>
    </row>
    <row r="366" spans="12:12" x14ac:dyDescent="0.3">
      <c r="L366" s="7" t="str">
        <f t="shared" ca="1" si="22"/>
        <v/>
      </c>
    </row>
    <row r="367" spans="12:12" x14ac:dyDescent="0.3">
      <c r="L367" s="7" t="str">
        <f t="shared" ca="1" si="22"/>
        <v/>
      </c>
    </row>
    <row r="368" spans="12:12" x14ac:dyDescent="0.3">
      <c r="L368" s="7" t="str">
        <f t="shared" ca="1" si="22"/>
        <v/>
      </c>
    </row>
    <row r="369" spans="12:12" x14ac:dyDescent="0.3">
      <c r="L369" s="7" t="str">
        <f t="shared" ca="1" si="22"/>
        <v/>
      </c>
    </row>
    <row r="370" spans="12:12" x14ac:dyDescent="0.3">
      <c r="L370" s="7" t="str">
        <f t="shared" ca="1" si="22"/>
        <v/>
      </c>
    </row>
    <row r="371" spans="12:12" x14ac:dyDescent="0.3">
      <c r="L371" s="7" t="str">
        <f t="shared" ca="1" si="22"/>
        <v/>
      </c>
    </row>
    <row r="372" spans="12:12" x14ac:dyDescent="0.3">
      <c r="L372" s="7" t="str">
        <f t="shared" ca="1" si="22"/>
        <v/>
      </c>
    </row>
    <row r="373" spans="12:12" x14ac:dyDescent="0.3">
      <c r="L373" s="7" t="str">
        <f t="shared" ca="1" si="22"/>
        <v/>
      </c>
    </row>
    <row r="374" spans="12:12" x14ac:dyDescent="0.3">
      <c r="L374" s="7" t="str">
        <f t="shared" ca="1" si="22"/>
        <v/>
      </c>
    </row>
    <row r="375" spans="12:12" x14ac:dyDescent="0.3">
      <c r="L375" s="7" t="str">
        <f t="shared" ca="1" si="22"/>
        <v/>
      </c>
    </row>
    <row r="376" spans="12:12" x14ac:dyDescent="0.3">
      <c r="L376" s="7" t="str">
        <f t="shared" ca="1" si="22"/>
        <v/>
      </c>
    </row>
    <row r="377" spans="12:12" x14ac:dyDescent="0.3">
      <c r="L377" s="7" t="str">
        <f t="shared" ca="1" si="22"/>
        <v/>
      </c>
    </row>
    <row r="378" spans="12:12" x14ac:dyDescent="0.3">
      <c r="L378" s="7" t="str">
        <f t="shared" ca="1" si="22"/>
        <v/>
      </c>
    </row>
    <row r="379" spans="12:12" x14ac:dyDescent="0.3">
      <c r="L379" s="7" t="str">
        <f t="shared" ca="1" si="22"/>
        <v/>
      </c>
    </row>
    <row r="380" spans="12:12" x14ac:dyDescent="0.3">
      <c r="L380" s="7" t="str">
        <f t="shared" ca="1" si="22"/>
        <v/>
      </c>
    </row>
    <row r="381" spans="12:12" x14ac:dyDescent="0.3">
      <c r="L381" s="7" t="str">
        <f t="shared" ca="1" si="22"/>
        <v/>
      </c>
    </row>
    <row r="382" spans="12:12" x14ac:dyDescent="0.3">
      <c r="L382" s="7" t="str">
        <f t="shared" ca="1" si="22"/>
        <v/>
      </c>
    </row>
    <row r="383" spans="12:12" x14ac:dyDescent="0.3">
      <c r="L383" s="7" t="str">
        <f t="shared" ca="1" si="22"/>
        <v/>
      </c>
    </row>
    <row r="384" spans="12:12" x14ac:dyDescent="0.3">
      <c r="L384" s="7" t="str">
        <f t="shared" ca="1" si="22"/>
        <v/>
      </c>
    </row>
    <row r="385" spans="12:12" x14ac:dyDescent="0.3">
      <c r="L385" s="7" t="str">
        <f t="shared" ca="1" si="22"/>
        <v/>
      </c>
    </row>
    <row r="386" spans="12:12" x14ac:dyDescent="0.3">
      <c r="L386" s="7" t="str">
        <f t="shared" ca="1" si="22"/>
        <v/>
      </c>
    </row>
    <row r="387" spans="12:12" x14ac:dyDescent="0.3">
      <c r="L387" s="7" t="str">
        <f t="shared" ca="1" si="22"/>
        <v/>
      </c>
    </row>
    <row r="388" spans="12:12" x14ac:dyDescent="0.3">
      <c r="L388" s="7" t="str">
        <f t="shared" ca="1" si="22"/>
        <v/>
      </c>
    </row>
    <row r="389" spans="12:12" x14ac:dyDescent="0.3">
      <c r="L389" s="7" t="str">
        <f t="shared" ref="L389:L452" ca="1" si="23">IF(I389="Completed",0,IF(H389="","",H389-TODAY()))</f>
        <v/>
      </c>
    </row>
    <row r="390" spans="12:12" x14ac:dyDescent="0.3">
      <c r="L390" s="7" t="str">
        <f t="shared" ca="1" si="23"/>
        <v/>
      </c>
    </row>
    <row r="391" spans="12:12" x14ac:dyDescent="0.3">
      <c r="L391" s="7" t="str">
        <f t="shared" ca="1" si="23"/>
        <v/>
      </c>
    </row>
    <row r="392" spans="12:12" x14ac:dyDescent="0.3">
      <c r="L392" s="7" t="str">
        <f t="shared" ca="1" si="23"/>
        <v/>
      </c>
    </row>
    <row r="393" spans="12:12" x14ac:dyDescent="0.3">
      <c r="L393" s="7" t="str">
        <f t="shared" ca="1" si="23"/>
        <v/>
      </c>
    </row>
    <row r="394" spans="12:12" x14ac:dyDescent="0.3">
      <c r="L394" s="7" t="str">
        <f t="shared" ca="1" si="23"/>
        <v/>
      </c>
    </row>
    <row r="395" spans="12:12" x14ac:dyDescent="0.3">
      <c r="L395" s="7" t="str">
        <f t="shared" ca="1" si="23"/>
        <v/>
      </c>
    </row>
    <row r="396" spans="12:12" x14ac:dyDescent="0.3">
      <c r="L396" s="7" t="str">
        <f t="shared" ca="1" si="23"/>
        <v/>
      </c>
    </row>
    <row r="397" spans="12:12" x14ac:dyDescent="0.3">
      <c r="L397" s="7" t="str">
        <f t="shared" ca="1" si="23"/>
        <v/>
      </c>
    </row>
    <row r="398" spans="12:12" x14ac:dyDescent="0.3">
      <c r="L398" s="7" t="str">
        <f t="shared" ca="1" si="23"/>
        <v/>
      </c>
    </row>
    <row r="399" spans="12:12" x14ac:dyDescent="0.3">
      <c r="L399" s="7" t="str">
        <f t="shared" ca="1" si="23"/>
        <v/>
      </c>
    </row>
    <row r="400" spans="12:12" x14ac:dyDescent="0.3">
      <c r="L400" s="7" t="str">
        <f t="shared" ca="1" si="23"/>
        <v/>
      </c>
    </row>
    <row r="401" spans="12:12" x14ac:dyDescent="0.3">
      <c r="L401" s="7" t="str">
        <f t="shared" ca="1" si="23"/>
        <v/>
      </c>
    </row>
    <row r="402" spans="12:12" x14ac:dyDescent="0.3">
      <c r="L402" s="7" t="str">
        <f t="shared" ca="1" si="23"/>
        <v/>
      </c>
    </row>
    <row r="403" spans="12:12" x14ac:dyDescent="0.3">
      <c r="L403" s="7" t="str">
        <f t="shared" ca="1" si="23"/>
        <v/>
      </c>
    </row>
    <row r="404" spans="12:12" x14ac:dyDescent="0.3">
      <c r="L404" s="7" t="str">
        <f t="shared" ca="1" si="23"/>
        <v/>
      </c>
    </row>
    <row r="405" spans="12:12" x14ac:dyDescent="0.3">
      <c r="L405" s="7" t="str">
        <f t="shared" ca="1" si="23"/>
        <v/>
      </c>
    </row>
    <row r="406" spans="12:12" x14ac:dyDescent="0.3">
      <c r="L406" s="7" t="str">
        <f t="shared" ca="1" si="23"/>
        <v/>
      </c>
    </row>
    <row r="407" spans="12:12" x14ac:dyDescent="0.3">
      <c r="L407" s="7" t="str">
        <f t="shared" ca="1" si="23"/>
        <v/>
      </c>
    </row>
    <row r="408" spans="12:12" x14ac:dyDescent="0.3">
      <c r="L408" s="7" t="str">
        <f t="shared" ca="1" si="23"/>
        <v/>
      </c>
    </row>
    <row r="409" spans="12:12" x14ac:dyDescent="0.3">
      <c r="L409" s="7" t="str">
        <f t="shared" ca="1" si="23"/>
        <v/>
      </c>
    </row>
    <row r="410" spans="12:12" x14ac:dyDescent="0.3">
      <c r="L410" s="7" t="str">
        <f t="shared" ca="1" si="23"/>
        <v/>
      </c>
    </row>
    <row r="411" spans="12:12" x14ac:dyDescent="0.3">
      <c r="L411" s="7" t="str">
        <f t="shared" ca="1" si="23"/>
        <v/>
      </c>
    </row>
    <row r="412" spans="12:12" x14ac:dyDescent="0.3">
      <c r="L412" s="7" t="str">
        <f t="shared" ca="1" si="23"/>
        <v/>
      </c>
    </row>
    <row r="413" spans="12:12" x14ac:dyDescent="0.3">
      <c r="L413" s="7" t="str">
        <f t="shared" ca="1" si="23"/>
        <v/>
      </c>
    </row>
    <row r="414" spans="12:12" x14ac:dyDescent="0.3">
      <c r="L414" s="7" t="str">
        <f t="shared" ca="1" si="23"/>
        <v/>
      </c>
    </row>
    <row r="415" spans="12:12" x14ac:dyDescent="0.3">
      <c r="L415" s="7" t="str">
        <f t="shared" ca="1" si="23"/>
        <v/>
      </c>
    </row>
    <row r="416" spans="12:12" x14ac:dyDescent="0.3">
      <c r="L416" s="7" t="str">
        <f t="shared" ca="1" si="23"/>
        <v/>
      </c>
    </row>
    <row r="417" spans="12:12" x14ac:dyDescent="0.3">
      <c r="L417" s="7" t="str">
        <f t="shared" ca="1" si="23"/>
        <v/>
      </c>
    </row>
    <row r="418" spans="12:12" x14ac:dyDescent="0.3">
      <c r="L418" s="7" t="str">
        <f t="shared" ca="1" si="23"/>
        <v/>
      </c>
    </row>
    <row r="419" spans="12:12" x14ac:dyDescent="0.3">
      <c r="L419" s="7" t="str">
        <f t="shared" ca="1" si="23"/>
        <v/>
      </c>
    </row>
    <row r="420" spans="12:12" x14ac:dyDescent="0.3">
      <c r="L420" s="7" t="str">
        <f t="shared" ca="1" si="23"/>
        <v/>
      </c>
    </row>
    <row r="421" spans="12:12" x14ac:dyDescent="0.3">
      <c r="L421" s="7" t="str">
        <f t="shared" ca="1" si="23"/>
        <v/>
      </c>
    </row>
    <row r="422" spans="12:12" x14ac:dyDescent="0.3">
      <c r="L422" s="7" t="str">
        <f t="shared" ca="1" si="23"/>
        <v/>
      </c>
    </row>
    <row r="423" spans="12:12" x14ac:dyDescent="0.3">
      <c r="L423" s="7" t="str">
        <f t="shared" ca="1" si="23"/>
        <v/>
      </c>
    </row>
    <row r="424" spans="12:12" x14ac:dyDescent="0.3">
      <c r="L424" s="7" t="str">
        <f t="shared" ca="1" si="23"/>
        <v/>
      </c>
    </row>
    <row r="425" spans="12:12" x14ac:dyDescent="0.3">
      <c r="L425" s="7" t="str">
        <f t="shared" ca="1" si="23"/>
        <v/>
      </c>
    </row>
    <row r="426" spans="12:12" x14ac:dyDescent="0.3">
      <c r="L426" s="7" t="str">
        <f t="shared" ca="1" si="23"/>
        <v/>
      </c>
    </row>
    <row r="427" spans="12:12" x14ac:dyDescent="0.3">
      <c r="L427" s="7" t="str">
        <f t="shared" ca="1" si="23"/>
        <v/>
      </c>
    </row>
    <row r="428" spans="12:12" x14ac:dyDescent="0.3">
      <c r="L428" s="7" t="str">
        <f t="shared" ca="1" si="23"/>
        <v/>
      </c>
    </row>
    <row r="429" spans="12:12" x14ac:dyDescent="0.3">
      <c r="L429" s="7" t="str">
        <f t="shared" ca="1" si="23"/>
        <v/>
      </c>
    </row>
    <row r="430" spans="12:12" x14ac:dyDescent="0.3">
      <c r="L430" s="7" t="str">
        <f t="shared" ca="1" si="23"/>
        <v/>
      </c>
    </row>
    <row r="431" spans="12:12" x14ac:dyDescent="0.3">
      <c r="L431" s="7" t="str">
        <f t="shared" ca="1" si="23"/>
        <v/>
      </c>
    </row>
    <row r="432" spans="12:12" x14ac:dyDescent="0.3">
      <c r="L432" s="7" t="str">
        <f t="shared" ca="1" si="23"/>
        <v/>
      </c>
    </row>
    <row r="433" spans="12:12" x14ac:dyDescent="0.3">
      <c r="L433" s="7" t="str">
        <f t="shared" ca="1" si="23"/>
        <v/>
      </c>
    </row>
    <row r="434" spans="12:12" x14ac:dyDescent="0.3">
      <c r="L434" s="7" t="str">
        <f t="shared" ca="1" si="23"/>
        <v/>
      </c>
    </row>
    <row r="435" spans="12:12" x14ac:dyDescent="0.3">
      <c r="L435" s="7" t="str">
        <f t="shared" ca="1" si="23"/>
        <v/>
      </c>
    </row>
    <row r="436" spans="12:12" x14ac:dyDescent="0.3">
      <c r="L436" s="7" t="str">
        <f t="shared" ca="1" si="23"/>
        <v/>
      </c>
    </row>
    <row r="437" spans="12:12" x14ac:dyDescent="0.3">
      <c r="L437" s="7" t="str">
        <f t="shared" ca="1" si="23"/>
        <v/>
      </c>
    </row>
    <row r="438" spans="12:12" x14ac:dyDescent="0.3">
      <c r="L438" s="7" t="str">
        <f t="shared" ca="1" si="23"/>
        <v/>
      </c>
    </row>
    <row r="439" spans="12:12" x14ac:dyDescent="0.3">
      <c r="L439" s="7" t="str">
        <f t="shared" ca="1" si="23"/>
        <v/>
      </c>
    </row>
    <row r="440" spans="12:12" x14ac:dyDescent="0.3">
      <c r="L440" s="7" t="str">
        <f t="shared" ca="1" si="23"/>
        <v/>
      </c>
    </row>
    <row r="441" spans="12:12" x14ac:dyDescent="0.3">
      <c r="L441" s="7" t="str">
        <f t="shared" ca="1" si="23"/>
        <v/>
      </c>
    </row>
    <row r="442" spans="12:12" x14ac:dyDescent="0.3">
      <c r="L442" s="7" t="str">
        <f t="shared" ca="1" si="23"/>
        <v/>
      </c>
    </row>
    <row r="443" spans="12:12" x14ac:dyDescent="0.3">
      <c r="L443" s="7" t="str">
        <f t="shared" ca="1" si="23"/>
        <v/>
      </c>
    </row>
    <row r="444" spans="12:12" x14ac:dyDescent="0.3">
      <c r="L444" s="7" t="str">
        <f t="shared" ca="1" si="23"/>
        <v/>
      </c>
    </row>
    <row r="445" spans="12:12" x14ac:dyDescent="0.3">
      <c r="L445" s="7" t="str">
        <f t="shared" ca="1" si="23"/>
        <v/>
      </c>
    </row>
    <row r="446" spans="12:12" x14ac:dyDescent="0.3">
      <c r="L446" s="7" t="str">
        <f t="shared" ca="1" si="23"/>
        <v/>
      </c>
    </row>
    <row r="447" spans="12:12" x14ac:dyDescent="0.3">
      <c r="L447" s="7" t="str">
        <f t="shared" ca="1" si="23"/>
        <v/>
      </c>
    </row>
    <row r="448" spans="12:12" x14ac:dyDescent="0.3">
      <c r="L448" s="7" t="str">
        <f t="shared" ca="1" si="23"/>
        <v/>
      </c>
    </row>
    <row r="449" spans="12:12" x14ac:dyDescent="0.3">
      <c r="L449" s="7" t="str">
        <f t="shared" ca="1" si="23"/>
        <v/>
      </c>
    </row>
    <row r="450" spans="12:12" x14ac:dyDescent="0.3">
      <c r="L450" s="7" t="str">
        <f t="shared" ca="1" si="23"/>
        <v/>
      </c>
    </row>
    <row r="451" spans="12:12" x14ac:dyDescent="0.3">
      <c r="L451" s="7" t="str">
        <f t="shared" ca="1" si="23"/>
        <v/>
      </c>
    </row>
    <row r="452" spans="12:12" x14ac:dyDescent="0.3">
      <c r="L452" s="7" t="str">
        <f t="shared" ca="1" si="23"/>
        <v/>
      </c>
    </row>
    <row r="453" spans="12:12" x14ac:dyDescent="0.3">
      <c r="L453" s="7" t="str">
        <f t="shared" ref="L453:L516" ca="1" si="24">IF(I453="Completed",0,IF(H453="","",H453-TODAY()))</f>
        <v/>
      </c>
    </row>
    <row r="454" spans="12:12" x14ac:dyDescent="0.3">
      <c r="L454" s="7" t="str">
        <f t="shared" ca="1" si="24"/>
        <v/>
      </c>
    </row>
    <row r="455" spans="12:12" x14ac:dyDescent="0.3">
      <c r="L455" s="7" t="str">
        <f t="shared" ca="1" si="24"/>
        <v/>
      </c>
    </row>
    <row r="456" spans="12:12" x14ac:dyDescent="0.3">
      <c r="L456" s="7" t="str">
        <f t="shared" ca="1" si="24"/>
        <v/>
      </c>
    </row>
    <row r="457" spans="12:12" x14ac:dyDescent="0.3">
      <c r="L457" s="7" t="str">
        <f t="shared" ca="1" si="24"/>
        <v/>
      </c>
    </row>
    <row r="458" spans="12:12" x14ac:dyDescent="0.3">
      <c r="L458" s="7" t="str">
        <f t="shared" ca="1" si="24"/>
        <v/>
      </c>
    </row>
    <row r="459" spans="12:12" x14ac:dyDescent="0.3">
      <c r="L459" s="7" t="str">
        <f t="shared" ca="1" si="24"/>
        <v/>
      </c>
    </row>
    <row r="460" spans="12:12" x14ac:dyDescent="0.3">
      <c r="L460" s="7" t="str">
        <f t="shared" ca="1" si="24"/>
        <v/>
      </c>
    </row>
    <row r="461" spans="12:12" x14ac:dyDescent="0.3">
      <c r="L461" s="7" t="str">
        <f t="shared" ca="1" si="24"/>
        <v/>
      </c>
    </row>
    <row r="462" spans="12:12" x14ac:dyDescent="0.3">
      <c r="L462" s="7" t="str">
        <f t="shared" ca="1" si="24"/>
        <v/>
      </c>
    </row>
    <row r="463" spans="12:12" x14ac:dyDescent="0.3">
      <c r="L463" s="7" t="str">
        <f t="shared" ca="1" si="24"/>
        <v/>
      </c>
    </row>
    <row r="464" spans="12:12" x14ac:dyDescent="0.3">
      <c r="L464" s="7" t="str">
        <f t="shared" ca="1" si="24"/>
        <v/>
      </c>
    </row>
    <row r="465" spans="12:12" x14ac:dyDescent="0.3">
      <c r="L465" s="7" t="str">
        <f t="shared" ca="1" si="24"/>
        <v/>
      </c>
    </row>
    <row r="466" spans="12:12" x14ac:dyDescent="0.3">
      <c r="L466" s="7" t="str">
        <f t="shared" ca="1" si="24"/>
        <v/>
      </c>
    </row>
    <row r="467" spans="12:12" x14ac:dyDescent="0.3">
      <c r="L467" s="7" t="str">
        <f t="shared" ca="1" si="24"/>
        <v/>
      </c>
    </row>
    <row r="468" spans="12:12" x14ac:dyDescent="0.3">
      <c r="L468" s="7" t="str">
        <f t="shared" ca="1" si="24"/>
        <v/>
      </c>
    </row>
    <row r="469" spans="12:12" x14ac:dyDescent="0.3">
      <c r="L469" s="7" t="str">
        <f t="shared" ca="1" si="24"/>
        <v/>
      </c>
    </row>
    <row r="470" spans="12:12" x14ac:dyDescent="0.3">
      <c r="L470" s="7" t="str">
        <f t="shared" ca="1" si="24"/>
        <v/>
      </c>
    </row>
    <row r="471" spans="12:12" x14ac:dyDescent="0.3">
      <c r="L471" s="7" t="str">
        <f t="shared" ca="1" si="24"/>
        <v/>
      </c>
    </row>
    <row r="472" spans="12:12" x14ac:dyDescent="0.3">
      <c r="L472" s="7" t="str">
        <f t="shared" ca="1" si="24"/>
        <v/>
      </c>
    </row>
    <row r="473" spans="12:12" x14ac:dyDescent="0.3">
      <c r="L473" s="7" t="str">
        <f t="shared" ca="1" si="24"/>
        <v/>
      </c>
    </row>
    <row r="474" spans="12:12" x14ac:dyDescent="0.3">
      <c r="L474" s="7" t="str">
        <f t="shared" ca="1" si="24"/>
        <v/>
      </c>
    </row>
    <row r="475" spans="12:12" x14ac:dyDescent="0.3">
      <c r="L475" s="7" t="str">
        <f t="shared" ca="1" si="24"/>
        <v/>
      </c>
    </row>
    <row r="476" spans="12:12" x14ac:dyDescent="0.3">
      <c r="L476" s="7" t="str">
        <f t="shared" ca="1" si="24"/>
        <v/>
      </c>
    </row>
    <row r="477" spans="12:12" x14ac:dyDescent="0.3">
      <c r="L477" s="7" t="str">
        <f t="shared" ca="1" si="24"/>
        <v/>
      </c>
    </row>
    <row r="478" spans="12:12" x14ac:dyDescent="0.3">
      <c r="L478" s="7" t="str">
        <f t="shared" ca="1" si="24"/>
        <v/>
      </c>
    </row>
    <row r="479" spans="12:12" x14ac:dyDescent="0.3">
      <c r="L479" s="7" t="str">
        <f t="shared" ca="1" si="24"/>
        <v/>
      </c>
    </row>
    <row r="480" spans="12:12" x14ac:dyDescent="0.3">
      <c r="L480" s="7" t="str">
        <f t="shared" ca="1" si="24"/>
        <v/>
      </c>
    </row>
    <row r="481" spans="12:12" x14ac:dyDescent="0.3">
      <c r="L481" s="7" t="str">
        <f t="shared" ca="1" si="24"/>
        <v/>
      </c>
    </row>
    <row r="482" spans="12:12" x14ac:dyDescent="0.3">
      <c r="L482" s="7" t="str">
        <f t="shared" ca="1" si="24"/>
        <v/>
      </c>
    </row>
    <row r="483" spans="12:12" x14ac:dyDescent="0.3">
      <c r="L483" s="7" t="str">
        <f t="shared" ca="1" si="24"/>
        <v/>
      </c>
    </row>
    <row r="484" spans="12:12" x14ac:dyDescent="0.3">
      <c r="L484" s="7" t="str">
        <f t="shared" ca="1" si="24"/>
        <v/>
      </c>
    </row>
    <row r="485" spans="12:12" x14ac:dyDescent="0.3">
      <c r="L485" s="7" t="str">
        <f t="shared" ca="1" si="24"/>
        <v/>
      </c>
    </row>
    <row r="486" spans="12:12" x14ac:dyDescent="0.3">
      <c r="L486" s="7" t="str">
        <f t="shared" ca="1" si="24"/>
        <v/>
      </c>
    </row>
    <row r="487" spans="12:12" x14ac:dyDescent="0.3">
      <c r="L487" s="7" t="str">
        <f t="shared" ca="1" si="24"/>
        <v/>
      </c>
    </row>
    <row r="488" spans="12:12" x14ac:dyDescent="0.3">
      <c r="L488" s="7" t="str">
        <f t="shared" ca="1" si="24"/>
        <v/>
      </c>
    </row>
    <row r="489" spans="12:12" x14ac:dyDescent="0.3">
      <c r="L489" s="7" t="str">
        <f t="shared" ca="1" si="24"/>
        <v/>
      </c>
    </row>
    <row r="490" spans="12:12" x14ac:dyDescent="0.3">
      <c r="L490" s="7" t="str">
        <f t="shared" ca="1" si="24"/>
        <v/>
      </c>
    </row>
    <row r="491" spans="12:12" x14ac:dyDescent="0.3">
      <c r="L491" s="7" t="str">
        <f t="shared" ca="1" si="24"/>
        <v/>
      </c>
    </row>
    <row r="492" spans="12:12" x14ac:dyDescent="0.3">
      <c r="L492" s="7" t="str">
        <f t="shared" ca="1" si="24"/>
        <v/>
      </c>
    </row>
    <row r="493" spans="12:12" x14ac:dyDescent="0.3">
      <c r="L493" s="7" t="str">
        <f t="shared" ca="1" si="24"/>
        <v/>
      </c>
    </row>
    <row r="494" spans="12:12" x14ac:dyDescent="0.3">
      <c r="L494" s="7" t="str">
        <f t="shared" ca="1" si="24"/>
        <v/>
      </c>
    </row>
    <row r="495" spans="12:12" x14ac:dyDescent="0.3">
      <c r="L495" s="7" t="str">
        <f t="shared" ca="1" si="24"/>
        <v/>
      </c>
    </row>
    <row r="496" spans="12:12" x14ac:dyDescent="0.3">
      <c r="L496" s="7" t="str">
        <f t="shared" ca="1" si="24"/>
        <v/>
      </c>
    </row>
    <row r="497" spans="12:12" x14ac:dyDescent="0.3">
      <c r="L497" s="7" t="str">
        <f t="shared" ca="1" si="24"/>
        <v/>
      </c>
    </row>
    <row r="498" spans="12:12" x14ac:dyDescent="0.3">
      <c r="L498" s="7" t="str">
        <f t="shared" ca="1" si="24"/>
        <v/>
      </c>
    </row>
    <row r="499" spans="12:12" x14ac:dyDescent="0.3">
      <c r="L499" s="7" t="str">
        <f t="shared" ca="1" si="24"/>
        <v/>
      </c>
    </row>
    <row r="500" spans="12:12" x14ac:dyDescent="0.3">
      <c r="L500" s="7" t="str">
        <f t="shared" ca="1" si="24"/>
        <v/>
      </c>
    </row>
    <row r="501" spans="12:12" x14ac:dyDescent="0.3">
      <c r="L501" s="7" t="str">
        <f t="shared" ca="1" si="24"/>
        <v/>
      </c>
    </row>
    <row r="502" spans="12:12" x14ac:dyDescent="0.3">
      <c r="L502" s="7" t="str">
        <f t="shared" ca="1" si="24"/>
        <v/>
      </c>
    </row>
    <row r="503" spans="12:12" x14ac:dyDescent="0.3">
      <c r="L503" s="7" t="str">
        <f t="shared" ca="1" si="24"/>
        <v/>
      </c>
    </row>
    <row r="504" spans="12:12" x14ac:dyDescent="0.3">
      <c r="L504" s="7" t="str">
        <f t="shared" ca="1" si="24"/>
        <v/>
      </c>
    </row>
    <row r="505" spans="12:12" x14ac:dyDescent="0.3">
      <c r="L505" s="7" t="str">
        <f t="shared" ca="1" si="24"/>
        <v/>
      </c>
    </row>
    <row r="506" spans="12:12" x14ac:dyDescent="0.3">
      <c r="L506" s="7" t="str">
        <f t="shared" ca="1" si="24"/>
        <v/>
      </c>
    </row>
    <row r="507" spans="12:12" x14ac:dyDescent="0.3">
      <c r="L507" s="7" t="str">
        <f t="shared" ca="1" si="24"/>
        <v/>
      </c>
    </row>
    <row r="508" spans="12:12" x14ac:dyDescent="0.3">
      <c r="L508" s="7" t="str">
        <f t="shared" ca="1" si="24"/>
        <v/>
      </c>
    </row>
    <row r="509" spans="12:12" x14ac:dyDescent="0.3">
      <c r="L509" s="7" t="str">
        <f t="shared" ca="1" si="24"/>
        <v/>
      </c>
    </row>
    <row r="510" spans="12:12" x14ac:dyDescent="0.3">
      <c r="L510" s="7" t="str">
        <f t="shared" ca="1" si="24"/>
        <v/>
      </c>
    </row>
    <row r="511" spans="12:12" x14ac:dyDescent="0.3">
      <c r="L511" s="7" t="str">
        <f t="shared" ca="1" si="24"/>
        <v/>
      </c>
    </row>
    <row r="512" spans="12:12" x14ac:dyDescent="0.3">
      <c r="L512" s="7" t="str">
        <f t="shared" ca="1" si="24"/>
        <v/>
      </c>
    </row>
    <row r="513" spans="12:12" x14ac:dyDescent="0.3">
      <c r="L513" s="7" t="str">
        <f t="shared" ca="1" si="24"/>
        <v/>
      </c>
    </row>
    <row r="514" spans="12:12" x14ac:dyDescent="0.3">
      <c r="L514" s="7" t="str">
        <f t="shared" ca="1" si="24"/>
        <v/>
      </c>
    </row>
    <row r="515" spans="12:12" x14ac:dyDescent="0.3">
      <c r="L515" s="7" t="str">
        <f t="shared" ca="1" si="24"/>
        <v/>
      </c>
    </row>
    <row r="516" spans="12:12" x14ac:dyDescent="0.3">
      <c r="L516" s="7" t="str">
        <f t="shared" ca="1" si="24"/>
        <v/>
      </c>
    </row>
    <row r="517" spans="12:12" x14ac:dyDescent="0.3">
      <c r="L517" s="7" t="str">
        <f t="shared" ref="L517:L580" ca="1" si="25">IF(I517="Completed",0,IF(H517="","",H517-TODAY()))</f>
        <v/>
      </c>
    </row>
    <row r="518" spans="12:12" x14ac:dyDescent="0.3">
      <c r="L518" s="7" t="str">
        <f t="shared" ca="1" si="25"/>
        <v/>
      </c>
    </row>
    <row r="519" spans="12:12" x14ac:dyDescent="0.3">
      <c r="L519" s="7" t="str">
        <f t="shared" ca="1" si="25"/>
        <v/>
      </c>
    </row>
    <row r="520" spans="12:12" x14ac:dyDescent="0.3">
      <c r="L520" s="7" t="str">
        <f t="shared" ca="1" si="25"/>
        <v/>
      </c>
    </row>
    <row r="521" spans="12:12" x14ac:dyDescent="0.3">
      <c r="L521" s="7" t="str">
        <f t="shared" ca="1" si="25"/>
        <v/>
      </c>
    </row>
    <row r="522" spans="12:12" x14ac:dyDescent="0.3">
      <c r="L522" s="7" t="str">
        <f t="shared" ca="1" si="25"/>
        <v/>
      </c>
    </row>
    <row r="523" spans="12:12" x14ac:dyDescent="0.3">
      <c r="L523" s="7" t="str">
        <f t="shared" ca="1" si="25"/>
        <v/>
      </c>
    </row>
    <row r="524" spans="12:12" x14ac:dyDescent="0.3">
      <c r="L524" s="7" t="str">
        <f t="shared" ca="1" si="25"/>
        <v/>
      </c>
    </row>
    <row r="525" spans="12:12" x14ac:dyDescent="0.3">
      <c r="L525" s="7" t="str">
        <f t="shared" ca="1" si="25"/>
        <v/>
      </c>
    </row>
    <row r="526" spans="12:12" x14ac:dyDescent="0.3">
      <c r="L526" s="7" t="str">
        <f t="shared" ca="1" si="25"/>
        <v/>
      </c>
    </row>
    <row r="527" spans="12:12" x14ac:dyDescent="0.3">
      <c r="L527" s="7" t="str">
        <f t="shared" ca="1" si="25"/>
        <v/>
      </c>
    </row>
    <row r="528" spans="12:12" x14ac:dyDescent="0.3">
      <c r="L528" s="7" t="str">
        <f t="shared" ca="1" si="25"/>
        <v/>
      </c>
    </row>
    <row r="529" spans="12:12" x14ac:dyDescent="0.3">
      <c r="L529" s="7" t="str">
        <f t="shared" ca="1" si="25"/>
        <v/>
      </c>
    </row>
    <row r="530" spans="12:12" x14ac:dyDescent="0.3">
      <c r="L530" s="7" t="str">
        <f t="shared" ca="1" si="25"/>
        <v/>
      </c>
    </row>
    <row r="531" spans="12:12" x14ac:dyDescent="0.3">
      <c r="L531" s="7" t="str">
        <f t="shared" ca="1" si="25"/>
        <v/>
      </c>
    </row>
    <row r="532" spans="12:12" x14ac:dyDescent="0.3">
      <c r="L532" s="7" t="str">
        <f t="shared" ca="1" si="25"/>
        <v/>
      </c>
    </row>
    <row r="533" spans="12:12" x14ac:dyDescent="0.3">
      <c r="L533" s="7" t="str">
        <f t="shared" ca="1" si="25"/>
        <v/>
      </c>
    </row>
    <row r="534" spans="12:12" x14ac:dyDescent="0.3">
      <c r="L534" s="7" t="str">
        <f t="shared" ca="1" si="25"/>
        <v/>
      </c>
    </row>
    <row r="535" spans="12:12" x14ac:dyDescent="0.3">
      <c r="L535" s="7" t="str">
        <f t="shared" ca="1" si="25"/>
        <v/>
      </c>
    </row>
    <row r="536" spans="12:12" x14ac:dyDescent="0.3">
      <c r="L536" s="7" t="str">
        <f t="shared" ca="1" si="25"/>
        <v/>
      </c>
    </row>
    <row r="537" spans="12:12" x14ac:dyDescent="0.3">
      <c r="L537" s="7" t="str">
        <f t="shared" ca="1" si="25"/>
        <v/>
      </c>
    </row>
    <row r="538" spans="12:12" x14ac:dyDescent="0.3">
      <c r="L538" s="7" t="str">
        <f t="shared" ca="1" si="25"/>
        <v/>
      </c>
    </row>
    <row r="539" spans="12:12" x14ac:dyDescent="0.3">
      <c r="L539" s="7" t="str">
        <f t="shared" ca="1" si="25"/>
        <v/>
      </c>
    </row>
    <row r="540" spans="12:12" x14ac:dyDescent="0.3">
      <c r="L540" s="7" t="str">
        <f t="shared" ca="1" si="25"/>
        <v/>
      </c>
    </row>
    <row r="541" spans="12:12" x14ac:dyDescent="0.3">
      <c r="L541" s="7" t="str">
        <f t="shared" ca="1" si="25"/>
        <v/>
      </c>
    </row>
    <row r="542" spans="12:12" x14ac:dyDescent="0.3">
      <c r="L542" s="7" t="str">
        <f t="shared" ca="1" si="25"/>
        <v/>
      </c>
    </row>
    <row r="543" spans="12:12" x14ac:dyDescent="0.3">
      <c r="L543" s="7" t="str">
        <f t="shared" ca="1" si="25"/>
        <v/>
      </c>
    </row>
    <row r="544" spans="12:12" x14ac:dyDescent="0.3">
      <c r="L544" s="7" t="str">
        <f t="shared" ca="1" si="25"/>
        <v/>
      </c>
    </row>
    <row r="545" spans="12:12" x14ac:dyDescent="0.3">
      <c r="L545" s="7" t="str">
        <f t="shared" ca="1" si="25"/>
        <v/>
      </c>
    </row>
    <row r="546" spans="12:12" x14ac:dyDescent="0.3">
      <c r="L546" s="7" t="str">
        <f t="shared" ca="1" si="25"/>
        <v/>
      </c>
    </row>
    <row r="547" spans="12:12" x14ac:dyDescent="0.3">
      <c r="L547" s="7" t="str">
        <f t="shared" ca="1" si="25"/>
        <v/>
      </c>
    </row>
    <row r="548" spans="12:12" x14ac:dyDescent="0.3">
      <c r="L548" s="7" t="str">
        <f t="shared" ca="1" si="25"/>
        <v/>
      </c>
    </row>
    <row r="549" spans="12:12" x14ac:dyDescent="0.3">
      <c r="L549" s="7" t="str">
        <f t="shared" ca="1" si="25"/>
        <v/>
      </c>
    </row>
    <row r="550" spans="12:12" x14ac:dyDescent="0.3">
      <c r="L550" s="7" t="str">
        <f t="shared" ca="1" si="25"/>
        <v/>
      </c>
    </row>
    <row r="551" spans="12:12" x14ac:dyDescent="0.3">
      <c r="L551" s="7" t="str">
        <f t="shared" ca="1" si="25"/>
        <v/>
      </c>
    </row>
    <row r="552" spans="12:12" x14ac:dyDescent="0.3">
      <c r="L552" s="7" t="str">
        <f t="shared" ca="1" si="25"/>
        <v/>
      </c>
    </row>
    <row r="553" spans="12:12" x14ac:dyDescent="0.3">
      <c r="L553" s="7" t="str">
        <f t="shared" ca="1" si="25"/>
        <v/>
      </c>
    </row>
    <row r="554" spans="12:12" x14ac:dyDescent="0.3">
      <c r="L554" s="7" t="str">
        <f t="shared" ca="1" si="25"/>
        <v/>
      </c>
    </row>
    <row r="555" spans="12:12" x14ac:dyDescent="0.3">
      <c r="L555" s="7" t="str">
        <f t="shared" ca="1" si="25"/>
        <v/>
      </c>
    </row>
    <row r="556" spans="12:12" x14ac:dyDescent="0.3">
      <c r="L556" s="7" t="str">
        <f t="shared" ca="1" si="25"/>
        <v/>
      </c>
    </row>
    <row r="557" spans="12:12" x14ac:dyDescent="0.3">
      <c r="L557" s="7" t="str">
        <f t="shared" ca="1" si="25"/>
        <v/>
      </c>
    </row>
    <row r="558" spans="12:12" x14ac:dyDescent="0.3">
      <c r="L558" s="7" t="str">
        <f t="shared" ca="1" si="25"/>
        <v/>
      </c>
    </row>
    <row r="559" spans="12:12" x14ac:dyDescent="0.3">
      <c r="L559" s="7" t="str">
        <f t="shared" ca="1" si="25"/>
        <v/>
      </c>
    </row>
    <row r="560" spans="12:12" x14ac:dyDescent="0.3">
      <c r="L560" s="7" t="str">
        <f t="shared" ca="1" si="25"/>
        <v/>
      </c>
    </row>
    <row r="561" spans="12:12" x14ac:dyDescent="0.3">
      <c r="L561" s="7" t="str">
        <f t="shared" ca="1" si="25"/>
        <v/>
      </c>
    </row>
    <row r="562" spans="12:12" x14ac:dyDescent="0.3">
      <c r="L562" s="7" t="str">
        <f t="shared" ca="1" si="25"/>
        <v/>
      </c>
    </row>
    <row r="563" spans="12:12" x14ac:dyDescent="0.3">
      <c r="L563" s="7" t="str">
        <f t="shared" ca="1" si="25"/>
        <v/>
      </c>
    </row>
    <row r="564" spans="12:12" x14ac:dyDescent="0.3">
      <c r="L564" s="7" t="str">
        <f t="shared" ca="1" si="25"/>
        <v/>
      </c>
    </row>
    <row r="565" spans="12:12" x14ac:dyDescent="0.3">
      <c r="L565" s="7" t="str">
        <f t="shared" ca="1" si="25"/>
        <v/>
      </c>
    </row>
    <row r="566" spans="12:12" x14ac:dyDescent="0.3">
      <c r="L566" s="7" t="str">
        <f t="shared" ca="1" si="25"/>
        <v/>
      </c>
    </row>
    <row r="567" spans="12:12" x14ac:dyDescent="0.3">
      <c r="L567" s="7" t="str">
        <f t="shared" ca="1" si="25"/>
        <v/>
      </c>
    </row>
    <row r="568" spans="12:12" x14ac:dyDescent="0.3">
      <c r="L568" s="7" t="str">
        <f t="shared" ca="1" si="25"/>
        <v/>
      </c>
    </row>
    <row r="569" spans="12:12" x14ac:dyDescent="0.3">
      <c r="L569" s="7" t="str">
        <f t="shared" ca="1" si="25"/>
        <v/>
      </c>
    </row>
    <row r="570" spans="12:12" x14ac:dyDescent="0.3">
      <c r="L570" s="7" t="str">
        <f t="shared" ca="1" si="25"/>
        <v/>
      </c>
    </row>
    <row r="571" spans="12:12" x14ac:dyDescent="0.3">
      <c r="L571" s="7" t="str">
        <f t="shared" ca="1" si="25"/>
        <v/>
      </c>
    </row>
    <row r="572" spans="12:12" x14ac:dyDescent="0.3">
      <c r="L572" s="7" t="str">
        <f t="shared" ca="1" si="25"/>
        <v/>
      </c>
    </row>
    <row r="573" spans="12:12" x14ac:dyDescent="0.3">
      <c r="L573" s="7" t="str">
        <f t="shared" ca="1" si="25"/>
        <v/>
      </c>
    </row>
    <row r="574" spans="12:12" x14ac:dyDescent="0.3">
      <c r="L574" s="7" t="str">
        <f t="shared" ca="1" si="25"/>
        <v/>
      </c>
    </row>
    <row r="575" spans="12:12" x14ac:dyDescent="0.3">
      <c r="L575" s="7" t="str">
        <f t="shared" ca="1" si="25"/>
        <v/>
      </c>
    </row>
    <row r="576" spans="12:12" x14ac:dyDescent="0.3">
      <c r="L576" s="7" t="str">
        <f t="shared" ca="1" si="25"/>
        <v/>
      </c>
    </row>
    <row r="577" spans="12:12" x14ac:dyDescent="0.3">
      <c r="L577" s="7" t="str">
        <f t="shared" ca="1" si="25"/>
        <v/>
      </c>
    </row>
    <row r="578" spans="12:12" x14ac:dyDescent="0.3">
      <c r="L578" s="7" t="str">
        <f t="shared" ca="1" si="25"/>
        <v/>
      </c>
    </row>
    <row r="579" spans="12:12" x14ac:dyDescent="0.3">
      <c r="L579" s="7" t="str">
        <f t="shared" ca="1" si="25"/>
        <v/>
      </c>
    </row>
    <row r="580" spans="12:12" x14ac:dyDescent="0.3">
      <c r="L580" s="7" t="str">
        <f t="shared" ca="1" si="25"/>
        <v/>
      </c>
    </row>
    <row r="581" spans="12:12" x14ac:dyDescent="0.3">
      <c r="L581" s="7" t="str">
        <f t="shared" ref="L581:L644" ca="1" si="26">IF(I581="Completed",0,IF(H581="","",H581-TODAY()))</f>
        <v/>
      </c>
    </row>
    <row r="582" spans="12:12" x14ac:dyDescent="0.3">
      <c r="L582" s="7" t="str">
        <f t="shared" ca="1" si="26"/>
        <v/>
      </c>
    </row>
    <row r="583" spans="12:12" x14ac:dyDescent="0.3">
      <c r="L583" s="7" t="str">
        <f t="shared" ca="1" si="26"/>
        <v/>
      </c>
    </row>
    <row r="584" spans="12:12" x14ac:dyDescent="0.3">
      <c r="L584" s="7" t="str">
        <f t="shared" ca="1" si="26"/>
        <v/>
      </c>
    </row>
    <row r="585" spans="12:12" x14ac:dyDescent="0.3">
      <c r="L585" s="7" t="str">
        <f t="shared" ca="1" si="26"/>
        <v/>
      </c>
    </row>
    <row r="586" spans="12:12" x14ac:dyDescent="0.3">
      <c r="L586" s="7" t="str">
        <f t="shared" ca="1" si="26"/>
        <v/>
      </c>
    </row>
    <row r="587" spans="12:12" x14ac:dyDescent="0.3">
      <c r="L587" s="7" t="str">
        <f t="shared" ca="1" si="26"/>
        <v/>
      </c>
    </row>
    <row r="588" spans="12:12" x14ac:dyDescent="0.3">
      <c r="L588" s="7" t="str">
        <f t="shared" ca="1" si="26"/>
        <v/>
      </c>
    </row>
    <row r="589" spans="12:12" x14ac:dyDescent="0.3">
      <c r="L589" s="7" t="str">
        <f t="shared" ca="1" si="26"/>
        <v/>
      </c>
    </row>
    <row r="590" spans="12:12" x14ac:dyDescent="0.3">
      <c r="L590" s="7" t="str">
        <f t="shared" ca="1" si="26"/>
        <v/>
      </c>
    </row>
    <row r="591" spans="12:12" x14ac:dyDescent="0.3">
      <c r="L591" s="7" t="str">
        <f t="shared" ca="1" si="26"/>
        <v/>
      </c>
    </row>
    <row r="592" spans="12:12" x14ac:dyDescent="0.3">
      <c r="L592" s="7" t="str">
        <f t="shared" ca="1" si="26"/>
        <v/>
      </c>
    </row>
    <row r="593" spans="12:12" x14ac:dyDescent="0.3">
      <c r="L593" s="7" t="str">
        <f t="shared" ca="1" si="26"/>
        <v/>
      </c>
    </row>
    <row r="594" spans="12:12" x14ac:dyDescent="0.3">
      <c r="L594" s="7" t="str">
        <f t="shared" ca="1" si="26"/>
        <v/>
      </c>
    </row>
    <row r="595" spans="12:12" x14ac:dyDescent="0.3">
      <c r="L595" s="7" t="str">
        <f t="shared" ca="1" si="26"/>
        <v/>
      </c>
    </row>
    <row r="596" spans="12:12" x14ac:dyDescent="0.3">
      <c r="L596" s="7" t="str">
        <f t="shared" ca="1" si="26"/>
        <v/>
      </c>
    </row>
    <row r="597" spans="12:12" x14ac:dyDescent="0.3">
      <c r="L597" s="7" t="str">
        <f t="shared" ca="1" si="26"/>
        <v/>
      </c>
    </row>
    <row r="598" spans="12:12" x14ac:dyDescent="0.3">
      <c r="L598" s="7" t="str">
        <f t="shared" ca="1" si="26"/>
        <v/>
      </c>
    </row>
    <row r="599" spans="12:12" x14ac:dyDescent="0.3">
      <c r="L599" s="7" t="str">
        <f t="shared" ca="1" si="26"/>
        <v/>
      </c>
    </row>
    <row r="600" spans="12:12" x14ac:dyDescent="0.3">
      <c r="L600" s="7" t="str">
        <f t="shared" ca="1" si="26"/>
        <v/>
      </c>
    </row>
    <row r="601" spans="12:12" x14ac:dyDescent="0.3">
      <c r="L601" s="7" t="str">
        <f t="shared" ca="1" si="26"/>
        <v/>
      </c>
    </row>
    <row r="602" spans="12:12" x14ac:dyDescent="0.3">
      <c r="L602" s="7" t="str">
        <f t="shared" ca="1" si="26"/>
        <v/>
      </c>
    </row>
    <row r="603" spans="12:12" x14ac:dyDescent="0.3">
      <c r="L603" s="7" t="str">
        <f t="shared" ca="1" si="26"/>
        <v/>
      </c>
    </row>
    <row r="604" spans="12:12" x14ac:dyDescent="0.3">
      <c r="L604" s="7" t="str">
        <f t="shared" ca="1" si="26"/>
        <v/>
      </c>
    </row>
    <row r="605" spans="12:12" x14ac:dyDescent="0.3">
      <c r="L605" s="7" t="str">
        <f t="shared" ca="1" si="26"/>
        <v/>
      </c>
    </row>
    <row r="606" spans="12:12" x14ac:dyDescent="0.3">
      <c r="L606" s="7" t="str">
        <f t="shared" ca="1" si="26"/>
        <v/>
      </c>
    </row>
    <row r="607" spans="12:12" x14ac:dyDescent="0.3">
      <c r="L607" s="7" t="str">
        <f t="shared" ca="1" si="26"/>
        <v/>
      </c>
    </row>
    <row r="608" spans="12:12" x14ac:dyDescent="0.3">
      <c r="L608" s="7" t="str">
        <f t="shared" ca="1" si="26"/>
        <v/>
      </c>
    </row>
    <row r="609" spans="12:12" x14ac:dyDescent="0.3">
      <c r="L609" s="7" t="str">
        <f t="shared" ca="1" si="26"/>
        <v/>
      </c>
    </row>
    <row r="610" spans="12:12" x14ac:dyDescent="0.3">
      <c r="L610" s="7" t="str">
        <f t="shared" ca="1" si="26"/>
        <v/>
      </c>
    </row>
    <row r="611" spans="12:12" x14ac:dyDescent="0.3">
      <c r="L611" s="7" t="str">
        <f t="shared" ca="1" si="26"/>
        <v/>
      </c>
    </row>
    <row r="612" spans="12:12" x14ac:dyDescent="0.3">
      <c r="L612" s="7" t="str">
        <f t="shared" ca="1" si="26"/>
        <v/>
      </c>
    </row>
    <row r="613" spans="12:12" x14ac:dyDescent="0.3">
      <c r="L613" s="7" t="str">
        <f t="shared" ca="1" si="26"/>
        <v/>
      </c>
    </row>
    <row r="614" spans="12:12" x14ac:dyDescent="0.3">
      <c r="L614" s="7" t="str">
        <f t="shared" ca="1" si="26"/>
        <v/>
      </c>
    </row>
    <row r="615" spans="12:12" x14ac:dyDescent="0.3">
      <c r="L615" s="7" t="str">
        <f t="shared" ca="1" si="26"/>
        <v/>
      </c>
    </row>
    <row r="616" spans="12:12" x14ac:dyDescent="0.3">
      <c r="L616" s="7" t="str">
        <f t="shared" ca="1" si="26"/>
        <v/>
      </c>
    </row>
    <row r="617" spans="12:12" x14ac:dyDescent="0.3">
      <c r="L617" s="7" t="str">
        <f t="shared" ca="1" si="26"/>
        <v/>
      </c>
    </row>
    <row r="618" spans="12:12" x14ac:dyDescent="0.3">
      <c r="L618" s="7" t="str">
        <f t="shared" ca="1" si="26"/>
        <v/>
      </c>
    </row>
    <row r="619" spans="12:12" x14ac:dyDescent="0.3">
      <c r="L619" s="7" t="str">
        <f t="shared" ca="1" si="26"/>
        <v/>
      </c>
    </row>
    <row r="620" spans="12:12" x14ac:dyDescent="0.3">
      <c r="L620" s="7" t="str">
        <f t="shared" ca="1" si="26"/>
        <v/>
      </c>
    </row>
    <row r="621" spans="12:12" x14ac:dyDescent="0.3">
      <c r="L621" s="7" t="str">
        <f t="shared" ca="1" si="26"/>
        <v/>
      </c>
    </row>
    <row r="622" spans="12:12" x14ac:dyDescent="0.3">
      <c r="L622" s="7" t="str">
        <f t="shared" ca="1" si="26"/>
        <v/>
      </c>
    </row>
    <row r="623" spans="12:12" x14ac:dyDescent="0.3">
      <c r="L623" s="7" t="str">
        <f t="shared" ca="1" si="26"/>
        <v/>
      </c>
    </row>
    <row r="624" spans="12:12" x14ac:dyDescent="0.3">
      <c r="L624" s="7" t="str">
        <f t="shared" ca="1" si="26"/>
        <v/>
      </c>
    </row>
    <row r="625" spans="12:12" x14ac:dyDescent="0.3">
      <c r="L625" s="7" t="str">
        <f t="shared" ca="1" si="26"/>
        <v/>
      </c>
    </row>
    <row r="626" spans="12:12" x14ac:dyDescent="0.3">
      <c r="L626" s="7" t="str">
        <f t="shared" ca="1" si="26"/>
        <v/>
      </c>
    </row>
    <row r="627" spans="12:12" x14ac:dyDescent="0.3">
      <c r="L627" s="7" t="str">
        <f t="shared" ca="1" si="26"/>
        <v/>
      </c>
    </row>
    <row r="628" spans="12:12" x14ac:dyDescent="0.3">
      <c r="L628" s="7" t="str">
        <f t="shared" ca="1" si="26"/>
        <v/>
      </c>
    </row>
    <row r="629" spans="12:12" x14ac:dyDescent="0.3">
      <c r="L629" s="7" t="str">
        <f t="shared" ca="1" si="26"/>
        <v/>
      </c>
    </row>
    <row r="630" spans="12:12" x14ac:dyDescent="0.3">
      <c r="L630" s="7" t="str">
        <f t="shared" ca="1" si="26"/>
        <v/>
      </c>
    </row>
    <row r="631" spans="12:12" x14ac:dyDescent="0.3">
      <c r="L631" s="7" t="str">
        <f t="shared" ca="1" si="26"/>
        <v/>
      </c>
    </row>
    <row r="632" spans="12:12" x14ac:dyDescent="0.3">
      <c r="L632" s="7" t="str">
        <f t="shared" ca="1" si="26"/>
        <v/>
      </c>
    </row>
    <row r="633" spans="12:12" x14ac:dyDescent="0.3">
      <c r="L633" s="7" t="str">
        <f t="shared" ca="1" si="26"/>
        <v/>
      </c>
    </row>
    <row r="634" spans="12:12" x14ac:dyDescent="0.3">
      <c r="L634" s="7" t="str">
        <f t="shared" ca="1" si="26"/>
        <v/>
      </c>
    </row>
    <row r="635" spans="12:12" x14ac:dyDescent="0.3">
      <c r="L635" s="7" t="str">
        <f t="shared" ca="1" si="26"/>
        <v/>
      </c>
    </row>
    <row r="636" spans="12:12" x14ac:dyDescent="0.3">
      <c r="L636" s="7" t="str">
        <f t="shared" ca="1" si="26"/>
        <v/>
      </c>
    </row>
    <row r="637" spans="12:12" x14ac:dyDescent="0.3">
      <c r="L637" s="7" t="str">
        <f t="shared" ca="1" si="26"/>
        <v/>
      </c>
    </row>
    <row r="638" spans="12:12" x14ac:dyDescent="0.3">
      <c r="L638" s="7" t="str">
        <f t="shared" ca="1" si="26"/>
        <v/>
      </c>
    </row>
    <row r="639" spans="12:12" x14ac:dyDescent="0.3">
      <c r="L639" s="7" t="str">
        <f t="shared" ca="1" si="26"/>
        <v/>
      </c>
    </row>
    <row r="640" spans="12:12" x14ac:dyDescent="0.3">
      <c r="L640" s="7" t="str">
        <f t="shared" ca="1" si="26"/>
        <v/>
      </c>
    </row>
    <row r="641" spans="12:12" x14ac:dyDescent="0.3">
      <c r="L641" s="7" t="str">
        <f t="shared" ca="1" si="26"/>
        <v/>
      </c>
    </row>
    <row r="642" spans="12:12" x14ac:dyDescent="0.3">
      <c r="L642" s="7" t="str">
        <f t="shared" ca="1" si="26"/>
        <v/>
      </c>
    </row>
    <row r="643" spans="12:12" x14ac:dyDescent="0.3">
      <c r="L643" s="7" t="str">
        <f t="shared" ca="1" si="26"/>
        <v/>
      </c>
    </row>
    <row r="644" spans="12:12" x14ac:dyDescent="0.3">
      <c r="L644" s="7" t="str">
        <f t="shared" ca="1" si="26"/>
        <v/>
      </c>
    </row>
    <row r="645" spans="12:12" x14ac:dyDescent="0.3">
      <c r="L645" s="7" t="str">
        <f t="shared" ref="L645:L708" ca="1" si="27">IF(I645="Completed",0,IF(H645="","",H645-TODAY()))</f>
        <v/>
      </c>
    </row>
    <row r="646" spans="12:12" x14ac:dyDescent="0.3">
      <c r="L646" s="7" t="str">
        <f t="shared" ca="1" si="27"/>
        <v/>
      </c>
    </row>
    <row r="647" spans="12:12" x14ac:dyDescent="0.3">
      <c r="L647" s="7" t="str">
        <f t="shared" ca="1" si="27"/>
        <v/>
      </c>
    </row>
    <row r="648" spans="12:12" x14ac:dyDescent="0.3">
      <c r="L648" s="7" t="str">
        <f t="shared" ca="1" si="27"/>
        <v/>
      </c>
    </row>
    <row r="649" spans="12:12" x14ac:dyDescent="0.3">
      <c r="L649" s="7" t="str">
        <f t="shared" ca="1" si="27"/>
        <v/>
      </c>
    </row>
    <row r="650" spans="12:12" x14ac:dyDescent="0.3">
      <c r="L650" s="7" t="str">
        <f t="shared" ca="1" si="27"/>
        <v/>
      </c>
    </row>
    <row r="651" spans="12:12" x14ac:dyDescent="0.3">
      <c r="L651" s="7" t="str">
        <f t="shared" ca="1" si="27"/>
        <v/>
      </c>
    </row>
    <row r="652" spans="12:12" x14ac:dyDescent="0.3">
      <c r="L652" s="7" t="str">
        <f t="shared" ca="1" si="27"/>
        <v/>
      </c>
    </row>
    <row r="653" spans="12:12" x14ac:dyDescent="0.3">
      <c r="L653" s="7" t="str">
        <f t="shared" ca="1" si="27"/>
        <v/>
      </c>
    </row>
    <row r="654" spans="12:12" x14ac:dyDescent="0.3">
      <c r="L654" s="7" t="str">
        <f t="shared" ca="1" si="27"/>
        <v/>
      </c>
    </row>
    <row r="655" spans="12:12" x14ac:dyDescent="0.3">
      <c r="L655" s="7" t="str">
        <f t="shared" ca="1" si="27"/>
        <v/>
      </c>
    </row>
    <row r="656" spans="12:12" x14ac:dyDescent="0.3">
      <c r="L656" s="7" t="str">
        <f t="shared" ca="1" si="27"/>
        <v/>
      </c>
    </row>
    <row r="657" spans="12:12" x14ac:dyDescent="0.3">
      <c r="L657" s="7" t="str">
        <f t="shared" ca="1" si="27"/>
        <v/>
      </c>
    </row>
    <row r="658" spans="12:12" x14ac:dyDescent="0.3">
      <c r="L658" s="7" t="str">
        <f t="shared" ca="1" si="27"/>
        <v/>
      </c>
    </row>
    <row r="659" spans="12:12" x14ac:dyDescent="0.3">
      <c r="L659" s="7" t="str">
        <f t="shared" ca="1" si="27"/>
        <v/>
      </c>
    </row>
    <row r="660" spans="12:12" x14ac:dyDescent="0.3">
      <c r="L660" s="7" t="str">
        <f t="shared" ca="1" si="27"/>
        <v/>
      </c>
    </row>
    <row r="661" spans="12:12" x14ac:dyDescent="0.3">
      <c r="L661" s="7" t="str">
        <f t="shared" ca="1" si="27"/>
        <v/>
      </c>
    </row>
    <row r="662" spans="12:12" x14ac:dyDescent="0.3">
      <c r="L662" s="7" t="str">
        <f t="shared" ca="1" si="27"/>
        <v/>
      </c>
    </row>
    <row r="663" spans="12:12" x14ac:dyDescent="0.3">
      <c r="L663" s="7" t="str">
        <f t="shared" ca="1" si="27"/>
        <v/>
      </c>
    </row>
    <row r="664" spans="12:12" x14ac:dyDescent="0.3">
      <c r="L664" s="7" t="str">
        <f t="shared" ca="1" si="27"/>
        <v/>
      </c>
    </row>
    <row r="665" spans="12:12" x14ac:dyDescent="0.3">
      <c r="L665" s="7" t="str">
        <f t="shared" ca="1" si="27"/>
        <v/>
      </c>
    </row>
    <row r="666" spans="12:12" x14ac:dyDescent="0.3">
      <c r="L666" s="7" t="str">
        <f t="shared" ca="1" si="27"/>
        <v/>
      </c>
    </row>
    <row r="667" spans="12:12" x14ac:dyDescent="0.3">
      <c r="L667" s="7" t="str">
        <f t="shared" ca="1" si="27"/>
        <v/>
      </c>
    </row>
    <row r="668" spans="12:12" x14ac:dyDescent="0.3">
      <c r="L668" s="7" t="str">
        <f t="shared" ca="1" si="27"/>
        <v/>
      </c>
    </row>
    <row r="669" spans="12:12" x14ac:dyDescent="0.3">
      <c r="L669" s="7" t="str">
        <f t="shared" ca="1" si="27"/>
        <v/>
      </c>
    </row>
    <row r="670" spans="12:12" x14ac:dyDescent="0.3">
      <c r="L670" s="7" t="str">
        <f t="shared" ca="1" si="27"/>
        <v/>
      </c>
    </row>
    <row r="671" spans="12:12" x14ac:dyDescent="0.3">
      <c r="L671" s="7" t="str">
        <f t="shared" ca="1" si="27"/>
        <v/>
      </c>
    </row>
    <row r="672" spans="12:12" x14ac:dyDescent="0.3">
      <c r="L672" s="7" t="str">
        <f t="shared" ca="1" si="27"/>
        <v/>
      </c>
    </row>
    <row r="673" spans="12:12" x14ac:dyDescent="0.3">
      <c r="L673" s="7" t="str">
        <f t="shared" ca="1" si="27"/>
        <v/>
      </c>
    </row>
    <row r="674" spans="12:12" x14ac:dyDescent="0.3">
      <c r="L674" s="7" t="str">
        <f t="shared" ca="1" si="27"/>
        <v/>
      </c>
    </row>
    <row r="675" spans="12:12" x14ac:dyDescent="0.3">
      <c r="L675" s="7" t="str">
        <f t="shared" ca="1" si="27"/>
        <v/>
      </c>
    </row>
    <row r="676" spans="12:12" x14ac:dyDescent="0.3">
      <c r="L676" s="7" t="str">
        <f t="shared" ca="1" si="27"/>
        <v/>
      </c>
    </row>
    <row r="677" spans="12:12" x14ac:dyDescent="0.3">
      <c r="L677" s="7" t="str">
        <f t="shared" ca="1" si="27"/>
        <v/>
      </c>
    </row>
    <row r="678" spans="12:12" x14ac:dyDescent="0.3">
      <c r="L678" s="7" t="str">
        <f t="shared" ca="1" si="27"/>
        <v/>
      </c>
    </row>
    <row r="679" spans="12:12" x14ac:dyDescent="0.3">
      <c r="L679" s="7" t="str">
        <f t="shared" ca="1" si="27"/>
        <v/>
      </c>
    </row>
    <row r="680" spans="12:12" x14ac:dyDescent="0.3">
      <c r="L680" s="7" t="str">
        <f t="shared" ca="1" si="27"/>
        <v/>
      </c>
    </row>
    <row r="681" spans="12:12" x14ac:dyDescent="0.3">
      <c r="L681" s="7" t="str">
        <f t="shared" ca="1" si="27"/>
        <v/>
      </c>
    </row>
    <row r="682" spans="12:12" x14ac:dyDescent="0.3">
      <c r="L682" s="7" t="str">
        <f t="shared" ca="1" si="27"/>
        <v/>
      </c>
    </row>
    <row r="683" spans="12:12" x14ac:dyDescent="0.3">
      <c r="L683" s="7" t="str">
        <f t="shared" ca="1" si="27"/>
        <v/>
      </c>
    </row>
    <row r="684" spans="12:12" x14ac:dyDescent="0.3">
      <c r="L684" s="7" t="str">
        <f t="shared" ca="1" si="27"/>
        <v/>
      </c>
    </row>
    <row r="685" spans="12:12" x14ac:dyDescent="0.3">
      <c r="L685" s="7" t="str">
        <f t="shared" ca="1" si="27"/>
        <v/>
      </c>
    </row>
    <row r="686" spans="12:12" x14ac:dyDescent="0.3">
      <c r="L686" s="7" t="str">
        <f t="shared" ca="1" si="27"/>
        <v/>
      </c>
    </row>
    <row r="687" spans="12:12" x14ac:dyDescent="0.3">
      <c r="L687" s="7" t="str">
        <f t="shared" ca="1" si="27"/>
        <v/>
      </c>
    </row>
    <row r="688" spans="12:12" x14ac:dyDescent="0.3">
      <c r="L688" s="7" t="str">
        <f t="shared" ca="1" si="27"/>
        <v/>
      </c>
    </row>
    <row r="689" spans="12:12" x14ac:dyDescent="0.3">
      <c r="L689" s="7" t="str">
        <f t="shared" ca="1" si="27"/>
        <v/>
      </c>
    </row>
    <row r="690" spans="12:12" x14ac:dyDescent="0.3">
      <c r="L690" s="7" t="str">
        <f t="shared" ca="1" si="27"/>
        <v/>
      </c>
    </row>
    <row r="691" spans="12:12" x14ac:dyDescent="0.3">
      <c r="L691" s="7" t="str">
        <f t="shared" ca="1" si="27"/>
        <v/>
      </c>
    </row>
    <row r="692" spans="12:12" x14ac:dyDescent="0.3">
      <c r="L692" s="7" t="str">
        <f t="shared" ca="1" si="27"/>
        <v/>
      </c>
    </row>
    <row r="693" spans="12:12" x14ac:dyDescent="0.3">
      <c r="L693" s="7" t="str">
        <f t="shared" ca="1" si="27"/>
        <v/>
      </c>
    </row>
    <row r="694" spans="12:12" x14ac:dyDescent="0.3">
      <c r="L694" s="7" t="str">
        <f t="shared" ca="1" si="27"/>
        <v/>
      </c>
    </row>
    <row r="695" spans="12:12" x14ac:dyDescent="0.3">
      <c r="L695" s="7" t="str">
        <f t="shared" ca="1" si="27"/>
        <v/>
      </c>
    </row>
    <row r="696" spans="12:12" x14ac:dyDescent="0.3">
      <c r="L696" s="7" t="str">
        <f t="shared" ca="1" si="27"/>
        <v/>
      </c>
    </row>
    <row r="697" spans="12:12" x14ac:dyDescent="0.3">
      <c r="L697" s="7" t="str">
        <f t="shared" ca="1" si="27"/>
        <v/>
      </c>
    </row>
    <row r="698" spans="12:12" x14ac:dyDescent="0.3">
      <c r="L698" s="7" t="str">
        <f t="shared" ca="1" si="27"/>
        <v/>
      </c>
    </row>
    <row r="699" spans="12:12" x14ac:dyDescent="0.3">
      <c r="L699" s="7" t="str">
        <f t="shared" ca="1" si="27"/>
        <v/>
      </c>
    </row>
    <row r="700" spans="12:12" x14ac:dyDescent="0.3">
      <c r="L700" s="7" t="str">
        <f t="shared" ca="1" si="27"/>
        <v/>
      </c>
    </row>
    <row r="701" spans="12:12" x14ac:dyDescent="0.3">
      <c r="L701" s="7" t="str">
        <f t="shared" ca="1" si="27"/>
        <v/>
      </c>
    </row>
    <row r="702" spans="12:12" x14ac:dyDescent="0.3">
      <c r="L702" s="7" t="str">
        <f t="shared" ca="1" si="27"/>
        <v/>
      </c>
    </row>
    <row r="703" spans="12:12" x14ac:dyDescent="0.3">
      <c r="L703" s="7" t="str">
        <f t="shared" ca="1" si="27"/>
        <v/>
      </c>
    </row>
    <row r="704" spans="12:12" x14ac:dyDescent="0.3">
      <c r="L704" s="7" t="str">
        <f t="shared" ca="1" si="27"/>
        <v/>
      </c>
    </row>
    <row r="705" spans="12:12" x14ac:dyDescent="0.3">
      <c r="L705" s="7" t="str">
        <f t="shared" ca="1" si="27"/>
        <v/>
      </c>
    </row>
    <row r="706" spans="12:12" x14ac:dyDescent="0.3">
      <c r="L706" s="7" t="str">
        <f t="shared" ca="1" si="27"/>
        <v/>
      </c>
    </row>
    <row r="707" spans="12:12" x14ac:dyDescent="0.3">
      <c r="L707" s="7" t="str">
        <f t="shared" ca="1" si="27"/>
        <v/>
      </c>
    </row>
    <row r="708" spans="12:12" x14ac:dyDescent="0.3">
      <c r="L708" s="7" t="str">
        <f t="shared" ca="1" si="27"/>
        <v/>
      </c>
    </row>
    <row r="709" spans="12:12" x14ac:dyDescent="0.3">
      <c r="L709" s="7" t="str">
        <f t="shared" ref="L709:L772" ca="1" si="28">IF(I709="Completed",0,IF(H709="","",H709-TODAY()))</f>
        <v/>
      </c>
    </row>
    <row r="710" spans="12:12" x14ac:dyDescent="0.3">
      <c r="L710" s="7" t="str">
        <f t="shared" ca="1" si="28"/>
        <v/>
      </c>
    </row>
    <row r="711" spans="12:12" x14ac:dyDescent="0.3">
      <c r="L711" s="7" t="str">
        <f t="shared" ca="1" si="28"/>
        <v/>
      </c>
    </row>
    <row r="712" spans="12:12" x14ac:dyDescent="0.3">
      <c r="L712" s="7" t="str">
        <f t="shared" ca="1" si="28"/>
        <v/>
      </c>
    </row>
    <row r="713" spans="12:12" x14ac:dyDescent="0.3">
      <c r="L713" s="7" t="str">
        <f t="shared" ca="1" si="28"/>
        <v/>
      </c>
    </row>
    <row r="714" spans="12:12" x14ac:dyDescent="0.3">
      <c r="L714" s="7" t="str">
        <f t="shared" ca="1" si="28"/>
        <v/>
      </c>
    </row>
    <row r="715" spans="12:12" x14ac:dyDescent="0.3">
      <c r="L715" s="7" t="str">
        <f t="shared" ca="1" si="28"/>
        <v/>
      </c>
    </row>
    <row r="716" spans="12:12" x14ac:dyDescent="0.3">
      <c r="L716" s="7" t="str">
        <f t="shared" ca="1" si="28"/>
        <v/>
      </c>
    </row>
    <row r="717" spans="12:12" x14ac:dyDescent="0.3">
      <c r="L717" s="7" t="str">
        <f t="shared" ca="1" si="28"/>
        <v/>
      </c>
    </row>
    <row r="718" spans="12:12" x14ac:dyDescent="0.3">
      <c r="L718" s="7" t="str">
        <f t="shared" ca="1" si="28"/>
        <v/>
      </c>
    </row>
    <row r="719" spans="12:12" x14ac:dyDescent="0.3">
      <c r="L719" s="7" t="str">
        <f t="shared" ca="1" si="28"/>
        <v/>
      </c>
    </row>
    <row r="720" spans="12:12" x14ac:dyDescent="0.3">
      <c r="L720" s="7" t="str">
        <f t="shared" ca="1" si="28"/>
        <v/>
      </c>
    </row>
    <row r="721" spans="12:12" x14ac:dyDescent="0.3">
      <c r="L721" s="7" t="str">
        <f t="shared" ca="1" si="28"/>
        <v/>
      </c>
    </row>
    <row r="722" spans="12:12" x14ac:dyDescent="0.3">
      <c r="L722" s="7" t="str">
        <f t="shared" ca="1" si="28"/>
        <v/>
      </c>
    </row>
    <row r="723" spans="12:12" x14ac:dyDescent="0.3">
      <c r="L723" s="7" t="str">
        <f t="shared" ca="1" si="28"/>
        <v/>
      </c>
    </row>
    <row r="724" spans="12:12" x14ac:dyDescent="0.3">
      <c r="L724" s="7" t="str">
        <f t="shared" ca="1" si="28"/>
        <v/>
      </c>
    </row>
    <row r="725" spans="12:12" x14ac:dyDescent="0.3">
      <c r="L725" s="7" t="str">
        <f t="shared" ca="1" si="28"/>
        <v/>
      </c>
    </row>
    <row r="726" spans="12:12" x14ac:dyDescent="0.3">
      <c r="L726" s="7" t="str">
        <f t="shared" ca="1" si="28"/>
        <v/>
      </c>
    </row>
    <row r="727" spans="12:12" x14ac:dyDescent="0.3">
      <c r="L727" s="7" t="str">
        <f t="shared" ca="1" si="28"/>
        <v/>
      </c>
    </row>
    <row r="728" spans="12:12" x14ac:dyDescent="0.3">
      <c r="L728" s="7" t="str">
        <f t="shared" ca="1" si="28"/>
        <v/>
      </c>
    </row>
    <row r="729" spans="12:12" x14ac:dyDescent="0.3">
      <c r="L729" s="7" t="str">
        <f t="shared" ca="1" si="28"/>
        <v/>
      </c>
    </row>
    <row r="730" spans="12:12" x14ac:dyDescent="0.3">
      <c r="L730" s="7" t="str">
        <f t="shared" ca="1" si="28"/>
        <v/>
      </c>
    </row>
    <row r="731" spans="12:12" x14ac:dyDescent="0.3">
      <c r="L731" s="7" t="str">
        <f t="shared" ca="1" si="28"/>
        <v/>
      </c>
    </row>
    <row r="732" spans="12:12" x14ac:dyDescent="0.3">
      <c r="L732" s="7" t="str">
        <f t="shared" ca="1" si="28"/>
        <v/>
      </c>
    </row>
    <row r="733" spans="12:12" x14ac:dyDescent="0.3">
      <c r="L733" s="7" t="str">
        <f t="shared" ca="1" si="28"/>
        <v/>
      </c>
    </row>
    <row r="734" spans="12:12" x14ac:dyDescent="0.3">
      <c r="L734" s="7" t="str">
        <f t="shared" ca="1" si="28"/>
        <v/>
      </c>
    </row>
    <row r="735" spans="12:12" x14ac:dyDescent="0.3">
      <c r="L735" s="7" t="str">
        <f t="shared" ca="1" si="28"/>
        <v/>
      </c>
    </row>
    <row r="736" spans="12:12" x14ac:dyDescent="0.3">
      <c r="L736" s="7" t="str">
        <f t="shared" ca="1" si="28"/>
        <v/>
      </c>
    </row>
    <row r="737" spans="12:12" x14ac:dyDescent="0.3">
      <c r="L737" s="7" t="str">
        <f t="shared" ca="1" si="28"/>
        <v/>
      </c>
    </row>
    <row r="738" spans="12:12" x14ac:dyDescent="0.3">
      <c r="L738" s="7" t="str">
        <f t="shared" ca="1" si="28"/>
        <v/>
      </c>
    </row>
    <row r="739" spans="12:12" x14ac:dyDescent="0.3">
      <c r="L739" s="7" t="str">
        <f t="shared" ca="1" si="28"/>
        <v/>
      </c>
    </row>
    <row r="740" spans="12:12" x14ac:dyDescent="0.3">
      <c r="L740" s="7" t="str">
        <f t="shared" ca="1" si="28"/>
        <v/>
      </c>
    </row>
    <row r="741" spans="12:12" x14ac:dyDescent="0.3">
      <c r="L741" s="7" t="str">
        <f t="shared" ca="1" si="28"/>
        <v/>
      </c>
    </row>
    <row r="742" spans="12:12" x14ac:dyDescent="0.3">
      <c r="L742" s="7" t="str">
        <f t="shared" ca="1" si="28"/>
        <v/>
      </c>
    </row>
    <row r="743" spans="12:12" x14ac:dyDescent="0.3">
      <c r="L743" s="7" t="str">
        <f t="shared" ca="1" si="28"/>
        <v/>
      </c>
    </row>
    <row r="744" spans="12:12" x14ac:dyDescent="0.3">
      <c r="L744" s="7" t="str">
        <f t="shared" ca="1" si="28"/>
        <v/>
      </c>
    </row>
    <row r="745" spans="12:12" x14ac:dyDescent="0.3">
      <c r="L745" s="7" t="str">
        <f t="shared" ca="1" si="28"/>
        <v/>
      </c>
    </row>
    <row r="746" spans="12:12" x14ac:dyDescent="0.3">
      <c r="L746" s="7" t="str">
        <f t="shared" ca="1" si="28"/>
        <v/>
      </c>
    </row>
    <row r="747" spans="12:12" x14ac:dyDescent="0.3">
      <c r="L747" s="7" t="str">
        <f t="shared" ca="1" si="28"/>
        <v/>
      </c>
    </row>
    <row r="748" spans="12:12" x14ac:dyDescent="0.3">
      <c r="L748" s="7" t="str">
        <f t="shared" ca="1" si="28"/>
        <v/>
      </c>
    </row>
    <row r="749" spans="12:12" x14ac:dyDescent="0.3">
      <c r="L749" s="7" t="str">
        <f t="shared" ca="1" si="28"/>
        <v/>
      </c>
    </row>
    <row r="750" spans="12:12" x14ac:dyDescent="0.3">
      <c r="L750" s="7" t="str">
        <f t="shared" ca="1" si="28"/>
        <v/>
      </c>
    </row>
    <row r="751" spans="12:12" x14ac:dyDescent="0.3">
      <c r="L751" s="7" t="str">
        <f t="shared" ca="1" si="28"/>
        <v/>
      </c>
    </row>
    <row r="752" spans="12:12" x14ac:dyDescent="0.3">
      <c r="L752" s="7" t="str">
        <f t="shared" ca="1" si="28"/>
        <v/>
      </c>
    </row>
    <row r="753" spans="12:12" x14ac:dyDescent="0.3">
      <c r="L753" s="7" t="str">
        <f t="shared" ca="1" si="28"/>
        <v/>
      </c>
    </row>
    <row r="754" spans="12:12" x14ac:dyDescent="0.3">
      <c r="L754" s="7" t="str">
        <f t="shared" ca="1" si="28"/>
        <v/>
      </c>
    </row>
    <row r="755" spans="12:12" x14ac:dyDescent="0.3">
      <c r="L755" s="7" t="str">
        <f t="shared" ca="1" si="28"/>
        <v/>
      </c>
    </row>
    <row r="756" spans="12:12" x14ac:dyDescent="0.3">
      <c r="L756" s="7" t="str">
        <f t="shared" ca="1" si="28"/>
        <v/>
      </c>
    </row>
    <row r="757" spans="12:12" x14ac:dyDescent="0.3">
      <c r="L757" s="7" t="str">
        <f t="shared" ca="1" si="28"/>
        <v/>
      </c>
    </row>
    <row r="758" spans="12:12" x14ac:dyDescent="0.3">
      <c r="L758" s="7" t="str">
        <f t="shared" ca="1" si="28"/>
        <v/>
      </c>
    </row>
    <row r="759" spans="12:12" x14ac:dyDescent="0.3">
      <c r="L759" s="7" t="str">
        <f t="shared" ca="1" si="28"/>
        <v/>
      </c>
    </row>
    <row r="760" spans="12:12" x14ac:dyDescent="0.3">
      <c r="L760" s="7" t="str">
        <f t="shared" ca="1" si="28"/>
        <v/>
      </c>
    </row>
    <row r="761" spans="12:12" x14ac:dyDescent="0.3">
      <c r="L761" s="7" t="str">
        <f t="shared" ca="1" si="28"/>
        <v/>
      </c>
    </row>
    <row r="762" spans="12:12" x14ac:dyDescent="0.3">
      <c r="L762" s="7" t="str">
        <f t="shared" ca="1" si="28"/>
        <v/>
      </c>
    </row>
    <row r="763" spans="12:12" x14ac:dyDescent="0.3">
      <c r="L763" s="7" t="str">
        <f t="shared" ca="1" si="28"/>
        <v/>
      </c>
    </row>
    <row r="764" spans="12:12" x14ac:dyDescent="0.3">
      <c r="L764" s="7" t="str">
        <f t="shared" ca="1" si="28"/>
        <v/>
      </c>
    </row>
    <row r="765" spans="12:12" x14ac:dyDescent="0.3">
      <c r="L765" s="7" t="str">
        <f t="shared" ca="1" si="28"/>
        <v/>
      </c>
    </row>
    <row r="766" spans="12:12" x14ac:dyDescent="0.3">
      <c r="L766" s="7" t="str">
        <f t="shared" ca="1" si="28"/>
        <v/>
      </c>
    </row>
    <row r="767" spans="12:12" x14ac:dyDescent="0.3">
      <c r="L767" s="7" t="str">
        <f t="shared" ca="1" si="28"/>
        <v/>
      </c>
    </row>
    <row r="768" spans="12:12" x14ac:dyDescent="0.3">
      <c r="L768" s="7" t="str">
        <f t="shared" ca="1" si="28"/>
        <v/>
      </c>
    </row>
    <row r="769" spans="12:12" x14ac:dyDescent="0.3">
      <c r="L769" s="7" t="str">
        <f t="shared" ca="1" si="28"/>
        <v/>
      </c>
    </row>
    <row r="770" spans="12:12" x14ac:dyDescent="0.3">
      <c r="L770" s="7" t="str">
        <f t="shared" ca="1" si="28"/>
        <v/>
      </c>
    </row>
    <row r="771" spans="12:12" x14ac:dyDescent="0.3">
      <c r="L771" s="7" t="str">
        <f t="shared" ca="1" si="28"/>
        <v/>
      </c>
    </row>
    <row r="772" spans="12:12" x14ac:dyDescent="0.3">
      <c r="L772" s="7" t="str">
        <f t="shared" ca="1" si="28"/>
        <v/>
      </c>
    </row>
    <row r="773" spans="12:12" x14ac:dyDescent="0.3">
      <c r="L773" s="7" t="str">
        <f t="shared" ref="L773:L836" ca="1" si="29">IF(I773="Completed",0,IF(H773="","",H773-TODAY()))</f>
        <v/>
      </c>
    </row>
    <row r="774" spans="12:12" x14ac:dyDescent="0.3">
      <c r="L774" s="7" t="str">
        <f t="shared" ca="1" si="29"/>
        <v/>
      </c>
    </row>
    <row r="775" spans="12:12" x14ac:dyDescent="0.3">
      <c r="L775" s="7" t="str">
        <f t="shared" ca="1" si="29"/>
        <v/>
      </c>
    </row>
    <row r="776" spans="12:12" x14ac:dyDescent="0.3">
      <c r="L776" s="7" t="str">
        <f t="shared" ca="1" si="29"/>
        <v/>
      </c>
    </row>
    <row r="777" spans="12:12" x14ac:dyDescent="0.3">
      <c r="L777" s="7" t="str">
        <f t="shared" ca="1" si="29"/>
        <v/>
      </c>
    </row>
    <row r="778" spans="12:12" x14ac:dyDescent="0.3">
      <c r="L778" s="7" t="str">
        <f t="shared" ca="1" si="29"/>
        <v/>
      </c>
    </row>
    <row r="779" spans="12:12" x14ac:dyDescent="0.3">
      <c r="L779" s="7" t="str">
        <f t="shared" ca="1" si="29"/>
        <v/>
      </c>
    </row>
    <row r="780" spans="12:12" x14ac:dyDescent="0.3">
      <c r="L780" s="7" t="str">
        <f t="shared" ca="1" si="29"/>
        <v/>
      </c>
    </row>
    <row r="781" spans="12:12" x14ac:dyDescent="0.3">
      <c r="L781" s="7" t="str">
        <f t="shared" ca="1" si="29"/>
        <v/>
      </c>
    </row>
    <row r="782" spans="12:12" x14ac:dyDescent="0.3">
      <c r="L782" s="7" t="str">
        <f t="shared" ca="1" si="29"/>
        <v/>
      </c>
    </row>
    <row r="783" spans="12:12" x14ac:dyDescent="0.3">
      <c r="L783" s="7" t="str">
        <f t="shared" ca="1" si="29"/>
        <v/>
      </c>
    </row>
    <row r="784" spans="12:12" x14ac:dyDescent="0.3">
      <c r="L784" s="7" t="str">
        <f t="shared" ca="1" si="29"/>
        <v/>
      </c>
    </row>
    <row r="785" spans="12:12" x14ac:dyDescent="0.3">
      <c r="L785" s="7" t="str">
        <f t="shared" ca="1" si="29"/>
        <v/>
      </c>
    </row>
    <row r="786" spans="12:12" x14ac:dyDescent="0.3">
      <c r="L786" s="7" t="str">
        <f t="shared" ca="1" si="29"/>
        <v/>
      </c>
    </row>
    <row r="787" spans="12:12" x14ac:dyDescent="0.3">
      <c r="L787" s="7" t="str">
        <f t="shared" ca="1" si="29"/>
        <v/>
      </c>
    </row>
    <row r="788" spans="12:12" x14ac:dyDescent="0.3">
      <c r="L788" s="7" t="str">
        <f t="shared" ca="1" si="29"/>
        <v/>
      </c>
    </row>
    <row r="789" spans="12:12" x14ac:dyDescent="0.3">
      <c r="L789" s="7" t="str">
        <f t="shared" ca="1" si="29"/>
        <v/>
      </c>
    </row>
    <row r="790" spans="12:12" x14ac:dyDescent="0.3">
      <c r="L790" s="7" t="str">
        <f t="shared" ca="1" si="29"/>
        <v/>
      </c>
    </row>
    <row r="791" spans="12:12" x14ac:dyDescent="0.3">
      <c r="L791" s="7" t="str">
        <f t="shared" ca="1" si="29"/>
        <v/>
      </c>
    </row>
    <row r="792" spans="12:12" x14ac:dyDescent="0.3">
      <c r="L792" s="7" t="str">
        <f t="shared" ca="1" si="29"/>
        <v/>
      </c>
    </row>
    <row r="793" spans="12:12" x14ac:dyDescent="0.3">
      <c r="L793" s="7" t="str">
        <f t="shared" ca="1" si="29"/>
        <v/>
      </c>
    </row>
    <row r="794" spans="12:12" x14ac:dyDescent="0.3">
      <c r="L794" s="7" t="str">
        <f t="shared" ca="1" si="29"/>
        <v/>
      </c>
    </row>
    <row r="795" spans="12:12" x14ac:dyDescent="0.3">
      <c r="L795" s="7" t="str">
        <f t="shared" ca="1" si="29"/>
        <v/>
      </c>
    </row>
    <row r="796" spans="12:12" x14ac:dyDescent="0.3">
      <c r="L796" s="7" t="str">
        <f t="shared" ca="1" si="29"/>
        <v/>
      </c>
    </row>
    <row r="797" spans="12:12" x14ac:dyDescent="0.3">
      <c r="L797" s="7" t="str">
        <f t="shared" ca="1" si="29"/>
        <v/>
      </c>
    </row>
    <row r="798" spans="12:12" x14ac:dyDescent="0.3">
      <c r="L798" s="7" t="str">
        <f t="shared" ca="1" si="29"/>
        <v/>
      </c>
    </row>
    <row r="799" spans="12:12" x14ac:dyDescent="0.3">
      <c r="L799" s="7" t="str">
        <f t="shared" ca="1" si="29"/>
        <v/>
      </c>
    </row>
    <row r="800" spans="12:12" x14ac:dyDescent="0.3">
      <c r="L800" s="7" t="str">
        <f t="shared" ca="1" si="29"/>
        <v/>
      </c>
    </row>
    <row r="801" spans="12:12" x14ac:dyDescent="0.3">
      <c r="L801" s="7" t="str">
        <f t="shared" ca="1" si="29"/>
        <v/>
      </c>
    </row>
    <row r="802" spans="12:12" x14ac:dyDescent="0.3">
      <c r="L802" s="7" t="str">
        <f t="shared" ca="1" si="29"/>
        <v/>
      </c>
    </row>
    <row r="803" spans="12:12" x14ac:dyDescent="0.3">
      <c r="L803" s="7" t="str">
        <f t="shared" ca="1" si="29"/>
        <v/>
      </c>
    </row>
    <row r="804" spans="12:12" x14ac:dyDescent="0.3">
      <c r="L804" s="7" t="str">
        <f t="shared" ca="1" si="29"/>
        <v/>
      </c>
    </row>
    <row r="805" spans="12:12" x14ac:dyDescent="0.3">
      <c r="L805" s="7" t="str">
        <f t="shared" ca="1" si="29"/>
        <v/>
      </c>
    </row>
    <row r="806" spans="12:12" x14ac:dyDescent="0.3">
      <c r="L806" s="7" t="str">
        <f t="shared" ca="1" si="29"/>
        <v/>
      </c>
    </row>
    <row r="807" spans="12:12" x14ac:dyDescent="0.3">
      <c r="L807" s="7" t="str">
        <f t="shared" ca="1" si="29"/>
        <v/>
      </c>
    </row>
    <row r="808" spans="12:12" x14ac:dyDescent="0.3">
      <c r="L808" s="7" t="str">
        <f t="shared" ca="1" si="29"/>
        <v/>
      </c>
    </row>
    <row r="809" spans="12:12" x14ac:dyDescent="0.3">
      <c r="L809" s="7" t="str">
        <f t="shared" ca="1" si="29"/>
        <v/>
      </c>
    </row>
    <row r="810" spans="12:12" x14ac:dyDescent="0.3">
      <c r="L810" s="7" t="str">
        <f t="shared" ca="1" si="29"/>
        <v/>
      </c>
    </row>
    <row r="811" spans="12:12" x14ac:dyDescent="0.3">
      <c r="L811" s="7" t="str">
        <f t="shared" ca="1" si="29"/>
        <v/>
      </c>
    </row>
    <row r="812" spans="12:12" x14ac:dyDescent="0.3">
      <c r="L812" s="7" t="str">
        <f t="shared" ca="1" si="29"/>
        <v/>
      </c>
    </row>
    <row r="813" spans="12:12" x14ac:dyDescent="0.3">
      <c r="L813" s="7" t="str">
        <f t="shared" ca="1" si="29"/>
        <v/>
      </c>
    </row>
    <row r="814" spans="12:12" x14ac:dyDescent="0.3">
      <c r="L814" s="7" t="str">
        <f t="shared" ca="1" si="29"/>
        <v/>
      </c>
    </row>
    <row r="815" spans="12:12" x14ac:dyDescent="0.3">
      <c r="L815" s="7" t="str">
        <f t="shared" ca="1" si="29"/>
        <v/>
      </c>
    </row>
    <row r="816" spans="12:12" x14ac:dyDescent="0.3">
      <c r="L816" s="7" t="str">
        <f t="shared" ca="1" si="29"/>
        <v/>
      </c>
    </row>
    <row r="817" spans="12:12" x14ac:dyDescent="0.3">
      <c r="L817" s="7" t="str">
        <f t="shared" ca="1" si="29"/>
        <v/>
      </c>
    </row>
    <row r="818" spans="12:12" x14ac:dyDescent="0.3">
      <c r="L818" s="7" t="str">
        <f t="shared" ca="1" si="29"/>
        <v/>
      </c>
    </row>
    <row r="819" spans="12:12" x14ac:dyDescent="0.3">
      <c r="L819" s="7" t="str">
        <f t="shared" ca="1" si="29"/>
        <v/>
      </c>
    </row>
    <row r="820" spans="12:12" x14ac:dyDescent="0.3">
      <c r="L820" s="7" t="str">
        <f t="shared" ca="1" si="29"/>
        <v/>
      </c>
    </row>
    <row r="821" spans="12:12" x14ac:dyDescent="0.3">
      <c r="L821" s="7" t="str">
        <f t="shared" ca="1" si="29"/>
        <v/>
      </c>
    </row>
    <row r="822" spans="12:12" x14ac:dyDescent="0.3">
      <c r="L822" s="7" t="str">
        <f t="shared" ca="1" si="29"/>
        <v/>
      </c>
    </row>
    <row r="823" spans="12:12" x14ac:dyDescent="0.3">
      <c r="L823" s="7" t="str">
        <f t="shared" ca="1" si="29"/>
        <v/>
      </c>
    </row>
    <row r="824" spans="12:12" x14ac:dyDescent="0.3">
      <c r="L824" s="7" t="str">
        <f t="shared" ca="1" si="29"/>
        <v/>
      </c>
    </row>
    <row r="825" spans="12:12" x14ac:dyDescent="0.3">
      <c r="L825" s="7" t="str">
        <f t="shared" ca="1" si="29"/>
        <v/>
      </c>
    </row>
    <row r="826" spans="12:12" x14ac:dyDescent="0.3">
      <c r="L826" s="7" t="str">
        <f t="shared" ca="1" si="29"/>
        <v/>
      </c>
    </row>
    <row r="827" spans="12:12" x14ac:dyDescent="0.3">
      <c r="L827" s="7" t="str">
        <f t="shared" ca="1" si="29"/>
        <v/>
      </c>
    </row>
    <row r="828" spans="12:12" x14ac:dyDescent="0.3">
      <c r="L828" s="7" t="str">
        <f t="shared" ca="1" si="29"/>
        <v/>
      </c>
    </row>
    <row r="829" spans="12:12" x14ac:dyDescent="0.3">
      <c r="L829" s="7" t="str">
        <f t="shared" ca="1" si="29"/>
        <v/>
      </c>
    </row>
    <row r="830" spans="12:12" x14ac:dyDescent="0.3">
      <c r="L830" s="7" t="str">
        <f t="shared" ca="1" si="29"/>
        <v/>
      </c>
    </row>
    <row r="831" spans="12:12" x14ac:dyDescent="0.3">
      <c r="L831" s="7" t="str">
        <f t="shared" ca="1" si="29"/>
        <v/>
      </c>
    </row>
    <row r="832" spans="12:12" x14ac:dyDescent="0.3">
      <c r="L832" s="7" t="str">
        <f t="shared" ca="1" si="29"/>
        <v/>
      </c>
    </row>
    <row r="833" spans="12:12" x14ac:dyDescent="0.3">
      <c r="L833" s="7" t="str">
        <f t="shared" ca="1" si="29"/>
        <v/>
      </c>
    </row>
    <row r="834" spans="12:12" x14ac:dyDescent="0.3">
      <c r="L834" s="7" t="str">
        <f t="shared" ca="1" si="29"/>
        <v/>
      </c>
    </row>
    <row r="835" spans="12:12" x14ac:dyDescent="0.3">
      <c r="L835" s="7" t="str">
        <f t="shared" ca="1" si="29"/>
        <v/>
      </c>
    </row>
    <row r="836" spans="12:12" x14ac:dyDescent="0.3">
      <c r="L836" s="7" t="str">
        <f t="shared" ca="1" si="29"/>
        <v/>
      </c>
    </row>
    <row r="837" spans="12:12" x14ac:dyDescent="0.3">
      <c r="L837" s="7" t="str">
        <f t="shared" ref="L837:L900" ca="1" si="30">IF(I837="Completed",0,IF(H837="","",H837-TODAY()))</f>
        <v/>
      </c>
    </row>
    <row r="838" spans="12:12" x14ac:dyDescent="0.3">
      <c r="L838" s="7" t="str">
        <f t="shared" ca="1" si="30"/>
        <v/>
      </c>
    </row>
    <row r="839" spans="12:12" x14ac:dyDescent="0.3">
      <c r="L839" s="7" t="str">
        <f t="shared" ca="1" si="30"/>
        <v/>
      </c>
    </row>
    <row r="840" spans="12:12" x14ac:dyDescent="0.3">
      <c r="L840" s="7" t="str">
        <f t="shared" ca="1" si="30"/>
        <v/>
      </c>
    </row>
    <row r="841" spans="12:12" x14ac:dyDescent="0.3">
      <c r="L841" s="7" t="str">
        <f t="shared" ca="1" si="30"/>
        <v/>
      </c>
    </row>
    <row r="842" spans="12:12" x14ac:dyDescent="0.3">
      <c r="L842" s="7" t="str">
        <f t="shared" ca="1" si="30"/>
        <v/>
      </c>
    </row>
    <row r="843" spans="12:12" x14ac:dyDescent="0.3">
      <c r="L843" s="7" t="str">
        <f t="shared" ca="1" si="30"/>
        <v/>
      </c>
    </row>
    <row r="844" spans="12:12" x14ac:dyDescent="0.3">
      <c r="L844" s="7" t="str">
        <f t="shared" ca="1" si="30"/>
        <v/>
      </c>
    </row>
    <row r="845" spans="12:12" x14ac:dyDescent="0.3">
      <c r="L845" s="7" t="str">
        <f t="shared" ca="1" si="30"/>
        <v/>
      </c>
    </row>
    <row r="846" spans="12:12" x14ac:dyDescent="0.3">
      <c r="L846" s="7" t="str">
        <f t="shared" ca="1" si="30"/>
        <v/>
      </c>
    </row>
    <row r="847" spans="12:12" x14ac:dyDescent="0.3">
      <c r="L847" s="7" t="str">
        <f t="shared" ca="1" si="30"/>
        <v/>
      </c>
    </row>
    <row r="848" spans="12:12" x14ac:dyDescent="0.3">
      <c r="L848" s="7" t="str">
        <f t="shared" ca="1" si="30"/>
        <v/>
      </c>
    </row>
    <row r="849" spans="12:12" x14ac:dyDescent="0.3">
      <c r="L849" s="7" t="str">
        <f t="shared" ca="1" si="30"/>
        <v/>
      </c>
    </row>
    <row r="850" spans="12:12" x14ac:dyDescent="0.3">
      <c r="L850" s="7" t="str">
        <f t="shared" ca="1" si="30"/>
        <v/>
      </c>
    </row>
    <row r="851" spans="12:12" x14ac:dyDescent="0.3">
      <c r="L851" s="7" t="str">
        <f t="shared" ca="1" si="30"/>
        <v/>
      </c>
    </row>
    <row r="852" spans="12:12" x14ac:dyDescent="0.3">
      <c r="L852" s="7" t="str">
        <f t="shared" ca="1" si="30"/>
        <v/>
      </c>
    </row>
    <row r="853" spans="12:12" x14ac:dyDescent="0.3">
      <c r="L853" s="7" t="str">
        <f t="shared" ca="1" si="30"/>
        <v/>
      </c>
    </row>
    <row r="854" spans="12:12" x14ac:dyDescent="0.3">
      <c r="L854" s="7" t="str">
        <f t="shared" ca="1" si="30"/>
        <v/>
      </c>
    </row>
    <row r="855" spans="12:12" x14ac:dyDescent="0.3">
      <c r="L855" s="7" t="str">
        <f t="shared" ca="1" si="30"/>
        <v/>
      </c>
    </row>
    <row r="856" spans="12:12" x14ac:dyDescent="0.3">
      <c r="L856" s="7" t="str">
        <f t="shared" ca="1" si="30"/>
        <v/>
      </c>
    </row>
    <row r="857" spans="12:12" x14ac:dyDescent="0.3">
      <c r="L857" s="7" t="str">
        <f t="shared" ca="1" si="30"/>
        <v/>
      </c>
    </row>
    <row r="858" spans="12:12" x14ac:dyDescent="0.3">
      <c r="L858" s="7" t="str">
        <f t="shared" ca="1" si="30"/>
        <v/>
      </c>
    </row>
    <row r="859" spans="12:12" x14ac:dyDescent="0.3">
      <c r="L859" s="7" t="str">
        <f t="shared" ca="1" si="30"/>
        <v/>
      </c>
    </row>
    <row r="860" spans="12:12" x14ac:dyDescent="0.3">
      <c r="L860" s="7" t="str">
        <f t="shared" ca="1" si="30"/>
        <v/>
      </c>
    </row>
    <row r="861" spans="12:12" x14ac:dyDescent="0.3">
      <c r="L861" s="7" t="str">
        <f t="shared" ca="1" si="30"/>
        <v/>
      </c>
    </row>
    <row r="862" spans="12:12" x14ac:dyDescent="0.3">
      <c r="L862" s="7" t="str">
        <f t="shared" ca="1" si="30"/>
        <v/>
      </c>
    </row>
    <row r="863" spans="12:12" x14ac:dyDescent="0.3">
      <c r="L863" s="7" t="str">
        <f t="shared" ca="1" si="30"/>
        <v/>
      </c>
    </row>
    <row r="864" spans="12:12" x14ac:dyDescent="0.3">
      <c r="L864" s="7" t="str">
        <f t="shared" ca="1" si="30"/>
        <v/>
      </c>
    </row>
    <row r="865" spans="12:12" x14ac:dyDescent="0.3">
      <c r="L865" s="7" t="str">
        <f t="shared" ca="1" si="30"/>
        <v/>
      </c>
    </row>
    <row r="866" spans="12:12" x14ac:dyDescent="0.3">
      <c r="L866" s="7" t="str">
        <f t="shared" ca="1" si="30"/>
        <v/>
      </c>
    </row>
    <row r="867" spans="12:12" x14ac:dyDescent="0.3">
      <c r="L867" s="7" t="str">
        <f t="shared" ca="1" si="30"/>
        <v/>
      </c>
    </row>
    <row r="868" spans="12:12" x14ac:dyDescent="0.3">
      <c r="L868" s="7" t="str">
        <f t="shared" ca="1" si="30"/>
        <v/>
      </c>
    </row>
    <row r="869" spans="12:12" x14ac:dyDescent="0.3">
      <c r="L869" s="7" t="str">
        <f t="shared" ca="1" si="30"/>
        <v/>
      </c>
    </row>
    <row r="870" spans="12:12" x14ac:dyDescent="0.3">
      <c r="L870" s="7" t="str">
        <f t="shared" ca="1" si="30"/>
        <v/>
      </c>
    </row>
    <row r="871" spans="12:12" x14ac:dyDescent="0.3">
      <c r="L871" s="7" t="str">
        <f t="shared" ca="1" si="30"/>
        <v/>
      </c>
    </row>
    <row r="872" spans="12:12" x14ac:dyDescent="0.3">
      <c r="L872" s="7" t="str">
        <f t="shared" ca="1" si="30"/>
        <v/>
      </c>
    </row>
    <row r="873" spans="12:12" x14ac:dyDescent="0.3">
      <c r="L873" s="7" t="str">
        <f t="shared" ca="1" si="30"/>
        <v/>
      </c>
    </row>
    <row r="874" spans="12:12" x14ac:dyDescent="0.3">
      <c r="L874" s="7" t="str">
        <f t="shared" ca="1" si="30"/>
        <v/>
      </c>
    </row>
    <row r="875" spans="12:12" x14ac:dyDescent="0.3">
      <c r="L875" s="7" t="str">
        <f t="shared" ca="1" si="30"/>
        <v/>
      </c>
    </row>
    <row r="876" spans="12:12" x14ac:dyDescent="0.3">
      <c r="L876" s="7" t="str">
        <f t="shared" ca="1" si="30"/>
        <v/>
      </c>
    </row>
    <row r="877" spans="12:12" x14ac:dyDescent="0.3">
      <c r="L877" s="7" t="str">
        <f t="shared" ca="1" si="30"/>
        <v/>
      </c>
    </row>
    <row r="878" spans="12:12" x14ac:dyDescent="0.3">
      <c r="L878" s="7" t="str">
        <f t="shared" ca="1" si="30"/>
        <v/>
      </c>
    </row>
    <row r="879" spans="12:12" x14ac:dyDescent="0.3">
      <c r="L879" s="7" t="str">
        <f t="shared" ca="1" si="30"/>
        <v/>
      </c>
    </row>
    <row r="880" spans="12:12" x14ac:dyDescent="0.3">
      <c r="L880" s="7" t="str">
        <f t="shared" ca="1" si="30"/>
        <v/>
      </c>
    </row>
    <row r="881" spans="12:12" x14ac:dyDescent="0.3">
      <c r="L881" s="7" t="str">
        <f t="shared" ca="1" si="30"/>
        <v/>
      </c>
    </row>
    <row r="882" spans="12:12" x14ac:dyDescent="0.3">
      <c r="L882" s="7" t="str">
        <f t="shared" ca="1" si="30"/>
        <v/>
      </c>
    </row>
    <row r="883" spans="12:12" x14ac:dyDescent="0.3">
      <c r="L883" s="7" t="str">
        <f t="shared" ca="1" si="30"/>
        <v/>
      </c>
    </row>
    <row r="884" spans="12:12" x14ac:dyDescent="0.3">
      <c r="L884" s="7" t="str">
        <f t="shared" ca="1" si="30"/>
        <v/>
      </c>
    </row>
    <row r="885" spans="12:12" x14ac:dyDescent="0.3">
      <c r="L885" s="7" t="str">
        <f t="shared" ca="1" si="30"/>
        <v/>
      </c>
    </row>
    <row r="886" spans="12:12" x14ac:dyDescent="0.3">
      <c r="L886" s="7" t="str">
        <f t="shared" ca="1" si="30"/>
        <v/>
      </c>
    </row>
    <row r="887" spans="12:12" x14ac:dyDescent="0.3">
      <c r="L887" s="7" t="str">
        <f t="shared" ca="1" si="30"/>
        <v/>
      </c>
    </row>
    <row r="888" spans="12:12" x14ac:dyDescent="0.3">
      <c r="L888" s="7" t="str">
        <f t="shared" ca="1" si="30"/>
        <v/>
      </c>
    </row>
    <row r="889" spans="12:12" x14ac:dyDescent="0.3">
      <c r="L889" s="7" t="str">
        <f t="shared" ca="1" si="30"/>
        <v/>
      </c>
    </row>
    <row r="890" spans="12:12" x14ac:dyDescent="0.3">
      <c r="L890" s="7" t="str">
        <f t="shared" ca="1" si="30"/>
        <v/>
      </c>
    </row>
    <row r="891" spans="12:12" x14ac:dyDescent="0.3">
      <c r="L891" s="7" t="str">
        <f t="shared" ca="1" si="30"/>
        <v/>
      </c>
    </row>
    <row r="892" spans="12:12" x14ac:dyDescent="0.3">
      <c r="L892" s="7" t="str">
        <f t="shared" ca="1" si="30"/>
        <v/>
      </c>
    </row>
    <row r="893" spans="12:12" x14ac:dyDescent="0.3">
      <c r="L893" s="7" t="str">
        <f t="shared" ca="1" si="30"/>
        <v/>
      </c>
    </row>
    <row r="894" spans="12:12" x14ac:dyDescent="0.3">
      <c r="L894" s="7" t="str">
        <f t="shared" ca="1" si="30"/>
        <v/>
      </c>
    </row>
    <row r="895" spans="12:12" x14ac:dyDescent="0.3">
      <c r="L895" s="7" t="str">
        <f t="shared" ca="1" si="30"/>
        <v/>
      </c>
    </row>
    <row r="896" spans="12:12" x14ac:dyDescent="0.3">
      <c r="L896" s="7" t="str">
        <f t="shared" ca="1" si="30"/>
        <v/>
      </c>
    </row>
    <row r="897" spans="12:12" x14ac:dyDescent="0.3">
      <c r="L897" s="7" t="str">
        <f t="shared" ca="1" si="30"/>
        <v/>
      </c>
    </row>
    <row r="898" spans="12:12" x14ac:dyDescent="0.3">
      <c r="L898" s="7" t="str">
        <f t="shared" ca="1" si="30"/>
        <v/>
      </c>
    </row>
    <row r="899" spans="12:12" x14ac:dyDescent="0.3">
      <c r="L899" s="7" t="str">
        <f t="shared" ca="1" si="30"/>
        <v/>
      </c>
    </row>
    <row r="900" spans="12:12" x14ac:dyDescent="0.3">
      <c r="L900" s="7" t="str">
        <f t="shared" ca="1" si="30"/>
        <v/>
      </c>
    </row>
    <row r="901" spans="12:12" x14ac:dyDescent="0.3">
      <c r="L901" s="7" t="str">
        <f t="shared" ref="L901:L964" ca="1" si="31">IF(I901="Completed",0,IF(H901="","",H901-TODAY()))</f>
        <v/>
      </c>
    </row>
    <row r="902" spans="12:12" x14ac:dyDescent="0.3">
      <c r="L902" s="7" t="str">
        <f t="shared" ca="1" si="31"/>
        <v/>
      </c>
    </row>
    <row r="903" spans="12:12" x14ac:dyDescent="0.3">
      <c r="L903" s="7" t="str">
        <f t="shared" ca="1" si="31"/>
        <v/>
      </c>
    </row>
    <row r="904" spans="12:12" x14ac:dyDescent="0.3">
      <c r="L904" s="7" t="str">
        <f t="shared" ca="1" si="31"/>
        <v/>
      </c>
    </row>
    <row r="905" spans="12:12" x14ac:dyDescent="0.3">
      <c r="L905" s="7" t="str">
        <f t="shared" ca="1" si="31"/>
        <v/>
      </c>
    </row>
    <row r="906" spans="12:12" x14ac:dyDescent="0.3">
      <c r="L906" s="7" t="str">
        <f t="shared" ca="1" si="31"/>
        <v/>
      </c>
    </row>
    <row r="907" spans="12:12" x14ac:dyDescent="0.3">
      <c r="L907" s="7" t="str">
        <f t="shared" ca="1" si="31"/>
        <v/>
      </c>
    </row>
    <row r="908" spans="12:12" x14ac:dyDescent="0.3">
      <c r="L908" s="7" t="str">
        <f t="shared" ca="1" si="31"/>
        <v/>
      </c>
    </row>
    <row r="909" spans="12:12" x14ac:dyDescent="0.3">
      <c r="L909" s="7" t="str">
        <f t="shared" ca="1" si="31"/>
        <v/>
      </c>
    </row>
    <row r="910" spans="12:12" x14ac:dyDescent="0.3">
      <c r="L910" s="7" t="str">
        <f t="shared" ca="1" si="31"/>
        <v/>
      </c>
    </row>
    <row r="911" spans="12:12" x14ac:dyDescent="0.3">
      <c r="L911" s="7" t="str">
        <f t="shared" ca="1" si="31"/>
        <v/>
      </c>
    </row>
    <row r="912" spans="12:12" x14ac:dyDescent="0.3">
      <c r="L912" s="7" t="str">
        <f t="shared" ca="1" si="31"/>
        <v/>
      </c>
    </row>
    <row r="913" spans="12:12" x14ac:dyDescent="0.3">
      <c r="L913" s="7" t="str">
        <f t="shared" ca="1" si="31"/>
        <v/>
      </c>
    </row>
    <row r="914" spans="12:12" x14ac:dyDescent="0.3">
      <c r="L914" s="7" t="str">
        <f t="shared" ca="1" si="31"/>
        <v/>
      </c>
    </row>
    <row r="915" spans="12:12" x14ac:dyDescent="0.3">
      <c r="L915" s="7" t="str">
        <f t="shared" ca="1" si="31"/>
        <v/>
      </c>
    </row>
    <row r="916" spans="12:12" x14ac:dyDescent="0.3">
      <c r="L916" s="7" t="str">
        <f t="shared" ca="1" si="31"/>
        <v/>
      </c>
    </row>
    <row r="917" spans="12:12" x14ac:dyDescent="0.3">
      <c r="L917" s="7" t="str">
        <f t="shared" ca="1" si="31"/>
        <v/>
      </c>
    </row>
    <row r="918" spans="12:12" x14ac:dyDescent="0.3">
      <c r="L918" s="7" t="str">
        <f t="shared" ca="1" si="31"/>
        <v/>
      </c>
    </row>
    <row r="919" spans="12:12" x14ac:dyDescent="0.3">
      <c r="L919" s="7" t="str">
        <f t="shared" ca="1" si="31"/>
        <v/>
      </c>
    </row>
    <row r="920" spans="12:12" x14ac:dyDescent="0.3">
      <c r="L920" s="7" t="str">
        <f t="shared" ca="1" si="31"/>
        <v/>
      </c>
    </row>
    <row r="921" spans="12:12" x14ac:dyDescent="0.3">
      <c r="L921" s="7" t="str">
        <f t="shared" ca="1" si="31"/>
        <v/>
      </c>
    </row>
    <row r="922" spans="12:12" x14ac:dyDescent="0.3">
      <c r="L922" s="7" t="str">
        <f t="shared" ca="1" si="31"/>
        <v/>
      </c>
    </row>
    <row r="923" spans="12:12" x14ac:dyDescent="0.3">
      <c r="L923" s="7" t="str">
        <f t="shared" ca="1" si="31"/>
        <v/>
      </c>
    </row>
    <row r="924" spans="12:12" x14ac:dyDescent="0.3">
      <c r="L924" s="7" t="str">
        <f t="shared" ca="1" si="31"/>
        <v/>
      </c>
    </row>
    <row r="925" spans="12:12" x14ac:dyDescent="0.3">
      <c r="L925" s="7" t="str">
        <f t="shared" ca="1" si="31"/>
        <v/>
      </c>
    </row>
    <row r="926" spans="12:12" x14ac:dyDescent="0.3">
      <c r="L926" s="7" t="str">
        <f t="shared" ca="1" si="31"/>
        <v/>
      </c>
    </row>
    <row r="927" spans="12:12" x14ac:dyDescent="0.3">
      <c r="L927" s="7" t="str">
        <f t="shared" ca="1" si="31"/>
        <v/>
      </c>
    </row>
    <row r="928" spans="12:12" x14ac:dyDescent="0.3">
      <c r="L928" s="7" t="str">
        <f t="shared" ca="1" si="31"/>
        <v/>
      </c>
    </row>
    <row r="929" spans="12:12" x14ac:dyDescent="0.3">
      <c r="L929" s="7" t="str">
        <f t="shared" ca="1" si="31"/>
        <v/>
      </c>
    </row>
    <row r="930" spans="12:12" x14ac:dyDescent="0.3">
      <c r="L930" s="7" t="str">
        <f t="shared" ca="1" si="31"/>
        <v/>
      </c>
    </row>
    <row r="931" spans="12:12" x14ac:dyDescent="0.3">
      <c r="L931" s="7" t="str">
        <f t="shared" ca="1" si="31"/>
        <v/>
      </c>
    </row>
    <row r="932" spans="12:12" x14ac:dyDescent="0.3">
      <c r="L932" s="7" t="str">
        <f t="shared" ca="1" si="31"/>
        <v/>
      </c>
    </row>
    <row r="933" spans="12:12" x14ac:dyDescent="0.3">
      <c r="L933" s="7" t="str">
        <f t="shared" ca="1" si="31"/>
        <v/>
      </c>
    </row>
    <row r="934" spans="12:12" x14ac:dyDescent="0.3">
      <c r="L934" s="7" t="str">
        <f t="shared" ca="1" si="31"/>
        <v/>
      </c>
    </row>
    <row r="935" spans="12:12" x14ac:dyDescent="0.3">
      <c r="L935" s="7" t="str">
        <f t="shared" ca="1" si="31"/>
        <v/>
      </c>
    </row>
    <row r="936" spans="12:12" x14ac:dyDescent="0.3">
      <c r="L936" s="7" t="str">
        <f t="shared" ca="1" si="31"/>
        <v/>
      </c>
    </row>
    <row r="937" spans="12:12" x14ac:dyDescent="0.3">
      <c r="L937" s="7" t="str">
        <f t="shared" ca="1" si="31"/>
        <v/>
      </c>
    </row>
    <row r="938" spans="12:12" x14ac:dyDescent="0.3">
      <c r="L938" s="7" t="str">
        <f t="shared" ca="1" si="31"/>
        <v/>
      </c>
    </row>
    <row r="939" spans="12:12" x14ac:dyDescent="0.3">
      <c r="L939" s="7" t="str">
        <f t="shared" ca="1" si="31"/>
        <v/>
      </c>
    </row>
    <row r="940" spans="12:12" x14ac:dyDescent="0.3">
      <c r="L940" s="7" t="str">
        <f t="shared" ca="1" si="31"/>
        <v/>
      </c>
    </row>
    <row r="941" spans="12:12" x14ac:dyDescent="0.3">
      <c r="L941" s="7" t="str">
        <f t="shared" ca="1" si="31"/>
        <v/>
      </c>
    </row>
    <row r="942" spans="12:12" x14ac:dyDescent="0.3">
      <c r="L942" s="7" t="str">
        <f t="shared" ca="1" si="31"/>
        <v/>
      </c>
    </row>
    <row r="943" spans="12:12" x14ac:dyDescent="0.3">
      <c r="L943" s="7" t="str">
        <f t="shared" ca="1" si="31"/>
        <v/>
      </c>
    </row>
    <row r="944" spans="12:12" x14ac:dyDescent="0.3">
      <c r="L944" s="7" t="str">
        <f t="shared" ca="1" si="31"/>
        <v/>
      </c>
    </row>
    <row r="945" spans="12:12" x14ac:dyDescent="0.3">
      <c r="L945" s="7" t="str">
        <f t="shared" ca="1" si="31"/>
        <v/>
      </c>
    </row>
    <row r="946" spans="12:12" x14ac:dyDescent="0.3">
      <c r="L946" s="7" t="str">
        <f t="shared" ca="1" si="31"/>
        <v/>
      </c>
    </row>
    <row r="947" spans="12:12" x14ac:dyDescent="0.3">
      <c r="L947" s="7" t="str">
        <f t="shared" ca="1" si="31"/>
        <v/>
      </c>
    </row>
    <row r="948" spans="12:12" x14ac:dyDescent="0.3">
      <c r="L948" s="7" t="str">
        <f t="shared" ca="1" si="31"/>
        <v/>
      </c>
    </row>
    <row r="949" spans="12:12" x14ac:dyDescent="0.3">
      <c r="L949" s="7" t="str">
        <f t="shared" ca="1" si="31"/>
        <v/>
      </c>
    </row>
    <row r="950" spans="12:12" x14ac:dyDescent="0.3">
      <c r="L950" s="7" t="str">
        <f t="shared" ca="1" si="31"/>
        <v/>
      </c>
    </row>
    <row r="951" spans="12:12" x14ac:dyDescent="0.3">
      <c r="L951" s="7" t="str">
        <f t="shared" ca="1" si="31"/>
        <v/>
      </c>
    </row>
    <row r="952" spans="12:12" x14ac:dyDescent="0.3">
      <c r="L952" s="7" t="str">
        <f t="shared" ca="1" si="31"/>
        <v/>
      </c>
    </row>
    <row r="953" spans="12:12" x14ac:dyDescent="0.3">
      <c r="L953" s="7" t="str">
        <f t="shared" ca="1" si="31"/>
        <v/>
      </c>
    </row>
    <row r="954" spans="12:12" x14ac:dyDescent="0.3">
      <c r="L954" s="7" t="str">
        <f t="shared" ca="1" si="31"/>
        <v/>
      </c>
    </row>
    <row r="955" spans="12:12" x14ac:dyDescent="0.3">
      <c r="L955" s="7" t="str">
        <f t="shared" ca="1" si="31"/>
        <v/>
      </c>
    </row>
    <row r="956" spans="12:12" x14ac:dyDescent="0.3">
      <c r="L956" s="7" t="str">
        <f t="shared" ca="1" si="31"/>
        <v/>
      </c>
    </row>
    <row r="957" spans="12:12" x14ac:dyDescent="0.3">
      <c r="L957" s="7" t="str">
        <f t="shared" ca="1" si="31"/>
        <v/>
      </c>
    </row>
    <row r="958" spans="12:12" x14ac:dyDescent="0.3">
      <c r="L958" s="7" t="str">
        <f t="shared" ca="1" si="31"/>
        <v/>
      </c>
    </row>
    <row r="959" spans="12:12" x14ac:dyDescent="0.3">
      <c r="L959" s="7" t="str">
        <f t="shared" ca="1" si="31"/>
        <v/>
      </c>
    </row>
    <row r="960" spans="12:12" x14ac:dyDescent="0.3">
      <c r="L960" s="7" t="str">
        <f t="shared" ca="1" si="31"/>
        <v/>
      </c>
    </row>
    <row r="961" spans="12:12" x14ac:dyDescent="0.3">
      <c r="L961" s="7" t="str">
        <f t="shared" ca="1" si="31"/>
        <v/>
      </c>
    </row>
    <row r="962" spans="12:12" x14ac:dyDescent="0.3">
      <c r="L962" s="7" t="str">
        <f t="shared" ca="1" si="31"/>
        <v/>
      </c>
    </row>
    <row r="963" spans="12:12" x14ac:dyDescent="0.3">
      <c r="L963" s="7" t="str">
        <f t="shared" ca="1" si="31"/>
        <v/>
      </c>
    </row>
    <row r="964" spans="12:12" x14ac:dyDescent="0.3">
      <c r="L964" s="7" t="str">
        <f t="shared" ca="1" si="31"/>
        <v/>
      </c>
    </row>
    <row r="965" spans="12:12" x14ac:dyDescent="0.3">
      <c r="L965" s="7" t="str">
        <f t="shared" ref="L965:L1028" ca="1" si="32">IF(I965="Completed",0,IF(H965="","",H965-TODAY()))</f>
        <v/>
      </c>
    </row>
    <row r="966" spans="12:12" x14ac:dyDescent="0.3">
      <c r="L966" s="7" t="str">
        <f t="shared" ca="1" si="32"/>
        <v/>
      </c>
    </row>
    <row r="967" spans="12:12" x14ac:dyDescent="0.3">
      <c r="L967" s="7" t="str">
        <f t="shared" ca="1" si="32"/>
        <v/>
      </c>
    </row>
    <row r="968" spans="12:12" x14ac:dyDescent="0.3">
      <c r="L968" s="7" t="str">
        <f t="shared" ca="1" si="32"/>
        <v/>
      </c>
    </row>
    <row r="969" spans="12:12" x14ac:dyDescent="0.3">
      <c r="L969" s="7" t="str">
        <f t="shared" ca="1" si="32"/>
        <v/>
      </c>
    </row>
    <row r="970" spans="12:12" x14ac:dyDescent="0.3">
      <c r="L970" s="7" t="str">
        <f t="shared" ca="1" si="32"/>
        <v/>
      </c>
    </row>
    <row r="971" spans="12:12" x14ac:dyDescent="0.3">
      <c r="L971" s="7" t="str">
        <f t="shared" ca="1" si="32"/>
        <v/>
      </c>
    </row>
    <row r="972" spans="12:12" x14ac:dyDescent="0.3">
      <c r="L972" s="7" t="str">
        <f t="shared" ca="1" si="32"/>
        <v/>
      </c>
    </row>
    <row r="973" spans="12:12" x14ac:dyDescent="0.3">
      <c r="L973" s="7" t="str">
        <f t="shared" ca="1" si="32"/>
        <v/>
      </c>
    </row>
    <row r="974" spans="12:12" x14ac:dyDescent="0.3">
      <c r="L974" s="7" t="str">
        <f t="shared" ca="1" si="32"/>
        <v/>
      </c>
    </row>
    <row r="975" spans="12:12" x14ac:dyDescent="0.3">
      <c r="L975" s="7" t="str">
        <f t="shared" ca="1" si="32"/>
        <v/>
      </c>
    </row>
    <row r="976" spans="12:12" x14ac:dyDescent="0.3">
      <c r="L976" s="7" t="str">
        <f t="shared" ca="1" si="32"/>
        <v/>
      </c>
    </row>
    <row r="977" spans="12:12" x14ac:dyDescent="0.3">
      <c r="L977" s="7" t="str">
        <f t="shared" ca="1" si="32"/>
        <v/>
      </c>
    </row>
    <row r="978" spans="12:12" x14ac:dyDescent="0.3">
      <c r="L978" s="7" t="str">
        <f t="shared" ca="1" si="32"/>
        <v/>
      </c>
    </row>
    <row r="979" spans="12:12" x14ac:dyDescent="0.3">
      <c r="L979" s="7" t="str">
        <f t="shared" ca="1" si="32"/>
        <v/>
      </c>
    </row>
    <row r="980" spans="12:12" x14ac:dyDescent="0.3">
      <c r="L980" s="7" t="str">
        <f t="shared" ca="1" si="32"/>
        <v/>
      </c>
    </row>
    <row r="981" spans="12:12" x14ac:dyDescent="0.3">
      <c r="L981" s="7" t="str">
        <f t="shared" ca="1" si="32"/>
        <v/>
      </c>
    </row>
    <row r="982" spans="12:12" x14ac:dyDescent="0.3">
      <c r="L982" s="7" t="str">
        <f t="shared" ca="1" si="32"/>
        <v/>
      </c>
    </row>
    <row r="983" spans="12:12" x14ac:dyDescent="0.3">
      <c r="L983" s="7" t="str">
        <f t="shared" ca="1" si="32"/>
        <v/>
      </c>
    </row>
    <row r="984" spans="12:12" x14ac:dyDescent="0.3">
      <c r="L984" s="7" t="str">
        <f t="shared" ca="1" si="32"/>
        <v/>
      </c>
    </row>
    <row r="985" spans="12:12" x14ac:dyDescent="0.3">
      <c r="L985" s="7" t="str">
        <f t="shared" ca="1" si="32"/>
        <v/>
      </c>
    </row>
    <row r="986" spans="12:12" x14ac:dyDescent="0.3">
      <c r="L986" s="7" t="str">
        <f t="shared" ca="1" si="32"/>
        <v/>
      </c>
    </row>
    <row r="987" spans="12:12" x14ac:dyDescent="0.3">
      <c r="L987" s="7" t="str">
        <f t="shared" ca="1" si="32"/>
        <v/>
      </c>
    </row>
    <row r="988" spans="12:12" x14ac:dyDescent="0.3">
      <c r="L988" s="7" t="str">
        <f t="shared" ca="1" si="32"/>
        <v/>
      </c>
    </row>
    <row r="989" spans="12:12" x14ac:dyDescent="0.3">
      <c r="L989" s="7" t="str">
        <f t="shared" ca="1" si="32"/>
        <v/>
      </c>
    </row>
    <row r="990" spans="12:12" x14ac:dyDescent="0.3">
      <c r="L990" s="7" t="str">
        <f t="shared" ca="1" si="32"/>
        <v/>
      </c>
    </row>
    <row r="991" spans="12:12" x14ac:dyDescent="0.3">
      <c r="L991" s="7" t="str">
        <f t="shared" ca="1" si="32"/>
        <v/>
      </c>
    </row>
    <row r="992" spans="12:12" x14ac:dyDescent="0.3">
      <c r="L992" s="7" t="str">
        <f t="shared" ca="1" si="32"/>
        <v/>
      </c>
    </row>
    <row r="993" spans="12:12" x14ac:dyDescent="0.3">
      <c r="L993" s="7" t="str">
        <f t="shared" ca="1" si="32"/>
        <v/>
      </c>
    </row>
    <row r="994" spans="12:12" x14ac:dyDescent="0.3">
      <c r="L994" s="7" t="str">
        <f t="shared" ca="1" si="32"/>
        <v/>
      </c>
    </row>
    <row r="995" spans="12:12" x14ac:dyDescent="0.3">
      <c r="L995" s="7" t="str">
        <f t="shared" ca="1" si="32"/>
        <v/>
      </c>
    </row>
    <row r="996" spans="12:12" x14ac:dyDescent="0.3">
      <c r="L996" s="7" t="str">
        <f t="shared" ca="1" si="32"/>
        <v/>
      </c>
    </row>
    <row r="997" spans="12:12" x14ac:dyDescent="0.3">
      <c r="L997" s="7" t="str">
        <f t="shared" ca="1" si="32"/>
        <v/>
      </c>
    </row>
    <row r="998" spans="12:12" x14ac:dyDescent="0.3">
      <c r="L998" s="7" t="str">
        <f t="shared" ca="1" si="32"/>
        <v/>
      </c>
    </row>
    <row r="999" spans="12:12" x14ac:dyDescent="0.3">
      <c r="L999" s="7" t="str">
        <f t="shared" ca="1" si="32"/>
        <v/>
      </c>
    </row>
    <row r="1000" spans="12:12" x14ac:dyDescent="0.3">
      <c r="L1000" s="7" t="str">
        <f t="shared" ca="1" si="32"/>
        <v/>
      </c>
    </row>
    <row r="1001" spans="12:12" x14ac:dyDescent="0.3">
      <c r="L1001" s="7" t="str">
        <f t="shared" ca="1" si="32"/>
        <v/>
      </c>
    </row>
    <row r="1002" spans="12:12" x14ac:dyDescent="0.3">
      <c r="L1002" s="7" t="str">
        <f t="shared" ca="1" si="32"/>
        <v/>
      </c>
    </row>
    <row r="1003" spans="12:12" x14ac:dyDescent="0.3">
      <c r="L1003" s="7" t="str">
        <f t="shared" ca="1" si="32"/>
        <v/>
      </c>
    </row>
    <row r="1004" spans="12:12" x14ac:dyDescent="0.3">
      <c r="L1004" s="7" t="str">
        <f t="shared" ca="1" si="32"/>
        <v/>
      </c>
    </row>
    <row r="1005" spans="12:12" x14ac:dyDescent="0.3">
      <c r="L1005" s="7" t="str">
        <f t="shared" ca="1" si="32"/>
        <v/>
      </c>
    </row>
    <row r="1006" spans="12:12" x14ac:dyDescent="0.3">
      <c r="L1006" s="7" t="str">
        <f t="shared" ca="1" si="32"/>
        <v/>
      </c>
    </row>
    <row r="1007" spans="12:12" x14ac:dyDescent="0.3">
      <c r="L1007" s="7" t="str">
        <f t="shared" ca="1" si="32"/>
        <v/>
      </c>
    </row>
    <row r="1008" spans="12:12" x14ac:dyDescent="0.3">
      <c r="L1008" s="7" t="str">
        <f t="shared" ca="1" si="32"/>
        <v/>
      </c>
    </row>
    <row r="1009" spans="12:12" x14ac:dyDescent="0.3">
      <c r="L1009" s="7" t="str">
        <f t="shared" ca="1" si="32"/>
        <v/>
      </c>
    </row>
    <row r="1010" spans="12:12" x14ac:dyDescent="0.3">
      <c r="L1010" s="7" t="str">
        <f t="shared" ca="1" si="32"/>
        <v/>
      </c>
    </row>
    <row r="1011" spans="12:12" x14ac:dyDescent="0.3">
      <c r="L1011" s="7" t="str">
        <f t="shared" ca="1" si="32"/>
        <v/>
      </c>
    </row>
    <row r="1012" spans="12:12" x14ac:dyDescent="0.3">
      <c r="L1012" s="7" t="str">
        <f t="shared" ca="1" si="32"/>
        <v/>
      </c>
    </row>
    <row r="1013" spans="12:12" x14ac:dyDescent="0.3">
      <c r="L1013" s="7" t="str">
        <f t="shared" ca="1" si="32"/>
        <v/>
      </c>
    </row>
    <row r="1014" spans="12:12" x14ac:dyDescent="0.3">
      <c r="L1014" s="7" t="str">
        <f t="shared" ca="1" si="32"/>
        <v/>
      </c>
    </row>
    <row r="1015" spans="12:12" x14ac:dyDescent="0.3">
      <c r="L1015" s="7" t="str">
        <f t="shared" ca="1" si="32"/>
        <v/>
      </c>
    </row>
    <row r="1016" spans="12:12" x14ac:dyDescent="0.3">
      <c r="L1016" s="7" t="str">
        <f t="shared" ca="1" si="32"/>
        <v/>
      </c>
    </row>
    <row r="1017" spans="12:12" x14ac:dyDescent="0.3">
      <c r="L1017" s="7" t="str">
        <f t="shared" ca="1" si="32"/>
        <v/>
      </c>
    </row>
    <row r="1018" spans="12:12" x14ac:dyDescent="0.3">
      <c r="L1018" s="7" t="str">
        <f t="shared" ca="1" si="32"/>
        <v/>
      </c>
    </row>
    <row r="1019" spans="12:12" x14ac:dyDescent="0.3">
      <c r="L1019" s="7" t="str">
        <f t="shared" ca="1" si="32"/>
        <v/>
      </c>
    </row>
    <row r="1020" spans="12:12" x14ac:dyDescent="0.3">
      <c r="L1020" s="7" t="str">
        <f t="shared" ca="1" si="32"/>
        <v/>
      </c>
    </row>
    <row r="1021" spans="12:12" x14ac:dyDescent="0.3">
      <c r="L1021" s="7" t="str">
        <f t="shared" ca="1" si="32"/>
        <v/>
      </c>
    </row>
    <row r="1022" spans="12:12" x14ac:dyDescent="0.3">
      <c r="L1022" s="7" t="str">
        <f t="shared" ca="1" si="32"/>
        <v/>
      </c>
    </row>
    <row r="1023" spans="12:12" x14ac:dyDescent="0.3">
      <c r="L1023" s="7" t="str">
        <f t="shared" ca="1" si="32"/>
        <v/>
      </c>
    </row>
    <row r="1024" spans="12:12" x14ac:dyDescent="0.3">
      <c r="L1024" s="7" t="str">
        <f t="shared" ca="1" si="32"/>
        <v/>
      </c>
    </row>
    <row r="1025" spans="12:12" x14ac:dyDescent="0.3">
      <c r="L1025" s="7" t="str">
        <f t="shared" ca="1" si="32"/>
        <v/>
      </c>
    </row>
    <row r="1026" spans="12:12" x14ac:dyDescent="0.3">
      <c r="L1026" s="7" t="str">
        <f t="shared" ca="1" si="32"/>
        <v/>
      </c>
    </row>
    <row r="1027" spans="12:12" x14ac:dyDescent="0.3">
      <c r="L1027" s="7" t="str">
        <f t="shared" ca="1" si="32"/>
        <v/>
      </c>
    </row>
    <row r="1028" spans="12:12" x14ac:dyDescent="0.3">
      <c r="L1028" s="7" t="str">
        <f t="shared" ca="1" si="32"/>
        <v/>
      </c>
    </row>
    <row r="1029" spans="12:12" x14ac:dyDescent="0.3">
      <c r="L1029" s="7" t="str">
        <f t="shared" ref="L1029:L1092" ca="1" si="33">IF(I1029="Completed",0,IF(H1029="","",H1029-TODAY()))</f>
        <v/>
      </c>
    </row>
    <row r="1030" spans="12:12" x14ac:dyDescent="0.3">
      <c r="L1030" s="7" t="str">
        <f t="shared" ca="1" si="33"/>
        <v/>
      </c>
    </row>
    <row r="1031" spans="12:12" x14ac:dyDescent="0.3">
      <c r="L1031" s="7" t="str">
        <f t="shared" ca="1" si="33"/>
        <v/>
      </c>
    </row>
    <row r="1032" spans="12:12" x14ac:dyDescent="0.3">
      <c r="L1032" s="7" t="str">
        <f t="shared" ca="1" si="33"/>
        <v/>
      </c>
    </row>
    <row r="1033" spans="12:12" x14ac:dyDescent="0.3">
      <c r="L1033" s="7" t="str">
        <f t="shared" ca="1" si="33"/>
        <v/>
      </c>
    </row>
    <row r="1034" spans="12:12" x14ac:dyDescent="0.3">
      <c r="L1034" s="7" t="str">
        <f t="shared" ca="1" si="33"/>
        <v/>
      </c>
    </row>
    <row r="1035" spans="12:12" x14ac:dyDescent="0.3">
      <c r="L1035" s="7" t="str">
        <f t="shared" ca="1" si="33"/>
        <v/>
      </c>
    </row>
    <row r="1036" spans="12:12" x14ac:dyDescent="0.3">
      <c r="L1036" s="7" t="str">
        <f t="shared" ca="1" si="33"/>
        <v/>
      </c>
    </row>
    <row r="1037" spans="12:12" x14ac:dyDescent="0.3">
      <c r="L1037" s="7" t="str">
        <f t="shared" ca="1" si="33"/>
        <v/>
      </c>
    </row>
    <row r="1038" spans="12:12" x14ac:dyDescent="0.3">
      <c r="L1038" s="7" t="str">
        <f t="shared" ca="1" si="33"/>
        <v/>
      </c>
    </row>
    <row r="1039" spans="12:12" x14ac:dyDescent="0.3">
      <c r="L1039" s="7" t="str">
        <f t="shared" ca="1" si="33"/>
        <v/>
      </c>
    </row>
    <row r="1040" spans="12:12" x14ac:dyDescent="0.3">
      <c r="L1040" s="7" t="str">
        <f t="shared" ca="1" si="33"/>
        <v/>
      </c>
    </row>
    <row r="1041" spans="12:12" x14ac:dyDescent="0.3">
      <c r="L1041" s="7" t="str">
        <f t="shared" ca="1" si="33"/>
        <v/>
      </c>
    </row>
    <row r="1042" spans="12:12" x14ac:dyDescent="0.3">
      <c r="L1042" s="7" t="str">
        <f t="shared" ca="1" si="33"/>
        <v/>
      </c>
    </row>
    <row r="1043" spans="12:12" x14ac:dyDescent="0.3">
      <c r="L1043" s="7" t="str">
        <f t="shared" ca="1" si="33"/>
        <v/>
      </c>
    </row>
    <row r="1044" spans="12:12" x14ac:dyDescent="0.3">
      <c r="L1044" s="7" t="str">
        <f t="shared" ca="1" si="33"/>
        <v/>
      </c>
    </row>
    <row r="1045" spans="12:12" x14ac:dyDescent="0.3">
      <c r="L1045" s="7" t="str">
        <f t="shared" ca="1" si="33"/>
        <v/>
      </c>
    </row>
    <row r="1046" spans="12:12" x14ac:dyDescent="0.3">
      <c r="L1046" s="7" t="str">
        <f t="shared" ca="1" si="33"/>
        <v/>
      </c>
    </row>
    <row r="1047" spans="12:12" x14ac:dyDescent="0.3">
      <c r="L1047" s="7" t="str">
        <f t="shared" ca="1" si="33"/>
        <v/>
      </c>
    </row>
    <row r="1048" spans="12:12" x14ac:dyDescent="0.3">
      <c r="L1048" s="7" t="str">
        <f t="shared" ca="1" si="33"/>
        <v/>
      </c>
    </row>
    <row r="1049" spans="12:12" x14ac:dyDescent="0.3">
      <c r="L1049" s="7" t="str">
        <f t="shared" ca="1" si="33"/>
        <v/>
      </c>
    </row>
    <row r="1050" spans="12:12" x14ac:dyDescent="0.3">
      <c r="L1050" s="7" t="str">
        <f t="shared" ca="1" si="33"/>
        <v/>
      </c>
    </row>
    <row r="1051" spans="12:12" x14ac:dyDescent="0.3">
      <c r="L1051" s="7" t="str">
        <f t="shared" ca="1" si="33"/>
        <v/>
      </c>
    </row>
    <row r="1052" spans="12:12" x14ac:dyDescent="0.3">
      <c r="L1052" s="7" t="str">
        <f t="shared" ca="1" si="33"/>
        <v/>
      </c>
    </row>
    <row r="1053" spans="12:12" x14ac:dyDescent="0.3">
      <c r="L1053" s="7" t="str">
        <f t="shared" ca="1" si="33"/>
        <v/>
      </c>
    </row>
    <row r="1054" spans="12:12" x14ac:dyDescent="0.3">
      <c r="L1054" s="7" t="str">
        <f t="shared" ca="1" si="33"/>
        <v/>
      </c>
    </row>
    <row r="1055" spans="12:12" x14ac:dyDescent="0.3">
      <c r="L1055" s="7" t="str">
        <f t="shared" ca="1" si="33"/>
        <v/>
      </c>
    </row>
    <row r="1056" spans="12:12" x14ac:dyDescent="0.3">
      <c r="L1056" s="7" t="str">
        <f t="shared" ca="1" si="33"/>
        <v/>
      </c>
    </row>
    <row r="1057" spans="12:12" x14ac:dyDescent="0.3">
      <c r="L1057" s="7" t="str">
        <f t="shared" ca="1" si="33"/>
        <v/>
      </c>
    </row>
    <row r="1058" spans="12:12" x14ac:dyDescent="0.3">
      <c r="L1058" s="7" t="str">
        <f t="shared" ca="1" si="33"/>
        <v/>
      </c>
    </row>
    <row r="1059" spans="12:12" x14ac:dyDescent="0.3">
      <c r="L1059" s="7" t="str">
        <f t="shared" ca="1" si="33"/>
        <v/>
      </c>
    </row>
    <row r="1060" spans="12:12" x14ac:dyDescent="0.3">
      <c r="L1060" s="7" t="str">
        <f t="shared" ca="1" si="33"/>
        <v/>
      </c>
    </row>
    <row r="1061" spans="12:12" x14ac:dyDescent="0.3">
      <c r="L1061" s="7" t="str">
        <f t="shared" ca="1" si="33"/>
        <v/>
      </c>
    </row>
    <row r="1062" spans="12:12" x14ac:dyDescent="0.3">
      <c r="L1062" s="7" t="str">
        <f t="shared" ca="1" si="33"/>
        <v/>
      </c>
    </row>
    <row r="1063" spans="12:12" x14ac:dyDescent="0.3">
      <c r="L1063" s="7" t="str">
        <f t="shared" ca="1" si="33"/>
        <v/>
      </c>
    </row>
    <row r="1064" spans="12:12" x14ac:dyDescent="0.3">
      <c r="L1064" s="7" t="str">
        <f t="shared" ca="1" si="33"/>
        <v/>
      </c>
    </row>
    <row r="1065" spans="12:12" x14ac:dyDescent="0.3">
      <c r="L1065" s="7" t="str">
        <f t="shared" ca="1" si="33"/>
        <v/>
      </c>
    </row>
    <row r="1066" spans="12:12" x14ac:dyDescent="0.3">
      <c r="L1066" s="7" t="str">
        <f t="shared" ca="1" si="33"/>
        <v/>
      </c>
    </row>
    <row r="1067" spans="12:12" x14ac:dyDescent="0.3">
      <c r="L1067" s="7" t="str">
        <f t="shared" ca="1" si="33"/>
        <v/>
      </c>
    </row>
    <row r="1068" spans="12:12" x14ac:dyDescent="0.3">
      <c r="L1068" s="7" t="str">
        <f t="shared" ca="1" si="33"/>
        <v/>
      </c>
    </row>
    <row r="1069" spans="12:12" x14ac:dyDescent="0.3">
      <c r="L1069" s="7" t="str">
        <f t="shared" ca="1" si="33"/>
        <v/>
      </c>
    </row>
    <row r="1070" spans="12:12" x14ac:dyDescent="0.3">
      <c r="L1070" s="7" t="str">
        <f t="shared" ca="1" si="33"/>
        <v/>
      </c>
    </row>
    <row r="1071" spans="12:12" x14ac:dyDescent="0.3">
      <c r="L1071" s="7" t="str">
        <f t="shared" ca="1" si="33"/>
        <v/>
      </c>
    </row>
    <row r="1072" spans="12:12" x14ac:dyDescent="0.3">
      <c r="L1072" s="7" t="str">
        <f t="shared" ca="1" si="33"/>
        <v/>
      </c>
    </row>
    <row r="1073" spans="12:12" x14ac:dyDescent="0.3">
      <c r="L1073" s="7" t="str">
        <f t="shared" ca="1" si="33"/>
        <v/>
      </c>
    </row>
    <row r="1074" spans="12:12" x14ac:dyDescent="0.3">
      <c r="L1074" s="7" t="str">
        <f t="shared" ca="1" si="33"/>
        <v/>
      </c>
    </row>
    <row r="1075" spans="12:12" x14ac:dyDescent="0.3">
      <c r="L1075" s="7" t="str">
        <f t="shared" ca="1" si="33"/>
        <v/>
      </c>
    </row>
    <row r="1076" spans="12:12" x14ac:dyDescent="0.3">
      <c r="L1076" s="7" t="str">
        <f t="shared" ca="1" si="33"/>
        <v/>
      </c>
    </row>
    <row r="1077" spans="12:12" x14ac:dyDescent="0.3">
      <c r="L1077" s="7" t="str">
        <f t="shared" ca="1" si="33"/>
        <v/>
      </c>
    </row>
    <row r="1078" spans="12:12" x14ac:dyDescent="0.3">
      <c r="L1078" s="7" t="str">
        <f t="shared" ca="1" si="33"/>
        <v/>
      </c>
    </row>
    <row r="1079" spans="12:12" x14ac:dyDescent="0.3">
      <c r="L1079" s="7" t="str">
        <f t="shared" ca="1" si="33"/>
        <v/>
      </c>
    </row>
    <row r="1080" spans="12:12" x14ac:dyDescent="0.3">
      <c r="L1080" s="7" t="str">
        <f t="shared" ca="1" si="33"/>
        <v/>
      </c>
    </row>
    <row r="1081" spans="12:12" x14ac:dyDescent="0.3">
      <c r="L1081" s="7" t="str">
        <f t="shared" ca="1" si="33"/>
        <v/>
      </c>
    </row>
    <row r="1082" spans="12:12" x14ac:dyDescent="0.3">
      <c r="L1082" s="7" t="str">
        <f t="shared" ca="1" si="33"/>
        <v/>
      </c>
    </row>
    <row r="1083" spans="12:12" x14ac:dyDescent="0.3">
      <c r="L1083" s="7" t="str">
        <f t="shared" ca="1" si="33"/>
        <v/>
      </c>
    </row>
    <row r="1084" spans="12:12" x14ac:dyDescent="0.3">
      <c r="L1084" s="7" t="str">
        <f t="shared" ca="1" si="33"/>
        <v/>
      </c>
    </row>
    <row r="1085" spans="12:12" x14ac:dyDescent="0.3">
      <c r="L1085" s="7" t="str">
        <f t="shared" ca="1" si="33"/>
        <v/>
      </c>
    </row>
    <row r="1086" spans="12:12" x14ac:dyDescent="0.3">
      <c r="L1086" s="7" t="str">
        <f t="shared" ca="1" si="33"/>
        <v/>
      </c>
    </row>
    <row r="1087" spans="12:12" x14ac:dyDescent="0.3">
      <c r="L1087" s="7" t="str">
        <f t="shared" ca="1" si="33"/>
        <v/>
      </c>
    </row>
    <row r="1088" spans="12:12" x14ac:dyDescent="0.3">
      <c r="L1088" s="7" t="str">
        <f t="shared" ca="1" si="33"/>
        <v/>
      </c>
    </row>
    <row r="1089" spans="12:12" x14ac:dyDescent="0.3">
      <c r="L1089" s="7" t="str">
        <f t="shared" ca="1" si="33"/>
        <v/>
      </c>
    </row>
    <row r="1090" spans="12:12" x14ac:dyDescent="0.3">
      <c r="L1090" s="7" t="str">
        <f t="shared" ca="1" si="33"/>
        <v/>
      </c>
    </row>
    <row r="1091" spans="12:12" x14ac:dyDescent="0.3">
      <c r="L1091" s="7" t="str">
        <f t="shared" ca="1" si="33"/>
        <v/>
      </c>
    </row>
    <row r="1092" spans="12:12" x14ac:dyDescent="0.3">
      <c r="L1092" s="7" t="str">
        <f t="shared" ca="1" si="33"/>
        <v/>
      </c>
    </row>
    <row r="1093" spans="12:12" x14ac:dyDescent="0.3">
      <c r="L1093" s="7" t="str">
        <f t="shared" ref="L1093:L1109" ca="1" si="34">IF(I1093="Completed",0,IF(H1093="","",H1093-TODAY()))</f>
        <v/>
      </c>
    </row>
    <row r="1094" spans="12:12" x14ac:dyDescent="0.3">
      <c r="L1094" s="7" t="str">
        <f t="shared" ca="1" si="34"/>
        <v/>
      </c>
    </row>
    <row r="1095" spans="12:12" x14ac:dyDescent="0.3">
      <c r="L1095" s="7" t="str">
        <f t="shared" ca="1" si="34"/>
        <v/>
      </c>
    </row>
    <row r="1096" spans="12:12" x14ac:dyDescent="0.3">
      <c r="L1096" s="7" t="str">
        <f t="shared" ca="1" si="34"/>
        <v/>
      </c>
    </row>
    <row r="1097" spans="12:12" x14ac:dyDescent="0.3">
      <c r="L1097" s="7" t="str">
        <f t="shared" ca="1" si="34"/>
        <v/>
      </c>
    </row>
    <row r="1098" spans="12:12" x14ac:dyDescent="0.3">
      <c r="L1098" s="7" t="str">
        <f t="shared" ca="1" si="34"/>
        <v/>
      </c>
    </row>
    <row r="1099" spans="12:12" x14ac:dyDescent="0.3">
      <c r="L1099" s="7" t="str">
        <f t="shared" ca="1" si="34"/>
        <v/>
      </c>
    </row>
    <row r="1100" spans="12:12" x14ac:dyDescent="0.3">
      <c r="L1100" s="7" t="str">
        <f t="shared" ca="1" si="34"/>
        <v/>
      </c>
    </row>
    <row r="1101" spans="12:12" x14ac:dyDescent="0.3">
      <c r="L1101" s="7" t="str">
        <f t="shared" ca="1" si="34"/>
        <v/>
      </c>
    </row>
    <row r="1102" spans="12:12" x14ac:dyDescent="0.3">
      <c r="L1102" s="7" t="str">
        <f t="shared" ca="1" si="34"/>
        <v/>
      </c>
    </row>
    <row r="1103" spans="12:12" x14ac:dyDescent="0.3">
      <c r="L1103" s="7" t="str">
        <f t="shared" ca="1" si="34"/>
        <v/>
      </c>
    </row>
    <row r="1104" spans="12:12" x14ac:dyDescent="0.3">
      <c r="L1104" s="7" t="str">
        <f t="shared" ca="1" si="34"/>
        <v/>
      </c>
    </row>
    <row r="1105" spans="12:12" x14ac:dyDescent="0.3">
      <c r="L1105" s="7" t="str">
        <f t="shared" ca="1" si="34"/>
        <v/>
      </c>
    </row>
    <row r="1106" spans="12:12" x14ac:dyDescent="0.3">
      <c r="L1106" s="7" t="str">
        <f t="shared" ca="1" si="34"/>
        <v/>
      </c>
    </row>
    <row r="1107" spans="12:12" x14ac:dyDescent="0.3">
      <c r="L1107" s="7" t="str">
        <f t="shared" ca="1" si="34"/>
        <v/>
      </c>
    </row>
    <row r="1108" spans="12:12" x14ac:dyDescent="0.3">
      <c r="L1108" s="7" t="str">
        <f t="shared" ca="1" si="34"/>
        <v/>
      </c>
    </row>
    <row r="1109" spans="12:12" x14ac:dyDescent="0.3">
      <c r="L1109" s="7" t="str">
        <f t="shared" ca="1" si="34"/>
        <v/>
      </c>
    </row>
    <row r="1110" spans="12:12" x14ac:dyDescent="0.3">
      <c r="L1110" s="7" t="str">
        <f t="shared" ref="L1110:L1121" ca="1" si="35">IF(I1110="Completed",0,IF(H1110="","",H1110-TODAY()))</f>
        <v/>
      </c>
    </row>
    <row r="1111" spans="12:12" x14ac:dyDescent="0.3">
      <c r="L1111" s="7" t="str">
        <f t="shared" ca="1" si="35"/>
        <v/>
      </c>
    </row>
    <row r="1112" spans="12:12" x14ac:dyDescent="0.3">
      <c r="L1112" s="7" t="str">
        <f t="shared" ca="1" si="35"/>
        <v/>
      </c>
    </row>
    <row r="1113" spans="12:12" x14ac:dyDescent="0.3">
      <c r="L1113" s="7" t="str">
        <f t="shared" ca="1" si="35"/>
        <v/>
      </c>
    </row>
    <row r="1114" spans="12:12" x14ac:dyDescent="0.3">
      <c r="L1114" s="7" t="str">
        <f t="shared" ca="1" si="35"/>
        <v/>
      </c>
    </row>
    <row r="1115" spans="12:12" x14ac:dyDescent="0.3">
      <c r="L1115" s="7" t="str">
        <f t="shared" ca="1" si="35"/>
        <v/>
      </c>
    </row>
    <row r="1116" spans="12:12" x14ac:dyDescent="0.3">
      <c r="L1116" s="7" t="str">
        <f t="shared" ca="1" si="35"/>
        <v/>
      </c>
    </row>
    <row r="1117" spans="12:12" x14ac:dyDescent="0.3">
      <c r="L1117" s="7" t="str">
        <f t="shared" ca="1" si="35"/>
        <v/>
      </c>
    </row>
    <row r="1118" spans="12:12" x14ac:dyDescent="0.3">
      <c r="L1118" s="7" t="str">
        <f t="shared" ca="1" si="35"/>
        <v/>
      </c>
    </row>
    <row r="1119" spans="12:12" x14ac:dyDescent="0.3">
      <c r="L1119" s="7" t="str">
        <f t="shared" ca="1" si="35"/>
        <v/>
      </c>
    </row>
    <row r="1120" spans="12:12" x14ac:dyDescent="0.3">
      <c r="L1120" s="7" t="str">
        <f t="shared" ca="1" si="35"/>
        <v/>
      </c>
    </row>
    <row r="1121" spans="12:12" x14ac:dyDescent="0.3">
      <c r="L1121" s="7" t="str">
        <f t="shared" ca="1" si="35"/>
        <v/>
      </c>
    </row>
    <row r="1122" spans="12:12" x14ac:dyDescent="0.3">
      <c r="L1122" s="7" t="str">
        <f t="shared" ref="L1122:L1185" ca="1" si="36">IF(I1122="Completed",0,IF(H1122="","",H1122-TODAY()))</f>
        <v/>
      </c>
    </row>
    <row r="1123" spans="12:12" x14ac:dyDescent="0.3">
      <c r="L1123" s="7" t="str">
        <f t="shared" ca="1" si="36"/>
        <v/>
      </c>
    </row>
    <row r="1124" spans="12:12" x14ac:dyDescent="0.3">
      <c r="L1124" s="7" t="str">
        <f t="shared" ca="1" si="36"/>
        <v/>
      </c>
    </row>
    <row r="1125" spans="12:12" x14ac:dyDescent="0.3">
      <c r="L1125" s="7" t="str">
        <f t="shared" ca="1" si="36"/>
        <v/>
      </c>
    </row>
    <row r="1126" spans="12:12" x14ac:dyDescent="0.3">
      <c r="L1126" s="7" t="str">
        <f t="shared" ca="1" si="36"/>
        <v/>
      </c>
    </row>
    <row r="1127" spans="12:12" x14ac:dyDescent="0.3">
      <c r="L1127" s="7" t="str">
        <f t="shared" ca="1" si="36"/>
        <v/>
      </c>
    </row>
    <row r="1128" spans="12:12" x14ac:dyDescent="0.3">
      <c r="L1128" s="7" t="str">
        <f t="shared" ca="1" si="36"/>
        <v/>
      </c>
    </row>
    <row r="1129" spans="12:12" x14ac:dyDescent="0.3">
      <c r="L1129" s="7" t="str">
        <f t="shared" ca="1" si="36"/>
        <v/>
      </c>
    </row>
    <row r="1130" spans="12:12" x14ac:dyDescent="0.3">
      <c r="L1130" s="7" t="str">
        <f t="shared" ca="1" si="36"/>
        <v/>
      </c>
    </row>
    <row r="1131" spans="12:12" x14ac:dyDescent="0.3">
      <c r="L1131" s="7" t="str">
        <f t="shared" ca="1" si="36"/>
        <v/>
      </c>
    </row>
    <row r="1132" spans="12:12" x14ac:dyDescent="0.3">
      <c r="L1132" s="7" t="str">
        <f t="shared" ca="1" si="36"/>
        <v/>
      </c>
    </row>
    <row r="1133" spans="12:12" x14ac:dyDescent="0.3">
      <c r="L1133" s="7" t="str">
        <f t="shared" ca="1" si="36"/>
        <v/>
      </c>
    </row>
    <row r="1134" spans="12:12" x14ac:dyDescent="0.3">
      <c r="L1134" s="7" t="str">
        <f t="shared" ca="1" si="36"/>
        <v/>
      </c>
    </row>
    <row r="1135" spans="12:12" x14ac:dyDescent="0.3">
      <c r="L1135" s="7" t="str">
        <f t="shared" ca="1" si="36"/>
        <v/>
      </c>
    </row>
    <row r="1136" spans="12:12" x14ac:dyDescent="0.3">
      <c r="L1136" s="7" t="str">
        <f t="shared" ca="1" si="36"/>
        <v/>
      </c>
    </row>
    <row r="1137" spans="12:12" x14ac:dyDescent="0.3">
      <c r="L1137" s="7" t="str">
        <f t="shared" ca="1" si="36"/>
        <v/>
      </c>
    </row>
    <row r="1138" spans="12:12" x14ac:dyDescent="0.3">
      <c r="L1138" s="7" t="str">
        <f t="shared" ca="1" si="36"/>
        <v/>
      </c>
    </row>
    <row r="1139" spans="12:12" x14ac:dyDescent="0.3">
      <c r="L1139" s="7" t="str">
        <f t="shared" ca="1" si="36"/>
        <v/>
      </c>
    </row>
    <row r="1140" spans="12:12" x14ac:dyDescent="0.3">
      <c r="L1140" s="7" t="str">
        <f t="shared" ca="1" si="36"/>
        <v/>
      </c>
    </row>
    <row r="1141" spans="12:12" x14ac:dyDescent="0.3">
      <c r="L1141" s="7" t="str">
        <f t="shared" ca="1" si="36"/>
        <v/>
      </c>
    </row>
    <row r="1142" spans="12:12" x14ac:dyDescent="0.3">
      <c r="L1142" s="7" t="str">
        <f t="shared" ca="1" si="36"/>
        <v/>
      </c>
    </row>
    <row r="1143" spans="12:12" x14ac:dyDescent="0.3">
      <c r="L1143" s="7" t="str">
        <f t="shared" ca="1" si="36"/>
        <v/>
      </c>
    </row>
    <row r="1144" spans="12:12" x14ac:dyDescent="0.3">
      <c r="L1144" s="7" t="str">
        <f t="shared" ca="1" si="36"/>
        <v/>
      </c>
    </row>
    <row r="1145" spans="12:12" x14ac:dyDescent="0.3">
      <c r="L1145" s="7" t="str">
        <f t="shared" ca="1" si="36"/>
        <v/>
      </c>
    </row>
    <row r="1146" spans="12:12" x14ac:dyDescent="0.3">
      <c r="L1146" s="7" t="str">
        <f t="shared" ca="1" si="36"/>
        <v/>
      </c>
    </row>
    <row r="1147" spans="12:12" x14ac:dyDescent="0.3">
      <c r="L1147" s="7" t="str">
        <f t="shared" ca="1" si="36"/>
        <v/>
      </c>
    </row>
    <row r="1148" spans="12:12" x14ac:dyDescent="0.3">
      <c r="L1148" s="7" t="str">
        <f t="shared" ca="1" si="36"/>
        <v/>
      </c>
    </row>
    <row r="1149" spans="12:12" x14ac:dyDescent="0.3">
      <c r="L1149" s="7" t="str">
        <f t="shared" ca="1" si="36"/>
        <v/>
      </c>
    </row>
    <row r="1150" spans="12:12" x14ac:dyDescent="0.3">
      <c r="L1150" s="7" t="str">
        <f t="shared" ca="1" si="36"/>
        <v/>
      </c>
    </row>
    <row r="1151" spans="12:12" x14ac:dyDescent="0.3">
      <c r="L1151" s="7" t="str">
        <f t="shared" ca="1" si="36"/>
        <v/>
      </c>
    </row>
    <row r="1152" spans="12:12" x14ac:dyDescent="0.3">
      <c r="L1152" s="7" t="str">
        <f t="shared" ca="1" si="36"/>
        <v/>
      </c>
    </row>
    <row r="1153" spans="12:12" x14ac:dyDescent="0.3">
      <c r="L1153" s="7" t="str">
        <f t="shared" ca="1" si="36"/>
        <v/>
      </c>
    </row>
    <row r="1154" spans="12:12" x14ac:dyDescent="0.3">
      <c r="L1154" s="7" t="str">
        <f t="shared" ca="1" si="36"/>
        <v/>
      </c>
    </row>
    <row r="1155" spans="12:12" x14ac:dyDescent="0.3">
      <c r="L1155" s="7" t="str">
        <f t="shared" ca="1" si="36"/>
        <v/>
      </c>
    </row>
    <row r="1156" spans="12:12" x14ac:dyDescent="0.3">
      <c r="L1156" s="7" t="str">
        <f t="shared" ca="1" si="36"/>
        <v/>
      </c>
    </row>
    <row r="1157" spans="12:12" x14ac:dyDescent="0.3">
      <c r="L1157" s="7" t="str">
        <f t="shared" ca="1" si="36"/>
        <v/>
      </c>
    </row>
    <row r="1158" spans="12:12" x14ac:dyDescent="0.3">
      <c r="L1158" s="7" t="str">
        <f t="shared" ca="1" si="36"/>
        <v/>
      </c>
    </row>
    <row r="1159" spans="12:12" x14ac:dyDescent="0.3">
      <c r="L1159" s="7" t="str">
        <f t="shared" ca="1" si="36"/>
        <v/>
      </c>
    </row>
    <row r="1160" spans="12:12" x14ac:dyDescent="0.3">
      <c r="L1160" s="7" t="str">
        <f t="shared" ca="1" si="36"/>
        <v/>
      </c>
    </row>
    <row r="1161" spans="12:12" x14ac:dyDescent="0.3">
      <c r="L1161" s="7" t="str">
        <f t="shared" ca="1" si="36"/>
        <v/>
      </c>
    </row>
    <row r="1162" spans="12:12" x14ac:dyDescent="0.3">
      <c r="L1162" s="7" t="str">
        <f t="shared" ca="1" si="36"/>
        <v/>
      </c>
    </row>
    <row r="1163" spans="12:12" x14ac:dyDescent="0.3">
      <c r="L1163" s="7" t="str">
        <f t="shared" ca="1" si="36"/>
        <v/>
      </c>
    </row>
    <row r="1164" spans="12:12" x14ac:dyDescent="0.3">
      <c r="L1164" s="7" t="str">
        <f t="shared" ca="1" si="36"/>
        <v/>
      </c>
    </row>
    <row r="1165" spans="12:12" x14ac:dyDescent="0.3">
      <c r="L1165" s="7" t="str">
        <f t="shared" ca="1" si="36"/>
        <v/>
      </c>
    </row>
    <row r="1166" spans="12:12" x14ac:dyDescent="0.3">
      <c r="L1166" s="7" t="str">
        <f t="shared" ca="1" si="36"/>
        <v/>
      </c>
    </row>
    <row r="1167" spans="12:12" x14ac:dyDescent="0.3">
      <c r="L1167" s="7" t="str">
        <f t="shared" ca="1" si="36"/>
        <v/>
      </c>
    </row>
    <row r="1168" spans="12:12" x14ac:dyDescent="0.3">
      <c r="L1168" s="7" t="str">
        <f t="shared" ca="1" si="36"/>
        <v/>
      </c>
    </row>
    <row r="1169" spans="12:12" x14ac:dyDescent="0.3">
      <c r="L1169" s="7" t="str">
        <f t="shared" ca="1" si="36"/>
        <v/>
      </c>
    </row>
    <row r="1170" spans="12:12" x14ac:dyDescent="0.3">
      <c r="L1170" s="7" t="str">
        <f t="shared" ca="1" si="36"/>
        <v/>
      </c>
    </row>
    <row r="1171" spans="12:12" x14ac:dyDescent="0.3">
      <c r="L1171" s="7" t="str">
        <f t="shared" ca="1" si="36"/>
        <v/>
      </c>
    </row>
    <row r="1172" spans="12:12" x14ac:dyDescent="0.3">
      <c r="L1172" s="7" t="str">
        <f t="shared" ca="1" si="36"/>
        <v/>
      </c>
    </row>
    <row r="1173" spans="12:12" x14ac:dyDescent="0.3">
      <c r="L1173" s="7" t="str">
        <f t="shared" ca="1" si="36"/>
        <v/>
      </c>
    </row>
    <row r="1174" spans="12:12" x14ac:dyDescent="0.3">
      <c r="L1174" s="7" t="str">
        <f t="shared" ca="1" si="36"/>
        <v/>
      </c>
    </row>
    <row r="1175" spans="12:12" x14ac:dyDescent="0.3">
      <c r="L1175" s="7" t="str">
        <f t="shared" ca="1" si="36"/>
        <v/>
      </c>
    </row>
    <row r="1176" spans="12:12" x14ac:dyDescent="0.3">
      <c r="L1176" s="7" t="str">
        <f t="shared" ca="1" si="36"/>
        <v/>
      </c>
    </row>
    <row r="1177" spans="12:12" x14ac:dyDescent="0.3">
      <c r="L1177" s="7" t="str">
        <f t="shared" ca="1" si="36"/>
        <v/>
      </c>
    </row>
    <row r="1178" spans="12:12" x14ac:dyDescent="0.3">
      <c r="L1178" s="7" t="str">
        <f t="shared" ca="1" si="36"/>
        <v/>
      </c>
    </row>
    <row r="1179" spans="12:12" x14ac:dyDescent="0.3">
      <c r="L1179" s="7" t="str">
        <f t="shared" ca="1" si="36"/>
        <v/>
      </c>
    </row>
    <row r="1180" spans="12:12" x14ac:dyDescent="0.3">
      <c r="L1180" s="7" t="str">
        <f t="shared" ca="1" si="36"/>
        <v/>
      </c>
    </row>
    <row r="1181" spans="12:12" x14ac:dyDescent="0.3">
      <c r="L1181" s="7" t="str">
        <f t="shared" ca="1" si="36"/>
        <v/>
      </c>
    </row>
    <row r="1182" spans="12:12" x14ac:dyDescent="0.3">
      <c r="L1182" s="7" t="str">
        <f t="shared" ca="1" si="36"/>
        <v/>
      </c>
    </row>
    <row r="1183" spans="12:12" x14ac:dyDescent="0.3">
      <c r="L1183" s="7" t="str">
        <f t="shared" ca="1" si="36"/>
        <v/>
      </c>
    </row>
    <row r="1184" spans="12:12" x14ac:dyDescent="0.3">
      <c r="L1184" s="7" t="str">
        <f t="shared" ca="1" si="36"/>
        <v/>
      </c>
    </row>
    <row r="1185" spans="12:12" x14ac:dyDescent="0.3">
      <c r="L1185" s="7" t="str">
        <f t="shared" ca="1" si="36"/>
        <v/>
      </c>
    </row>
    <row r="1186" spans="12:12" x14ac:dyDescent="0.3">
      <c r="L1186" s="7" t="str">
        <f t="shared" ref="L1186:L1249" ca="1" si="37">IF(I1186="Completed",0,IF(H1186="","",H1186-TODAY()))</f>
        <v/>
      </c>
    </row>
    <row r="1187" spans="12:12" x14ac:dyDescent="0.3">
      <c r="L1187" s="7" t="str">
        <f t="shared" ca="1" si="37"/>
        <v/>
      </c>
    </row>
    <row r="1188" spans="12:12" x14ac:dyDescent="0.3">
      <c r="L1188" s="7" t="str">
        <f t="shared" ca="1" si="37"/>
        <v/>
      </c>
    </row>
    <row r="1189" spans="12:12" x14ac:dyDescent="0.3">
      <c r="L1189" s="7" t="str">
        <f t="shared" ca="1" si="37"/>
        <v/>
      </c>
    </row>
    <row r="1190" spans="12:12" x14ac:dyDescent="0.3">
      <c r="L1190" s="7" t="str">
        <f t="shared" ca="1" si="37"/>
        <v/>
      </c>
    </row>
    <row r="1191" spans="12:12" x14ac:dyDescent="0.3">
      <c r="L1191" s="7" t="str">
        <f t="shared" ca="1" si="37"/>
        <v/>
      </c>
    </row>
    <row r="1192" spans="12:12" x14ac:dyDescent="0.3">
      <c r="L1192" s="7" t="str">
        <f t="shared" ca="1" si="37"/>
        <v/>
      </c>
    </row>
    <row r="1193" spans="12:12" x14ac:dyDescent="0.3">
      <c r="L1193" s="7" t="str">
        <f t="shared" ca="1" si="37"/>
        <v/>
      </c>
    </row>
    <row r="1194" spans="12:12" x14ac:dyDescent="0.3">
      <c r="L1194" s="7" t="str">
        <f t="shared" ca="1" si="37"/>
        <v/>
      </c>
    </row>
    <row r="1195" spans="12:12" x14ac:dyDescent="0.3">
      <c r="L1195" s="7" t="str">
        <f t="shared" ca="1" si="37"/>
        <v/>
      </c>
    </row>
    <row r="1196" spans="12:12" x14ac:dyDescent="0.3">
      <c r="L1196" s="7" t="str">
        <f t="shared" ca="1" si="37"/>
        <v/>
      </c>
    </row>
    <row r="1197" spans="12:12" x14ac:dyDescent="0.3">
      <c r="L1197" s="7" t="str">
        <f t="shared" ca="1" si="37"/>
        <v/>
      </c>
    </row>
    <row r="1198" spans="12:12" x14ac:dyDescent="0.3">
      <c r="L1198" s="7" t="str">
        <f t="shared" ca="1" si="37"/>
        <v/>
      </c>
    </row>
    <row r="1199" spans="12:12" x14ac:dyDescent="0.3">
      <c r="L1199" s="7" t="str">
        <f t="shared" ca="1" si="37"/>
        <v/>
      </c>
    </row>
    <row r="1200" spans="12:12" x14ac:dyDescent="0.3">
      <c r="L1200" s="7" t="str">
        <f t="shared" ca="1" si="37"/>
        <v/>
      </c>
    </row>
    <row r="1201" spans="12:12" x14ac:dyDescent="0.3">
      <c r="L1201" s="7" t="str">
        <f t="shared" ca="1" si="37"/>
        <v/>
      </c>
    </row>
    <row r="1202" spans="12:12" x14ac:dyDescent="0.3">
      <c r="L1202" s="7" t="str">
        <f t="shared" ca="1" si="37"/>
        <v/>
      </c>
    </row>
    <row r="1203" spans="12:12" x14ac:dyDescent="0.3">
      <c r="L1203" s="7" t="str">
        <f t="shared" ca="1" si="37"/>
        <v/>
      </c>
    </row>
    <row r="1204" spans="12:12" x14ac:dyDescent="0.3">
      <c r="L1204" s="7" t="str">
        <f t="shared" ca="1" si="37"/>
        <v/>
      </c>
    </row>
    <row r="1205" spans="12:12" x14ac:dyDescent="0.3">
      <c r="L1205" s="7" t="str">
        <f t="shared" ca="1" si="37"/>
        <v/>
      </c>
    </row>
    <row r="1206" spans="12:12" x14ac:dyDescent="0.3">
      <c r="L1206" s="7" t="str">
        <f t="shared" ca="1" si="37"/>
        <v/>
      </c>
    </row>
    <row r="1207" spans="12:12" x14ac:dyDescent="0.3">
      <c r="L1207" s="7" t="str">
        <f t="shared" ca="1" si="37"/>
        <v/>
      </c>
    </row>
    <row r="1208" spans="12:12" x14ac:dyDescent="0.3">
      <c r="L1208" s="7" t="str">
        <f t="shared" ca="1" si="37"/>
        <v/>
      </c>
    </row>
    <row r="1209" spans="12:12" x14ac:dyDescent="0.3">
      <c r="L1209" s="7" t="str">
        <f t="shared" ca="1" si="37"/>
        <v/>
      </c>
    </row>
    <row r="1210" spans="12:12" x14ac:dyDescent="0.3">
      <c r="L1210" s="7" t="str">
        <f t="shared" ca="1" si="37"/>
        <v/>
      </c>
    </row>
    <row r="1211" spans="12:12" x14ac:dyDescent="0.3">
      <c r="L1211" s="7" t="str">
        <f t="shared" ca="1" si="37"/>
        <v/>
      </c>
    </row>
    <row r="1212" spans="12:12" x14ac:dyDescent="0.3">
      <c r="L1212" s="7" t="str">
        <f t="shared" ca="1" si="37"/>
        <v/>
      </c>
    </row>
    <row r="1213" spans="12:12" x14ac:dyDescent="0.3">
      <c r="L1213" s="7" t="str">
        <f t="shared" ca="1" si="37"/>
        <v/>
      </c>
    </row>
    <row r="1214" spans="12:12" x14ac:dyDescent="0.3">
      <c r="L1214" s="7" t="str">
        <f t="shared" ca="1" si="37"/>
        <v/>
      </c>
    </row>
    <row r="1215" spans="12:12" x14ac:dyDescent="0.3">
      <c r="L1215" s="7" t="str">
        <f t="shared" ca="1" si="37"/>
        <v/>
      </c>
    </row>
    <row r="1216" spans="12:12" x14ac:dyDescent="0.3">
      <c r="L1216" s="7" t="str">
        <f t="shared" ca="1" si="37"/>
        <v/>
      </c>
    </row>
    <row r="1217" spans="12:12" x14ac:dyDescent="0.3">
      <c r="L1217" s="7" t="str">
        <f t="shared" ca="1" si="37"/>
        <v/>
      </c>
    </row>
    <row r="1218" spans="12:12" x14ac:dyDescent="0.3">
      <c r="L1218" s="7" t="str">
        <f t="shared" ca="1" si="37"/>
        <v/>
      </c>
    </row>
    <row r="1219" spans="12:12" x14ac:dyDescent="0.3">
      <c r="L1219" s="7" t="str">
        <f t="shared" ca="1" si="37"/>
        <v/>
      </c>
    </row>
    <row r="1220" spans="12:12" x14ac:dyDescent="0.3">
      <c r="L1220" s="7" t="str">
        <f t="shared" ca="1" si="37"/>
        <v/>
      </c>
    </row>
    <row r="1221" spans="12:12" x14ac:dyDescent="0.3">
      <c r="L1221" s="7" t="str">
        <f t="shared" ca="1" si="37"/>
        <v/>
      </c>
    </row>
    <row r="1222" spans="12:12" x14ac:dyDescent="0.3">
      <c r="L1222" s="7" t="str">
        <f t="shared" ca="1" si="37"/>
        <v/>
      </c>
    </row>
    <row r="1223" spans="12:12" x14ac:dyDescent="0.3">
      <c r="L1223" s="7" t="str">
        <f t="shared" ca="1" si="37"/>
        <v/>
      </c>
    </row>
    <row r="1224" spans="12:12" x14ac:dyDescent="0.3">
      <c r="L1224" s="7" t="str">
        <f t="shared" ca="1" si="37"/>
        <v/>
      </c>
    </row>
    <row r="1225" spans="12:12" x14ac:dyDescent="0.3">
      <c r="L1225" s="7" t="str">
        <f t="shared" ca="1" si="37"/>
        <v/>
      </c>
    </row>
    <row r="1226" spans="12:12" x14ac:dyDescent="0.3">
      <c r="L1226" s="7" t="str">
        <f t="shared" ca="1" si="37"/>
        <v/>
      </c>
    </row>
    <row r="1227" spans="12:12" x14ac:dyDescent="0.3">
      <c r="L1227" s="7" t="str">
        <f t="shared" ca="1" si="37"/>
        <v/>
      </c>
    </row>
    <row r="1228" spans="12:12" x14ac:dyDescent="0.3">
      <c r="L1228" s="7" t="str">
        <f t="shared" ca="1" si="37"/>
        <v/>
      </c>
    </row>
    <row r="1229" spans="12:12" x14ac:dyDescent="0.3">
      <c r="L1229" s="7" t="str">
        <f t="shared" ca="1" si="37"/>
        <v/>
      </c>
    </row>
    <row r="1230" spans="12:12" x14ac:dyDescent="0.3">
      <c r="L1230" s="7" t="str">
        <f t="shared" ca="1" si="37"/>
        <v/>
      </c>
    </row>
    <row r="1231" spans="12:12" x14ac:dyDescent="0.3">
      <c r="L1231" s="7" t="str">
        <f t="shared" ca="1" si="37"/>
        <v/>
      </c>
    </row>
    <row r="1232" spans="12:12" x14ac:dyDescent="0.3">
      <c r="L1232" s="7" t="str">
        <f t="shared" ca="1" si="37"/>
        <v/>
      </c>
    </row>
    <row r="1233" spans="12:12" x14ac:dyDescent="0.3">
      <c r="L1233" s="7" t="str">
        <f t="shared" ca="1" si="37"/>
        <v/>
      </c>
    </row>
    <row r="1234" spans="12:12" x14ac:dyDescent="0.3">
      <c r="L1234" s="7" t="str">
        <f t="shared" ca="1" si="37"/>
        <v/>
      </c>
    </row>
    <row r="1235" spans="12:12" x14ac:dyDescent="0.3">
      <c r="L1235" s="7" t="str">
        <f t="shared" ca="1" si="37"/>
        <v/>
      </c>
    </row>
    <row r="1236" spans="12:12" x14ac:dyDescent="0.3">
      <c r="L1236" s="7" t="str">
        <f t="shared" ca="1" si="37"/>
        <v/>
      </c>
    </row>
    <row r="1237" spans="12:12" x14ac:dyDescent="0.3">
      <c r="L1237" s="7" t="str">
        <f t="shared" ca="1" si="37"/>
        <v/>
      </c>
    </row>
    <row r="1238" spans="12:12" x14ac:dyDescent="0.3">
      <c r="L1238" s="7" t="str">
        <f t="shared" ca="1" si="37"/>
        <v/>
      </c>
    </row>
    <row r="1239" spans="12:12" x14ac:dyDescent="0.3">
      <c r="L1239" s="7" t="str">
        <f t="shared" ca="1" si="37"/>
        <v/>
      </c>
    </row>
    <row r="1240" spans="12:12" x14ac:dyDescent="0.3">
      <c r="L1240" s="7" t="str">
        <f t="shared" ca="1" si="37"/>
        <v/>
      </c>
    </row>
    <row r="1241" spans="12:12" x14ac:dyDescent="0.3">
      <c r="L1241" s="7" t="str">
        <f t="shared" ca="1" si="37"/>
        <v/>
      </c>
    </row>
    <row r="1242" spans="12:12" x14ac:dyDescent="0.3">
      <c r="L1242" s="7" t="str">
        <f t="shared" ca="1" si="37"/>
        <v/>
      </c>
    </row>
    <row r="1243" spans="12:12" x14ac:dyDescent="0.3">
      <c r="L1243" s="7" t="str">
        <f t="shared" ca="1" si="37"/>
        <v/>
      </c>
    </row>
    <row r="1244" spans="12:12" x14ac:dyDescent="0.3">
      <c r="L1244" s="7" t="str">
        <f t="shared" ca="1" si="37"/>
        <v/>
      </c>
    </row>
    <row r="1245" spans="12:12" x14ac:dyDescent="0.3">
      <c r="L1245" s="7" t="str">
        <f t="shared" ca="1" si="37"/>
        <v/>
      </c>
    </row>
    <row r="1246" spans="12:12" x14ac:dyDescent="0.3">
      <c r="L1246" s="7" t="str">
        <f t="shared" ca="1" si="37"/>
        <v/>
      </c>
    </row>
    <row r="1247" spans="12:12" x14ac:dyDescent="0.3">
      <c r="L1247" s="7" t="str">
        <f t="shared" ca="1" si="37"/>
        <v/>
      </c>
    </row>
    <row r="1248" spans="12:12" x14ac:dyDescent="0.3">
      <c r="L1248" s="7" t="str">
        <f t="shared" ca="1" si="37"/>
        <v/>
      </c>
    </row>
    <row r="1249" spans="12:12" x14ac:dyDescent="0.3">
      <c r="L1249" s="7" t="str">
        <f t="shared" ca="1" si="37"/>
        <v/>
      </c>
    </row>
    <row r="1250" spans="12:12" x14ac:dyDescent="0.3">
      <c r="L1250" s="7" t="str">
        <f t="shared" ref="L1250:L1313" ca="1" si="38">IF(I1250="Completed",0,IF(H1250="","",H1250-TODAY()))</f>
        <v/>
      </c>
    </row>
    <row r="1251" spans="12:12" x14ac:dyDescent="0.3">
      <c r="L1251" s="7" t="str">
        <f t="shared" ca="1" si="38"/>
        <v/>
      </c>
    </row>
    <row r="1252" spans="12:12" x14ac:dyDescent="0.3">
      <c r="L1252" s="7" t="str">
        <f t="shared" ca="1" si="38"/>
        <v/>
      </c>
    </row>
    <row r="1253" spans="12:12" x14ac:dyDescent="0.3">
      <c r="L1253" s="7" t="str">
        <f t="shared" ca="1" si="38"/>
        <v/>
      </c>
    </row>
    <row r="1254" spans="12:12" x14ac:dyDescent="0.3">
      <c r="L1254" s="7" t="str">
        <f t="shared" ca="1" si="38"/>
        <v/>
      </c>
    </row>
    <row r="1255" spans="12:12" x14ac:dyDescent="0.3">
      <c r="L1255" s="7" t="str">
        <f t="shared" ca="1" si="38"/>
        <v/>
      </c>
    </row>
    <row r="1256" spans="12:12" x14ac:dyDescent="0.3">
      <c r="L1256" s="7" t="str">
        <f t="shared" ca="1" si="38"/>
        <v/>
      </c>
    </row>
    <row r="1257" spans="12:12" x14ac:dyDescent="0.3">
      <c r="L1257" s="7" t="str">
        <f t="shared" ca="1" si="38"/>
        <v/>
      </c>
    </row>
    <row r="1258" spans="12:12" x14ac:dyDescent="0.3">
      <c r="L1258" s="7" t="str">
        <f t="shared" ca="1" si="38"/>
        <v/>
      </c>
    </row>
    <row r="1259" spans="12:12" x14ac:dyDescent="0.3">
      <c r="L1259" s="7" t="str">
        <f t="shared" ca="1" si="38"/>
        <v/>
      </c>
    </row>
    <row r="1260" spans="12:12" x14ac:dyDescent="0.3">
      <c r="L1260" s="7" t="str">
        <f t="shared" ca="1" si="38"/>
        <v/>
      </c>
    </row>
    <row r="1261" spans="12:12" x14ac:dyDescent="0.3">
      <c r="L1261" s="7" t="str">
        <f t="shared" ca="1" si="38"/>
        <v/>
      </c>
    </row>
    <row r="1262" spans="12:12" x14ac:dyDescent="0.3">
      <c r="L1262" s="7" t="str">
        <f t="shared" ca="1" si="38"/>
        <v/>
      </c>
    </row>
    <row r="1263" spans="12:12" x14ac:dyDescent="0.3">
      <c r="L1263" s="7" t="str">
        <f t="shared" ca="1" si="38"/>
        <v/>
      </c>
    </row>
    <row r="1264" spans="12:12" x14ac:dyDescent="0.3">
      <c r="L1264" s="7" t="str">
        <f t="shared" ca="1" si="38"/>
        <v/>
      </c>
    </row>
    <row r="1265" spans="12:12" x14ac:dyDescent="0.3">
      <c r="L1265" s="7" t="str">
        <f t="shared" ca="1" si="38"/>
        <v/>
      </c>
    </row>
    <row r="1266" spans="12:12" x14ac:dyDescent="0.3">
      <c r="L1266" s="7" t="str">
        <f t="shared" ca="1" si="38"/>
        <v/>
      </c>
    </row>
    <row r="1267" spans="12:12" x14ac:dyDescent="0.3">
      <c r="L1267" s="7" t="str">
        <f t="shared" ca="1" si="38"/>
        <v/>
      </c>
    </row>
    <row r="1268" spans="12:12" x14ac:dyDescent="0.3">
      <c r="L1268" s="7" t="str">
        <f t="shared" ca="1" si="38"/>
        <v/>
      </c>
    </row>
    <row r="1269" spans="12:12" x14ac:dyDescent="0.3">
      <c r="L1269" s="7" t="str">
        <f t="shared" ca="1" si="38"/>
        <v/>
      </c>
    </row>
    <row r="1270" spans="12:12" x14ac:dyDescent="0.3">
      <c r="L1270" s="7" t="str">
        <f t="shared" ca="1" si="38"/>
        <v/>
      </c>
    </row>
    <row r="1271" spans="12:12" x14ac:dyDescent="0.3">
      <c r="L1271" s="7" t="str">
        <f t="shared" ca="1" si="38"/>
        <v/>
      </c>
    </row>
    <row r="1272" spans="12:12" x14ac:dyDescent="0.3">
      <c r="L1272" s="7" t="str">
        <f t="shared" ca="1" si="38"/>
        <v/>
      </c>
    </row>
    <row r="1273" spans="12:12" x14ac:dyDescent="0.3">
      <c r="L1273" s="7" t="str">
        <f t="shared" ca="1" si="38"/>
        <v/>
      </c>
    </row>
    <row r="1274" spans="12:12" x14ac:dyDescent="0.3">
      <c r="L1274" s="7" t="str">
        <f t="shared" ca="1" si="38"/>
        <v/>
      </c>
    </row>
    <row r="1275" spans="12:12" x14ac:dyDescent="0.3">
      <c r="L1275" s="7" t="str">
        <f t="shared" ca="1" si="38"/>
        <v/>
      </c>
    </row>
    <row r="1276" spans="12:12" x14ac:dyDescent="0.3">
      <c r="L1276" s="7" t="str">
        <f t="shared" ca="1" si="38"/>
        <v/>
      </c>
    </row>
    <row r="1277" spans="12:12" x14ac:dyDescent="0.3">
      <c r="L1277" s="7" t="str">
        <f t="shared" ca="1" si="38"/>
        <v/>
      </c>
    </row>
    <row r="1278" spans="12:12" x14ac:dyDescent="0.3">
      <c r="L1278" s="7" t="str">
        <f t="shared" ca="1" si="38"/>
        <v/>
      </c>
    </row>
    <row r="1279" spans="12:12" x14ac:dyDescent="0.3">
      <c r="L1279" s="7" t="str">
        <f t="shared" ca="1" si="38"/>
        <v/>
      </c>
    </row>
    <row r="1280" spans="12:12" x14ac:dyDescent="0.3">
      <c r="L1280" s="7" t="str">
        <f t="shared" ca="1" si="38"/>
        <v/>
      </c>
    </row>
    <row r="1281" spans="12:12" x14ac:dyDescent="0.3">
      <c r="L1281" s="7" t="str">
        <f t="shared" ca="1" si="38"/>
        <v/>
      </c>
    </row>
    <row r="1282" spans="12:12" x14ac:dyDescent="0.3">
      <c r="L1282" s="7" t="str">
        <f t="shared" ca="1" si="38"/>
        <v/>
      </c>
    </row>
    <row r="1283" spans="12:12" x14ac:dyDescent="0.3">
      <c r="L1283" s="7" t="str">
        <f t="shared" ca="1" si="38"/>
        <v/>
      </c>
    </row>
    <row r="1284" spans="12:12" x14ac:dyDescent="0.3">
      <c r="L1284" s="7" t="str">
        <f t="shared" ca="1" si="38"/>
        <v/>
      </c>
    </row>
    <row r="1285" spans="12:12" x14ac:dyDescent="0.3">
      <c r="L1285" s="7" t="str">
        <f t="shared" ca="1" si="38"/>
        <v/>
      </c>
    </row>
    <row r="1286" spans="12:12" x14ac:dyDescent="0.3">
      <c r="L1286" s="7" t="str">
        <f t="shared" ca="1" si="38"/>
        <v/>
      </c>
    </row>
    <row r="1287" spans="12:12" x14ac:dyDescent="0.3">
      <c r="L1287" s="7" t="str">
        <f t="shared" ca="1" si="38"/>
        <v/>
      </c>
    </row>
    <row r="1288" spans="12:12" x14ac:dyDescent="0.3">
      <c r="L1288" s="7" t="str">
        <f t="shared" ca="1" si="38"/>
        <v/>
      </c>
    </row>
    <row r="1289" spans="12:12" x14ac:dyDescent="0.3">
      <c r="L1289" s="7" t="str">
        <f t="shared" ca="1" si="38"/>
        <v/>
      </c>
    </row>
    <row r="1290" spans="12:12" x14ac:dyDescent="0.3">
      <c r="L1290" s="7" t="str">
        <f t="shared" ca="1" si="38"/>
        <v/>
      </c>
    </row>
    <row r="1291" spans="12:12" x14ac:dyDescent="0.3">
      <c r="L1291" s="7" t="str">
        <f t="shared" ca="1" si="38"/>
        <v/>
      </c>
    </row>
    <row r="1292" spans="12:12" x14ac:dyDescent="0.3">
      <c r="L1292" s="7" t="str">
        <f t="shared" ca="1" si="38"/>
        <v/>
      </c>
    </row>
    <row r="1293" spans="12:12" x14ac:dyDescent="0.3">
      <c r="L1293" s="7" t="str">
        <f t="shared" ca="1" si="38"/>
        <v/>
      </c>
    </row>
    <row r="1294" spans="12:12" x14ac:dyDescent="0.3">
      <c r="L1294" s="7" t="str">
        <f t="shared" ca="1" si="38"/>
        <v/>
      </c>
    </row>
    <row r="1295" spans="12:12" x14ac:dyDescent="0.3">
      <c r="L1295" s="7" t="str">
        <f t="shared" ca="1" si="38"/>
        <v/>
      </c>
    </row>
    <row r="1296" spans="12:12" x14ac:dyDescent="0.3">
      <c r="L1296" s="7" t="str">
        <f t="shared" ca="1" si="38"/>
        <v/>
      </c>
    </row>
    <row r="1297" spans="12:12" x14ac:dyDescent="0.3">
      <c r="L1297" s="7" t="str">
        <f t="shared" ca="1" si="38"/>
        <v/>
      </c>
    </row>
    <row r="1298" spans="12:12" x14ac:dyDescent="0.3">
      <c r="L1298" s="7" t="str">
        <f t="shared" ca="1" si="38"/>
        <v/>
      </c>
    </row>
    <row r="1299" spans="12:12" x14ac:dyDescent="0.3">
      <c r="L1299" s="7" t="str">
        <f t="shared" ca="1" si="38"/>
        <v/>
      </c>
    </row>
    <row r="1300" spans="12:12" x14ac:dyDescent="0.3">
      <c r="L1300" s="7" t="str">
        <f t="shared" ca="1" si="38"/>
        <v/>
      </c>
    </row>
    <row r="1301" spans="12:12" x14ac:dyDescent="0.3">
      <c r="L1301" s="7" t="str">
        <f t="shared" ca="1" si="38"/>
        <v/>
      </c>
    </row>
    <row r="1302" spans="12:12" x14ac:dyDescent="0.3">
      <c r="L1302" s="7" t="str">
        <f t="shared" ca="1" si="38"/>
        <v/>
      </c>
    </row>
    <row r="1303" spans="12:12" x14ac:dyDescent="0.3">
      <c r="L1303" s="7" t="str">
        <f t="shared" ca="1" si="38"/>
        <v/>
      </c>
    </row>
    <row r="1304" spans="12:12" x14ac:dyDescent="0.3">
      <c r="L1304" s="7" t="str">
        <f t="shared" ca="1" si="38"/>
        <v/>
      </c>
    </row>
    <row r="1305" spans="12:12" x14ac:dyDescent="0.3">
      <c r="L1305" s="7" t="str">
        <f t="shared" ca="1" si="38"/>
        <v/>
      </c>
    </row>
    <row r="1306" spans="12:12" x14ac:dyDescent="0.3">
      <c r="L1306" s="7" t="str">
        <f t="shared" ca="1" si="38"/>
        <v/>
      </c>
    </row>
    <row r="1307" spans="12:12" x14ac:dyDescent="0.3">
      <c r="L1307" s="7" t="str">
        <f t="shared" ca="1" si="38"/>
        <v/>
      </c>
    </row>
    <row r="1308" spans="12:12" x14ac:dyDescent="0.3">
      <c r="L1308" s="7" t="str">
        <f t="shared" ca="1" si="38"/>
        <v/>
      </c>
    </row>
    <row r="1309" spans="12:12" x14ac:dyDescent="0.3">
      <c r="L1309" s="7" t="str">
        <f t="shared" ca="1" si="38"/>
        <v/>
      </c>
    </row>
    <row r="1310" spans="12:12" x14ac:dyDescent="0.3">
      <c r="L1310" s="7" t="str">
        <f t="shared" ca="1" si="38"/>
        <v/>
      </c>
    </row>
    <row r="1311" spans="12:12" x14ac:dyDescent="0.3">
      <c r="L1311" s="7" t="str">
        <f t="shared" ca="1" si="38"/>
        <v/>
      </c>
    </row>
    <row r="1312" spans="12:12" x14ac:dyDescent="0.3">
      <c r="L1312" s="7" t="str">
        <f t="shared" ca="1" si="38"/>
        <v/>
      </c>
    </row>
    <row r="1313" spans="12:12" x14ac:dyDescent="0.3">
      <c r="L1313" s="7" t="str">
        <f t="shared" ca="1" si="38"/>
        <v/>
      </c>
    </row>
    <row r="1314" spans="12:12" x14ac:dyDescent="0.3">
      <c r="L1314" s="7" t="str">
        <f t="shared" ref="L1314:L1377" ca="1" si="39">IF(I1314="Completed",0,IF(H1314="","",H1314-TODAY()))</f>
        <v/>
      </c>
    </row>
    <row r="1315" spans="12:12" x14ac:dyDescent="0.3">
      <c r="L1315" s="7" t="str">
        <f t="shared" ca="1" si="39"/>
        <v/>
      </c>
    </row>
    <row r="1316" spans="12:12" x14ac:dyDescent="0.3">
      <c r="L1316" s="7" t="str">
        <f t="shared" ca="1" si="39"/>
        <v/>
      </c>
    </row>
    <row r="1317" spans="12:12" x14ac:dyDescent="0.3">
      <c r="L1317" s="7" t="str">
        <f t="shared" ca="1" si="39"/>
        <v/>
      </c>
    </row>
    <row r="1318" spans="12:12" x14ac:dyDescent="0.3">
      <c r="L1318" s="7" t="str">
        <f t="shared" ca="1" si="39"/>
        <v/>
      </c>
    </row>
    <row r="1319" spans="12:12" x14ac:dyDescent="0.3">
      <c r="L1319" s="7" t="str">
        <f t="shared" ca="1" si="39"/>
        <v/>
      </c>
    </row>
    <row r="1320" spans="12:12" x14ac:dyDescent="0.3">
      <c r="L1320" s="7" t="str">
        <f t="shared" ca="1" si="39"/>
        <v/>
      </c>
    </row>
    <row r="1321" spans="12:12" x14ac:dyDescent="0.3">
      <c r="L1321" s="7" t="str">
        <f t="shared" ca="1" si="39"/>
        <v/>
      </c>
    </row>
    <row r="1322" spans="12:12" x14ac:dyDescent="0.3">
      <c r="L1322" s="7" t="str">
        <f t="shared" ca="1" si="39"/>
        <v/>
      </c>
    </row>
    <row r="1323" spans="12:12" x14ac:dyDescent="0.3">
      <c r="L1323" s="7" t="str">
        <f t="shared" ca="1" si="39"/>
        <v/>
      </c>
    </row>
    <row r="1324" spans="12:12" x14ac:dyDescent="0.3">
      <c r="L1324" s="7" t="str">
        <f t="shared" ca="1" si="39"/>
        <v/>
      </c>
    </row>
    <row r="1325" spans="12:12" x14ac:dyDescent="0.3">
      <c r="L1325" s="7" t="str">
        <f t="shared" ca="1" si="39"/>
        <v/>
      </c>
    </row>
    <row r="1326" spans="12:12" x14ac:dyDescent="0.3">
      <c r="L1326" s="7" t="str">
        <f t="shared" ca="1" si="39"/>
        <v/>
      </c>
    </row>
    <row r="1327" spans="12:12" x14ac:dyDescent="0.3">
      <c r="L1327" s="7" t="str">
        <f t="shared" ca="1" si="39"/>
        <v/>
      </c>
    </row>
    <row r="1328" spans="12:12" x14ac:dyDescent="0.3">
      <c r="L1328" s="7" t="str">
        <f t="shared" ca="1" si="39"/>
        <v/>
      </c>
    </row>
    <row r="1329" spans="12:12" x14ac:dyDescent="0.3">
      <c r="L1329" s="7" t="str">
        <f t="shared" ca="1" si="39"/>
        <v/>
      </c>
    </row>
    <row r="1330" spans="12:12" x14ac:dyDescent="0.3">
      <c r="L1330" s="7" t="str">
        <f t="shared" ca="1" si="39"/>
        <v/>
      </c>
    </row>
    <row r="1331" spans="12:12" x14ac:dyDescent="0.3">
      <c r="L1331" s="7" t="str">
        <f t="shared" ca="1" si="39"/>
        <v/>
      </c>
    </row>
    <row r="1332" spans="12:12" x14ac:dyDescent="0.3">
      <c r="L1332" s="7" t="str">
        <f t="shared" ca="1" si="39"/>
        <v/>
      </c>
    </row>
    <row r="1333" spans="12:12" x14ac:dyDescent="0.3">
      <c r="L1333" s="7" t="str">
        <f t="shared" ca="1" si="39"/>
        <v/>
      </c>
    </row>
    <row r="1334" spans="12:12" x14ac:dyDescent="0.3">
      <c r="L1334" s="7" t="str">
        <f t="shared" ca="1" si="39"/>
        <v/>
      </c>
    </row>
    <row r="1335" spans="12:12" x14ac:dyDescent="0.3">
      <c r="L1335" s="7" t="str">
        <f t="shared" ca="1" si="39"/>
        <v/>
      </c>
    </row>
    <row r="1336" spans="12:12" x14ac:dyDescent="0.3">
      <c r="L1336" s="7" t="str">
        <f t="shared" ca="1" si="39"/>
        <v/>
      </c>
    </row>
    <row r="1337" spans="12:12" x14ac:dyDescent="0.3">
      <c r="L1337" s="7" t="str">
        <f t="shared" ca="1" si="39"/>
        <v/>
      </c>
    </row>
    <row r="1338" spans="12:12" x14ac:dyDescent="0.3">
      <c r="L1338" s="7" t="str">
        <f t="shared" ca="1" si="39"/>
        <v/>
      </c>
    </row>
    <row r="1339" spans="12:12" x14ac:dyDescent="0.3">
      <c r="L1339" s="7" t="str">
        <f t="shared" ca="1" si="39"/>
        <v/>
      </c>
    </row>
    <row r="1340" spans="12:12" x14ac:dyDescent="0.3">
      <c r="L1340" s="7" t="str">
        <f t="shared" ca="1" si="39"/>
        <v/>
      </c>
    </row>
    <row r="1341" spans="12:12" x14ac:dyDescent="0.3">
      <c r="L1341" s="7" t="str">
        <f t="shared" ca="1" si="39"/>
        <v/>
      </c>
    </row>
    <row r="1342" spans="12:12" x14ac:dyDescent="0.3">
      <c r="L1342" s="7" t="str">
        <f t="shared" ca="1" si="39"/>
        <v/>
      </c>
    </row>
    <row r="1343" spans="12:12" x14ac:dyDescent="0.3">
      <c r="L1343" s="7" t="str">
        <f t="shared" ca="1" si="39"/>
        <v/>
      </c>
    </row>
    <row r="1344" spans="12:12" x14ac:dyDescent="0.3">
      <c r="L1344" s="7" t="str">
        <f t="shared" ca="1" si="39"/>
        <v/>
      </c>
    </row>
    <row r="1345" spans="12:12" x14ac:dyDescent="0.3">
      <c r="L1345" s="7" t="str">
        <f t="shared" ca="1" si="39"/>
        <v/>
      </c>
    </row>
    <row r="1346" spans="12:12" x14ac:dyDescent="0.3">
      <c r="L1346" s="7" t="str">
        <f t="shared" ca="1" si="39"/>
        <v/>
      </c>
    </row>
    <row r="1347" spans="12:12" x14ac:dyDescent="0.3">
      <c r="L1347" s="7" t="str">
        <f t="shared" ca="1" si="39"/>
        <v/>
      </c>
    </row>
    <row r="1348" spans="12:12" x14ac:dyDescent="0.3">
      <c r="L1348" s="7" t="str">
        <f t="shared" ca="1" si="39"/>
        <v/>
      </c>
    </row>
    <row r="1349" spans="12:12" x14ac:dyDescent="0.3">
      <c r="L1349" s="7" t="str">
        <f t="shared" ca="1" si="39"/>
        <v/>
      </c>
    </row>
    <row r="1350" spans="12:12" x14ac:dyDescent="0.3">
      <c r="L1350" s="7" t="str">
        <f t="shared" ca="1" si="39"/>
        <v/>
      </c>
    </row>
    <row r="1351" spans="12:12" x14ac:dyDescent="0.3">
      <c r="L1351" s="7" t="str">
        <f t="shared" ca="1" si="39"/>
        <v/>
      </c>
    </row>
    <row r="1352" spans="12:12" x14ac:dyDescent="0.3">
      <c r="L1352" s="7" t="str">
        <f t="shared" ca="1" si="39"/>
        <v/>
      </c>
    </row>
    <row r="1353" spans="12:12" x14ac:dyDescent="0.3">
      <c r="L1353" s="7" t="str">
        <f t="shared" ca="1" si="39"/>
        <v/>
      </c>
    </row>
    <row r="1354" spans="12:12" x14ac:dyDescent="0.3">
      <c r="L1354" s="7" t="str">
        <f t="shared" ca="1" si="39"/>
        <v/>
      </c>
    </row>
    <row r="1355" spans="12:12" x14ac:dyDescent="0.3">
      <c r="L1355" s="7" t="str">
        <f t="shared" ca="1" si="39"/>
        <v/>
      </c>
    </row>
    <row r="1356" spans="12:12" x14ac:dyDescent="0.3">
      <c r="L1356" s="7" t="str">
        <f t="shared" ca="1" si="39"/>
        <v/>
      </c>
    </row>
    <row r="1357" spans="12:12" x14ac:dyDescent="0.3">
      <c r="L1357" s="7" t="str">
        <f t="shared" ca="1" si="39"/>
        <v/>
      </c>
    </row>
    <row r="1358" spans="12:12" x14ac:dyDescent="0.3">
      <c r="L1358" s="7" t="str">
        <f t="shared" ca="1" si="39"/>
        <v/>
      </c>
    </row>
    <row r="1359" spans="12:12" x14ac:dyDescent="0.3">
      <c r="L1359" s="7" t="str">
        <f t="shared" ca="1" si="39"/>
        <v/>
      </c>
    </row>
    <row r="1360" spans="12:12" x14ac:dyDescent="0.3">
      <c r="L1360" s="7" t="str">
        <f t="shared" ca="1" si="39"/>
        <v/>
      </c>
    </row>
    <row r="1361" spans="12:12" x14ac:dyDescent="0.3">
      <c r="L1361" s="7" t="str">
        <f t="shared" ca="1" si="39"/>
        <v/>
      </c>
    </row>
    <row r="1362" spans="12:12" x14ac:dyDescent="0.3">
      <c r="L1362" s="7" t="str">
        <f t="shared" ca="1" si="39"/>
        <v/>
      </c>
    </row>
    <row r="1363" spans="12:12" x14ac:dyDescent="0.3">
      <c r="L1363" s="7" t="str">
        <f t="shared" ca="1" si="39"/>
        <v/>
      </c>
    </row>
    <row r="1364" spans="12:12" x14ac:dyDescent="0.3">
      <c r="L1364" s="7" t="str">
        <f t="shared" ca="1" si="39"/>
        <v/>
      </c>
    </row>
    <row r="1365" spans="12:12" x14ac:dyDescent="0.3">
      <c r="L1365" s="7" t="str">
        <f t="shared" ca="1" si="39"/>
        <v/>
      </c>
    </row>
    <row r="1366" spans="12:12" x14ac:dyDescent="0.3">
      <c r="L1366" s="7" t="str">
        <f t="shared" ca="1" si="39"/>
        <v/>
      </c>
    </row>
    <row r="1367" spans="12:12" x14ac:dyDescent="0.3">
      <c r="L1367" s="7" t="str">
        <f t="shared" ca="1" si="39"/>
        <v/>
      </c>
    </row>
    <row r="1368" spans="12:12" x14ac:dyDescent="0.3">
      <c r="L1368" s="7" t="str">
        <f t="shared" ca="1" si="39"/>
        <v/>
      </c>
    </row>
    <row r="1369" spans="12:12" x14ac:dyDescent="0.3">
      <c r="L1369" s="7" t="str">
        <f t="shared" ca="1" si="39"/>
        <v/>
      </c>
    </row>
    <row r="1370" spans="12:12" x14ac:dyDescent="0.3">
      <c r="L1370" s="7" t="str">
        <f t="shared" ca="1" si="39"/>
        <v/>
      </c>
    </row>
    <row r="1371" spans="12:12" x14ac:dyDescent="0.3">
      <c r="L1371" s="7" t="str">
        <f t="shared" ca="1" si="39"/>
        <v/>
      </c>
    </row>
    <row r="1372" spans="12:12" x14ac:dyDescent="0.3">
      <c r="L1372" s="7" t="str">
        <f t="shared" ca="1" si="39"/>
        <v/>
      </c>
    </row>
    <row r="1373" spans="12:12" x14ac:dyDescent="0.3">
      <c r="L1373" s="7" t="str">
        <f t="shared" ca="1" si="39"/>
        <v/>
      </c>
    </row>
    <row r="1374" spans="12:12" x14ac:dyDescent="0.3">
      <c r="L1374" s="7" t="str">
        <f t="shared" ca="1" si="39"/>
        <v/>
      </c>
    </row>
    <row r="1375" spans="12:12" x14ac:dyDescent="0.3">
      <c r="L1375" s="7" t="str">
        <f t="shared" ca="1" si="39"/>
        <v/>
      </c>
    </row>
    <row r="1376" spans="12:12" x14ac:dyDescent="0.3">
      <c r="L1376" s="7" t="str">
        <f t="shared" ca="1" si="39"/>
        <v/>
      </c>
    </row>
    <row r="1377" spans="12:12" x14ac:dyDescent="0.3">
      <c r="L1377" s="7" t="str">
        <f t="shared" ca="1" si="39"/>
        <v/>
      </c>
    </row>
    <row r="1378" spans="12:12" x14ac:dyDescent="0.3">
      <c r="L1378" s="7" t="str">
        <f t="shared" ref="L1378:L1441" ca="1" si="40">IF(I1378="Completed",0,IF(H1378="","",H1378-TODAY()))</f>
        <v/>
      </c>
    </row>
    <row r="1379" spans="12:12" x14ac:dyDescent="0.3">
      <c r="L1379" s="7" t="str">
        <f t="shared" ca="1" si="40"/>
        <v/>
      </c>
    </row>
    <row r="1380" spans="12:12" x14ac:dyDescent="0.3">
      <c r="L1380" s="7" t="str">
        <f t="shared" ca="1" si="40"/>
        <v/>
      </c>
    </row>
    <row r="1381" spans="12:12" x14ac:dyDescent="0.3">
      <c r="L1381" s="7" t="str">
        <f t="shared" ca="1" si="40"/>
        <v/>
      </c>
    </row>
    <row r="1382" spans="12:12" x14ac:dyDescent="0.3">
      <c r="L1382" s="7" t="str">
        <f t="shared" ca="1" si="40"/>
        <v/>
      </c>
    </row>
    <row r="1383" spans="12:12" x14ac:dyDescent="0.3">
      <c r="L1383" s="7" t="str">
        <f t="shared" ca="1" si="40"/>
        <v/>
      </c>
    </row>
    <row r="1384" spans="12:12" x14ac:dyDescent="0.3">
      <c r="L1384" s="7" t="str">
        <f t="shared" ca="1" si="40"/>
        <v/>
      </c>
    </row>
    <row r="1385" spans="12:12" x14ac:dyDescent="0.3">
      <c r="L1385" s="7" t="str">
        <f t="shared" ca="1" si="40"/>
        <v/>
      </c>
    </row>
    <row r="1386" spans="12:12" x14ac:dyDescent="0.3">
      <c r="L1386" s="7" t="str">
        <f t="shared" ca="1" si="40"/>
        <v/>
      </c>
    </row>
    <row r="1387" spans="12:12" x14ac:dyDescent="0.3">
      <c r="L1387" s="7" t="str">
        <f t="shared" ca="1" si="40"/>
        <v/>
      </c>
    </row>
    <row r="1388" spans="12:12" x14ac:dyDescent="0.3">
      <c r="L1388" s="7" t="str">
        <f t="shared" ca="1" si="40"/>
        <v/>
      </c>
    </row>
    <row r="1389" spans="12:12" x14ac:dyDescent="0.3">
      <c r="L1389" s="7" t="str">
        <f t="shared" ca="1" si="40"/>
        <v/>
      </c>
    </row>
    <row r="1390" spans="12:12" x14ac:dyDescent="0.3">
      <c r="L1390" s="7" t="str">
        <f t="shared" ca="1" si="40"/>
        <v/>
      </c>
    </row>
    <row r="1391" spans="12:12" x14ac:dyDescent="0.3">
      <c r="L1391" s="7" t="str">
        <f t="shared" ca="1" si="40"/>
        <v/>
      </c>
    </row>
    <row r="1392" spans="12:12" x14ac:dyDescent="0.3">
      <c r="L1392" s="7" t="str">
        <f t="shared" ca="1" si="40"/>
        <v/>
      </c>
    </row>
    <row r="1393" spans="12:12" x14ac:dyDescent="0.3">
      <c r="L1393" s="7" t="str">
        <f t="shared" ca="1" si="40"/>
        <v/>
      </c>
    </row>
    <row r="1394" spans="12:12" x14ac:dyDescent="0.3">
      <c r="L1394" s="7" t="str">
        <f t="shared" ca="1" si="40"/>
        <v/>
      </c>
    </row>
    <row r="1395" spans="12:12" x14ac:dyDescent="0.3">
      <c r="L1395" s="7" t="str">
        <f t="shared" ca="1" si="40"/>
        <v/>
      </c>
    </row>
    <row r="1396" spans="12:12" x14ac:dyDescent="0.3">
      <c r="L1396" s="7" t="str">
        <f t="shared" ca="1" si="40"/>
        <v/>
      </c>
    </row>
    <row r="1397" spans="12:12" x14ac:dyDescent="0.3">
      <c r="L1397" s="7" t="str">
        <f t="shared" ca="1" si="40"/>
        <v/>
      </c>
    </row>
    <row r="1398" spans="12:12" x14ac:dyDescent="0.3">
      <c r="L1398" s="7" t="str">
        <f t="shared" ca="1" si="40"/>
        <v/>
      </c>
    </row>
    <row r="1399" spans="12:12" x14ac:dyDescent="0.3">
      <c r="L1399" s="7" t="str">
        <f t="shared" ca="1" si="40"/>
        <v/>
      </c>
    </row>
    <row r="1400" spans="12:12" x14ac:dyDescent="0.3">
      <c r="L1400" s="7" t="str">
        <f t="shared" ca="1" si="40"/>
        <v/>
      </c>
    </row>
    <row r="1401" spans="12:12" x14ac:dyDescent="0.3">
      <c r="L1401" s="7" t="str">
        <f t="shared" ca="1" si="40"/>
        <v/>
      </c>
    </row>
    <row r="1402" spans="12:12" x14ac:dyDescent="0.3">
      <c r="L1402" s="7" t="str">
        <f t="shared" ca="1" si="40"/>
        <v/>
      </c>
    </row>
    <row r="1403" spans="12:12" x14ac:dyDescent="0.3">
      <c r="L1403" s="7" t="str">
        <f t="shared" ca="1" si="40"/>
        <v/>
      </c>
    </row>
    <row r="1404" spans="12:12" x14ac:dyDescent="0.3">
      <c r="L1404" s="7" t="str">
        <f t="shared" ca="1" si="40"/>
        <v/>
      </c>
    </row>
    <row r="1405" spans="12:12" x14ac:dyDescent="0.3">
      <c r="L1405" s="7" t="str">
        <f t="shared" ca="1" si="40"/>
        <v/>
      </c>
    </row>
    <row r="1406" spans="12:12" x14ac:dyDescent="0.3">
      <c r="L1406" s="7" t="str">
        <f t="shared" ca="1" si="40"/>
        <v/>
      </c>
    </row>
    <row r="1407" spans="12:12" x14ac:dyDescent="0.3">
      <c r="L1407" s="7" t="str">
        <f t="shared" ca="1" si="40"/>
        <v/>
      </c>
    </row>
    <row r="1408" spans="12:12" x14ac:dyDescent="0.3">
      <c r="L1408" s="7" t="str">
        <f t="shared" ca="1" si="40"/>
        <v/>
      </c>
    </row>
    <row r="1409" spans="12:12" x14ac:dyDescent="0.3">
      <c r="L1409" s="7" t="str">
        <f t="shared" ca="1" si="40"/>
        <v/>
      </c>
    </row>
    <row r="1410" spans="12:12" x14ac:dyDescent="0.3">
      <c r="L1410" s="7" t="str">
        <f t="shared" ca="1" si="40"/>
        <v/>
      </c>
    </row>
    <row r="1411" spans="12:12" x14ac:dyDescent="0.3">
      <c r="L1411" s="7" t="str">
        <f t="shared" ca="1" si="40"/>
        <v/>
      </c>
    </row>
    <row r="1412" spans="12:12" x14ac:dyDescent="0.3">
      <c r="L1412" s="7" t="str">
        <f t="shared" ca="1" si="40"/>
        <v/>
      </c>
    </row>
    <row r="1413" spans="12:12" x14ac:dyDescent="0.3">
      <c r="L1413" s="7" t="str">
        <f t="shared" ca="1" si="40"/>
        <v/>
      </c>
    </row>
    <row r="1414" spans="12:12" x14ac:dyDescent="0.3">
      <c r="L1414" s="7" t="str">
        <f t="shared" ca="1" si="40"/>
        <v/>
      </c>
    </row>
    <row r="1415" spans="12:12" x14ac:dyDescent="0.3">
      <c r="L1415" s="7" t="str">
        <f t="shared" ca="1" si="40"/>
        <v/>
      </c>
    </row>
    <row r="1416" spans="12:12" x14ac:dyDescent="0.3">
      <c r="L1416" s="7" t="str">
        <f t="shared" ca="1" si="40"/>
        <v/>
      </c>
    </row>
    <row r="1417" spans="12:12" x14ac:dyDescent="0.3">
      <c r="L1417" s="7" t="str">
        <f t="shared" ca="1" si="40"/>
        <v/>
      </c>
    </row>
    <row r="1418" spans="12:12" x14ac:dyDescent="0.3">
      <c r="L1418" s="7" t="str">
        <f t="shared" ca="1" si="40"/>
        <v/>
      </c>
    </row>
    <row r="1419" spans="12:12" x14ac:dyDescent="0.3">
      <c r="L1419" s="7" t="str">
        <f t="shared" ca="1" si="40"/>
        <v/>
      </c>
    </row>
    <row r="1420" spans="12:12" x14ac:dyDescent="0.3">
      <c r="L1420" s="7" t="str">
        <f t="shared" ca="1" si="40"/>
        <v/>
      </c>
    </row>
    <row r="1421" spans="12:12" x14ac:dyDescent="0.3">
      <c r="L1421" s="7" t="str">
        <f t="shared" ca="1" si="40"/>
        <v/>
      </c>
    </row>
    <row r="1422" spans="12:12" x14ac:dyDescent="0.3">
      <c r="L1422" s="7" t="str">
        <f t="shared" ca="1" si="40"/>
        <v/>
      </c>
    </row>
    <row r="1423" spans="12:12" x14ac:dyDescent="0.3">
      <c r="L1423" s="7" t="str">
        <f t="shared" ca="1" si="40"/>
        <v/>
      </c>
    </row>
    <row r="1424" spans="12:12" x14ac:dyDescent="0.3">
      <c r="L1424" s="7" t="str">
        <f t="shared" ca="1" si="40"/>
        <v/>
      </c>
    </row>
    <row r="1425" spans="12:12" x14ac:dyDescent="0.3">
      <c r="L1425" s="7" t="str">
        <f t="shared" ca="1" si="40"/>
        <v/>
      </c>
    </row>
    <row r="1426" spans="12:12" x14ac:dyDescent="0.3">
      <c r="L1426" s="7" t="str">
        <f t="shared" ca="1" si="40"/>
        <v/>
      </c>
    </row>
    <row r="1427" spans="12:12" x14ac:dyDescent="0.3">
      <c r="L1427" s="7" t="str">
        <f t="shared" ca="1" si="40"/>
        <v/>
      </c>
    </row>
    <row r="1428" spans="12:12" x14ac:dyDescent="0.3">
      <c r="L1428" s="7" t="str">
        <f t="shared" ca="1" si="40"/>
        <v/>
      </c>
    </row>
    <row r="1429" spans="12:12" x14ac:dyDescent="0.3">
      <c r="L1429" s="7" t="str">
        <f t="shared" ca="1" si="40"/>
        <v/>
      </c>
    </row>
    <row r="1430" spans="12:12" x14ac:dyDescent="0.3">
      <c r="L1430" s="7" t="str">
        <f t="shared" ca="1" si="40"/>
        <v/>
      </c>
    </row>
    <row r="1431" spans="12:12" x14ac:dyDescent="0.3">
      <c r="L1431" s="7" t="str">
        <f t="shared" ca="1" si="40"/>
        <v/>
      </c>
    </row>
    <row r="1432" spans="12:12" x14ac:dyDescent="0.3">
      <c r="L1432" s="7" t="str">
        <f t="shared" ca="1" si="40"/>
        <v/>
      </c>
    </row>
    <row r="1433" spans="12:12" x14ac:dyDescent="0.3">
      <c r="L1433" s="7" t="str">
        <f t="shared" ca="1" si="40"/>
        <v/>
      </c>
    </row>
    <row r="1434" spans="12:12" x14ac:dyDescent="0.3">
      <c r="L1434" s="7" t="str">
        <f t="shared" ca="1" si="40"/>
        <v/>
      </c>
    </row>
    <row r="1435" spans="12:12" x14ac:dyDescent="0.3">
      <c r="L1435" s="7" t="str">
        <f t="shared" ca="1" si="40"/>
        <v/>
      </c>
    </row>
    <row r="1436" spans="12:12" x14ac:dyDescent="0.3">
      <c r="L1436" s="7" t="str">
        <f t="shared" ca="1" si="40"/>
        <v/>
      </c>
    </row>
    <row r="1437" spans="12:12" x14ac:dyDescent="0.3">
      <c r="L1437" s="7" t="str">
        <f t="shared" ca="1" si="40"/>
        <v/>
      </c>
    </row>
    <row r="1438" spans="12:12" x14ac:dyDescent="0.3">
      <c r="L1438" s="7" t="str">
        <f t="shared" ca="1" si="40"/>
        <v/>
      </c>
    </row>
    <row r="1439" spans="12:12" x14ac:dyDescent="0.3">
      <c r="L1439" s="7" t="str">
        <f t="shared" ca="1" si="40"/>
        <v/>
      </c>
    </row>
    <row r="1440" spans="12:12" x14ac:dyDescent="0.3">
      <c r="L1440" s="7" t="str">
        <f t="shared" ca="1" si="40"/>
        <v/>
      </c>
    </row>
    <row r="1441" spans="12:12" x14ac:dyDescent="0.3">
      <c r="L1441" s="7" t="str">
        <f t="shared" ca="1" si="40"/>
        <v/>
      </c>
    </row>
    <row r="1442" spans="12:12" x14ac:dyDescent="0.3">
      <c r="L1442" s="7" t="str">
        <f t="shared" ref="L1442:L1505" ca="1" si="41">IF(I1442="Completed",0,IF(H1442="","",H1442-TODAY()))</f>
        <v/>
      </c>
    </row>
    <row r="1443" spans="12:12" x14ac:dyDescent="0.3">
      <c r="L1443" s="7" t="str">
        <f t="shared" ca="1" si="41"/>
        <v/>
      </c>
    </row>
    <row r="1444" spans="12:12" x14ac:dyDescent="0.3">
      <c r="L1444" s="7" t="str">
        <f t="shared" ca="1" si="41"/>
        <v/>
      </c>
    </row>
    <row r="1445" spans="12:12" x14ac:dyDescent="0.3">
      <c r="L1445" s="7" t="str">
        <f t="shared" ca="1" si="41"/>
        <v/>
      </c>
    </row>
    <row r="1446" spans="12:12" x14ac:dyDescent="0.3">
      <c r="L1446" s="7" t="str">
        <f t="shared" ca="1" si="41"/>
        <v/>
      </c>
    </row>
    <row r="1447" spans="12:12" x14ac:dyDescent="0.3">
      <c r="L1447" s="7" t="str">
        <f t="shared" ca="1" si="41"/>
        <v/>
      </c>
    </row>
    <row r="1448" spans="12:12" x14ac:dyDescent="0.3">
      <c r="L1448" s="7" t="str">
        <f t="shared" ca="1" si="41"/>
        <v/>
      </c>
    </row>
    <row r="1449" spans="12:12" x14ac:dyDescent="0.3">
      <c r="L1449" s="7" t="str">
        <f t="shared" ca="1" si="41"/>
        <v/>
      </c>
    </row>
    <row r="1450" spans="12:12" x14ac:dyDescent="0.3">
      <c r="L1450" s="7" t="str">
        <f t="shared" ca="1" si="41"/>
        <v/>
      </c>
    </row>
    <row r="1451" spans="12:12" x14ac:dyDescent="0.3">
      <c r="L1451" s="7" t="str">
        <f t="shared" ca="1" si="41"/>
        <v/>
      </c>
    </row>
    <row r="1452" spans="12:12" x14ac:dyDescent="0.3">
      <c r="L1452" s="7" t="str">
        <f t="shared" ca="1" si="41"/>
        <v/>
      </c>
    </row>
    <row r="1453" spans="12:12" x14ac:dyDescent="0.3">
      <c r="L1453" s="7" t="str">
        <f t="shared" ca="1" si="41"/>
        <v/>
      </c>
    </row>
    <row r="1454" spans="12:12" x14ac:dyDescent="0.3">
      <c r="L1454" s="7" t="str">
        <f t="shared" ca="1" si="41"/>
        <v/>
      </c>
    </row>
    <row r="1455" spans="12:12" x14ac:dyDescent="0.3">
      <c r="L1455" s="7" t="str">
        <f t="shared" ca="1" si="41"/>
        <v/>
      </c>
    </row>
    <row r="1456" spans="12:12" x14ac:dyDescent="0.3">
      <c r="L1456" s="7" t="str">
        <f t="shared" ca="1" si="41"/>
        <v/>
      </c>
    </row>
    <row r="1457" spans="12:12" x14ac:dyDescent="0.3">
      <c r="L1457" s="7" t="str">
        <f t="shared" ca="1" si="41"/>
        <v/>
      </c>
    </row>
    <row r="1458" spans="12:12" x14ac:dyDescent="0.3">
      <c r="L1458" s="7" t="str">
        <f t="shared" ca="1" si="41"/>
        <v/>
      </c>
    </row>
    <row r="1459" spans="12:12" x14ac:dyDescent="0.3">
      <c r="L1459" s="7" t="str">
        <f t="shared" ca="1" si="41"/>
        <v/>
      </c>
    </row>
    <row r="1460" spans="12:12" x14ac:dyDescent="0.3">
      <c r="L1460" s="7" t="str">
        <f t="shared" ca="1" si="41"/>
        <v/>
      </c>
    </row>
    <row r="1461" spans="12:12" x14ac:dyDescent="0.3">
      <c r="L1461" s="7" t="str">
        <f t="shared" ca="1" si="41"/>
        <v/>
      </c>
    </row>
    <row r="1462" spans="12:12" x14ac:dyDescent="0.3">
      <c r="L1462" s="7" t="str">
        <f t="shared" ca="1" si="41"/>
        <v/>
      </c>
    </row>
    <row r="1463" spans="12:12" x14ac:dyDescent="0.3">
      <c r="L1463" s="7" t="str">
        <f t="shared" ca="1" si="41"/>
        <v/>
      </c>
    </row>
    <row r="1464" spans="12:12" x14ac:dyDescent="0.3">
      <c r="L1464" s="7" t="str">
        <f t="shared" ca="1" si="41"/>
        <v/>
      </c>
    </row>
    <row r="1465" spans="12:12" x14ac:dyDescent="0.3">
      <c r="L1465" s="7" t="str">
        <f t="shared" ca="1" si="41"/>
        <v/>
      </c>
    </row>
    <row r="1466" spans="12:12" x14ac:dyDescent="0.3">
      <c r="L1466" s="7" t="str">
        <f t="shared" ca="1" si="41"/>
        <v/>
      </c>
    </row>
    <row r="1467" spans="12:12" x14ac:dyDescent="0.3">
      <c r="L1467" s="7" t="str">
        <f t="shared" ca="1" si="41"/>
        <v/>
      </c>
    </row>
    <row r="1468" spans="12:12" x14ac:dyDescent="0.3">
      <c r="L1468" s="7" t="str">
        <f t="shared" ca="1" si="41"/>
        <v/>
      </c>
    </row>
    <row r="1469" spans="12:12" x14ac:dyDescent="0.3">
      <c r="L1469" s="7" t="str">
        <f t="shared" ca="1" si="41"/>
        <v/>
      </c>
    </row>
    <row r="1470" spans="12:12" x14ac:dyDescent="0.3">
      <c r="L1470" s="7" t="str">
        <f t="shared" ca="1" si="41"/>
        <v/>
      </c>
    </row>
    <row r="1471" spans="12:12" x14ac:dyDescent="0.3">
      <c r="L1471" s="7" t="str">
        <f t="shared" ca="1" si="41"/>
        <v/>
      </c>
    </row>
    <row r="1472" spans="12:12" x14ac:dyDescent="0.3">
      <c r="L1472" s="7" t="str">
        <f t="shared" ca="1" si="41"/>
        <v/>
      </c>
    </row>
    <row r="1473" spans="12:12" x14ac:dyDescent="0.3">
      <c r="L1473" s="7" t="str">
        <f t="shared" ca="1" si="41"/>
        <v/>
      </c>
    </row>
    <row r="1474" spans="12:12" x14ac:dyDescent="0.3">
      <c r="L1474" s="7" t="str">
        <f t="shared" ca="1" si="41"/>
        <v/>
      </c>
    </row>
    <row r="1475" spans="12:12" x14ac:dyDescent="0.3">
      <c r="L1475" s="7" t="str">
        <f t="shared" ca="1" si="41"/>
        <v/>
      </c>
    </row>
    <row r="1476" spans="12:12" x14ac:dyDescent="0.3">
      <c r="L1476" s="7" t="str">
        <f t="shared" ca="1" si="41"/>
        <v/>
      </c>
    </row>
    <row r="1477" spans="12:12" x14ac:dyDescent="0.3">
      <c r="L1477" s="7" t="str">
        <f t="shared" ca="1" si="41"/>
        <v/>
      </c>
    </row>
    <row r="1478" spans="12:12" x14ac:dyDescent="0.3">
      <c r="L1478" s="7" t="str">
        <f t="shared" ca="1" si="41"/>
        <v/>
      </c>
    </row>
    <row r="1479" spans="12:12" x14ac:dyDescent="0.3">
      <c r="L1479" s="7" t="str">
        <f t="shared" ca="1" si="41"/>
        <v/>
      </c>
    </row>
    <row r="1480" spans="12:12" x14ac:dyDescent="0.3">
      <c r="L1480" s="7" t="str">
        <f t="shared" ca="1" si="41"/>
        <v/>
      </c>
    </row>
    <row r="1481" spans="12:12" x14ac:dyDescent="0.3">
      <c r="L1481" s="7" t="str">
        <f t="shared" ca="1" si="41"/>
        <v/>
      </c>
    </row>
    <row r="1482" spans="12:12" x14ac:dyDescent="0.3">
      <c r="L1482" s="7" t="str">
        <f t="shared" ca="1" si="41"/>
        <v/>
      </c>
    </row>
    <row r="1483" spans="12:12" x14ac:dyDescent="0.3">
      <c r="L1483" s="7" t="str">
        <f t="shared" ca="1" si="41"/>
        <v/>
      </c>
    </row>
    <row r="1484" spans="12:12" x14ac:dyDescent="0.3">
      <c r="L1484" s="7" t="str">
        <f t="shared" ca="1" si="41"/>
        <v/>
      </c>
    </row>
    <row r="1485" spans="12:12" x14ac:dyDescent="0.3">
      <c r="L1485" s="7" t="str">
        <f t="shared" ca="1" si="41"/>
        <v/>
      </c>
    </row>
    <row r="1486" spans="12:12" x14ac:dyDescent="0.3">
      <c r="L1486" s="7" t="str">
        <f t="shared" ca="1" si="41"/>
        <v/>
      </c>
    </row>
    <row r="1487" spans="12:12" x14ac:dyDescent="0.3">
      <c r="L1487" s="7" t="str">
        <f t="shared" ca="1" si="41"/>
        <v/>
      </c>
    </row>
    <row r="1488" spans="12:12" x14ac:dyDescent="0.3">
      <c r="L1488" s="7" t="str">
        <f t="shared" ca="1" si="41"/>
        <v/>
      </c>
    </row>
    <row r="1489" spans="12:12" x14ac:dyDescent="0.3">
      <c r="L1489" s="7" t="str">
        <f t="shared" ca="1" si="41"/>
        <v/>
      </c>
    </row>
    <row r="1490" spans="12:12" x14ac:dyDescent="0.3">
      <c r="L1490" s="7" t="str">
        <f t="shared" ca="1" si="41"/>
        <v/>
      </c>
    </row>
    <row r="1491" spans="12:12" x14ac:dyDescent="0.3">
      <c r="L1491" s="7" t="str">
        <f t="shared" ca="1" si="41"/>
        <v/>
      </c>
    </row>
    <row r="1492" spans="12:12" x14ac:dyDescent="0.3">
      <c r="L1492" s="7" t="str">
        <f t="shared" ca="1" si="41"/>
        <v/>
      </c>
    </row>
    <row r="1493" spans="12:12" x14ac:dyDescent="0.3">
      <c r="L1493" s="7" t="str">
        <f t="shared" ca="1" si="41"/>
        <v/>
      </c>
    </row>
    <row r="1494" spans="12:12" x14ac:dyDescent="0.3">
      <c r="L1494" s="7" t="str">
        <f t="shared" ca="1" si="41"/>
        <v/>
      </c>
    </row>
    <row r="1495" spans="12:12" x14ac:dyDescent="0.3">
      <c r="L1495" s="7" t="str">
        <f t="shared" ca="1" si="41"/>
        <v/>
      </c>
    </row>
    <row r="1496" spans="12:12" x14ac:dyDescent="0.3">
      <c r="L1496" s="7" t="str">
        <f t="shared" ca="1" si="41"/>
        <v/>
      </c>
    </row>
    <row r="1497" spans="12:12" x14ac:dyDescent="0.3">
      <c r="L1497" s="7" t="str">
        <f t="shared" ca="1" si="41"/>
        <v/>
      </c>
    </row>
    <row r="1498" spans="12:12" x14ac:dyDescent="0.3">
      <c r="L1498" s="7" t="str">
        <f t="shared" ca="1" si="41"/>
        <v/>
      </c>
    </row>
    <row r="1499" spans="12:12" x14ac:dyDescent="0.3">
      <c r="L1499" s="7" t="str">
        <f t="shared" ca="1" si="41"/>
        <v/>
      </c>
    </row>
    <row r="1500" spans="12:12" x14ac:dyDescent="0.3">
      <c r="L1500" s="7" t="str">
        <f t="shared" ca="1" si="41"/>
        <v/>
      </c>
    </row>
    <row r="1501" spans="12:12" x14ac:dyDescent="0.3">
      <c r="L1501" s="7" t="str">
        <f t="shared" ca="1" si="41"/>
        <v/>
      </c>
    </row>
    <row r="1502" spans="12:12" x14ac:dyDescent="0.3">
      <c r="L1502" s="7" t="str">
        <f t="shared" ca="1" si="41"/>
        <v/>
      </c>
    </row>
    <row r="1503" spans="12:12" x14ac:dyDescent="0.3">
      <c r="L1503" s="7" t="str">
        <f t="shared" ca="1" si="41"/>
        <v/>
      </c>
    </row>
    <row r="1504" spans="12:12" x14ac:dyDescent="0.3">
      <c r="L1504" s="7" t="str">
        <f t="shared" ca="1" si="41"/>
        <v/>
      </c>
    </row>
    <row r="1505" spans="12:12" x14ac:dyDescent="0.3">
      <c r="L1505" s="7" t="str">
        <f t="shared" ca="1" si="41"/>
        <v/>
      </c>
    </row>
    <row r="1506" spans="12:12" x14ac:dyDescent="0.3">
      <c r="L1506" s="7" t="str">
        <f t="shared" ref="L1506:L1569" ca="1" si="42">IF(I1506="Completed",0,IF(H1506="","",H1506-TODAY()))</f>
        <v/>
      </c>
    </row>
    <row r="1507" spans="12:12" x14ac:dyDescent="0.3">
      <c r="L1507" s="7" t="str">
        <f t="shared" ca="1" si="42"/>
        <v/>
      </c>
    </row>
    <row r="1508" spans="12:12" x14ac:dyDescent="0.3">
      <c r="L1508" s="7" t="str">
        <f t="shared" ca="1" si="42"/>
        <v/>
      </c>
    </row>
    <row r="1509" spans="12:12" x14ac:dyDescent="0.3">
      <c r="L1509" s="7" t="str">
        <f t="shared" ca="1" si="42"/>
        <v/>
      </c>
    </row>
    <row r="1510" spans="12:12" x14ac:dyDescent="0.3">
      <c r="L1510" s="7" t="str">
        <f t="shared" ca="1" si="42"/>
        <v/>
      </c>
    </row>
    <row r="1511" spans="12:12" x14ac:dyDescent="0.3">
      <c r="L1511" s="7" t="str">
        <f t="shared" ca="1" si="42"/>
        <v/>
      </c>
    </row>
    <row r="1512" spans="12:12" x14ac:dyDescent="0.3">
      <c r="L1512" s="7" t="str">
        <f t="shared" ca="1" si="42"/>
        <v/>
      </c>
    </row>
    <row r="1513" spans="12:12" x14ac:dyDescent="0.3">
      <c r="L1513" s="7" t="str">
        <f t="shared" ca="1" si="42"/>
        <v/>
      </c>
    </row>
    <row r="1514" spans="12:12" x14ac:dyDescent="0.3">
      <c r="L1514" s="7" t="str">
        <f t="shared" ca="1" si="42"/>
        <v/>
      </c>
    </row>
    <row r="1515" spans="12:12" x14ac:dyDescent="0.3">
      <c r="L1515" s="7" t="str">
        <f t="shared" ca="1" si="42"/>
        <v/>
      </c>
    </row>
    <row r="1516" spans="12:12" x14ac:dyDescent="0.3">
      <c r="L1516" s="7" t="str">
        <f t="shared" ca="1" si="42"/>
        <v/>
      </c>
    </row>
    <row r="1517" spans="12:12" x14ac:dyDescent="0.3">
      <c r="L1517" s="7" t="str">
        <f t="shared" ca="1" si="42"/>
        <v/>
      </c>
    </row>
    <row r="1518" spans="12:12" x14ac:dyDescent="0.3">
      <c r="L1518" s="7" t="str">
        <f t="shared" ca="1" si="42"/>
        <v/>
      </c>
    </row>
    <row r="1519" spans="12:12" x14ac:dyDescent="0.3">
      <c r="L1519" s="7" t="str">
        <f t="shared" ca="1" si="42"/>
        <v/>
      </c>
    </row>
    <row r="1520" spans="12:12" x14ac:dyDescent="0.3">
      <c r="L1520" s="7" t="str">
        <f t="shared" ca="1" si="42"/>
        <v/>
      </c>
    </row>
    <row r="1521" spans="12:12" x14ac:dyDescent="0.3">
      <c r="L1521" s="7" t="str">
        <f t="shared" ca="1" si="42"/>
        <v/>
      </c>
    </row>
    <row r="1522" spans="12:12" x14ac:dyDescent="0.3">
      <c r="L1522" s="7" t="str">
        <f t="shared" ca="1" si="42"/>
        <v/>
      </c>
    </row>
    <row r="1523" spans="12:12" x14ac:dyDescent="0.3">
      <c r="L1523" s="7" t="str">
        <f t="shared" ca="1" si="42"/>
        <v/>
      </c>
    </row>
    <row r="1524" spans="12:12" x14ac:dyDescent="0.3">
      <c r="L1524" s="7" t="str">
        <f t="shared" ca="1" si="42"/>
        <v/>
      </c>
    </row>
    <row r="1525" spans="12:12" x14ac:dyDescent="0.3">
      <c r="L1525" s="7" t="str">
        <f t="shared" ca="1" si="42"/>
        <v/>
      </c>
    </row>
    <row r="1526" spans="12:12" x14ac:dyDescent="0.3">
      <c r="L1526" s="7" t="str">
        <f t="shared" ca="1" si="42"/>
        <v/>
      </c>
    </row>
    <row r="1527" spans="12:12" x14ac:dyDescent="0.3">
      <c r="L1527" s="7" t="str">
        <f t="shared" ca="1" si="42"/>
        <v/>
      </c>
    </row>
    <row r="1528" spans="12:12" x14ac:dyDescent="0.3">
      <c r="L1528" s="7" t="str">
        <f t="shared" ca="1" si="42"/>
        <v/>
      </c>
    </row>
    <row r="1529" spans="12:12" x14ac:dyDescent="0.3">
      <c r="L1529" s="7" t="str">
        <f t="shared" ca="1" si="42"/>
        <v/>
      </c>
    </row>
    <row r="1530" spans="12:12" x14ac:dyDescent="0.3">
      <c r="L1530" s="7" t="str">
        <f t="shared" ca="1" si="42"/>
        <v/>
      </c>
    </row>
    <row r="1531" spans="12:12" x14ac:dyDescent="0.3">
      <c r="L1531" s="7" t="str">
        <f t="shared" ca="1" si="42"/>
        <v/>
      </c>
    </row>
    <row r="1532" spans="12:12" x14ac:dyDescent="0.3">
      <c r="L1532" s="7" t="str">
        <f t="shared" ca="1" si="42"/>
        <v/>
      </c>
    </row>
    <row r="1533" spans="12:12" x14ac:dyDescent="0.3">
      <c r="L1533" s="7" t="str">
        <f t="shared" ca="1" si="42"/>
        <v/>
      </c>
    </row>
    <row r="1534" spans="12:12" x14ac:dyDescent="0.3">
      <c r="L1534" s="7" t="str">
        <f t="shared" ca="1" si="42"/>
        <v/>
      </c>
    </row>
    <row r="1535" spans="12:12" x14ac:dyDescent="0.3">
      <c r="L1535" s="7" t="str">
        <f t="shared" ca="1" si="42"/>
        <v/>
      </c>
    </row>
    <row r="1536" spans="12:12" x14ac:dyDescent="0.3">
      <c r="L1536" s="7" t="str">
        <f t="shared" ca="1" si="42"/>
        <v/>
      </c>
    </row>
    <row r="1537" spans="12:12" x14ac:dyDescent="0.3">
      <c r="L1537" s="7" t="str">
        <f t="shared" ca="1" si="42"/>
        <v/>
      </c>
    </row>
    <row r="1538" spans="12:12" x14ac:dyDescent="0.3">
      <c r="L1538" s="7" t="str">
        <f t="shared" ca="1" si="42"/>
        <v/>
      </c>
    </row>
    <row r="1539" spans="12:12" x14ac:dyDescent="0.3">
      <c r="L1539" s="7" t="str">
        <f t="shared" ca="1" si="42"/>
        <v/>
      </c>
    </row>
    <row r="1540" spans="12:12" x14ac:dyDescent="0.3">
      <c r="L1540" s="7" t="str">
        <f t="shared" ca="1" si="42"/>
        <v/>
      </c>
    </row>
    <row r="1541" spans="12:12" x14ac:dyDescent="0.3">
      <c r="L1541" s="7" t="str">
        <f t="shared" ca="1" si="42"/>
        <v/>
      </c>
    </row>
    <row r="1542" spans="12:12" x14ac:dyDescent="0.3">
      <c r="L1542" s="7" t="str">
        <f t="shared" ca="1" si="42"/>
        <v/>
      </c>
    </row>
    <row r="1543" spans="12:12" x14ac:dyDescent="0.3">
      <c r="L1543" s="7" t="str">
        <f t="shared" ca="1" si="42"/>
        <v/>
      </c>
    </row>
    <row r="1544" spans="12:12" x14ac:dyDescent="0.3">
      <c r="L1544" s="7" t="str">
        <f t="shared" ca="1" si="42"/>
        <v/>
      </c>
    </row>
    <row r="1545" spans="12:12" x14ac:dyDescent="0.3">
      <c r="L1545" s="7" t="str">
        <f t="shared" ca="1" si="42"/>
        <v/>
      </c>
    </row>
    <row r="1546" spans="12:12" x14ac:dyDescent="0.3">
      <c r="L1546" s="7" t="str">
        <f t="shared" ca="1" si="42"/>
        <v/>
      </c>
    </row>
    <row r="1547" spans="12:12" x14ac:dyDescent="0.3">
      <c r="L1547" s="7" t="str">
        <f t="shared" ca="1" si="42"/>
        <v/>
      </c>
    </row>
    <row r="1548" spans="12:12" x14ac:dyDescent="0.3">
      <c r="L1548" s="7" t="str">
        <f t="shared" ca="1" si="42"/>
        <v/>
      </c>
    </row>
    <row r="1549" spans="12:12" x14ac:dyDescent="0.3">
      <c r="L1549" s="7" t="str">
        <f t="shared" ca="1" si="42"/>
        <v/>
      </c>
    </row>
    <row r="1550" spans="12:12" x14ac:dyDescent="0.3">
      <c r="L1550" s="7" t="str">
        <f t="shared" ca="1" si="42"/>
        <v/>
      </c>
    </row>
    <row r="1551" spans="12:12" x14ac:dyDescent="0.3">
      <c r="L1551" s="7" t="str">
        <f t="shared" ca="1" si="42"/>
        <v/>
      </c>
    </row>
    <row r="1552" spans="12:12" x14ac:dyDescent="0.3">
      <c r="L1552" s="7" t="str">
        <f t="shared" ca="1" si="42"/>
        <v/>
      </c>
    </row>
    <row r="1553" spans="12:12" x14ac:dyDescent="0.3">
      <c r="L1553" s="7" t="str">
        <f t="shared" ca="1" si="42"/>
        <v/>
      </c>
    </row>
    <row r="1554" spans="12:12" x14ac:dyDescent="0.3">
      <c r="L1554" s="7" t="str">
        <f t="shared" ca="1" si="42"/>
        <v/>
      </c>
    </row>
    <row r="1555" spans="12:12" x14ac:dyDescent="0.3">
      <c r="L1555" s="7" t="str">
        <f t="shared" ca="1" si="42"/>
        <v/>
      </c>
    </row>
    <row r="1556" spans="12:12" x14ac:dyDescent="0.3">
      <c r="L1556" s="7" t="str">
        <f t="shared" ca="1" si="42"/>
        <v/>
      </c>
    </row>
    <row r="1557" spans="12:12" x14ac:dyDescent="0.3">
      <c r="L1557" s="7" t="str">
        <f t="shared" ca="1" si="42"/>
        <v/>
      </c>
    </row>
    <row r="1558" spans="12:12" x14ac:dyDescent="0.3">
      <c r="L1558" s="7" t="str">
        <f t="shared" ca="1" si="42"/>
        <v/>
      </c>
    </row>
    <row r="1559" spans="12:12" x14ac:dyDescent="0.3">
      <c r="L1559" s="7" t="str">
        <f t="shared" ca="1" si="42"/>
        <v/>
      </c>
    </row>
    <row r="1560" spans="12:12" x14ac:dyDescent="0.3">
      <c r="L1560" s="7" t="str">
        <f t="shared" ca="1" si="42"/>
        <v/>
      </c>
    </row>
    <row r="1561" spans="12:12" x14ac:dyDescent="0.3">
      <c r="L1561" s="7" t="str">
        <f t="shared" ca="1" si="42"/>
        <v/>
      </c>
    </row>
    <row r="1562" spans="12:12" x14ac:dyDescent="0.3">
      <c r="L1562" s="7" t="str">
        <f t="shared" ca="1" si="42"/>
        <v/>
      </c>
    </row>
    <row r="1563" spans="12:12" x14ac:dyDescent="0.3">
      <c r="L1563" s="7" t="str">
        <f t="shared" ca="1" si="42"/>
        <v/>
      </c>
    </row>
    <row r="1564" spans="12:12" x14ac:dyDescent="0.3">
      <c r="L1564" s="7" t="str">
        <f t="shared" ca="1" si="42"/>
        <v/>
      </c>
    </row>
    <row r="1565" spans="12:12" x14ac:dyDescent="0.3">
      <c r="L1565" s="7" t="str">
        <f t="shared" ca="1" si="42"/>
        <v/>
      </c>
    </row>
    <row r="1566" spans="12:12" x14ac:dyDescent="0.3">
      <c r="L1566" s="7" t="str">
        <f t="shared" ca="1" si="42"/>
        <v/>
      </c>
    </row>
    <row r="1567" spans="12:12" x14ac:dyDescent="0.3">
      <c r="L1567" s="7" t="str">
        <f t="shared" ca="1" si="42"/>
        <v/>
      </c>
    </row>
    <row r="1568" spans="12:12" x14ac:dyDescent="0.3">
      <c r="L1568" s="7" t="str">
        <f t="shared" ca="1" si="42"/>
        <v/>
      </c>
    </row>
    <row r="1569" spans="12:12" x14ac:dyDescent="0.3">
      <c r="L1569" s="7" t="str">
        <f t="shared" ca="1" si="42"/>
        <v/>
      </c>
    </row>
    <row r="1570" spans="12:12" x14ac:dyDescent="0.3">
      <c r="L1570" s="7" t="str">
        <f t="shared" ref="L1570:L1633" ca="1" si="43">IF(I1570="Completed",0,IF(H1570="","",H1570-TODAY()))</f>
        <v/>
      </c>
    </row>
    <row r="1571" spans="12:12" x14ac:dyDescent="0.3">
      <c r="L1571" s="7" t="str">
        <f t="shared" ca="1" si="43"/>
        <v/>
      </c>
    </row>
    <row r="1572" spans="12:12" x14ac:dyDescent="0.3">
      <c r="L1572" s="7" t="str">
        <f t="shared" ca="1" si="43"/>
        <v/>
      </c>
    </row>
    <row r="1573" spans="12:12" x14ac:dyDescent="0.3">
      <c r="L1573" s="7" t="str">
        <f t="shared" ca="1" si="43"/>
        <v/>
      </c>
    </row>
    <row r="1574" spans="12:12" x14ac:dyDescent="0.3">
      <c r="L1574" s="7" t="str">
        <f t="shared" ca="1" si="43"/>
        <v/>
      </c>
    </row>
    <row r="1575" spans="12:12" x14ac:dyDescent="0.3">
      <c r="L1575" s="7" t="str">
        <f t="shared" ca="1" si="43"/>
        <v/>
      </c>
    </row>
    <row r="1576" spans="12:12" x14ac:dyDescent="0.3">
      <c r="L1576" s="7" t="str">
        <f t="shared" ca="1" si="43"/>
        <v/>
      </c>
    </row>
    <row r="1577" spans="12:12" x14ac:dyDescent="0.3">
      <c r="L1577" s="7" t="str">
        <f t="shared" ca="1" si="43"/>
        <v/>
      </c>
    </row>
    <row r="1578" spans="12:12" x14ac:dyDescent="0.3">
      <c r="L1578" s="7" t="str">
        <f t="shared" ca="1" si="43"/>
        <v/>
      </c>
    </row>
    <row r="1579" spans="12:12" x14ac:dyDescent="0.3">
      <c r="L1579" s="7" t="str">
        <f t="shared" ca="1" si="43"/>
        <v/>
      </c>
    </row>
    <row r="1580" spans="12:12" x14ac:dyDescent="0.3">
      <c r="L1580" s="7" t="str">
        <f t="shared" ca="1" si="43"/>
        <v/>
      </c>
    </row>
    <row r="1581" spans="12:12" x14ac:dyDescent="0.3">
      <c r="L1581" s="7" t="str">
        <f t="shared" ca="1" si="43"/>
        <v/>
      </c>
    </row>
    <row r="1582" spans="12:12" x14ac:dyDescent="0.3">
      <c r="L1582" s="7" t="str">
        <f t="shared" ca="1" si="43"/>
        <v/>
      </c>
    </row>
    <row r="1583" spans="12:12" x14ac:dyDescent="0.3">
      <c r="L1583" s="7" t="str">
        <f t="shared" ca="1" si="43"/>
        <v/>
      </c>
    </row>
    <row r="1584" spans="12:12" x14ac:dyDescent="0.3">
      <c r="L1584" s="7" t="str">
        <f t="shared" ca="1" si="43"/>
        <v/>
      </c>
    </row>
    <row r="1585" spans="12:12" x14ac:dyDescent="0.3">
      <c r="L1585" s="7" t="str">
        <f t="shared" ca="1" si="43"/>
        <v/>
      </c>
    </row>
    <row r="1586" spans="12:12" x14ac:dyDescent="0.3">
      <c r="L1586" s="7" t="str">
        <f t="shared" ca="1" si="43"/>
        <v/>
      </c>
    </row>
    <row r="1587" spans="12:12" x14ac:dyDescent="0.3">
      <c r="L1587" s="7" t="str">
        <f t="shared" ca="1" si="43"/>
        <v/>
      </c>
    </row>
    <row r="1588" spans="12:12" x14ac:dyDescent="0.3">
      <c r="L1588" s="7" t="str">
        <f t="shared" ca="1" si="43"/>
        <v/>
      </c>
    </row>
    <row r="1589" spans="12:12" x14ac:dyDescent="0.3">
      <c r="L1589" s="7" t="str">
        <f t="shared" ca="1" si="43"/>
        <v/>
      </c>
    </row>
    <row r="1590" spans="12:12" x14ac:dyDescent="0.3">
      <c r="L1590" s="7" t="str">
        <f t="shared" ca="1" si="43"/>
        <v/>
      </c>
    </row>
    <row r="1591" spans="12:12" x14ac:dyDescent="0.3">
      <c r="L1591" s="7" t="str">
        <f t="shared" ca="1" si="43"/>
        <v/>
      </c>
    </row>
    <row r="1592" spans="12:12" x14ac:dyDescent="0.3">
      <c r="L1592" s="7" t="str">
        <f t="shared" ca="1" si="43"/>
        <v/>
      </c>
    </row>
    <row r="1593" spans="12:12" x14ac:dyDescent="0.3">
      <c r="L1593" s="7" t="str">
        <f t="shared" ca="1" si="43"/>
        <v/>
      </c>
    </row>
    <row r="1594" spans="12:12" x14ac:dyDescent="0.3">
      <c r="L1594" s="7" t="str">
        <f t="shared" ca="1" si="43"/>
        <v/>
      </c>
    </row>
    <row r="1595" spans="12:12" x14ac:dyDescent="0.3">
      <c r="L1595" s="7" t="str">
        <f t="shared" ca="1" si="43"/>
        <v/>
      </c>
    </row>
    <row r="1596" spans="12:12" x14ac:dyDescent="0.3">
      <c r="L1596" s="7" t="str">
        <f t="shared" ca="1" si="43"/>
        <v/>
      </c>
    </row>
    <row r="1597" spans="12:12" x14ac:dyDescent="0.3">
      <c r="L1597" s="7" t="str">
        <f t="shared" ca="1" si="43"/>
        <v/>
      </c>
    </row>
    <row r="1598" spans="12:12" x14ac:dyDescent="0.3">
      <c r="L1598" s="7" t="str">
        <f t="shared" ca="1" si="43"/>
        <v/>
      </c>
    </row>
    <row r="1599" spans="12:12" x14ac:dyDescent="0.3">
      <c r="L1599" s="7" t="str">
        <f t="shared" ca="1" si="43"/>
        <v/>
      </c>
    </row>
    <row r="1600" spans="12:12" x14ac:dyDescent="0.3">
      <c r="L1600" s="7" t="str">
        <f t="shared" ca="1" si="43"/>
        <v/>
      </c>
    </row>
    <row r="1601" spans="12:12" x14ac:dyDescent="0.3">
      <c r="L1601" s="7" t="str">
        <f t="shared" ca="1" si="43"/>
        <v/>
      </c>
    </row>
    <row r="1602" spans="12:12" x14ac:dyDescent="0.3">
      <c r="L1602" s="7" t="str">
        <f t="shared" ca="1" si="43"/>
        <v/>
      </c>
    </row>
    <row r="1603" spans="12:12" x14ac:dyDescent="0.3">
      <c r="L1603" s="7" t="str">
        <f t="shared" ca="1" si="43"/>
        <v/>
      </c>
    </row>
    <row r="1604" spans="12:12" x14ac:dyDescent="0.3">
      <c r="L1604" s="7" t="str">
        <f t="shared" ca="1" si="43"/>
        <v/>
      </c>
    </row>
    <row r="1605" spans="12:12" x14ac:dyDescent="0.3">
      <c r="L1605" s="7" t="str">
        <f t="shared" ca="1" si="43"/>
        <v/>
      </c>
    </row>
    <row r="1606" spans="12:12" x14ac:dyDescent="0.3">
      <c r="L1606" s="7" t="str">
        <f t="shared" ca="1" si="43"/>
        <v/>
      </c>
    </row>
    <row r="1607" spans="12:12" x14ac:dyDescent="0.3">
      <c r="L1607" s="7" t="str">
        <f t="shared" ca="1" si="43"/>
        <v/>
      </c>
    </row>
    <row r="1608" spans="12:12" x14ac:dyDescent="0.3">
      <c r="L1608" s="7" t="str">
        <f t="shared" ca="1" si="43"/>
        <v/>
      </c>
    </row>
    <row r="1609" spans="12:12" x14ac:dyDescent="0.3">
      <c r="L1609" s="7" t="str">
        <f t="shared" ca="1" si="43"/>
        <v/>
      </c>
    </row>
    <row r="1610" spans="12:12" x14ac:dyDescent="0.3">
      <c r="L1610" s="7" t="str">
        <f t="shared" ca="1" si="43"/>
        <v/>
      </c>
    </row>
    <row r="1611" spans="12:12" x14ac:dyDescent="0.3">
      <c r="L1611" s="7" t="str">
        <f t="shared" ca="1" si="43"/>
        <v/>
      </c>
    </row>
    <row r="1612" spans="12:12" x14ac:dyDescent="0.3">
      <c r="L1612" s="7" t="str">
        <f t="shared" ca="1" si="43"/>
        <v/>
      </c>
    </row>
    <row r="1613" spans="12:12" x14ac:dyDescent="0.3">
      <c r="L1613" s="7" t="str">
        <f t="shared" ca="1" si="43"/>
        <v/>
      </c>
    </row>
    <row r="1614" spans="12:12" x14ac:dyDescent="0.3">
      <c r="L1614" s="7" t="str">
        <f t="shared" ca="1" si="43"/>
        <v/>
      </c>
    </row>
    <row r="1615" spans="12:12" x14ac:dyDescent="0.3">
      <c r="L1615" s="7" t="str">
        <f t="shared" ca="1" si="43"/>
        <v/>
      </c>
    </row>
    <row r="1616" spans="12:12" x14ac:dyDescent="0.3">
      <c r="L1616" s="7" t="str">
        <f t="shared" ca="1" si="43"/>
        <v/>
      </c>
    </row>
    <row r="1617" spans="12:12" x14ac:dyDescent="0.3">
      <c r="L1617" s="7" t="str">
        <f t="shared" ca="1" si="43"/>
        <v/>
      </c>
    </row>
    <row r="1618" spans="12:12" x14ac:dyDescent="0.3">
      <c r="L1618" s="7" t="str">
        <f t="shared" ca="1" si="43"/>
        <v/>
      </c>
    </row>
    <row r="1619" spans="12:12" x14ac:dyDescent="0.3">
      <c r="L1619" s="7" t="str">
        <f t="shared" ca="1" si="43"/>
        <v/>
      </c>
    </row>
    <row r="1620" spans="12:12" x14ac:dyDescent="0.3">
      <c r="L1620" s="7" t="str">
        <f t="shared" ca="1" si="43"/>
        <v/>
      </c>
    </row>
    <row r="1621" spans="12:12" x14ac:dyDescent="0.3">
      <c r="L1621" s="7" t="str">
        <f t="shared" ca="1" si="43"/>
        <v/>
      </c>
    </row>
    <row r="1622" spans="12:12" x14ac:dyDescent="0.3">
      <c r="L1622" s="7" t="str">
        <f t="shared" ca="1" si="43"/>
        <v/>
      </c>
    </row>
    <row r="1623" spans="12:12" x14ac:dyDescent="0.3">
      <c r="L1623" s="7" t="str">
        <f t="shared" ca="1" si="43"/>
        <v/>
      </c>
    </row>
    <row r="1624" spans="12:12" x14ac:dyDescent="0.3">
      <c r="L1624" s="7" t="str">
        <f t="shared" ca="1" si="43"/>
        <v/>
      </c>
    </row>
    <row r="1625" spans="12:12" x14ac:dyDescent="0.3">
      <c r="L1625" s="7" t="str">
        <f t="shared" ca="1" si="43"/>
        <v/>
      </c>
    </row>
    <row r="1626" spans="12:12" x14ac:dyDescent="0.3">
      <c r="L1626" s="7" t="str">
        <f t="shared" ca="1" si="43"/>
        <v/>
      </c>
    </row>
    <row r="1627" spans="12:12" x14ac:dyDescent="0.3">
      <c r="L1627" s="7" t="str">
        <f t="shared" ca="1" si="43"/>
        <v/>
      </c>
    </row>
    <row r="1628" spans="12:12" x14ac:dyDescent="0.3">
      <c r="L1628" s="7" t="str">
        <f t="shared" ca="1" si="43"/>
        <v/>
      </c>
    </row>
    <row r="1629" spans="12:12" x14ac:dyDescent="0.3">
      <c r="L1629" s="7" t="str">
        <f t="shared" ca="1" si="43"/>
        <v/>
      </c>
    </row>
    <row r="1630" spans="12:12" x14ac:dyDescent="0.3">
      <c r="L1630" s="7" t="str">
        <f t="shared" ca="1" si="43"/>
        <v/>
      </c>
    </row>
    <row r="1631" spans="12:12" x14ac:dyDescent="0.3">
      <c r="L1631" s="7" t="str">
        <f t="shared" ca="1" si="43"/>
        <v/>
      </c>
    </row>
    <row r="1632" spans="12:12" x14ac:dyDescent="0.3">
      <c r="L1632" s="7" t="str">
        <f t="shared" ca="1" si="43"/>
        <v/>
      </c>
    </row>
    <row r="1633" spans="12:12" x14ac:dyDescent="0.3">
      <c r="L1633" s="7" t="str">
        <f t="shared" ca="1" si="43"/>
        <v/>
      </c>
    </row>
    <row r="1634" spans="12:12" x14ac:dyDescent="0.3">
      <c r="L1634" s="7" t="str">
        <f t="shared" ref="L1634:L1636" ca="1" si="44">IF(I1634="Completed",0,IF(H1634="","",H1634-TODAY()))</f>
        <v/>
      </c>
    </row>
    <row r="1635" spans="12:12" x14ac:dyDescent="0.3">
      <c r="L1635" s="7" t="str">
        <f t="shared" ca="1" si="44"/>
        <v/>
      </c>
    </row>
    <row r="1636" spans="12:12" x14ac:dyDescent="0.3">
      <c r="L1636" s="7" t="str">
        <f t="shared" ca="1" si="44"/>
        <v/>
      </c>
    </row>
  </sheetData>
  <autoFilter ref="A3:N312" xr:uid="{00000000-0001-0000-0700-000000000000}"/>
  <mergeCells count="1">
    <mergeCell ref="A2:N2"/>
  </mergeCells>
  <conditionalFormatting sqref="M4:M312">
    <cfRule type="cellIs" dxfId="111" priority="29" operator="equal">
      <formula>"Green"</formula>
    </cfRule>
    <cfRule type="cellIs" dxfId="110" priority="30" operator="equal">
      <formula>"Amber"</formula>
    </cfRule>
    <cfRule type="cellIs" dxfId="109" priority="31" operator="equal">
      <formula>"Red"</formula>
    </cfRule>
  </conditionalFormatting>
  <conditionalFormatting sqref="I4:I142">
    <cfRule type="expression" dxfId="108" priority="11">
      <formula>EXACT($I4,"Completed")</formula>
    </cfRule>
  </conditionalFormatting>
  <conditionalFormatting sqref="I4:I142">
    <cfRule type="expression" dxfId="107" priority="12">
      <formula>EXACT($I4,"Inprogress")</formula>
    </cfRule>
  </conditionalFormatting>
  <conditionalFormatting sqref="I4:I142">
    <cfRule type="expression" dxfId="106" priority="32">
      <formula>EXACT($I4,"Not Started")</formula>
    </cfRule>
  </conditionalFormatting>
  <conditionalFormatting sqref="I4:I142">
    <cfRule type="expression" dxfId="105" priority="33">
      <formula>EXACT($I4,"Overdue")</formula>
    </cfRule>
  </conditionalFormatting>
  <conditionalFormatting sqref="K4:K243">
    <cfRule type="expression" dxfId="104" priority="7">
      <formula>EXACT($K4,"No")</formula>
    </cfRule>
  </conditionalFormatting>
  <conditionalFormatting sqref="K4:K243">
    <cfRule type="expression" dxfId="103" priority="8">
      <formula>EXACT($K4,"Yes")</formula>
    </cfRule>
  </conditionalFormatting>
  <conditionalFormatting sqref="K4:K243">
    <cfRule type="expression" dxfId="102" priority="36">
      <formula>EXACT($K4,"-")</formula>
    </cfRule>
  </conditionalFormatting>
  <conditionalFormatting sqref="A4:A2000">
    <cfRule type="expression" dxfId="101" priority="26" stopIfTrue="1">
      <formula>A4=""</formula>
    </cfRule>
    <cfRule type="expression" dxfId="100" priority="28">
      <formula>C4=""</formula>
    </cfRule>
  </conditionalFormatting>
  <conditionalFormatting sqref="B4:B2000">
    <cfRule type="expression" dxfId="99" priority="23" stopIfTrue="1">
      <formula>$A4=""</formula>
    </cfRule>
    <cfRule type="expression" dxfId="98" priority="24">
      <formula>$C4=""</formula>
    </cfRule>
  </conditionalFormatting>
  <conditionalFormatting sqref="C4:C2000">
    <cfRule type="expression" dxfId="97" priority="25" stopIfTrue="1">
      <formula>$A4=""</formula>
    </cfRule>
    <cfRule type="expression" dxfId="96" priority="27">
      <formula>$C4=""</formula>
    </cfRule>
  </conditionalFormatting>
  <conditionalFormatting sqref="D4:D2000">
    <cfRule type="expression" dxfId="95" priority="21" stopIfTrue="1">
      <formula>$A4=""</formula>
    </cfRule>
    <cfRule type="expression" dxfId="94" priority="22">
      <formula>$C4=""</formula>
    </cfRule>
  </conditionalFormatting>
  <conditionalFormatting sqref="E4:E2000">
    <cfRule type="expression" dxfId="93" priority="19" stopIfTrue="1">
      <formula>$A4=""</formula>
    </cfRule>
    <cfRule type="expression" dxfId="92" priority="20">
      <formula>$C4=""</formula>
    </cfRule>
  </conditionalFormatting>
  <conditionalFormatting sqref="F4:F2000">
    <cfRule type="expression" dxfId="91" priority="17" stopIfTrue="1">
      <formula>$A4=""</formula>
    </cfRule>
    <cfRule type="expression" dxfId="90" priority="18">
      <formula>$C4=""</formula>
    </cfRule>
  </conditionalFormatting>
  <conditionalFormatting sqref="G4:G2000">
    <cfRule type="expression" dxfId="89" priority="15" stopIfTrue="1">
      <formula>$A4=""</formula>
    </cfRule>
    <cfRule type="expression" dxfId="88" priority="16">
      <formula>$C4=""</formula>
    </cfRule>
  </conditionalFormatting>
  <conditionalFormatting sqref="H4:H2000">
    <cfRule type="expression" dxfId="87" priority="13" stopIfTrue="1">
      <formula>$A4=""</formula>
    </cfRule>
    <cfRule type="expression" dxfId="86" priority="14">
      <formula>$C4=""</formula>
    </cfRule>
  </conditionalFormatting>
  <conditionalFormatting sqref="I4:I2000">
    <cfRule type="expression" dxfId="85" priority="34" stopIfTrue="1">
      <formula>$A4=""</formula>
    </cfRule>
    <cfRule type="expression" dxfId="84" priority="35">
      <formula>$C4=""</formula>
    </cfRule>
  </conditionalFormatting>
  <conditionalFormatting sqref="J4:J2000">
    <cfRule type="expression" dxfId="83" priority="9" stopIfTrue="1">
      <formula>$A4=""</formula>
    </cfRule>
    <cfRule type="expression" dxfId="82" priority="10">
      <formula>$C4=""</formula>
    </cfRule>
  </conditionalFormatting>
  <conditionalFormatting sqref="K4:K2000">
    <cfRule type="expression" dxfId="81" priority="37" stopIfTrue="1">
      <formula>$A4=""</formula>
    </cfRule>
    <cfRule type="expression" dxfId="80" priority="38">
      <formula>$C4=""</formula>
    </cfRule>
  </conditionalFormatting>
  <conditionalFormatting sqref="L1637:L2000">
    <cfRule type="expression" dxfId="79" priority="5" stopIfTrue="1">
      <formula>$A1637=""</formula>
    </cfRule>
    <cfRule type="expression" dxfId="78" priority="6">
      <formula>$C1637=""</formula>
    </cfRule>
  </conditionalFormatting>
  <conditionalFormatting sqref="L1110:L1636">
    <cfRule type="expression" dxfId="77" priority="3" stopIfTrue="1">
      <formula>$A1110=""</formula>
    </cfRule>
    <cfRule type="expression" dxfId="76" priority="4">
      <formula>$C1110=""</formula>
    </cfRule>
  </conditionalFormatting>
  <conditionalFormatting sqref="L4:L1109">
    <cfRule type="expression" dxfId="75" priority="1" stopIfTrue="1">
      <formula>$A4=""</formula>
    </cfRule>
    <cfRule type="expression" dxfId="74" priority="2">
      <formula>$C4=""</formula>
    </cfRule>
  </conditionalFormatting>
  <dataValidations count="1">
    <dataValidation type="list" allowBlank="1" sqref="I4:I312" xr:uid="{C75291C8-8FFB-4798-A1C6-7BEA4FCD41B8}">
      <formula1>"Not Started,In Progress,Complete"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B2412-2479-40D7-AC1A-1DA58D252F57}">
  <sheetPr codeName="Sheet2">
    <tabColor rgb="FF777777"/>
  </sheetPr>
  <dimension ref="A1:R1606"/>
  <sheetViews>
    <sheetView showGridLines="0" zoomScaleNormal="100" workbookViewId="0">
      <pane xSplit="3" ySplit="3" topLeftCell="D21" activePane="bottomRight" state="frozen"/>
      <selection pane="topRight" activeCell="D1" sqref="D1"/>
      <selection pane="bottomLeft" activeCell="A4" sqref="A4"/>
      <selection pane="bottomRight" activeCell="G24" sqref="G24:G25"/>
    </sheetView>
  </sheetViews>
  <sheetFormatPr defaultColWidth="8.6640625" defaultRowHeight="14.4" x14ac:dyDescent="0.3"/>
  <cols>
    <col min="1" max="1" width="20" customWidth="1"/>
    <col min="2" max="2" width="17" customWidth="1"/>
    <col min="3" max="3" width="34" customWidth="1"/>
    <col min="4" max="4" width="30" customWidth="1"/>
    <col min="5" max="5" width="12" customWidth="1"/>
    <col min="6" max="6" width="11" customWidth="1"/>
    <col min="7" max="7" width="14.88671875" bestFit="1" customWidth="1"/>
    <col min="8" max="8" width="16.77734375" customWidth="1"/>
    <col min="9" max="9" width="12" customWidth="1"/>
    <col min="10" max="11" width="8" customWidth="1"/>
    <col min="12" max="13" width="7" customWidth="1"/>
    <col min="14" max="14" width="26" customWidth="1"/>
    <col min="15" max="18" width="3" hidden="1" customWidth="1"/>
  </cols>
  <sheetData>
    <row r="1" spans="1:18" ht="24" customHeight="1" x14ac:dyDescent="0.3">
      <c r="A1" s="10" t="s">
        <v>27</v>
      </c>
      <c r="B1" s="10"/>
      <c r="C1" s="10"/>
      <c r="D1" s="10"/>
      <c r="E1" s="10"/>
      <c r="F1" s="10"/>
      <c r="G1" s="11">
        <f>+MAX(G4:G2000)</f>
        <v>46205</v>
      </c>
      <c r="H1" s="11">
        <f>+MAX(H4:H2000)</f>
        <v>46205</v>
      </c>
      <c r="I1" s="12">
        <f t="shared" ref="I1" si="0">IF(OR($G1="",$H1=""),"",$H1-$G1)</f>
        <v>0</v>
      </c>
      <c r="J1" s="10"/>
      <c r="K1" s="10"/>
      <c r="L1" s="10"/>
      <c r="M1" s="10"/>
      <c r="N1" s="10"/>
    </row>
    <row r="2" spans="1:18" ht="14.25" customHeight="1" x14ac:dyDescent="0.3">
      <c r="A2" s="17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8" ht="30" customHeight="1" x14ac:dyDescent="0.3">
      <c r="A3" s="1" t="s">
        <v>0</v>
      </c>
      <c r="B3" s="1" t="s">
        <v>24</v>
      </c>
      <c r="C3" s="1" t="s">
        <v>25</v>
      </c>
      <c r="D3" s="1" t="s">
        <v>26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59</v>
      </c>
      <c r="M3" s="1" t="s">
        <v>8</v>
      </c>
      <c r="N3" s="1" t="s">
        <v>9</v>
      </c>
      <c r="O3" s="1" t="s">
        <v>10</v>
      </c>
      <c r="P3" s="1" t="s">
        <v>11</v>
      </c>
      <c r="Q3" s="1" t="s">
        <v>12</v>
      </c>
      <c r="R3" s="1" t="s">
        <v>13</v>
      </c>
    </row>
    <row r="4" spans="1:18" ht="33.75" customHeight="1" x14ac:dyDescent="0.3">
      <c r="A4" s="2" t="s">
        <v>27</v>
      </c>
      <c r="B4" s="2" t="s">
        <v>28</v>
      </c>
      <c r="C4" s="3"/>
      <c r="D4" s="3"/>
      <c r="E4" s="2"/>
      <c r="F4" s="2"/>
      <c r="G4" s="5">
        <v>45921</v>
      </c>
      <c r="H4" s="5">
        <v>46205</v>
      </c>
      <c r="I4" s="2"/>
      <c r="J4" s="6">
        <f t="shared" ref="J4:J67" si="1">IF(OR($G4="",$H4=""),"",$H4-$G4)</f>
        <v>284</v>
      </c>
      <c r="K4" s="4" t="str">
        <f t="shared" ref="K4:K67" ca="1" si="2">IF(C4="","",IF(H4="","",IF($I4="completed","-",IF($H4&gt;TODAY(),"No","Yes"))))</f>
        <v/>
      </c>
      <c r="L4" s="7">
        <f ca="1">IF(I4="Completed",0,IF(H4="","",H4-TODAY()))</f>
        <v>-3</v>
      </c>
      <c r="M4" s="4" t="str">
        <f>IF($I4="Complete","Green",IF($H4="","Amber",IF($H4&lt;'[2]Read Me'!$B$4,"Red",IF($H4-'[2]Read Me'!$B$4&lt;=21,"Amber","Green"))))</f>
        <v>Amber</v>
      </c>
      <c r="N4" s="3"/>
      <c r="O4" t="e">
        <f>IF($I4&lt;&gt;"Complete",IF(COUNTIFS(#REF!,$A4,#REF!,$B4,#REF!,"&lt;&gt;Complete")=0,$A4&amp;"|"&amp;$B4,""),"")</f>
        <v>#REF!</v>
      </c>
      <c r="P4" t="str">
        <f ca="1">IF($K4="Yes",COUNTIFS($K$4:$K4,"Yes"),"")</f>
        <v/>
      </c>
      <c r="Q4">
        <f t="shared" ref="Q4:Q67" ca="1" si="3">IF(OR($I4="In Progress",$K4="Yes"),1,0)</f>
        <v>0</v>
      </c>
      <c r="R4" t="str">
        <f ca="1">IF($Q4=1,SUM($Q$4:$Q4),"")</f>
        <v/>
      </c>
    </row>
    <row r="5" spans="1:18" ht="33.75" customHeight="1" x14ac:dyDescent="0.3">
      <c r="A5" s="2" t="s">
        <v>27</v>
      </c>
      <c r="B5" s="2" t="s">
        <v>28</v>
      </c>
      <c r="C5" s="3" t="s">
        <v>29</v>
      </c>
      <c r="D5" s="3" t="s">
        <v>18</v>
      </c>
      <c r="E5" s="2"/>
      <c r="F5" s="2" t="s">
        <v>30</v>
      </c>
      <c r="G5" s="5">
        <v>45578</v>
      </c>
      <c r="H5" s="5">
        <v>45578</v>
      </c>
      <c r="I5" s="2" t="s">
        <v>31</v>
      </c>
      <c r="J5" s="6">
        <f t="shared" si="1"/>
        <v>0</v>
      </c>
      <c r="K5" s="4" t="str">
        <f t="shared" ca="1" si="2"/>
        <v>-</v>
      </c>
      <c r="L5" s="7">
        <f t="shared" ref="L5:L67" ca="1" si="4">IF(I5="Completed",0,IF(H5="","",H5-TODAY()))</f>
        <v>0</v>
      </c>
      <c r="M5" s="4" t="str">
        <f>IF($I5="Complete","Green",IF($H5="","Amber",IF($H5&lt;'[2]Read Me'!$B$4,"Red",IF($H5-'[2]Read Me'!$B$4&lt;=21,"Amber","Green"))))</f>
        <v>Red</v>
      </c>
      <c r="N5" s="3"/>
      <c r="O5" t="str">
        <f>IF($I5&lt;&gt;"Complete",IF(COUNTIFS($A$4:$A4,$A5,$B$4:$B4,$B5,$I$4:$I4,"&lt;&gt;Complete")=0,$A5&amp;"|"&amp;$B5,""),"")</f>
        <v/>
      </c>
      <c r="P5" t="str">
        <f ca="1">IF($K5="Yes",COUNTIFS($K$4:$K5,"Yes"),"")</f>
        <v/>
      </c>
      <c r="Q5">
        <f t="shared" ca="1" si="3"/>
        <v>0</v>
      </c>
      <c r="R5" t="str">
        <f ca="1">IF($Q5=1,SUM($Q$4:$Q5),"")</f>
        <v/>
      </c>
    </row>
    <row r="6" spans="1:18" ht="33.75" customHeight="1" x14ac:dyDescent="0.3">
      <c r="A6" s="2" t="s">
        <v>27</v>
      </c>
      <c r="B6" s="2" t="s">
        <v>28</v>
      </c>
      <c r="C6" s="3" t="s">
        <v>29</v>
      </c>
      <c r="D6" s="3" t="s">
        <v>32</v>
      </c>
      <c r="E6" s="2"/>
      <c r="F6" s="2"/>
      <c r="G6" s="5">
        <v>45592</v>
      </c>
      <c r="H6" s="5">
        <v>45592</v>
      </c>
      <c r="I6" s="2" t="s">
        <v>31</v>
      </c>
      <c r="J6" s="6">
        <f t="shared" si="1"/>
        <v>0</v>
      </c>
      <c r="K6" s="4" t="str">
        <f t="shared" ca="1" si="2"/>
        <v>-</v>
      </c>
      <c r="L6" s="7">
        <f t="shared" ca="1" si="4"/>
        <v>0</v>
      </c>
      <c r="M6" s="4" t="str">
        <f>IF($I6="Complete","Green",IF($H6="","Amber",IF($H6&lt;'[2]Read Me'!$B$4,"Red",IF($H6-'[2]Read Me'!$B$4&lt;=21,"Amber","Green"))))</f>
        <v>Red</v>
      </c>
      <c r="N6" s="3"/>
      <c r="O6" t="str">
        <f>IF($I6&lt;&gt;"Complete",IF(COUNTIFS($A$4:$A5,$A6,$B$4:$B5,$B6,$I$4:$I5,"&lt;&gt;Complete")=0,$A6&amp;"|"&amp;$B6,""),"")</f>
        <v/>
      </c>
      <c r="P6" t="str">
        <f ca="1">IF($K6="Yes",COUNTIFS($K$4:$K6,"Yes"),"")</f>
        <v/>
      </c>
      <c r="Q6">
        <f t="shared" ca="1" si="3"/>
        <v>0</v>
      </c>
      <c r="R6" t="str">
        <f ca="1">IF($Q6=1,SUM($Q$4:$Q6),"")</f>
        <v/>
      </c>
    </row>
    <row r="7" spans="1:18" ht="33.75" customHeight="1" x14ac:dyDescent="0.3">
      <c r="A7" s="2" t="s">
        <v>27</v>
      </c>
      <c r="B7" s="2" t="s">
        <v>28</v>
      </c>
      <c r="C7" s="3" t="s">
        <v>29</v>
      </c>
      <c r="D7" s="3" t="s">
        <v>19</v>
      </c>
      <c r="E7" s="2" t="s">
        <v>33</v>
      </c>
      <c r="F7" s="2"/>
      <c r="G7" s="5">
        <v>45606</v>
      </c>
      <c r="H7" s="5">
        <v>45606</v>
      </c>
      <c r="I7" s="2" t="s">
        <v>31</v>
      </c>
      <c r="J7" s="6">
        <f t="shared" si="1"/>
        <v>0</v>
      </c>
      <c r="K7" s="4" t="str">
        <f t="shared" ca="1" si="2"/>
        <v>-</v>
      </c>
      <c r="L7" s="7">
        <f t="shared" ca="1" si="4"/>
        <v>0</v>
      </c>
      <c r="M7" s="4" t="str">
        <f>IF($I7="Complete","Green",IF($H7="","Amber",IF($H7&lt;'[2]Read Me'!$B$4,"Red",IF($H7-'[2]Read Me'!$B$4&lt;=21,"Amber","Green"))))</f>
        <v>Red</v>
      </c>
      <c r="N7" s="3"/>
      <c r="O7" t="str">
        <f>IF($I7&lt;&gt;"Complete",IF(COUNTIFS($A$4:$A6,$A7,$B$4:$B6,$B7,$I$4:$I6,"&lt;&gt;Complete")=0,$A7&amp;"|"&amp;$B7,""),"")</f>
        <v/>
      </c>
      <c r="P7" t="str">
        <f ca="1">IF($K7="Yes",COUNTIFS($K$4:$K7,"Yes"),"")</f>
        <v/>
      </c>
      <c r="Q7">
        <f t="shared" ca="1" si="3"/>
        <v>0</v>
      </c>
      <c r="R7" t="str">
        <f ca="1">IF($Q7=1,SUM($Q$4:$Q7),"")</f>
        <v/>
      </c>
    </row>
    <row r="8" spans="1:18" ht="33.75" customHeight="1" x14ac:dyDescent="0.3">
      <c r="A8" s="2" t="s">
        <v>27</v>
      </c>
      <c r="B8" s="2" t="s">
        <v>28</v>
      </c>
      <c r="C8" s="3" t="s">
        <v>29</v>
      </c>
      <c r="D8" s="3" t="s">
        <v>14</v>
      </c>
      <c r="E8" s="2"/>
      <c r="F8" s="2" t="s">
        <v>30</v>
      </c>
      <c r="G8" s="5">
        <v>45676</v>
      </c>
      <c r="H8" s="5">
        <v>45676</v>
      </c>
      <c r="I8" s="2" t="s">
        <v>31</v>
      </c>
      <c r="J8" s="6">
        <f t="shared" si="1"/>
        <v>0</v>
      </c>
      <c r="K8" s="4" t="str">
        <f t="shared" ca="1" si="2"/>
        <v>-</v>
      </c>
      <c r="L8" s="7">
        <f t="shared" ca="1" si="4"/>
        <v>0</v>
      </c>
      <c r="M8" s="4" t="str">
        <f>IF($I8="Complete","Green",IF($H8="","Amber",IF($H8&lt;'[2]Read Me'!$B$4,"Red",IF($H8-'[2]Read Me'!$B$4&lt;=21,"Amber","Green"))))</f>
        <v>Red</v>
      </c>
      <c r="N8" s="3"/>
      <c r="O8" t="str">
        <f>IF($I8&lt;&gt;"Complete",IF(COUNTIFS($A$4:$A7,$A8,$B$4:$B7,$B8,$I$4:$I7,"&lt;&gt;Complete")=0,$A8&amp;"|"&amp;$B8,""),"")</f>
        <v/>
      </c>
      <c r="P8" t="str">
        <f ca="1">IF($K8="Yes",COUNTIFS($K$4:$K8,"Yes"),"")</f>
        <v/>
      </c>
      <c r="Q8">
        <f t="shared" ca="1" si="3"/>
        <v>0</v>
      </c>
      <c r="R8" t="str">
        <f ca="1">IF($Q8=1,SUM($Q$4:$Q8),"")</f>
        <v/>
      </c>
    </row>
    <row r="9" spans="1:18" ht="33.75" customHeight="1" x14ac:dyDescent="0.3">
      <c r="A9" s="2" t="s">
        <v>27</v>
      </c>
      <c r="B9" s="2" t="s">
        <v>28</v>
      </c>
      <c r="C9" s="3" t="s">
        <v>29</v>
      </c>
      <c r="D9" s="3" t="s">
        <v>34</v>
      </c>
      <c r="E9" s="2"/>
      <c r="F9" s="2"/>
      <c r="G9" s="5">
        <v>45760</v>
      </c>
      <c r="H9" s="5">
        <v>45760</v>
      </c>
      <c r="I9" s="2" t="s">
        <v>31</v>
      </c>
      <c r="J9" s="6">
        <f t="shared" si="1"/>
        <v>0</v>
      </c>
      <c r="K9" s="4" t="str">
        <f t="shared" ca="1" si="2"/>
        <v>-</v>
      </c>
      <c r="L9" s="7">
        <f t="shared" ca="1" si="4"/>
        <v>0</v>
      </c>
      <c r="M9" s="4" t="str">
        <f>IF($I9="Complete","Green",IF($H9="","Amber",IF($H9&lt;'[2]Read Me'!$B$4,"Red",IF($H9-'[2]Read Me'!$B$4&lt;=21,"Amber","Green"))))</f>
        <v>Red</v>
      </c>
      <c r="N9" s="3"/>
      <c r="O9" t="str">
        <f>IF($I9&lt;&gt;"Complete",IF(COUNTIFS($A$4:$A8,$A9,$B$4:$B8,$B9,$I$4:$I8,"&lt;&gt;Complete")=0,$A9&amp;"|"&amp;$B9,""),"")</f>
        <v/>
      </c>
      <c r="P9" t="str">
        <f ca="1">IF($K9="Yes",COUNTIFS($K$4:$K9,"Yes"),"")</f>
        <v/>
      </c>
      <c r="Q9">
        <f t="shared" ca="1" si="3"/>
        <v>0</v>
      </c>
      <c r="R9" t="str">
        <f ca="1">IF($Q9=1,SUM($Q$4:$Q9),"")</f>
        <v/>
      </c>
    </row>
    <row r="10" spans="1:18" ht="33.75" customHeight="1" x14ac:dyDescent="0.3">
      <c r="A10" s="2" t="s">
        <v>27</v>
      </c>
      <c r="B10" s="2" t="s">
        <v>28</v>
      </c>
      <c r="C10" s="3" t="s">
        <v>29</v>
      </c>
      <c r="D10" s="3" t="s">
        <v>15</v>
      </c>
      <c r="E10" s="2"/>
      <c r="F10" s="2" t="s">
        <v>30</v>
      </c>
      <c r="G10" s="5">
        <v>45830</v>
      </c>
      <c r="H10" s="5">
        <v>45830</v>
      </c>
      <c r="I10" s="2" t="s">
        <v>31</v>
      </c>
      <c r="J10" s="6">
        <f t="shared" si="1"/>
        <v>0</v>
      </c>
      <c r="K10" s="4" t="str">
        <f t="shared" ca="1" si="2"/>
        <v>-</v>
      </c>
      <c r="L10" s="7">
        <f t="shared" ca="1" si="4"/>
        <v>0</v>
      </c>
      <c r="M10" s="4" t="str">
        <f>IF($I10="Complete","Green",IF($H10="","Amber",IF($H10&lt;'[2]Read Me'!$B$4,"Red",IF($H10-'[2]Read Me'!$B$4&lt;=21,"Amber","Green"))))</f>
        <v>Red</v>
      </c>
      <c r="N10" s="3"/>
      <c r="O10" t="str">
        <f>IF($I10&lt;&gt;"Complete",IF(COUNTIFS($A$4:$A9,$A10,$B$4:$B9,$B10,$I$4:$I9,"&lt;&gt;Complete")=0,$A10&amp;"|"&amp;$B10,""),"")</f>
        <v/>
      </c>
      <c r="P10" t="str">
        <f ca="1">IF($K10="Yes",COUNTIFS($K$4:$K10,"Yes"),"")</f>
        <v/>
      </c>
      <c r="Q10">
        <f t="shared" ca="1" si="3"/>
        <v>0</v>
      </c>
      <c r="R10" t="str">
        <f ca="1">IF($Q10=1,SUM($Q$4:$Q10),"")</f>
        <v/>
      </c>
    </row>
    <row r="11" spans="1:18" ht="33.75" customHeight="1" x14ac:dyDescent="0.3">
      <c r="A11" s="2" t="s">
        <v>27</v>
      </c>
      <c r="B11" s="2" t="s">
        <v>28</v>
      </c>
      <c r="C11" s="3" t="s">
        <v>29</v>
      </c>
      <c r="D11" s="3" t="s">
        <v>35</v>
      </c>
      <c r="E11" s="2"/>
      <c r="F11" s="2"/>
      <c r="G11" s="5">
        <v>45844</v>
      </c>
      <c r="H11" s="5">
        <v>45844</v>
      </c>
      <c r="I11" s="2" t="s">
        <v>31</v>
      </c>
      <c r="J11" s="6">
        <f t="shared" si="1"/>
        <v>0</v>
      </c>
      <c r="K11" s="4" t="str">
        <f t="shared" ca="1" si="2"/>
        <v>-</v>
      </c>
      <c r="L11" s="7">
        <f t="shared" ca="1" si="4"/>
        <v>0</v>
      </c>
      <c r="M11" s="4" t="str">
        <f>IF($I11="Complete","Green",IF($H11="","Amber",IF($H11&lt;'[2]Read Me'!$B$4,"Red",IF($H11-'[2]Read Me'!$B$4&lt;=21,"Amber","Green"))))</f>
        <v>Red</v>
      </c>
      <c r="N11" s="3"/>
      <c r="O11" t="str">
        <f>IF($I11&lt;&gt;"Complete",IF(COUNTIFS($A$4:$A10,$A11,$B$4:$B10,$B11,$I$4:$I10,"&lt;&gt;Complete")=0,$A11&amp;"|"&amp;$B11,""),"")</f>
        <v/>
      </c>
      <c r="P11" t="str">
        <f ca="1">IF($K11="Yes",COUNTIFS($K$4:$K11,"Yes"),"")</f>
        <v/>
      </c>
      <c r="Q11">
        <f t="shared" ca="1" si="3"/>
        <v>0</v>
      </c>
      <c r="R11" t="str">
        <f ca="1">IF($Q11=1,SUM($Q$4:$Q11),"")</f>
        <v/>
      </c>
    </row>
    <row r="12" spans="1:18" ht="33.75" customHeight="1" x14ac:dyDescent="0.3">
      <c r="A12" s="2" t="s">
        <v>27</v>
      </c>
      <c r="B12" s="2" t="s">
        <v>28</v>
      </c>
      <c r="C12" s="3" t="s">
        <v>29</v>
      </c>
      <c r="D12" s="3" t="s">
        <v>20</v>
      </c>
      <c r="E12" s="2" t="s">
        <v>33</v>
      </c>
      <c r="F12" s="2"/>
      <c r="G12" s="5">
        <v>45844</v>
      </c>
      <c r="H12" s="5">
        <v>45844</v>
      </c>
      <c r="I12" s="2" t="s">
        <v>31</v>
      </c>
      <c r="J12" s="6">
        <f t="shared" si="1"/>
        <v>0</v>
      </c>
      <c r="K12" s="4" t="str">
        <f t="shared" ca="1" si="2"/>
        <v>-</v>
      </c>
      <c r="L12" s="7">
        <f t="shared" ca="1" si="4"/>
        <v>0</v>
      </c>
      <c r="M12" s="4" t="str">
        <f>IF($I12="Complete","Green",IF($H12="","Amber",IF($H12&lt;'[2]Read Me'!$B$4,"Red",IF($H12-'[2]Read Me'!$B$4&lt;=21,"Amber","Green"))))</f>
        <v>Red</v>
      </c>
      <c r="N12" s="3"/>
      <c r="O12" t="str">
        <f>IF($I12&lt;&gt;"Complete",IF(COUNTIFS($A$4:$A11,$A12,$B$4:$B11,$B12,$I$4:$I11,"&lt;&gt;Complete")=0,$A12&amp;"|"&amp;$B12,""),"")</f>
        <v/>
      </c>
      <c r="P12" t="str">
        <f ca="1">IF($K12="Yes",COUNTIFS($K$4:$K12,"Yes"),"")</f>
        <v/>
      </c>
      <c r="Q12">
        <f t="shared" ca="1" si="3"/>
        <v>0</v>
      </c>
      <c r="R12" t="str">
        <f ca="1">IF($Q12=1,SUM($Q$4:$Q12),"")</f>
        <v/>
      </c>
    </row>
    <row r="13" spans="1:18" ht="33.75" customHeight="1" x14ac:dyDescent="0.3">
      <c r="A13" s="2" t="s">
        <v>27</v>
      </c>
      <c r="B13" s="2" t="s">
        <v>28</v>
      </c>
      <c r="C13" s="3" t="s">
        <v>29</v>
      </c>
      <c r="D13" s="3" t="s">
        <v>22</v>
      </c>
      <c r="E13" s="2"/>
      <c r="F13" s="2" t="s">
        <v>30</v>
      </c>
      <c r="G13" s="5">
        <v>45893</v>
      </c>
      <c r="H13" s="5">
        <v>45893</v>
      </c>
      <c r="I13" s="2" t="s">
        <v>31</v>
      </c>
      <c r="J13" s="6">
        <f t="shared" si="1"/>
        <v>0</v>
      </c>
      <c r="K13" s="4" t="str">
        <f t="shared" ca="1" si="2"/>
        <v>-</v>
      </c>
      <c r="L13" s="7">
        <f t="shared" ca="1" si="4"/>
        <v>0</v>
      </c>
      <c r="M13" s="4" t="str">
        <f>IF($I13="Complete","Green",IF($H13="","Amber",IF($H13&lt;'[2]Read Me'!$B$4,"Red",IF($H13-'[2]Read Me'!$B$4&lt;=21,"Amber","Green"))))</f>
        <v>Red</v>
      </c>
      <c r="N13" s="3"/>
      <c r="O13" t="str">
        <f>IF($I13&lt;&gt;"Complete",IF(COUNTIFS($A$4:$A12,$A13,$B$4:$B12,$B13,$I$4:$I12,"&lt;&gt;Complete")=0,$A13&amp;"|"&amp;$B13,""),"")</f>
        <v/>
      </c>
      <c r="P13" t="str">
        <f ca="1">IF($K13="Yes",COUNTIFS($K$4:$K13,"Yes"),"")</f>
        <v/>
      </c>
      <c r="Q13">
        <f t="shared" ca="1" si="3"/>
        <v>0</v>
      </c>
      <c r="R13" t="str">
        <f ca="1">IF($Q13=1,SUM($Q$4:$Q13),"")</f>
        <v/>
      </c>
    </row>
    <row r="14" spans="1:18" ht="33.75" customHeight="1" x14ac:dyDescent="0.3">
      <c r="A14" s="2" t="s">
        <v>36</v>
      </c>
      <c r="B14" s="2" t="s">
        <v>28</v>
      </c>
      <c r="C14" s="3"/>
      <c r="D14" s="3"/>
      <c r="E14" s="2"/>
      <c r="F14" s="2"/>
      <c r="G14" s="5">
        <v>45907</v>
      </c>
      <c r="H14" s="5">
        <v>46022</v>
      </c>
      <c r="I14" s="2"/>
      <c r="J14" s="6">
        <f t="shared" si="1"/>
        <v>115</v>
      </c>
      <c r="K14" s="4" t="str">
        <f t="shared" ca="1" si="2"/>
        <v/>
      </c>
      <c r="L14" s="7">
        <f t="shared" ca="1" si="4"/>
        <v>-186</v>
      </c>
      <c r="M14" s="4" t="str">
        <f>IF($I14="Complete","Green",IF($H14="","Amber",IF($H14&lt;'[2]Read Me'!$B$4,"Red",IF($H14-'[2]Read Me'!$B$4&lt;=21,"Amber","Green"))))</f>
        <v>Red</v>
      </c>
      <c r="N14" s="3"/>
      <c r="O14" t="str">
        <f>IF($I14&lt;&gt;"Complete",IF(COUNTIFS($A$4:$A13,$A14,$B$4:$B13,$B14,$I$4:$I13,"&lt;&gt;Complete")=0,$A14&amp;"|"&amp;$B14,""),"")</f>
        <v>BLDGs A|Buldings</v>
      </c>
      <c r="P14" t="str">
        <f ca="1">IF($K14="Yes",COUNTIFS($K$4:$K14,"Yes"),"")</f>
        <v/>
      </c>
      <c r="Q14">
        <f t="shared" ca="1" si="3"/>
        <v>0</v>
      </c>
      <c r="R14" t="str">
        <f ca="1">IF($Q14=1,SUM($Q$4:$Q14),"")</f>
        <v/>
      </c>
    </row>
    <row r="15" spans="1:18" ht="33.75" customHeight="1" x14ac:dyDescent="0.3">
      <c r="A15" s="2" t="s">
        <v>36</v>
      </c>
      <c r="B15" s="2" t="s">
        <v>28</v>
      </c>
      <c r="C15" s="3" t="s">
        <v>36</v>
      </c>
      <c r="D15" s="3" t="s">
        <v>16</v>
      </c>
      <c r="E15" s="2"/>
      <c r="F15" s="2" t="s">
        <v>30</v>
      </c>
      <c r="G15" s="5">
        <v>45900</v>
      </c>
      <c r="H15" s="5">
        <v>46019</v>
      </c>
      <c r="I15" s="2" t="s">
        <v>31</v>
      </c>
      <c r="J15" s="6">
        <f t="shared" si="1"/>
        <v>119</v>
      </c>
      <c r="K15" s="4" t="str">
        <f t="shared" ca="1" si="2"/>
        <v>-</v>
      </c>
      <c r="L15" s="7">
        <f t="shared" ca="1" si="4"/>
        <v>0</v>
      </c>
      <c r="M15" s="4" t="str">
        <f>IF($I15="Complete","Green",IF($H15="","Amber",IF($H15&lt;'[2]Read Me'!$B$4,"Red",IF($H15-'[2]Read Me'!$B$4&lt;=21,"Amber","Green"))))</f>
        <v>Red</v>
      </c>
      <c r="N15" s="3"/>
      <c r="O15" t="str">
        <f>IF($I15&lt;&gt;"Complete",IF(COUNTIFS($A$4:$A14,$A15,$B$4:$B14,$B15,$I$4:$I14,"&lt;&gt;Complete")=0,$A15&amp;"|"&amp;$B15,""),"")</f>
        <v/>
      </c>
      <c r="P15" t="str">
        <f ca="1">IF($K15="Yes",COUNTIFS($K$4:$K15,"Yes"),"")</f>
        <v/>
      </c>
      <c r="Q15">
        <f t="shared" ca="1" si="3"/>
        <v>0</v>
      </c>
      <c r="R15" t="str">
        <f ca="1">IF($Q15=1,SUM($Q$4:$Q15),"")</f>
        <v/>
      </c>
    </row>
    <row r="16" spans="1:18" ht="33.75" customHeight="1" x14ac:dyDescent="0.3">
      <c r="A16" s="2" t="s">
        <v>36</v>
      </c>
      <c r="B16" s="2" t="s">
        <v>28</v>
      </c>
      <c r="C16" s="3" t="s">
        <v>36</v>
      </c>
      <c r="D16" s="3" t="s">
        <v>37</v>
      </c>
      <c r="E16" s="2"/>
      <c r="F16" s="2"/>
      <c r="G16" s="5">
        <v>45907</v>
      </c>
      <c r="H16" s="5">
        <v>46022</v>
      </c>
      <c r="I16" s="2" t="s">
        <v>31</v>
      </c>
      <c r="J16" s="6">
        <f t="shared" si="1"/>
        <v>115</v>
      </c>
      <c r="K16" s="4" t="str">
        <f t="shared" ca="1" si="2"/>
        <v>-</v>
      </c>
      <c r="L16" s="7">
        <f t="shared" ca="1" si="4"/>
        <v>0</v>
      </c>
      <c r="M16" s="4" t="str">
        <f>IF($I16="Complete","Green",IF($H16="","Amber",IF($H16&lt;'[2]Read Me'!$B$4,"Red",IF($H16-'[2]Read Me'!$B$4&lt;=21,"Amber","Green"))))</f>
        <v>Red</v>
      </c>
      <c r="N16" s="3"/>
      <c r="O16" t="str">
        <f>IF($I16&lt;&gt;"Complete",IF(COUNTIFS($A$4:$A15,$A16,$B$4:$B15,$B16,$I$4:$I15,"&lt;&gt;Complete")=0,$A16&amp;"|"&amp;$B16,""),"")</f>
        <v/>
      </c>
      <c r="P16" t="str">
        <f ca="1">IF($K16="Yes",COUNTIFS($K$4:$K16,"Yes"),"")</f>
        <v/>
      </c>
      <c r="Q16">
        <f t="shared" ca="1" si="3"/>
        <v>0</v>
      </c>
      <c r="R16" t="str">
        <f ca="1">IF($Q16=1,SUM($Q$4:$Q16),"")</f>
        <v/>
      </c>
    </row>
    <row r="17" spans="1:18" ht="33.75" customHeight="1" x14ac:dyDescent="0.3">
      <c r="A17" s="2" t="s">
        <v>38</v>
      </c>
      <c r="B17" s="2" t="s">
        <v>28</v>
      </c>
      <c r="C17" s="3"/>
      <c r="D17" s="3"/>
      <c r="E17" s="2"/>
      <c r="F17" s="2"/>
      <c r="G17" s="5">
        <v>45907</v>
      </c>
      <c r="H17" s="5">
        <v>46056</v>
      </c>
      <c r="I17" s="2"/>
      <c r="J17" s="6">
        <f t="shared" si="1"/>
        <v>149</v>
      </c>
      <c r="K17" s="4" t="str">
        <f t="shared" ca="1" si="2"/>
        <v/>
      </c>
      <c r="L17" s="7">
        <f t="shared" ca="1" si="4"/>
        <v>-152</v>
      </c>
      <c r="M17" s="4" t="str">
        <f>IF($I17="Complete","Green",IF($H17="","Amber",IF($H17&lt;'[2]Read Me'!$B$4,"Red",IF($H17-'[2]Read Me'!$B$4&lt;=21,"Amber","Green"))))</f>
        <v>Red</v>
      </c>
      <c r="N17" s="3"/>
      <c r="O17" t="str">
        <f>IF($I17&lt;&gt;"Complete",IF(COUNTIFS($A$4:$A16,$A17,$B$4:$B16,$B17,$I$4:$I16,"&lt;&gt;Complete")=0,$A17&amp;"|"&amp;$B17,""),"")</f>
        <v>BLDGs B|Buldings</v>
      </c>
      <c r="P17" t="str">
        <f ca="1">IF($K17="Yes",COUNTIFS($K$4:$K17,"Yes"),"")</f>
        <v/>
      </c>
      <c r="Q17">
        <f t="shared" ca="1" si="3"/>
        <v>0</v>
      </c>
      <c r="R17" t="str">
        <f ca="1">IF($Q17=1,SUM($Q$4:$Q17),"")</f>
        <v/>
      </c>
    </row>
    <row r="18" spans="1:18" ht="33.75" customHeight="1" x14ac:dyDescent="0.3">
      <c r="A18" s="2" t="s">
        <v>38</v>
      </c>
      <c r="B18" s="2" t="s">
        <v>28</v>
      </c>
      <c r="C18" s="3" t="s">
        <v>38</v>
      </c>
      <c r="D18" s="3" t="s">
        <v>16</v>
      </c>
      <c r="E18" s="2"/>
      <c r="F18" s="2" t="s">
        <v>30</v>
      </c>
      <c r="G18" s="5">
        <v>45900</v>
      </c>
      <c r="H18" s="5">
        <v>46050</v>
      </c>
      <c r="I18" s="2" t="s">
        <v>31</v>
      </c>
      <c r="J18" s="6">
        <f t="shared" si="1"/>
        <v>150</v>
      </c>
      <c r="K18" s="4" t="str">
        <f t="shared" ca="1" si="2"/>
        <v>-</v>
      </c>
      <c r="L18" s="7">
        <f t="shared" ca="1" si="4"/>
        <v>0</v>
      </c>
      <c r="M18" s="4" t="str">
        <f>IF($I18="Complete","Green",IF($H18="","Amber",IF($H18&lt;'[2]Read Me'!$B$4,"Red",IF($H18-'[2]Read Me'!$B$4&lt;=21,"Amber","Green"))))</f>
        <v>Red</v>
      </c>
      <c r="N18" s="3"/>
      <c r="O18" t="str">
        <f>IF($I18&lt;&gt;"Complete",IF(COUNTIFS($A$4:$A17,$A18,$B$4:$B17,$B18,$I$4:$I17,"&lt;&gt;Complete")=0,$A18&amp;"|"&amp;$B18,""),"")</f>
        <v/>
      </c>
      <c r="P18" t="str">
        <f ca="1">IF($K18="Yes",COUNTIFS($K$4:$K18,"Yes"),"")</f>
        <v/>
      </c>
      <c r="Q18">
        <f t="shared" ca="1" si="3"/>
        <v>0</v>
      </c>
      <c r="R18" t="str">
        <f ca="1">IF($Q18=1,SUM($Q$4:$Q18),"")</f>
        <v/>
      </c>
    </row>
    <row r="19" spans="1:18" ht="33.75" customHeight="1" x14ac:dyDescent="0.3">
      <c r="A19" s="2" t="s">
        <v>38</v>
      </c>
      <c r="B19" s="2" t="s">
        <v>28</v>
      </c>
      <c r="C19" s="3" t="s">
        <v>38</v>
      </c>
      <c r="D19" s="3" t="s">
        <v>37</v>
      </c>
      <c r="E19" s="2"/>
      <c r="F19" s="2"/>
      <c r="G19" s="5">
        <v>45907</v>
      </c>
      <c r="H19" s="5">
        <v>46056</v>
      </c>
      <c r="I19" s="2" t="s">
        <v>31</v>
      </c>
      <c r="J19" s="6">
        <f t="shared" si="1"/>
        <v>149</v>
      </c>
      <c r="K19" s="4" t="str">
        <f t="shared" ca="1" si="2"/>
        <v>-</v>
      </c>
      <c r="L19" s="7">
        <f t="shared" ca="1" si="4"/>
        <v>0</v>
      </c>
      <c r="M19" s="4" t="str">
        <f>IF($I19="Complete","Green",IF($H19="","Amber",IF($H19&lt;'[2]Read Me'!$B$4,"Red",IF($H19-'[2]Read Me'!$B$4&lt;=21,"Amber","Green"))))</f>
        <v>Red</v>
      </c>
      <c r="N19" s="3"/>
      <c r="O19" t="str">
        <f>IF($I19&lt;&gt;"Complete",IF(COUNTIFS($A$4:$A18,$A19,$B$4:$B18,$B19,$I$4:$I18,"&lt;&gt;Complete")=0,$A19&amp;"|"&amp;$B19,""),"")</f>
        <v/>
      </c>
      <c r="P19" t="str">
        <f ca="1">IF($K19="Yes",COUNTIFS($K$4:$K19,"Yes"),"")</f>
        <v/>
      </c>
      <c r="Q19">
        <f t="shared" ca="1" si="3"/>
        <v>0</v>
      </c>
      <c r="R19" t="str">
        <f ca="1">IF($Q19=1,SUM($Q$4:$Q19),"")</f>
        <v/>
      </c>
    </row>
    <row r="20" spans="1:18" ht="33.75" customHeight="1" x14ac:dyDescent="0.3">
      <c r="A20" s="2" t="s">
        <v>39</v>
      </c>
      <c r="B20" s="2" t="s">
        <v>28</v>
      </c>
      <c r="C20" s="3"/>
      <c r="D20" s="3"/>
      <c r="E20" s="2"/>
      <c r="F20" s="2"/>
      <c r="G20" s="5">
        <v>45907</v>
      </c>
      <c r="H20" s="5">
        <v>46014</v>
      </c>
      <c r="I20" s="2"/>
      <c r="J20" s="6">
        <f t="shared" si="1"/>
        <v>107</v>
      </c>
      <c r="K20" s="4" t="str">
        <f t="shared" ca="1" si="2"/>
        <v/>
      </c>
      <c r="L20" s="7">
        <f t="shared" ca="1" si="4"/>
        <v>-194</v>
      </c>
      <c r="M20" s="4" t="str">
        <f>IF($I20="Complete","Green",IF($H20="","Amber",IF($H20&lt;'[2]Read Me'!$B$4,"Red",IF($H20-'[2]Read Me'!$B$4&lt;=21,"Amber","Green"))))</f>
        <v>Red</v>
      </c>
      <c r="N20" s="3"/>
      <c r="O20" t="str">
        <f>IF($I20&lt;&gt;"Complete",IF(COUNTIFS($A$4:$A19,$A20,$B$4:$B19,$B20,$I$4:$I19,"&lt;&gt;Complete")=0,$A20&amp;"|"&amp;$B20,""),"")</f>
        <v>BLDGs C|Buldings</v>
      </c>
      <c r="P20" t="str">
        <f ca="1">IF($K20="Yes",COUNTIFS($K$4:$K20,"Yes"),"")</f>
        <v/>
      </c>
      <c r="Q20">
        <f t="shared" ca="1" si="3"/>
        <v>0</v>
      </c>
      <c r="R20" t="str">
        <f ca="1">IF($Q20=1,SUM($Q$4:$Q20),"")</f>
        <v/>
      </c>
    </row>
    <row r="21" spans="1:18" ht="33.75" customHeight="1" x14ac:dyDescent="0.3">
      <c r="A21" s="2" t="s">
        <v>39</v>
      </c>
      <c r="B21" s="2" t="s">
        <v>28</v>
      </c>
      <c r="C21" s="3" t="s">
        <v>39</v>
      </c>
      <c r="D21" s="3" t="s">
        <v>16</v>
      </c>
      <c r="E21" s="2"/>
      <c r="F21" s="2" t="s">
        <v>30</v>
      </c>
      <c r="G21" s="5">
        <v>45900</v>
      </c>
      <c r="H21" s="5">
        <v>46002</v>
      </c>
      <c r="I21" s="2" t="s">
        <v>31</v>
      </c>
      <c r="J21" s="6">
        <f t="shared" si="1"/>
        <v>102</v>
      </c>
      <c r="K21" s="4" t="str">
        <f t="shared" ca="1" si="2"/>
        <v>-</v>
      </c>
      <c r="L21" s="7">
        <f t="shared" ca="1" si="4"/>
        <v>0</v>
      </c>
      <c r="M21" s="4" t="str">
        <f>IF($I21="Complete","Green",IF($H21="","Amber",IF($H21&lt;'[2]Read Me'!$B$4,"Red",IF($H21-'[2]Read Me'!$B$4&lt;=21,"Amber","Green"))))</f>
        <v>Red</v>
      </c>
      <c r="N21" s="3"/>
      <c r="O21" t="str">
        <f>IF($I21&lt;&gt;"Complete",IF(COUNTIFS($A$4:$A20,$A21,$B$4:$B20,$B21,$I$4:$I20,"&lt;&gt;Complete")=0,$A21&amp;"|"&amp;$B21,""),"")</f>
        <v/>
      </c>
      <c r="P21" t="str">
        <f ca="1">IF($K21="Yes",COUNTIFS($K$4:$K21,"Yes"),"")</f>
        <v/>
      </c>
      <c r="Q21">
        <f t="shared" ca="1" si="3"/>
        <v>0</v>
      </c>
      <c r="R21" t="str">
        <f ca="1">IF($Q21=1,SUM($Q$4:$Q21),"")</f>
        <v/>
      </c>
    </row>
    <row r="22" spans="1:18" ht="33.75" customHeight="1" x14ac:dyDescent="0.3">
      <c r="A22" s="2" t="s">
        <v>39</v>
      </c>
      <c r="B22" s="2" t="s">
        <v>28</v>
      </c>
      <c r="C22" s="3" t="s">
        <v>39</v>
      </c>
      <c r="D22" s="3" t="s">
        <v>37</v>
      </c>
      <c r="E22" s="2"/>
      <c r="F22" s="2"/>
      <c r="G22" s="5">
        <v>45907</v>
      </c>
      <c r="H22" s="5">
        <v>46014</v>
      </c>
      <c r="I22" s="2" t="s">
        <v>31</v>
      </c>
      <c r="J22" s="6">
        <f t="shared" si="1"/>
        <v>107</v>
      </c>
      <c r="K22" s="4" t="str">
        <f t="shared" ca="1" si="2"/>
        <v>-</v>
      </c>
      <c r="L22" s="7">
        <f t="shared" ca="1" si="4"/>
        <v>0</v>
      </c>
      <c r="M22" s="4" t="str">
        <f>IF($I22="Complete","Green",IF($H22="","Amber",IF($H22&lt;'[2]Read Me'!$B$4,"Red",IF($H22-'[2]Read Me'!$B$4&lt;=21,"Amber","Green"))))</f>
        <v>Red</v>
      </c>
      <c r="N22" s="3"/>
      <c r="O22" t="str">
        <f>IF($I22&lt;&gt;"Complete",IF(COUNTIFS($A$4:$A21,$A22,$B$4:$B21,$B22,$I$4:$I21,"&lt;&gt;Complete")=0,$A22&amp;"|"&amp;$B22,""),"")</f>
        <v/>
      </c>
      <c r="P22" t="str">
        <f ca="1">IF($K22="Yes",COUNTIFS($K$4:$K22,"Yes"),"")</f>
        <v/>
      </c>
      <c r="Q22">
        <f t="shared" ca="1" si="3"/>
        <v>0</v>
      </c>
      <c r="R22" t="str">
        <f ca="1">IF($Q22=1,SUM($Q$4:$Q22),"")</f>
        <v/>
      </c>
    </row>
    <row r="23" spans="1:18" ht="33.75" customHeight="1" x14ac:dyDescent="0.3">
      <c r="A23" s="2" t="s">
        <v>40</v>
      </c>
      <c r="B23" s="2" t="s">
        <v>41</v>
      </c>
      <c r="C23" s="3"/>
      <c r="D23" s="3"/>
      <c r="E23" s="2"/>
      <c r="F23" s="2"/>
      <c r="G23" s="5"/>
      <c r="H23" s="5">
        <v>46205</v>
      </c>
      <c r="I23" s="2"/>
      <c r="J23" s="6" t="str">
        <f t="shared" si="1"/>
        <v/>
      </c>
      <c r="K23" s="4" t="str">
        <f t="shared" ca="1" si="2"/>
        <v/>
      </c>
      <c r="L23" s="7">
        <f t="shared" ca="1" si="4"/>
        <v>-3</v>
      </c>
      <c r="M23" s="4" t="str">
        <f>IF($I23="Complete","Green",IF($H23="","Amber",IF($H23&lt;'[2]Read Me'!$B$4,"Red",IF($H23-'[2]Read Me'!$B$4&lt;=21,"Amber","Green"))))</f>
        <v>Amber</v>
      </c>
      <c r="N23" s="3"/>
      <c r="O23" t="str">
        <f>IF($I23&lt;&gt;"Complete",IF(COUNTIFS($A$4:$A22,$A23,$B$4:$B22,$B23,$I$4:$I22,"&lt;&gt;Complete")=0,$A23&amp;"|"&amp;$B23,""),"")</f>
        <v>mockup |Fit-out</v>
      </c>
      <c r="P23" t="str">
        <f ca="1">IF($K23="Yes",COUNTIFS($K$4:$K23,"Yes"),"")</f>
        <v/>
      </c>
      <c r="Q23">
        <f t="shared" ca="1" si="3"/>
        <v>0</v>
      </c>
      <c r="R23" t="str">
        <f ca="1">IF($Q23=1,SUM($Q$4:$Q23),"")</f>
        <v/>
      </c>
    </row>
    <row r="24" spans="1:18" ht="33.75" customHeight="1" x14ac:dyDescent="0.3">
      <c r="A24" s="2" t="s">
        <v>40</v>
      </c>
      <c r="B24" s="2" t="s">
        <v>41</v>
      </c>
      <c r="C24" s="3" t="s">
        <v>42</v>
      </c>
      <c r="D24" s="3" t="s">
        <v>45</v>
      </c>
      <c r="E24" s="2" t="s">
        <v>43</v>
      </c>
      <c r="F24" s="2" t="s">
        <v>44</v>
      </c>
      <c r="G24" s="5">
        <v>46198</v>
      </c>
      <c r="H24" s="5">
        <v>46198</v>
      </c>
      <c r="I24" s="2" t="s">
        <v>46</v>
      </c>
      <c r="J24" s="6">
        <f t="shared" si="1"/>
        <v>0</v>
      </c>
      <c r="K24" s="4" t="str">
        <f t="shared" ca="1" si="2"/>
        <v>Yes</v>
      </c>
      <c r="L24" s="7">
        <f t="shared" ca="1" si="4"/>
        <v>-10</v>
      </c>
      <c r="M24" s="4" t="str">
        <f>IF($I24="Complete","Green",IF($H24="","Amber",IF($H24&lt;'[2]Read Me'!$B$4,"Red",IF($H24-'[2]Read Me'!$B$4&lt;=21,"Amber","Green"))))</f>
        <v>Amber</v>
      </c>
      <c r="N24" s="3"/>
      <c r="O24" t="str">
        <f>IF($I24&lt;&gt;"Complete",IF(COUNTIFS($A$4:$A23,$A24,$B$4:$B23,$B24,$I$4:$I23,"&lt;&gt;Complete")=0,$A24&amp;"|"&amp;$B24,""),"")</f>
        <v/>
      </c>
      <c r="P24">
        <f ca="1">IF($K24="Yes",COUNTIFS($K$4:$K24,"Yes"),"")</f>
        <v>1</v>
      </c>
      <c r="Q24">
        <f t="shared" ca="1" si="3"/>
        <v>1</v>
      </c>
      <c r="R24">
        <f ca="1">IF($Q24=1,SUM($Q$4:$Q24),"")</f>
        <v>1</v>
      </c>
    </row>
    <row r="25" spans="1:18" ht="33.75" customHeight="1" x14ac:dyDescent="0.3">
      <c r="A25" s="2" t="s">
        <v>40</v>
      </c>
      <c r="B25" s="2" t="s">
        <v>41</v>
      </c>
      <c r="C25" s="3" t="s">
        <v>42</v>
      </c>
      <c r="D25" s="3" t="s">
        <v>47</v>
      </c>
      <c r="E25" s="2" t="s">
        <v>43</v>
      </c>
      <c r="F25" s="2" t="s">
        <v>44</v>
      </c>
      <c r="G25" s="5">
        <v>46205</v>
      </c>
      <c r="H25" s="5">
        <v>46205</v>
      </c>
      <c r="I25" s="2" t="s">
        <v>17</v>
      </c>
      <c r="J25" s="6">
        <f t="shared" si="1"/>
        <v>0</v>
      </c>
      <c r="K25" s="4" t="str">
        <f t="shared" ca="1" si="2"/>
        <v>Yes</v>
      </c>
      <c r="L25" s="7">
        <f t="shared" ca="1" si="4"/>
        <v>-3</v>
      </c>
      <c r="M25" s="4" t="str">
        <f>IF($I25="Complete","Green",IF($H25="","Amber",IF($H25&lt;'[2]Read Me'!$B$4,"Red",IF($H25-'[2]Read Me'!$B$4&lt;=21,"Amber","Green"))))</f>
        <v>Amber</v>
      </c>
      <c r="N25" s="3"/>
      <c r="O25" t="str">
        <f>IF($I25&lt;&gt;"Complete",IF(COUNTIFS($A$4:$A24,$A25,$B$4:$B24,$B25,$I$4:$I24,"&lt;&gt;Complete")=0,$A25&amp;"|"&amp;$B25,""),"")</f>
        <v/>
      </c>
      <c r="P25">
        <f ca="1">IF($K25="Yes",COUNTIFS($K$4:$K25,"Yes"),"")</f>
        <v>2</v>
      </c>
      <c r="Q25">
        <f t="shared" ca="1" si="3"/>
        <v>1</v>
      </c>
      <c r="R25">
        <f ca="1">IF($Q25=1,SUM($Q$4:$Q25),"")</f>
        <v>2</v>
      </c>
    </row>
    <row r="26" spans="1:18" ht="33.75" customHeight="1" x14ac:dyDescent="0.3">
      <c r="A26" s="2" t="s">
        <v>48</v>
      </c>
      <c r="B26" s="2"/>
      <c r="C26" s="3"/>
      <c r="D26" s="3"/>
      <c r="E26" s="2"/>
      <c r="F26" s="2"/>
      <c r="G26" s="5">
        <v>45921</v>
      </c>
      <c r="H26" s="5">
        <v>45991</v>
      </c>
      <c r="I26" s="2"/>
      <c r="J26" s="6">
        <f t="shared" si="1"/>
        <v>70</v>
      </c>
      <c r="K26" s="4" t="str">
        <f t="shared" ca="1" si="2"/>
        <v/>
      </c>
      <c r="L26" s="7">
        <f t="shared" ca="1" si="4"/>
        <v>-217</v>
      </c>
      <c r="M26" s="4" t="str">
        <f>IF($I26="Complete","Green",IF($H26="","Amber",IF($H26&lt;'[2]Read Me'!$B$4,"Red",IF($H26-'[2]Read Me'!$B$4&lt;=21,"Amber","Green"))))</f>
        <v>Red</v>
      </c>
      <c r="N26" s="3"/>
      <c r="O26" t="str">
        <f>IF($I26&lt;&gt;"Complete",IF(COUNTIFS($A$4:$A25,$A26,$B$4:$B25,$B26,$I$4:$I25,"&lt;&gt;Complete")=0,$A26&amp;"|"&amp;$B26,""),"")</f>
        <v>Authorities - Keys 52|</v>
      </c>
      <c r="P26" t="str">
        <f ca="1">IF($K26="Yes",COUNTIFS($K$4:$K26,"Yes"),"")</f>
        <v/>
      </c>
      <c r="Q26">
        <f t="shared" ca="1" si="3"/>
        <v>0</v>
      </c>
      <c r="R26" t="str">
        <f ca="1">IF($Q26=1,SUM($Q$4:$Q26),"")</f>
        <v/>
      </c>
    </row>
    <row r="27" spans="1:18" ht="33.75" customHeight="1" x14ac:dyDescent="0.3">
      <c r="A27" s="2" t="s">
        <v>48</v>
      </c>
      <c r="B27" s="2" t="s">
        <v>49</v>
      </c>
      <c r="C27" s="3" t="s">
        <v>50</v>
      </c>
      <c r="D27" s="3" t="s">
        <v>51</v>
      </c>
      <c r="E27" s="2"/>
      <c r="F27" s="2"/>
      <c r="G27" s="5">
        <v>45921</v>
      </c>
      <c r="H27" s="5">
        <v>45991</v>
      </c>
      <c r="I27" s="2" t="s">
        <v>31</v>
      </c>
      <c r="J27" s="6">
        <f t="shared" si="1"/>
        <v>70</v>
      </c>
      <c r="K27" s="4" t="str">
        <f t="shared" ca="1" si="2"/>
        <v>-</v>
      </c>
      <c r="L27" s="7">
        <f t="shared" ca="1" si="4"/>
        <v>0</v>
      </c>
      <c r="M27" s="4" t="str">
        <f>IF($I27="Complete","Green",IF($H27="","Amber",IF($H27&lt;'[2]Read Me'!$B$4,"Red",IF($H27-'[2]Read Me'!$B$4&lt;=21,"Amber","Green"))))</f>
        <v>Red</v>
      </c>
      <c r="N27" s="3"/>
      <c r="O27" t="str">
        <f>IF($I27&lt;&gt;"Complete",IF(COUNTIFS($A$4:$A26,$A27,$B$4:$B26,$B27,$I$4:$I26,"&lt;&gt;Complete")=0,$A27&amp;"|"&amp;$B27,""),"")</f>
        <v>Authorities - Keys 52|Authorities</v>
      </c>
      <c r="P27" t="str">
        <f ca="1">IF($K27="Yes",COUNTIFS($K$4:$K27,"Yes"),"")</f>
        <v/>
      </c>
      <c r="Q27">
        <f t="shared" ca="1" si="3"/>
        <v>0</v>
      </c>
      <c r="R27" t="str">
        <f ca="1">IF($Q27=1,SUM($Q$4:$Q27),"")</f>
        <v/>
      </c>
    </row>
    <row r="28" spans="1:18" ht="33.75" customHeight="1" x14ac:dyDescent="0.3">
      <c r="A28" s="2" t="s">
        <v>52</v>
      </c>
      <c r="B28" s="2" t="s">
        <v>21</v>
      </c>
      <c r="C28" s="3"/>
      <c r="D28" s="3"/>
      <c r="E28" s="2"/>
      <c r="F28" s="2"/>
      <c r="G28" s="5">
        <v>45971</v>
      </c>
      <c r="H28" s="5">
        <v>46190</v>
      </c>
      <c r="I28" s="2"/>
      <c r="J28" s="6">
        <f t="shared" si="1"/>
        <v>219</v>
      </c>
      <c r="K28" s="4" t="str">
        <f t="shared" ca="1" si="2"/>
        <v/>
      </c>
      <c r="L28" s="7">
        <f t="shared" ca="1" si="4"/>
        <v>-18</v>
      </c>
      <c r="M28" s="4" t="str">
        <f>IF($I28="Complete","Green",IF($H28="","Amber",IF($H28&lt;'[2]Read Me'!$B$4,"Red",IF($H28-'[2]Read Me'!$B$4&lt;=21,"Amber","Green"))))</f>
        <v>Amber</v>
      </c>
      <c r="N28" s="3"/>
      <c r="O28" t="str">
        <f>IF($I28&lt;&gt;"Complete",IF(COUNTIFS($A$4:$A27,$A28,$B$4:$B27,$B28,$I$4:$I27,"&lt;&gt;Complete")=0,$A28&amp;"|"&amp;$B28,""),"")</f>
        <v>Landscape &amp; Infra - Keys 52|Landscape</v>
      </c>
      <c r="P28" t="str">
        <f ca="1">IF($K28="Yes",COUNTIFS($K$4:$K28,"Yes"),"")</f>
        <v/>
      </c>
      <c r="Q28">
        <f t="shared" ca="1" si="3"/>
        <v>0</v>
      </c>
      <c r="R28" t="str">
        <f ca="1">IF($Q28=1,SUM($Q$4:$Q28),"")</f>
        <v/>
      </c>
    </row>
    <row r="29" spans="1:18" ht="33.75" customHeight="1" x14ac:dyDescent="0.3">
      <c r="A29" s="2" t="s">
        <v>52</v>
      </c>
      <c r="B29" s="2" t="s">
        <v>21</v>
      </c>
      <c r="C29" s="3" t="s">
        <v>53</v>
      </c>
      <c r="D29" s="3" t="s">
        <v>15</v>
      </c>
      <c r="E29" s="2"/>
      <c r="F29" s="2" t="s">
        <v>30</v>
      </c>
      <c r="G29" s="5">
        <v>45915</v>
      </c>
      <c r="H29" s="5">
        <v>45915</v>
      </c>
      <c r="I29" s="2" t="s">
        <v>31</v>
      </c>
      <c r="J29" s="6">
        <f t="shared" si="1"/>
        <v>0</v>
      </c>
      <c r="K29" s="4" t="str">
        <f t="shared" ca="1" si="2"/>
        <v>-</v>
      </c>
      <c r="L29" s="7">
        <f t="shared" ca="1" si="4"/>
        <v>0</v>
      </c>
      <c r="M29" s="4" t="str">
        <f>IF($I29="Complete","Green",IF($H29="","Amber",IF($H29&lt;'[2]Read Me'!$B$4,"Red",IF($H29-'[2]Read Me'!$B$4&lt;=21,"Amber","Green"))))</f>
        <v>Red</v>
      </c>
      <c r="N29" s="3"/>
      <c r="O29" t="str">
        <f>IF($I29&lt;&gt;"Complete",IF(COUNTIFS($A$4:$A28,$A29,$B$4:$B28,$B29,$I$4:$I28,"&lt;&gt;Complete")=0,$A29&amp;"|"&amp;$B29,""),"")</f>
        <v/>
      </c>
      <c r="P29" t="str">
        <f ca="1">IF($K29="Yes",COUNTIFS($K$4:$K29,"Yes"),"")</f>
        <v/>
      </c>
      <c r="Q29">
        <f t="shared" ca="1" si="3"/>
        <v>0</v>
      </c>
      <c r="R29" t="str">
        <f ca="1">IF($Q29=1,SUM($Q$4:$Q29),"")</f>
        <v/>
      </c>
    </row>
    <row r="30" spans="1:18" ht="33.75" customHeight="1" x14ac:dyDescent="0.3">
      <c r="A30" s="2" t="s">
        <v>52</v>
      </c>
      <c r="B30" s="2" t="s">
        <v>21</v>
      </c>
      <c r="C30" s="3" t="s">
        <v>53</v>
      </c>
      <c r="D30" s="3" t="s">
        <v>35</v>
      </c>
      <c r="E30" s="2"/>
      <c r="F30" s="2"/>
      <c r="G30" s="5">
        <v>45929</v>
      </c>
      <c r="H30" s="5">
        <v>45929</v>
      </c>
      <c r="I30" s="2" t="s">
        <v>31</v>
      </c>
      <c r="J30" s="6">
        <f t="shared" si="1"/>
        <v>0</v>
      </c>
      <c r="K30" s="4" t="str">
        <f t="shared" ca="1" si="2"/>
        <v>-</v>
      </c>
      <c r="L30" s="7">
        <f t="shared" ca="1" si="4"/>
        <v>0</v>
      </c>
      <c r="M30" s="4" t="str">
        <f>IF($I30="Complete","Green",IF($H30="","Amber",IF($H30&lt;'[2]Read Me'!$B$4,"Red",IF($H30-'[2]Read Me'!$B$4&lt;=21,"Amber","Green"))))</f>
        <v>Red</v>
      </c>
      <c r="N30" s="3"/>
      <c r="O30" t="str">
        <f>IF($I30&lt;&gt;"Complete",IF(COUNTIFS($A$4:$A29,$A30,$B$4:$B29,$B30,$I$4:$I29,"&lt;&gt;Complete")=0,$A30&amp;"|"&amp;$B30,""),"")</f>
        <v/>
      </c>
      <c r="P30" t="str">
        <f ca="1">IF($K30="Yes",COUNTIFS($K$4:$K30,"Yes"),"")</f>
        <v/>
      </c>
      <c r="Q30">
        <f t="shared" ca="1" si="3"/>
        <v>0</v>
      </c>
      <c r="R30" t="str">
        <f ca="1">IF($Q30=1,SUM($Q$4:$Q30),"")</f>
        <v/>
      </c>
    </row>
    <row r="31" spans="1:18" ht="14.25" customHeight="1" x14ac:dyDescent="0.3">
      <c r="A31" s="2" t="s">
        <v>52</v>
      </c>
      <c r="B31" s="2" t="s">
        <v>21</v>
      </c>
      <c r="C31" s="3" t="s">
        <v>53</v>
      </c>
      <c r="D31" s="3" t="s">
        <v>16</v>
      </c>
      <c r="E31" s="2"/>
      <c r="F31" s="2" t="s">
        <v>30</v>
      </c>
      <c r="G31" s="5">
        <v>45943</v>
      </c>
      <c r="H31" s="5">
        <v>46076</v>
      </c>
      <c r="I31" s="2" t="s">
        <v>31</v>
      </c>
      <c r="J31" s="6">
        <f t="shared" si="1"/>
        <v>133</v>
      </c>
      <c r="K31" s="4" t="str">
        <f t="shared" ca="1" si="2"/>
        <v>-</v>
      </c>
      <c r="L31" s="7">
        <f t="shared" ca="1" si="4"/>
        <v>0</v>
      </c>
      <c r="M31" s="4" t="str">
        <f>IF($I31="Complete","Green",IF($H31="","Amber",IF($H31&lt;'[2]Read Me'!$B$4,"Red",IF($H31-'[2]Read Me'!$B$4&lt;=21,"Amber","Green"))))</f>
        <v>Red</v>
      </c>
      <c r="N31" s="3"/>
      <c r="O31" t="str">
        <f>IF($I31&lt;&gt;"Complete",IF(COUNTIFS($A$4:$A30,$A31,$B$4:$B30,$B31,$I$4:$I30,"&lt;&gt;Complete")=0,$A31&amp;"|"&amp;$B31,""),"")</f>
        <v/>
      </c>
      <c r="P31" t="str">
        <f ca="1">IF($K31="Yes",COUNTIFS($K$4:$K31,"Yes"),"")</f>
        <v/>
      </c>
      <c r="Q31">
        <f t="shared" ca="1" si="3"/>
        <v>0</v>
      </c>
      <c r="R31" t="str">
        <f ca="1">IF($Q31=1,SUM($Q$4:$Q31),"")</f>
        <v/>
      </c>
    </row>
    <row r="32" spans="1:18" ht="14.25" customHeight="1" x14ac:dyDescent="0.3">
      <c r="A32" s="2" t="s">
        <v>52</v>
      </c>
      <c r="B32" s="2" t="s">
        <v>21</v>
      </c>
      <c r="C32" s="3" t="s">
        <v>53</v>
      </c>
      <c r="D32" s="3" t="s">
        <v>37</v>
      </c>
      <c r="E32" s="2"/>
      <c r="F32" s="2"/>
      <c r="G32" s="5">
        <v>45957</v>
      </c>
      <c r="H32" s="5">
        <v>46079</v>
      </c>
      <c r="I32" s="2" t="s">
        <v>31</v>
      </c>
      <c r="J32" s="6">
        <f t="shared" si="1"/>
        <v>122</v>
      </c>
      <c r="K32" s="4" t="str">
        <f t="shared" ca="1" si="2"/>
        <v>-</v>
      </c>
      <c r="L32" s="7">
        <f t="shared" ca="1" si="4"/>
        <v>0</v>
      </c>
      <c r="M32" s="4" t="str">
        <f>IF($I32="Complete","Green",IF($H32="","Amber",IF($H32&lt;'[2]Read Me'!$B$4,"Red",IF($H32-'[2]Read Me'!$B$4&lt;=21,"Amber","Green"))))</f>
        <v>Red</v>
      </c>
      <c r="N32" s="3"/>
      <c r="O32" t="str">
        <f>IF($I32&lt;&gt;"Complete",IF(COUNTIFS($A$4:$A31,$A32,$B$4:$B31,$B32,$I$4:$I31,"&lt;&gt;Complete")=0,$A32&amp;"|"&amp;$B32,""),"")</f>
        <v/>
      </c>
      <c r="P32" t="str">
        <f ca="1">IF($K32="Yes",COUNTIFS($K$4:$K32,"Yes"),"")</f>
        <v/>
      </c>
      <c r="Q32">
        <f t="shared" ca="1" si="3"/>
        <v>0</v>
      </c>
      <c r="R32" t="str">
        <f ca="1">IF($Q32=1,SUM($Q$4:$Q32),"")</f>
        <v/>
      </c>
    </row>
    <row r="33" spans="1:18" ht="14.25" customHeight="1" x14ac:dyDescent="0.3">
      <c r="A33" s="2" t="s">
        <v>52</v>
      </c>
      <c r="B33" s="2" t="s">
        <v>21</v>
      </c>
      <c r="C33" s="3" t="s">
        <v>53</v>
      </c>
      <c r="D33" s="3" t="s">
        <v>54</v>
      </c>
      <c r="E33" s="2"/>
      <c r="F33" s="2" t="s">
        <v>30</v>
      </c>
      <c r="G33" s="5"/>
      <c r="H33" s="5">
        <v>46182</v>
      </c>
      <c r="I33" s="2" t="s">
        <v>31</v>
      </c>
      <c r="J33" s="6" t="str">
        <f t="shared" si="1"/>
        <v/>
      </c>
      <c r="K33" s="4" t="str">
        <f t="shared" ca="1" si="2"/>
        <v>-</v>
      </c>
      <c r="L33" s="7">
        <f t="shared" ca="1" si="4"/>
        <v>0</v>
      </c>
      <c r="M33" s="4" t="str">
        <f>IF($I33="Complete","Green",IF($H33="","Amber",IF($H33&lt;'[2]Read Me'!$B$4,"Red",IF($H33-'[2]Read Me'!$B$4&lt;=21,"Amber","Green"))))</f>
        <v>Red</v>
      </c>
      <c r="N33" s="3"/>
      <c r="O33" t="str">
        <f>IF($I33&lt;&gt;"Complete",IF(COUNTIFS($A$4:$A32,$A33,$B$4:$B32,$B33,$I$4:$I32,"&lt;&gt;Complete")=0,$A33&amp;"|"&amp;$B33,""),"")</f>
        <v/>
      </c>
      <c r="P33" t="str">
        <f ca="1">IF($K33="Yes",COUNTIFS($K$4:$K33,"Yes"),"")</f>
        <v/>
      </c>
      <c r="Q33">
        <f t="shared" ca="1" si="3"/>
        <v>0</v>
      </c>
      <c r="R33" t="str">
        <f ca="1">IF($Q33=1,SUM($Q$4:$Q33),"")</f>
        <v/>
      </c>
    </row>
    <row r="34" spans="1:18" ht="14.25" customHeight="1" x14ac:dyDescent="0.3">
      <c r="A34" s="2" t="s">
        <v>52</v>
      </c>
      <c r="B34" s="2" t="s">
        <v>21</v>
      </c>
      <c r="C34" s="3" t="s">
        <v>53</v>
      </c>
      <c r="D34" s="3" t="s">
        <v>37</v>
      </c>
      <c r="E34" s="2"/>
      <c r="F34" s="2"/>
      <c r="G34" s="5"/>
      <c r="H34" s="5">
        <v>46183</v>
      </c>
      <c r="I34" s="2" t="s">
        <v>31</v>
      </c>
      <c r="J34" s="6" t="str">
        <f t="shared" si="1"/>
        <v/>
      </c>
      <c r="K34" s="4" t="str">
        <f t="shared" ca="1" si="2"/>
        <v>-</v>
      </c>
      <c r="L34" s="7">
        <f t="shared" ca="1" si="4"/>
        <v>0</v>
      </c>
      <c r="M34" s="4" t="str">
        <f>IF($I34="Complete","Green",IF($H34="","Amber",IF($H34&lt;'[2]Read Me'!$B$4,"Red",IF($H34-'[2]Read Me'!$B$4&lt;=21,"Amber","Green"))))</f>
        <v>Red</v>
      </c>
      <c r="N34" s="3"/>
      <c r="O34" t="str">
        <f>IF($I34&lt;&gt;"Complete",IF(COUNTIFS($A$4:$A33,$A34,$B$4:$B33,$B34,$I$4:$I33,"&lt;&gt;Complete")=0,$A34&amp;"|"&amp;$B34,""),"")</f>
        <v/>
      </c>
      <c r="P34" t="str">
        <f ca="1">IF($K34="Yes",COUNTIFS($K$4:$K34,"Yes"),"")</f>
        <v/>
      </c>
      <c r="Q34">
        <f t="shared" ca="1" si="3"/>
        <v>0</v>
      </c>
      <c r="R34" t="str">
        <f ca="1">IF($Q34=1,SUM($Q$4:$Q34),"")</f>
        <v/>
      </c>
    </row>
    <row r="35" spans="1:18" ht="14.25" customHeight="1" x14ac:dyDescent="0.3">
      <c r="A35" s="2" t="s">
        <v>52</v>
      </c>
      <c r="B35" s="2" t="s">
        <v>21</v>
      </c>
      <c r="C35" s="3" t="s">
        <v>53</v>
      </c>
      <c r="D35" s="3" t="s">
        <v>55</v>
      </c>
      <c r="E35" s="2"/>
      <c r="F35" s="2" t="s">
        <v>30</v>
      </c>
      <c r="G35" s="5"/>
      <c r="H35" s="5">
        <v>46187</v>
      </c>
      <c r="I35" s="2" t="s">
        <v>31</v>
      </c>
      <c r="J35" s="6" t="str">
        <f t="shared" si="1"/>
        <v/>
      </c>
      <c r="K35" s="4" t="str">
        <f t="shared" ca="1" si="2"/>
        <v>-</v>
      </c>
      <c r="L35" s="7">
        <f t="shared" ca="1" si="4"/>
        <v>0</v>
      </c>
      <c r="M35" s="4" t="str">
        <f>IF($I35="Complete","Green",IF($H35="","Amber",IF($H35&lt;'[2]Read Me'!$B$4,"Red",IF($H35-'[2]Read Me'!$B$4&lt;=21,"Amber","Green"))))</f>
        <v>Amber</v>
      </c>
      <c r="N35" s="3"/>
      <c r="O35" t="str">
        <f>IF($I35&lt;&gt;"Complete",IF(COUNTIFS($A$4:$A34,$A35,$B$4:$B34,$B35,$I$4:$I34,"&lt;&gt;Complete")=0,$A35&amp;"|"&amp;$B35,""),"")</f>
        <v/>
      </c>
      <c r="P35" t="str">
        <f ca="1">IF($K35="Yes",COUNTIFS($K$4:$K35,"Yes"),"")</f>
        <v/>
      </c>
      <c r="Q35">
        <f t="shared" ca="1" si="3"/>
        <v>0</v>
      </c>
      <c r="R35" t="str">
        <f ca="1">IF($Q35=1,SUM($Q$4:$Q35),"")</f>
        <v/>
      </c>
    </row>
    <row r="36" spans="1:18" ht="14.25" customHeight="1" x14ac:dyDescent="0.3">
      <c r="A36" s="2" t="s">
        <v>52</v>
      </c>
      <c r="B36" s="2" t="s">
        <v>21</v>
      </c>
      <c r="C36" s="3" t="s">
        <v>53</v>
      </c>
      <c r="D36" s="3" t="s">
        <v>37</v>
      </c>
      <c r="E36" s="2"/>
      <c r="F36" s="2"/>
      <c r="G36" s="5"/>
      <c r="H36" s="5">
        <v>46190</v>
      </c>
      <c r="I36" s="2" t="s">
        <v>31</v>
      </c>
      <c r="J36" s="6" t="str">
        <f t="shared" si="1"/>
        <v/>
      </c>
      <c r="K36" s="4" t="str">
        <f t="shared" ca="1" si="2"/>
        <v>-</v>
      </c>
      <c r="L36" s="7">
        <f t="shared" ca="1" si="4"/>
        <v>0</v>
      </c>
      <c r="M36" s="4" t="str">
        <f>IF($I36="Complete","Green",IF($H36="","Amber",IF($H36&lt;'[2]Read Me'!$B$4,"Red",IF($H36-'[2]Read Me'!$B$4&lt;=21,"Amber","Green"))))</f>
        <v>Amber</v>
      </c>
      <c r="N36" s="3"/>
      <c r="O36" t="str">
        <f>IF($I36&lt;&gt;"Complete",IF(COUNTIFS($A$4:$A35,$A36,$B$4:$B35,$B36,$I$4:$I35,"&lt;&gt;Complete")=0,$A36&amp;"|"&amp;$B36,""),"")</f>
        <v/>
      </c>
      <c r="P36" t="str">
        <f ca="1">IF($K36="Yes",COUNTIFS($K$4:$K36,"Yes"),"")</f>
        <v/>
      </c>
      <c r="Q36">
        <f t="shared" ca="1" si="3"/>
        <v>0</v>
      </c>
      <c r="R36" t="str">
        <f ca="1">IF($Q36=1,SUM($Q$4:$Q36),"")</f>
        <v/>
      </c>
    </row>
    <row r="37" spans="1:18" ht="14.25" customHeight="1" x14ac:dyDescent="0.3">
      <c r="A37" s="2" t="s">
        <v>56</v>
      </c>
      <c r="B37" s="2" t="s">
        <v>23</v>
      </c>
      <c r="C37" s="3"/>
      <c r="D37" s="3"/>
      <c r="E37" s="2"/>
      <c r="F37" s="2"/>
      <c r="G37" s="5">
        <v>46054</v>
      </c>
      <c r="H37" s="5">
        <v>46093</v>
      </c>
      <c r="I37" s="2"/>
      <c r="J37" s="6">
        <f t="shared" si="1"/>
        <v>39</v>
      </c>
      <c r="K37" s="4" t="str">
        <f t="shared" ca="1" si="2"/>
        <v/>
      </c>
      <c r="L37" s="7">
        <f t="shared" ca="1" si="4"/>
        <v>-115</v>
      </c>
      <c r="M37" s="4" t="str">
        <f>IF($I37="Complete","Green",IF($H37="","Amber",IF($H37&lt;'[2]Read Me'!$B$4,"Red",IF($H37-'[2]Read Me'!$B$4&lt;=21,"Amber","Green"))))</f>
        <v>Red</v>
      </c>
      <c r="N37" s="3"/>
      <c r="O37" t="str">
        <f>IF($I37&lt;&gt;"Complete",IF(COUNTIFS($A$4:$A36,$A37,$B$4:$B36,$B37,$I$4:$I36,"&lt;&gt;Complete")=0,$A37&amp;"|"&amp;$B37,""),"")</f>
        <v>Fences &amp; Gates - Keys 52|Fences &amp; Gates</v>
      </c>
      <c r="P37" t="str">
        <f ca="1">IF($K37="Yes",COUNTIFS($K$4:$K37,"Yes"),"")</f>
        <v/>
      </c>
      <c r="Q37">
        <f t="shared" ca="1" si="3"/>
        <v>0</v>
      </c>
      <c r="R37" t="str">
        <f ca="1">IF($Q37=1,SUM($Q$4:$Q37),"")</f>
        <v/>
      </c>
    </row>
    <row r="38" spans="1:18" ht="14.25" customHeight="1" x14ac:dyDescent="0.3">
      <c r="A38" s="2" t="s">
        <v>56</v>
      </c>
      <c r="B38" s="2" t="s">
        <v>23</v>
      </c>
      <c r="C38" s="3" t="s">
        <v>23</v>
      </c>
      <c r="D38" s="3" t="s">
        <v>57</v>
      </c>
      <c r="E38" s="2"/>
      <c r="F38" s="2" t="s">
        <v>30</v>
      </c>
      <c r="G38" s="5">
        <v>46033</v>
      </c>
      <c r="H38" s="5">
        <v>46076</v>
      </c>
      <c r="I38" s="2" t="s">
        <v>31</v>
      </c>
      <c r="J38" s="6">
        <f t="shared" si="1"/>
        <v>43</v>
      </c>
      <c r="K38" s="4" t="str">
        <f t="shared" ca="1" si="2"/>
        <v>-</v>
      </c>
      <c r="L38" s="7">
        <f t="shared" ca="1" si="4"/>
        <v>0</v>
      </c>
      <c r="M38" s="4" t="str">
        <f>IF($I38="Complete","Green",IF($H38="","Amber",IF($H38&lt;'[2]Read Me'!$B$4,"Red",IF($H38-'[2]Read Me'!$B$4&lt;=21,"Amber","Green"))))</f>
        <v>Red</v>
      </c>
      <c r="N38" s="3"/>
      <c r="O38" t="str">
        <f>IF($I38&lt;&gt;"Complete",IF(COUNTIFS($A$4:$A37,$A38,$B$4:$B37,$B38,$I$4:$I37,"&lt;&gt;Complete")=0,$A38&amp;"|"&amp;$B38,""),"")</f>
        <v/>
      </c>
      <c r="P38" t="str">
        <f ca="1">IF($K38="Yes",COUNTIFS($K$4:$K38,"Yes"),"")</f>
        <v/>
      </c>
      <c r="Q38">
        <f t="shared" ca="1" si="3"/>
        <v>0</v>
      </c>
      <c r="R38" t="str">
        <f ca="1">IF($Q38=1,SUM($Q$4:$Q38),"")</f>
        <v/>
      </c>
    </row>
    <row r="39" spans="1:18" ht="14.25" customHeight="1" x14ac:dyDescent="0.3">
      <c r="A39" s="2" t="s">
        <v>56</v>
      </c>
      <c r="B39" s="2" t="s">
        <v>23</v>
      </c>
      <c r="C39" s="3" t="s">
        <v>23</v>
      </c>
      <c r="D39" s="3" t="s">
        <v>58</v>
      </c>
      <c r="E39" s="2"/>
      <c r="F39" s="2"/>
      <c r="G39" s="5">
        <v>46040</v>
      </c>
      <c r="H39" s="5">
        <v>46079</v>
      </c>
      <c r="I39" s="2" t="s">
        <v>31</v>
      </c>
      <c r="J39" s="6">
        <f t="shared" si="1"/>
        <v>39</v>
      </c>
      <c r="K39" s="4" t="str">
        <f t="shared" ca="1" si="2"/>
        <v>-</v>
      </c>
      <c r="L39" s="7">
        <f t="shared" ca="1" si="4"/>
        <v>0</v>
      </c>
      <c r="M39" s="4" t="str">
        <f>IF($I39="Complete","Green",IF($H39="","Amber",IF($H39&lt;'[2]Read Me'!$B$4,"Red",IF($H39-'[2]Read Me'!$B$4&lt;=21,"Amber","Green"))))</f>
        <v>Red</v>
      </c>
      <c r="N39" s="3"/>
      <c r="O39" t="str">
        <f>IF($I39&lt;&gt;"Complete",IF(COUNTIFS($A$4:$A38,$A39,$B$4:$B38,$B39,$I$4:$I38,"&lt;&gt;Complete")=0,$A39&amp;"|"&amp;$B39,""),"")</f>
        <v/>
      </c>
      <c r="P39" t="str">
        <f ca="1">IF($K39="Yes",COUNTIFS($K$4:$K39,"Yes"),"")</f>
        <v/>
      </c>
      <c r="Q39">
        <f t="shared" ca="1" si="3"/>
        <v>0</v>
      </c>
      <c r="R39" t="str">
        <f ca="1">IF($Q39=1,SUM($Q$4:$Q39),"")</f>
        <v/>
      </c>
    </row>
    <row r="40" spans="1:18" ht="14.25" customHeight="1" x14ac:dyDescent="0.3">
      <c r="A40" s="2"/>
      <c r="B40" s="2"/>
      <c r="C40" s="3"/>
      <c r="D40" s="3"/>
      <c r="E40" s="2"/>
      <c r="F40" s="2"/>
      <c r="G40" s="5"/>
      <c r="H40" s="5"/>
      <c r="I40" s="2"/>
      <c r="J40" s="6" t="str">
        <f t="shared" si="1"/>
        <v/>
      </c>
      <c r="K40" s="4" t="str">
        <f t="shared" ca="1" si="2"/>
        <v/>
      </c>
      <c r="L40" s="7" t="str">
        <f t="shared" ca="1" si="4"/>
        <v/>
      </c>
      <c r="M40" s="4" t="str">
        <f>IF($I40="Complete","Green",IF($H40="","Amber",IF($H40&lt;'[2]Read Me'!$B$4,"Red",IF($H40-'[2]Read Me'!$B$4&lt;=21,"Amber","Green"))))</f>
        <v>Amber</v>
      </c>
      <c r="N40" s="3"/>
      <c r="O40" t="str">
        <f>IF($I40&lt;&gt;"Complete",IF(COUNTIFS($A$4:$A39,$A40,$B$4:$B39,$B40,$I$4:$I39,"&lt;&gt;Complete")=0,$A40&amp;"|"&amp;$B40,""),"")</f>
        <v>|</v>
      </c>
      <c r="P40" t="str">
        <f ca="1">IF($K40="Yes",COUNTIFS($K$4:$K40,"Yes"),"")</f>
        <v/>
      </c>
      <c r="Q40">
        <f t="shared" ca="1" si="3"/>
        <v>0</v>
      </c>
      <c r="R40" t="str">
        <f ca="1">IF($Q40=1,SUM($Q$4:$Q40),"")</f>
        <v/>
      </c>
    </row>
    <row r="41" spans="1:18" ht="14.25" customHeight="1" x14ac:dyDescent="0.3">
      <c r="A41" s="2"/>
      <c r="B41" s="2"/>
      <c r="C41" s="3"/>
      <c r="D41" s="3"/>
      <c r="E41" s="2"/>
      <c r="F41" s="2"/>
      <c r="G41" s="5"/>
      <c r="H41" s="5"/>
      <c r="I41" s="2"/>
      <c r="J41" s="6" t="str">
        <f t="shared" si="1"/>
        <v/>
      </c>
      <c r="K41" s="4" t="str">
        <f t="shared" ca="1" si="2"/>
        <v/>
      </c>
      <c r="L41" s="7" t="str">
        <f t="shared" ca="1" si="4"/>
        <v/>
      </c>
      <c r="M41" s="4" t="str">
        <f>IF($I41="Complete","Green",IF($H41="","Amber",IF($H41&lt;'[2]Read Me'!$B$4,"Red",IF($H41-'[2]Read Me'!$B$4&lt;=21,"Amber","Green"))))</f>
        <v>Amber</v>
      </c>
      <c r="N41" s="3"/>
      <c r="O41" t="str">
        <f>IF($I41&lt;&gt;"Complete",IF(COUNTIFS($A$4:$A40,$A41,$B$4:$B40,$B41,$I$4:$I40,"&lt;&gt;Complete")=0,$A41&amp;"|"&amp;$B41,""),"")</f>
        <v>|</v>
      </c>
      <c r="P41" t="str">
        <f ca="1">IF($K41="Yes",COUNTIFS($K$4:$K41,"Yes"),"")</f>
        <v/>
      </c>
      <c r="Q41">
        <f t="shared" ca="1" si="3"/>
        <v>0</v>
      </c>
      <c r="R41" t="str">
        <f ca="1">IF($Q41=1,SUM($Q$4:$Q41),"")</f>
        <v/>
      </c>
    </row>
    <row r="42" spans="1:18" ht="22.5" customHeight="1" x14ac:dyDescent="0.3">
      <c r="A42" s="2"/>
      <c r="B42" s="2"/>
      <c r="C42" s="3"/>
      <c r="D42" s="3"/>
      <c r="E42" s="2"/>
      <c r="F42" s="2"/>
      <c r="G42" s="5"/>
      <c r="H42" s="5"/>
      <c r="I42" s="2"/>
      <c r="J42" s="6" t="str">
        <f t="shared" si="1"/>
        <v/>
      </c>
      <c r="K42" s="4" t="str">
        <f t="shared" ca="1" si="2"/>
        <v/>
      </c>
      <c r="L42" s="7" t="str">
        <f t="shared" ca="1" si="4"/>
        <v/>
      </c>
      <c r="M42" s="4" t="str">
        <f>IF($I42="Complete","Green",IF($H42="","Amber",IF($H42&lt;'[2]Read Me'!$B$4,"Red",IF($H42-'[2]Read Me'!$B$4&lt;=21,"Amber","Green"))))</f>
        <v>Amber</v>
      </c>
      <c r="N42" s="3"/>
      <c r="O42" t="str">
        <f>IF($I42&lt;&gt;"Complete",IF(COUNTIFS($A$4:$A41,$A42,$B$4:$B41,$B42,$I$4:$I41,"&lt;&gt;Complete")=0,$A42&amp;"|"&amp;$B42,""),"")</f>
        <v>|</v>
      </c>
      <c r="P42" t="str">
        <f ca="1">IF($K42="Yes",COUNTIFS($K$4:$K42,"Yes"),"")</f>
        <v/>
      </c>
      <c r="Q42">
        <f t="shared" ca="1" si="3"/>
        <v>0</v>
      </c>
      <c r="R42" t="str">
        <f ca="1">IF($Q42=1,SUM($Q$4:$Q42),"")</f>
        <v/>
      </c>
    </row>
    <row r="43" spans="1:18" ht="22.5" customHeight="1" x14ac:dyDescent="0.3">
      <c r="A43" s="2"/>
      <c r="B43" s="2"/>
      <c r="C43" s="3"/>
      <c r="D43" s="3"/>
      <c r="E43" s="2"/>
      <c r="F43" s="2"/>
      <c r="G43" s="5"/>
      <c r="H43" s="5"/>
      <c r="I43" s="2"/>
      <c r="J43" s="6" t="str">
        <f t="shared" si="1"/>
        <v/>
      </c>
      <c r="K43" s="4" t="str">
        <f t="shared" ca="1" si="2"/>
        <v/>
      </c>
      <c r="L43" s="7" t="str">
        <f t="shared" ca="1" si="4"/>
        <v/>
      </c>
      <c r="M43" s="4" t="str">
        <f>IF($I43="Complete","Green",IF($H43="","Amber",IF($H43&lt;'[2]Read Me'!$B$4,"Red",IF($H43-'[2]Read Me'!$B$4&lt;=21,"Amber","Green"))))</f>
        <v>Amber</v>
      </c>
      <c r="N43" s="3"/>
      <c r="O43" t="str">
        <f>IF($I43&lt;&gt;"Complete",IF(COUNTIFS($A$4:$A42,$A43,$B$4:$B42,$B43,$I$4:$I42,"&lt;&gt;Complete")=0,$A43&amp;"|"&amp;$B43,""),"")</f>
        <v>|</v>
      </c>
      <c r="P43" t="str">
        <f ca="1">IF($K43="Yes",COUNTIFS($K$4:$K43,"Yes"),"")</f>
        <v/>
      </c>
      <c r="Q43">
        <f t="shared" ca="1" si="3"/>
        <v>0</v>
      </c>
      <c r="R43" t="str">
        <f ca="1">IF($Q43=1,SUM($Q$4:$Q43),"")</f>
        <v/>
      </c>
    </row>
    <row r="44" spans="1:18" ht="14.25" customHeight="1" x14ac:dyDescent="0.3">
      <c r="A44" s="2"/>
      <c r="B44" s="2"/>
      <c r="C44" s="3"/>
      <c r="D44" s="3"/>
      <c r="E44" s="2"/>
      <c r="F44" s="2"/>
      <c r="G44" s="5"/>
      <c r="H44" s="5"/>
      <c r="I44" s="4"/>
      <c r="J44" s="6" t="str">
        <f t="shared" si="1"/>
        <v/>
      </c>
      <c r="K44" s="4" t="str">
        <f t="shared" ca="1" si="2"/>
        <v/>
      </c>
      <c r="L44" s="7" t="str">
        <f t="shared" ca="1" si="4"/>
        <v/>
      </c>
      <c r="M44" s="4" t="str">
        <f>IF($I44="Complete","Green",IF($H44="","Amber",IF($H44&lt;'[2]Read Me'!$B$4,"Red",IF($H44-'[2]Read Me'!$B$4&lt;=21,"Amber","Green"))))</f>
        <v>Amber</v>
      </c>
      <c r="N44" s="3"/>
      <c r="O44" t="str">
        <f>IF($I44&lt;&gt;"Complete",IF(COUNTIFS($A$4:$A43,$A44,$B$4:$B43,$B44,$I$4:$I43,"&lt;&gt;Complete")=0,$A44&amp;"|"&amp;$B44,""),"")</f>
        <v>|</v>
      </c>
      <c r="P44" t="str">
        <f ca="1">IF($K44="Yes",COUNTIFS($K$4:$K44,"Yes"),"")</f>
        <v/>
      </c>
      <c r="Q44">
        <f t="shared" ca="1" si="3"/>
        <v>0</v>
      </c>
      <c r="R44" t="str">
        <f ca="1">IF($Q44=1,SUM($Q$4:$Q44),"")</f>
        <v/>
      </c>
    </row>
    <row r="45" spans="1:18" ht="14.25" customHeight="1" x14ac:dyDescent="0.3">
      <c r="A45" s="2"/>
      <c r="B45" s="2"/>
      <c r="C45" s="3"/>
      <c r="D45" s="3"/>
      <c r="E45" s="2"/>
      <c r="F45" s="2"/>
      <c r="G45" s="5"/>
      <c r="H45" s="5"/>
      <c r="I45" s="4"/>
      <c r="J45" s="6" t="str">
        <f t="shared" si="1"/>
        <v/>
      </c>
      <c r="K45" s="4" t="str">
        <f t="shared" ca="1" si="2"/>
        <v/>
      </c>
      <c r="L45" s="7" t="str">
        <f t="shared" ca="1" si="4"/>
        <v/>
      </c>
      <c r="M45" s="4" t="str">
        <f>IF($I45="Complete","Green",IF($H45="","Amber",IF($H45&lt;'[2]Read Me'!$B$4,"Red",IF($H45-'[2]Read Me'!$B$4&lt;=21,"Amber","Green"))))</f>
        <v>Amber</v>
      </c>
      <c r="N45" s="3"/>
      <c r="O45" t="str">
        <f>IF($I45&lt;&gt;"Complete",IF(COUNTIFS($A$4:$A44,$A45,$B$4:$B44,$B45,$I$4:$I44,"&lt;&gt;Complete")=0,$A45&amp;"|"&amp;$B45,""),"")</f>
        <v>|</v>
      </c>
      <c r="P45" t="str">
        <f ca="1">IF($K45="Yes",COUNTIFS($K$4:$K45,"Yes"),"")</f>
        <v/>
      </c>
      <c r="Q45">
        <f t="shared" ca="1" si="3"/>
        <v>0</v>
      </c>
      <c r="R45" t="str">
        <f ca="1">IF($Q45=1,SUM($Q$4:$Q45),"")</f>
        <v/>
      </c>
    </row>
    <row r="46" spans="1:18" ht="22.5" customHeight="1" x14ac:dyDescent="0.3">
      <c r="A46" s="2"/>
      <c r="B46" s="2"/>
      <c r="C46" s="3"/>
      <c r="D46" s="3"/>
      <c r="E46" s="2"/>
      <c r="F46" s="2"/>
      <c r="G46" s="5"/>
      <c r="H46" s="5"/>
      <c r="I46" s="4"/>
      <c r="J46" s="6" t="str">
        <f t="shared" si="1"/>
        <v/>
      </c>
      <c r="K46" s="4" t="str">
        <f t="shared" ca="1" si="2"/>
        <v/>
      </c>
      <c r="L46" s="7" t="str">
        <f t="shared" ca="1" si="4"/>
        <v/>
      </c>
      <c r="M46" s="4" t="str">
        <f>IF($I46="Complete","Green",IF($H46="","Amber",IF($H46&lt;'[2]Read Me'!$B$4,"Red",IF($H46-'[2]Read Me'!$B$4&lt;=21,"Amber","Green"))))</f>
        <v>Amber</v>
      </c>
      <c r="N46" s="3"/>
      <c r="O46" t="str">
        <f>IF($I46&lt;&gt;"Complete",IF(COUNTIFS($A$4:$A45,$A46,$B$4:$B45,$B46,$I$4:$I45,"&lt;&gt;Complete")=0,$A46&amp;"|"&amp;$B46,""),"")</f>
        <v>|</v>
      </c>
      <c r="P46" t="str">
        <f ca="1">IF($K46="Yes",COUNTIFS($K$4:$K46,"Yes"),"")</f>
        <v/>
      </c>
      <c r="Q46">
        <f t="shared" ca="1" si="3"/>
        <v>0</v>
      </c>
      <c r="R46" t="str">
        <f ca="1">IF($Q46=1,SUM($Q$4:$Q46),"")</f>
        <v/>
      </c>
    </row>
    <row r="47" spans="1:18" ht="14.25" customHeight="1" x14ac:dyDescent="0.3">
      <c r="A47" s="2"/>
      <c r="B47" s="2"/>
      <c r="C47" s="3"/>
      <c r="D47" s="3"/>
      <c r="E47" s="2"/>
      <c r="F47" s="2"/>
      <c r="G47" s="5"/>
      <c r="H47" s="5"/>
      <c r="I47" s="4"/>
      <c r="J47" s="6" t="str">
        <f t="shared" si="1"/>
        <v/>
      </c>
      <c r="K47" s="4" t="str">
        <f t="shared" ca="1" si="2"/>
        <v/>
      </c>
      <c r="L47" s="7" t="str">
        <f t="shared" ca="1" si="4"/>
        <v/>
      </c>
      <c r="M47" s="4" t="str">
        <f>IF($I47="Complete","Green",IF($H47="","Amber",IF($H47&lt;'[2]Read Me'!$B$4,"Red",IF($H47-'[2]Read Me'!$B$4&lt;=21,"Amber","Green"))))</f>
        <v>Amber</v>
      </c>
      <c r="N47" s="3"/>
      <c r="O47" t="str">
        <f>IF($I47&lt;&gt;"Complete",IF(COUNTIFS($A$4:$A46,$A47,$B$4:$B46,$B47,$I$4:$I46,"&lt;&gt;Complete")=0,$A47&amp;"|"&amp;$B47,""),"")</f>
        <v>|</v>
      </c>
      <c r="P47" t="str">
        <f ca="1">IF($K47="Yes",COUNTIFS($K$4:$K47,"Yes"),"")</f>
        <v/>
      </c>
      <c r="Q47">
        <f t="shared" ca="1" si="3"/>
        <v>0</v>
      </c>
      <c r="R47" t="str">
        <f ca="1">IF($Q47=1,SUM($Q$4:$Q47),"")</f>
        <v/>
      </c>
    </row>
    <row r="48" spans="1:18" ht="14.25" customHeight="1" x14ac:dyDescent="0.3">
      <c r="A48" s="2"/>
      <c r="B48" s="2"/>
      <c r="C48" s="3"/>
      <c r="D48" s="3"/>
      <c r="E48" s="2"/>
      <c r="F48" s="2"/>
      <c r="G48" s="5"/>
      <c r="H48" s="5"/>
      <c r="I48" s="4"/>
      <c r="J48" s="6" t="str">
        <f t="shared" si="1"/>
        <v/>
      </c>
      <c r="K48" s="4" t="str">
        <f t="shared" ca="1" si="2"/>
        <v/>
      </c>
      <c r="L48" s="7" t="str">
        <f t="shared" ca="1" si="4"/>
        <v/>
      </c>
      <c r="M48" s="4" t="str">
        <f>IF($I48="Complete","Green",IF($H48="","Amber",IF($H48&lt;'[2]Read Me'!$B$4,"Red",IF($H48-'[2]Read Me'!$B$4&lt;=21,"Amber","Green"))))</f>
        <v>Amber</v>
      </c>
      <c r="N48" s="3"/>
      <c r="O48" t="str">
        <f>IF($I48&lt;&gt;"Complete",IF(COUNTIFS($A$4:$A47,$A48,$B$4:$B47,$B48,$I$4:$I47,"&lt;&gt;Complete")=0,$A48&amp;"|"&amp;$B48,""),"")</f>
        <v>|</v>
      </c>
      <c r="P48" t="str">
        <f ca="1">IF($K48="Yes",COUNTIFS($K$4:$K48,"Yes"),"")</f>
        <v/>
      </c>
      <c r="Q48">
        <f t="shared" ca="1" si="3"/>
        <v>0</v>
      </c>
      <c r="R48" t="str">
        <f ca="1">IF($Q48=1,SUM($Q$4:$Q48),"")</f>
        <v/>
      </c>
    </row>
    <row r="49" spans="1:18" ht="14.25" customHeight="1" x14ac:dyDescent="0.3">
      <c r="A49" s="2"/>
      <c r="B49" s="2"/>
      <c r="C49" s="3"/>
      <c r="D49" s="3"/>
      <c r="E49" s="2"/>
      <c r="F49" s="2"/>
      <c r="G49" s="5"/>
      <c r="H49" s="5"/>
      <c r="I49" s="4"/>
      <c r="J49" s="6" t="str">
        <f t="shared" si="1"/>
        <v/>
      </c>
      <c r="K49" s="4" t="str">
        <f t="shared" ca="1" si="2"/>
        <v/>
      </c>
      <c r="L49" s="7" t="str">
        <f t="shared" ca="1" si="4"/>
        <v/>
      </c>
      <c r="M49" s="4" t="str">
        <f>IF($I49="Complete","Green",IF($H49="","Amber",IF($H49&lt;'[2]Read Me'!$B$4,"Red",IF($H49-'[2]Read Me'!$B$4&lt;=21,"Amber","Green"))))</f>
        <v>Amber</v>
      </c>
      <c r="N49" s="3"/>
      <c r="O49" t="str">
        <f>IF($I49&lt;&gt;"Complete",IF(COUNTIFS($A$4:$A48,$A49,$B$4:$B48,$B49,$I$4:$I48,"&lt;&gt;Complete")=0,$A49&amp;"|"&amp;$B49,""),"")</f>
        <v>|</v>
      </c>
      <c r="P49" t="str">
        <f ca="1">IF($K49="Yes",COUNTIFS($K$4:$K49,"Yes"),"")</f>
        <v/>
      </c>
      <c r="Q49">
        <f t="shared" ca="1" si="3"/>
        <v>0</v>
      </c>
      <c r="R49" t="str">
        <f ca="1">IF($Q49=1,SUM($Q$4:$Q49),"")</f>
        <v/>
      </c>
    </row>
    <row r="50" spans="1:18" ht="14.25" customHeight="1" x14ac:dyDescent="0.3">
      <c r="A50" s="2"/>
      <c r="B50" s="2"/>
      <c r="C50" s="3"/>
      <c r="D50" s="3"/>
      <c r="E50" s="2"/>
      <c r="F50" s="2"/>
      <c r="G50" s="5"/>
      <c r="H50" s="5"/>
      <c r="I50" s="4"/>
      <c r="J50" s="6" t="str">
        <f t="shared" si="1"/>
        <v/>
      </c>
      <c r="K50" s="4" t="str">
        <f t="shared" ca="1" si="2"/>
        <v/>
      </c>
      <c r="L50" s="7" t="str">
        <f t="shared" ca="1" si="4"/>
        <v/>
      </c>
      <c r="M50" s="4" t="str">
        <f>IF($I50="Complete","Green",IF($H50="","Amber",IF($H50&lt;'[2]Read Me'!$B$4,"Red",IF($H50-'[2]Read Me'!$B$4&lt;=21,"Amber","Green"))))</f>
        <v>Amber</v>
      </c>
      <c r="N50" s="3"/>
      <c r="O50" t="str">
        <f>IF($I50&lt;&gt;"Complete",IF(COUNTIFS($A$4:$A49,$A50,$B$4:$B49,$B50,$I$4:$I49,"&lt;&gt;Complete")=0,$A50&amp;"|"&amp;$B50,""),"")</f>
        <v>|</v>
      </c>
      <c r="P50" t="str">
        <f ca="1">IF($K50="Yes",COUNTIFS($K$4:$K50,"Yes"),"")</f>
        <v/>
      </c>
      <c r="Q50">
        <f t="shared" ca="1" si="3"/>
        <v>0</v>
      </c>
      <c r="R50" t="str">
        <f ca="1">IF($Q50=1,SUM($Q$4:$Q50),"")</f>
        <v/>
      </c>
    </row>
    <row r="51" spans="1:18" ht="22.5" customHeight="1" x14ac:dyDescent="0.3">
      <c r="A51" s="2"/>
      <c r="B51" s="2"/>
      <c r="C51" s="3"/>
      <c r="D51" s="3"/>
      <c r="E51" s="2"/>
      <c r="F51" s="2"/>
      <c r="G51" s="5"/>
      <c r="H51" s="5"/>
      <c r="I51" s="4"/>
      <c r="J51" s="6" t="str">
        <f t="shared" si="1"/>
        <v/>
      </c>
      <c r="K51" s="4" t="str">
        <f t="shared" ca="1" si="2"/>
        <v/>
      </c>
      <c r="L51" s="7" t="str">
        <f t="shared" ca="1" si="4"/>
        <v/>
      </c>
      <c r="M51" s="4" t="str">
        <f>IF($I51="Complete","Green",IF($H51="","Amber",IF($H51&lt;'[2]Read Me'!$B$4,"Red",IF($H51-'[2]Read Me'!$B$4&lt;=21,"Amber","Green"))))</f>
        <v>Amber</v>
      </c>
      <c r="N51" s="3"/>
      <c r="O51" t="str">
        <f>IF($I51&lt;&gt;"Complete",IF(COUNTIFS($A$4:$A50,$A51,$B$4:$B50,$B51,$I$4:$I50,"&lt;&gt;Complete")=0,$A51&amp;"|"&amp;$B51,""),"")</f>
        <v>|</v>
      </c>
      <c r="P51" t="str">
        <f ca="1">IF($K51="Yes",COUNTIFS($K$4:$K51,"Yes"),"")</f>
        <v/>
      </c>
      <c r="Q51">
        <f t="shared" ca="1" si="3"/>
        <v>0</v>
      </c>
      <c r="R51" t="str">
        <f ca="1">IF($Q51=1,SUM($Q$4:$Q51),"")</f>
        <v/>
      </c>
    </row>
    <row r="52" spans="1:18" ht="33.75" customHeight="1" x14ac:dyDescent="0.3">
      <c r="A52" s="2"/>
      <c r="B52" s="2"/>
      <c r="C52" s="3"/>
      <c r="D52" s="3"/>
      <c r="E52" s="2"/>
      <c r="F52" s="2"/>
      <c r="G52" s="5"/>
      <c r="H52" s="5"/>
      <c r="I52" s="4"/>
      <c r="J52" s="6" t="str">
        <f t="shared" si="1"/>
        <v/>
      </c>
      <c r="K52" s="4" t="str">
        <f t="shared" ca="1" si="2"/>
        <v/>
      </c>
      <c r="L52" s="7" t="str">
        <f t="shared" ca="1" si="4"/>
        <v/>
      </c>
      <c r="M52" s="4" t="str">
        <f>IF($I52="Complete","Green",IF($H52="","Amber",IF($H52&lt;'[2]Read Me'!$B$4,"Red",IF($H52-'[2]Read Me'!$B$4&lt;=21,"Amber","Green"))))</f>
        <v>Amber</v>
      </c>
      <c r="N52" s="3"/>
      <c r="O52" t="str">
        <f>IF($I52&lt;&gt;"Complete",IF(COUNTIFS($A$4:$A51,$A52,$B$4:$B51,$B52,$I$4:$I51,"&lt;&gt;Complete")=0,$A52&amp;"|"&amp;$B52,""),"")</f>
        <v>|</v>
      </c>
      <c r="P52" t="str">
        <f ca="1">IF($K52="Yes",COUNTIFS($K$4:$K52,"Yes"),"")</f>
        <v/>
      </c>
      <c r="Q52">
        <f t="shared" ca="1" si="3"/>
        <v>0</v>
      </c>
      <c r="R52" t="str">
        <f ca="1">IF($Q52=1,SUM($Q$4:$Q52),"")</f>
        <v/>
      </c>
    </row>
    <row r="53" spans="1:18" ht="14.25" customHeight="1" x14ac:dyDescent="0.3">
      <c r="A53" s="2"/>
      <c r="B53" s="2"/>
      <c r="C53" s="3"/>
      <c r="D53" s="3"/>
      <c r="E53" s="2"/>
      <c r="F53" s="2"/>
      <c r="G53" s="5"/>
      <c r="H53" s="5"/>
      <c r="I53" s="4"/>
      <c r="J53" s="6" t="str">
        <f t="shared" si="1"/>
        <v/>
      </c>
      <c r="K53" s="4" t="str">
        <f t="shared" ca="1" si="2"/>
        <v/>
      </c>
      <c r="L53" s="7" t="str">
        <f t="shared" ca="1" si="4"/>
        <v/>
      </c>
      <c r="M53" s="4" t="str">
        <f>IF($I53="Complete","Green",IF($H53="","Amber",IF($H53&lt;'[2]Read Me'!$B$4,"Red",IF($H53-'[2]Read Me'!$B$4&lt;=21,"Amber","Green"))))</f>
        <v>Amber</v>
      </c>
      <c r="N53" s="3"/>
      <c r="O53" t="str">
        <f>IF($I53&lt;&gt;"Complete",IF(COUNTIFS($A$4:$A52,$A53,$B$4:$B52,$B53,$I$4:$I52,"&lt;&gt;Complete")=0,$A53&amp;"|"&amp;$B53,""),"")</f>
        <v>|</v>
      </c>
      <c r="P53" t="str">
        <f ca="1">IF($K53="Yes",COUNTIFS($K$4:$K53,"Yes"),"")</f>
        <v/>
      </c>
      <c r="Q53">
        <f t="shared" ca="1" si="3"/>
        <v>0</v>
      </c>
      <c r="R53" t="str">
        <f ca="1">IF($Q53=1,SUM($Q$4:$Q53),"")</f>
        <v/>
      </c>
    </row>
    <row r="54" spans="1:18" ht="14.25" customHeight="1" x14ac:dyDescent="0.3">
      <c r="A54" s="2"/>
      <c r="B54" s="2"/>
      <c r="C54" s="3"/>
      <c r="D54" s="3"/>
      <c r="E54" s="2"/>
      <c r="F54" s="2"/>
      <c r="G54" s="5"/>
      <c r="H54" s="5"/>
      <c r="I54" s="4"/>
      <c r="J54" s="6" t="str">
        <f t="shared" si="1"/>
        <v/>
      </c>
      <c r="K54" s="4" t="str">
        <f t="shared" ca="1" si="2"/>
        <v/>
      </c>
      <c r="L54" s="7" t="str">
        <f t="shared" ca="1" si="4"/>
        <v/>
      </c>
      <c r="M54" s="4" t="str">
        <f>IF($I54="Complete","Green",IF($H54="","Amber",IF($H54&lt;'[2]Read Me'!$B$4,"Red",IF($H54-'[2]Read Me'!$B$4&lt;=21,"Amber","Green"))))</f>
        <v>Amber</v>
      </c>
      <c r="N54" s="3"/>
      <c r="O54" t="str">
        <f>IF($I54&lt;&gt;"Complete",IF(COUNTIFS($A$4:$A53,$A54,$B$4:$B53,$B54,$I$4:$I53,"&lt;&gt;Complete")=0,$A54&amp;"|"&amp;$B54,""),"")</f>
        <v>|</v>
      </c>
      <c r="P54" t="str">
        <f ca="1">IF($K54="Yes",COUNTIFS($K$4:$K54,"Yes"),"")</f>
        <v/>
      </c>
      <c r="Q54">
        <f t="shared" ca="1" si="3"/>
        <v>0</v>
      </c>
      <c r="R54" t="str">
        <f ca="1">IF($Q54=1,SUM($Q$4:$Q54),"")</f>
        <v/>
      </c>
    </row>
    <row r="55" spans="1:18" ht="14.25" customHeight="1" x14ac:dyDescent="0.3">
      <c r="A55" s="2"/>
      <c r="B55" s="2"/>
      <c r="C55" s="3"/>
      <c r="D55" s="3"/>
      <c r="E55" s="2"/>
      <c r="F55" s="2"/>
      <c r="G55" s="5"/>
      <c r="H55" s="5"/>
      <c r="I55" s="4"/>
      <c r="J55" s="6" t="str">
        <f t="shared" si="1"/>
        <v/>
      </c>
      <c r="K55" s="4" t="str">
        <f t="shared" ca="1" si="2"/>
        <v/>
      </c>
      <c r="L55" s="7" t="str">
        <f t="shared" ca="1" si="4"/>
        <v/>
      </c>
      <c r="M55" s="4" t="str">
        <f>IF($I55="Complete","Green",IF($H55="","Amber",IF($H55&lt;'[2]Read Me'!$B$4,"Red",IF($H55-'[2]Read Me'!$B$4&lt;=21,"Amber","Green"))))</f>
        <v>Amber</v>
      </c>
      <c r="N55" s="3"/>
      <c r="O55" t="str">
        <f>IF($I55&lt;&gt;"Complete",IF(COUNTIFS($A$4:$A54,$A55,$B$4:$B54,$B55,$I$4:$I54,"&lt;&gt;Complete")=0,$A55&amp;"|"&amp;$B55,""),"")</f>
        <v>|</v>
      </c>
      <c r="P55" t="str">
        <f ca="1">IF($K55="Yes",COUNTIFS($K$4:$K55,"Yes"),"")</f>
        <v/>
      </c>
      <c r="Q55">
        <f t="shared" ca="1" si="3"/>
        <v>0</v>
      </c>
      <c r="R55" t="str">
        <f ca="1">IF($Q55=1,SUM($Q$4:$Q55),"")</f>
        <v/>
      </c>
    </row>
    <row r="56" spans="1:18" ht="14.25" customHeight="1" x14ac:dyDescent="0.3">
      <c r="A56" s="2"/>
      <c r="B56" s="2"/>
      <c r="C56" s="3"/>
      <c r="D56" s="3"/>
      <c r="E56" s="2"/>
      <c r="F56" s="2"/>
      <c r="G56" s="5"/>
      <c r="H56" s="5"/>
      <c r="I56" s="4"/>
      <c r="J56" s="6" t="str">
        <f t="shared" si="1"/>
        <v/>
      </c>
      <c r="K56" s="4" t="str">
        <f t="shared" ca="1" si="2"/>
        <v/>
      </c>
      <c r="L56" s="7" t="str">
        <f t="shared" ca="1" si="4"/>
        <v/>
      </c>
      <c r="M56" s="4" t="str">
        <f>IF($I56="Complete","Green",IF($H56="","Amber",IF($H56&lt;'[2]Read Me'!$B$4,"Red",IF($H56-'[2]Read Me'!$B$4&lt;=21,"Amber","Green"))))</f>
        <v>Amber</v>
      </c>
      <c r="N56" s="3"/>
      <c r="O56" t="str">
        <f>IF($I56&lt;&gt;"Complete",IF(COUNTIFS($A$4:$A55,$A56,$B$4:$B55,$B56,$I$4:$I55,"&lt;&gt;Complete")=0,$A56&amp;"|"&amp;$B56,""),"")</f>
        <v>|</v>
      </c>
      <c r="P56" t="str">
        <f ca="1">IF($K56="Yes",COUNTIFS($K$4:$K56,"Yes"),"")</f>
        <v/>
      </c>
      <c r="Q56">
        <f t="shared" ca="1" si="3"/>
        <v>0</v>
      </c>
      <c r="R56" t="str">
        <f ca="1">IF($Q56=1,SUM($Q$4:$Q56),"")</f>
        <v/>
      </c>
    </row>
    <row r="57" spans="1:18" ht="14.25" customHeight="1" x14ac:dyDescent="0.3">
      <c r="A57" s="2"/>
      <c r="B57" s="2"/>
      <c r="C57" s="3"/>
      <c r="D57" s="3"/>
      <c r="E57" s="2"/>
      <c r="F57" s="2"/>
      <c r="G57" s="5"/>
      <c r="H57" s="5"/>
      <c r="I57" s="4"/>
      <c r="J57" s="6" t="str">
        <f t="shared" si="1"/>
        <v/>
      </c>
      <c r="K57" s="4" t="str">
        <f t="shared" ca="1" si="2"/>
        <v/>
      </c>
      <c r="L57" s="7" t="str">
        <f t="shared" ca="1" si="4"/>
        <v/>
      </c>
      <c r="M57" s="4" t="str">
        <f>IF($I57="Complete","Green",IF($H57="","Amber",IF($H57&lt;'[2]Read Me'!$B$4,"Red",IF($H57-'[2]Read Me'!$B$4&lt;=21,"Amber","Green"))))</f>
        <v>Amber</v>
      </c>
      <c r="N57" s="3"/>
      <c r="O57" t="str">
        <f>IF($I57&lt;&gt;"Complete",IF(COUNTIFS($A$4:$A56,$A57,$B$4:$B56,$B57,$I$4:$I56,"&lt;&gt;Complete")=0,$A57&amp;"|"&amp;$B57,""),"")</f>
        <v>|</v>
      </c>
      <c r="P57" t="str">
        <f ca="1">IF($K57="Yes",COUNTIFS($K$4:$K57,"Yes"),"")</f>
        <v/>
      </c>
      <c r="Q57">
        <f t="shared" ca="1" si="3"/>
        <v>0</v>
      </c>
      <c r="R57" t="str">
        <f ca="1">IF($Q57=1,SUM($Q$4:$Q57),"")</f>
        <v/>
      </c>
    </row>
    <row r="58" spans="1:18" ht="14.25" customHeight="1" x14ac:dyDescent="0.3">
      <c r="A58" s="2"/>
      <c r="B58" s="2"/>
      <c r="C58" s="3"/>
      <c r="D58" s="3"/>
      <c r="E58" s="2"/>
      <c r="F58" s="2"/>
      <c r="G58" s="5"/>
      <c r="H58" s="5"/>
      <c r="I58" s="4"/>
      <c r="J58" s="6" t="str">
        <f t="shared" si="1"/>
        <v/>
      </c>
      <c r="K58" s="4" t="str">
        <f t="shared" ca="1" si="2"/>
        <v/>
      </c>
      <c r="L58" s="7" t="str">
        <f t="shared" ca="1" si="4"/>
        <v/>
      </c>
      <c r="M58" s="4" t="str">
        <f>IF($I58="Complete","Green",IF($H58="","Amber",IF($H58&lt;'[2]Read Me'!$B$4,"Red",IF($H58-'[2]Read Me'!$B$4&lt;=21,"Amber","Green"))))</f>
        <v>Amber</v>
      </c>
      <c r="N58" s="3"/>
      <c r="O58" t="str">
        <f>IF($I58&lt;&gt;"Complete",IF(COUNTIFS($A$4:$A57,$A58,$B$4:$B57,$B58,$I$4:$I57,"&lt;&gt;Complete")=0,$A58&amp;"|"&amp;$B58,""),"")</f>
        <v>|</v>
      </c>
      <c r="P58" t="str">
        <f ca="1">IF($K58="Yes",COUNTIFS($K$4:$K58,"Yes"),"")</f>
        <v/>
      </c>
      <c r="Q58">
        <f t="shared" ca="1" si="3"/>
        <v>0</v>
      </c>
      <c r="R58" t="str">
        <f ca="1">IF($Q58=1,SUM($Q$4:$Q58),"")</f>
        <v/>
      </c>
    </row>
    <row r="59" spans="1:18" ht="14.25" customHeight="1" x14ac:dyDescent="0.3">
      <c r="A59" s="2"/>
      <c r="B59" s="2"/>
      <c r="C59" s="3"/>
      <c r="D59" s="3"/>
      <c r="E59" s="2"/>
      <c r="F59" s="2"/>
      <c r="G59" s="5"/>
      <c r="H59" s="5"/>
      <c r="I59" s="4"/>
      <c r="J59" s="6" t="str">
        <f t="shared" si="1"/>
        <v/>
      </c>
      <c r="K59" s="4" t="str">
        <f t="shared" ca="1" si="2"/>
        <v/>
      </c>
      <c r="L59" s="7" t="str">
        <f t="shared" ca="1" si="4"/>
        <v/>
      </c>
      <c r="M59" s="4" t="str">
        <f>IF($I59="Complete","Green",IF($H59="","Amber",IF($H59&lt;'[2]Read Me'!$B$4,"Red",IF($H59-'[2]Read Me'!$B$4&lt;=21,"Amber","Green"))))</f>
        <v>Amber</v>
      </c>
      <c r="N59" s="3"/>
      <c r="O59" t="str">
        <f>IF($I59&lt;&gt;"Complete",IF(COUNTIFS($A$4:$A58,$A59,$B$4:$B58,$B59,$I$4:$I58,"&lt;&gt;Complete")=0,$A59&amp;"|"&amp;$B59,""),"")</f>
        <v>|</v>
      </c>
      <c r="P59" t="str">
        <f ca="1">IF($K59="Yes",COUNTIFS($K$4:$K59,"Yes"),"")</f>
        <v/>
      </c>
      <c r="Q59">
        <f t="shared" ca="1" si="3"/>
        <v>0</v>
      </c>
      <c r="R59" t="str">
        <f ca="1">IF($Q59=1,SUM($Q$4:$Q59),"")</f>
        <v/>
      </c>
    </row>
    <row r="60" spans="1:18" ht="14.25" customHeight="1" x14ac:dyDescent="0.3">
      <c r="A60" s="2"/>
      <c r="B60" s="2"/>
      <c r="C60" s="3"/>
      <c r="D60" s="3"/>
      <c r="E60" s="2"/>
      <c r="F60" s="2"/>
      <c r="G60" s="5"/>
      <c r="H60" s="5"/>
      <c r="I60" s="4"/>
      <c r="J60" s="6" t="str">
        <f t="shared" si="1"/>
        <v/>
      </c>
      <c r="K60" s="4" t="str">
        <f t="shared" ca="1" si="2"/>
        <v/>
      </c>
      <c r="L60" s="7" t="str">
        <f t="shared" ca="1" si="4"/>
        <v/>
      </c>
      <c r="M60" s="4" t="str">
        <f>IF($I60="Complete","Green",IF($H60="","Amber",IF($H60&lt;'[2]Read Me'!$B$4,"Red",IF($H60-'[2]Read Me'!$B$4&lt;=21,"Amber","Green"))))</f>
        <v>Amber</v>
      </c>
      <c r="N60" s="3"/>
      <c r="O60" t="str">
        <f>IF($I60&lt;&gt;"Complete",IF(COUNTIFS($A$4:$A59,$A60,$B$4:$B59,$B60,$I$4:$I59,"&lt;&gt;Complete")=0,$A60&amp;"|"&amp;$B60,""),"")</f>
        <v>|</v>
      </c>
      <c r="P60" t="str">
        <f ca="1">IF($K60="Yes",COUNTIFS($K$4:$K60,"Yes"),"")</f>
        <v/>
      </c>
      <c r="Q60">
        <f t="shared" ca="1" si="3"/>
        <v>0</v>
      </c>
      <c r="R60" t="str">
        <f ca="1">IF($Q60=1,SUM($Q$4:$Q60),"")</f>
        <v/>
      </c>
    </row>
    <row r="61" spans="1:18" ht="14.25" customHeight="1" x14ac:dyDescent="0.3">
      <c r="A61" s="2"/>
      <c r="B61" s="2"/>
      <c r="C61" s="3"/>
      <c r="D61" s="3"/>
      <c r="E61" s="2"/>
      <c r="F61" s="2"/>
      <c r="G61" s="5"/>
      <c r="H61" s="5"/>
      <c r="I61" s="4"/>
      <c r="J61" s="6" t="str">
        <f t="shared" si="1"/>
        <v/>
      </c>
      <c r="K61" s="4" t="str">
        <f t="shared" ca="1" si="2"/>
        <v/>
      </c>
      <c r="L61" s="7" t="str">
        <f t="shared" ca="1" si="4"/>
        <v/>
      </c>
      <c r="M61" s="4" t="str">
        <f>IF($I61="Complete","Green",IF($H61="","Amber",IF($H61&lt;'[2]Read Me'!$B$4,"Red",IF($H61-'[2]Read Me'!$B$4&lt;=21,"Amber","Green"))))</f>
        <v>Amber</v>
      </c>
      <c r="N61" s="3"/>
      <c r="O61" t="str">
        <f>IF($I61&lt;&gt;"Complete",IF(COUNTIFS($A$4:$A60,$A61,$B$4:$B60,$B61,$I$4:$I60,"&lt;&gt;Complete")=0,$A61&amp;"|"&amp;$B61,""),"")</f>
        <v>|</v>
      </c>
      <c r="P61" t="str">
        <f ca="1">IF($K61="Yes",COUNTIFS($K$4:$K61,"Yes"),"")</f>
        <v/>
      </c>
      <c r="Q61">
        <f t="shared" ca="1" si="3"/>
        <v>0</v>
      </c>
      <c r="R61" t="str">
        <f ca="1">IF($Q61=1,SUM($Q$4:$Q61),"")</f>
        <v/>
      </c>
    </row>
    <row r="62" spans="1:18" ht="14.25" customHeight="1" x14ac:dyDescent="0.3">
      <c r="A62" s="2"/>
      <c r="B62" s="2"/>
      <c r="C62" s="3"/>
      <c r="D62" s="3"/>
      <c r="E62" s="2"/>
      <c r="F62" s="2"/>
      <c r="G62" s="5"/>
      <c r="H62" s="5"/>
      <c r="I62" s="4"/>
      <c r="J62" s="6" t="str">
        <f t="shared" si="1"/>
        <v/>
      </c>
      <c r="K62" s="4" t="str">
        <f t="shared" ca="1" si="2"/>
        <v/>
      </c>
      <c r="L62" s="7" t="str">
        <f t="shared" ca="1" si="4"/>
        <v/>
      </c>
      <c r="M62" s="4" t="str">
        <f>IF($I62="Complete","Green",IF($H62="","Amber",IF($H62&lt;'[2]Read Me'!$B$4,"Red",IF($H62-'[2]Read Me'!$B$4&lt;=21,"Amber","Green"))))</f>
        <v>Amber</v>
      </c>
      <c r="N62" s="3"/>
      <c r="O62" t="str">
        <f>IF($I62&lt;&gt;"Complete",IF(COUNTIFS($A$4:$A61,$A62,$B$4:$B61,$B62,$I$4:$I61,"&lt;&gt;Complete")=0,$A62&amp;"|"&amp;$B62,""),"")</f>
        <v>|</v>
      </c>
      <c r="P62" t="str">
        <f ca="1">IF($K62="Yes",COUNTIFS($K$4:$K62,"Yes"),"")</f>
        <v/>
      </c>
      <c r="Q62">
        <f t="shared" ca="1" si="3"/>
        <v>0</v>
      </c>
      <c r="R62" t="str">
        <f ca="1">IF($Q62=1,SUM($Q$4:$Q62),"")</f>
        <v/>
      </c>
    </row>
    <row r="63" spans="1:18" ht="22.5" customHeight="1" x14ac:dyDescent="0.3">
      <c r="A63" s="2"/>
      <c r="B63" s="2"/>
      <c r="C63" s="3"/>
      <c r="D63" s="3"/>
      <c r="E63" s="2"/>
      <c r="F63" s="2"/>
      <c r="G63" s="5"/>
      <c r="H63" s="5"/>
      <c r="I63" s="4"/>
      <c r="J63" s="6" t="str">
        <f t="shared" si="1"/>
        <v/>
      </c>
      <c r="K63" s="4" t="str">
        <f t="shared" ca="1" si="2"/>
        <v/>
      </c>
      <c r="L63" s="7" t="str">
        <f t="shared" ca="1" si="4"/>
        <v/>
      </c>
      <c r="M63" s="4" t="str">
        <f>IF($I63="Complete","Green",IF($H63="","Amber",IF($H63&lt;'[2]Read Me'!$B$4,"Red",IF($H63-'[2]Read Me'!$B$4&lt;=21,"Amber","Green"))))</f>
        <v>Amber</v>
      </c>
      <c r="N63" s="3"/>
      <c r="O63" t="str">
        <f>IF($I63&lt;&gt;"Complete",IF(COUNTIFS($A$4:$A62,$A63,$B$4:$B62,$B63,$I$4:$I62,"&lt;&gt;Complete")=0,$A63&amp;"|"&amp;$B63,""),"")</f>
        <v>|</v>
      </c>
      <c r="P63" t="str">
        <f ca="1">IF($K63="Yes",COUNTIFS($K$4:$K63,"Yes"),"")</f>
        <v/>
      </c>
      <c r="Q63">
        <f t="shared" ca="1" si="3"/>
        <v>0</v>
      </c>
      <c r="R63" t="str">
        <f ca="1">IF($Q63=1,SUM($Q$4:$Q63),"")</f>
        <v/>
      </c>
    </row>
    <row r="64" spans="1:18" ht="22.5" customHeight="1" x14ac:dyDescent="0.3">
      <c r="A64" s="2"/>
      <c r="B64" s="2"/>
      <c r="C64" s="3"/>
      <c r="D64" s="3"/>
      <c r="E64" s="2"/>
      <c r="F64" s="2"/>
      <c r="G64" s="5"/>
      <c r="H64" s="5"/>
      <c r="I64" s="4"/>
      <c r="J64" s="6" t="str">
        <f t="shared" si="1"/>
        <v/>
      </c>
      <c r="K64" s="4" t="str">
        <f t="shared" ca="1" si="2"/>
        <v/>
      </c>
      <c r="L64" s="7" t="str">
        <f t="shared" ca="1" si="4"/>
        <v/>
      </c>
      <c r="M64" s="4" t="str">
        <f>IF($I64="Complete","Green",IF($H64="","Amber",IF($H64&lt;'[2]Read Me'!$B$4,"Red",IF($H64-'[2]Read Me'!$B$4&lt;=21,"Amber","Green"))))</f>
        <v>Amber</v>
      </c>
      <c r="N64" s="3"/>
      <c r="O64" t="str">
        <f>IF($I64&lt;&gt;"Complete",IF(COUNTIFS($A$4:$A63,$A64,$B$4:$B63,$B64,$I$4:$I63,"&lt;&gt;Complete")=0,$A64&amp;"|"&amp;$B64,""),"")</f>
        <v>|</v>
      </c>
      <c r="P64" t="str">
        <f ca="1">IF($K64="Yes",COUNTIFS($K$4:$K64,"Yes"),"")</f>
        <v/>
      </c>
      <c r="Q64">
        <f t="shared" ca="1" si="3"/>
        <v>0</v>
      </c>
      <c r="R64" t="str">
        <f ca="1">IF($Q64=1,SUM($Q$4:$Q64),"")</f>
        <v/>
      </c>
    </row>
    <row r="65" spans="1:18" ht="22.5" customHeight="1" x14ac:dyDescent="0.3">
      <c r="A65" s="2"/>
      <c r="B65" s="2"/>
      <c r="C65" s="3"/>
      <c r="D65" s="3"/>
      <c r="E65" s="2"/>
      <c r="F65" s="2"/>
      <c r="G65" s="5"/>
      <c r="H65" s="5"/>
      <c r="I65" s="4"/>
      <c r="J65" s="6" t="str">
        <f t="shared" si="1"/>
        <v/>
      </c>
      <c r="K65" s="4" t="str">
        <f t="shared" ca="1" si="2"/>
        <v/>
      </c>
      <c r="L65" s="7" t="str">
        <f t="shared" ca="1" si="4"/>
        <v/>
      </c>
      <c r="M65" s="4" t="str">
        <f>IF($I65="Complete","Green",IF($H65="","Amber",IF($H65&lt;'[2]Read Me'!$B$4,"Red",IF($H65-'[2]Read Me'!$B$4&lt;=21,"Amber","Green"))))</f>
        <v>Amber</v>
      </c>
      <c r="N65" s="3"/>
      <c r="O65" t="str">
        <f>IF($I65&lt;&gt;"Complete",IF(COUNTIFS($A$4:$A64,$A65,$B$4:$B64,$B65,$I$4:$I64,"&lt;&gt;Complete")=0,$A65&amp;"|"&amp;$B65,""),"")</f>
        <v>|</v>
      </c>
      <c r="P65" t="str">
        <f ca="1">IF($K65="Yes",COUNTIFS($K$4:$K65,"Yes"),"")</f>
        <v/>
      </c>
      <c r="Q65">
        <f t="shared" ca="1" si="3"/>
        <v>0</v>
      </c>
      <c r="R65" t="str">
        <f ca="1">IF($Q65=1,SUM($Q$4:$Q65),"")</f>
        <v/>
      </c>
    </row>
    <row r="66" spans="1:18" ht="22.5" customHeight="1" x14ac:dyDescent="0.3">
      <c r="A66" s="2"/>
      <c r="B66" s="2"/>
      <c r="C66" s="3"/>
      <c r="D66" s="3"/>
      <c r="E66" s="2"/>
      <c r="F66" s="2"/>
      <c r="G66" s="5"/>
      <c r="H66" s="5"/>
      <c r="I66" s="4"/>
      <c r="J66" s="6" t="str">
        <f t="shared" si="1"/>
        <v/>
      </c>
      <c r="K66" s="4" t="str">
        <f t="shared" ca="1" si="2"/>
        <v/>
      </c>
      <c r="L66" s="7" t="str">
        <f t="shared" ca="1" si="4"/>
        <v/>
      </c>
      <c r="M66" s="4" t="str">
        <f>IF($I66="Complete","Green",IF($H66="","Amber",IF($H66&lt;'[2]Read Me'!$B$4,"Red",IF($H66-'[2]Read Me'!$B$4&lt;=21,"Amber","Green"))))</f>
        <v>Amber</v>
      </c>
      <c r="N66" s="3"/>
      <c r="O66" t="str">
        <f>IF($I66&lt;&gt;"Complete",IF(COUNTIFS($A$4:$A65,$A66,$B$4:$B65,$B66,$I$4:$I65,"&lt;&gt;Complete")=0,$A66&amp;"|"&amp;$B66,""),"")</f>
        <v>|</v>
      </c>
      <c r="P66" t="str">
        <f ca="1">IF($K66="Yes",COUNTIFS($K$4:$K66,"Yes"),"")</f>
        <v/>
      </c>
      <c r="Q66">
        <f t="shared" ca="1" si="3"/>
        <v>0</v>
      </c>
      <c r="R66" t="str">
        <f ca="1">IF($Q66=1,SUM($Q$4:$Q66),"")</f>
        <v/>
      </c>
    </row>
    <row r="67" spans="1:18" ht="22.5" customHeight="1" x14ac:dyDescent="0.3">
      <c r="A67" s="2"/>
      <c r="B67" s="2"/>
      <c r="C67" s="3"/>
      <c r="D67" s="3"/>
      <c r="E67" s="2"/>
      <c r="F67" s="2"/>
      <c r="G67" s="5"/>
      <c r="H67" s="5"/>
      <c r="I67" s="4"/>
      <c r="J67" s="6" t="str">
        <f t="shared" si="1"/>
        <v/>
      </c>
      <c r="K67" s="4" t="str">
        <f t="shared" ca="1" si="2"/>
        <v/>
      </c>
      <c r="L67" s="7" t="str">
        <f t="shared" ca="1" si="4"/>
        <v/>
      </c>
      <c r="M67" s="4" t="str">
        <f>IF($I67="Complete","Green",IF($H67="","Amber",IF($H67&lt;'[2]Read Me'!$B$4,"Red",IF($H67-'[2]Read Me'!$B$4&lt;=21,"Amber","Green"))))</f>
        <v>Amber</v>
      </c>
      <c r="N67" s="3"/>
      <c r="O67" t="str">
        <f>IF($I67&lt;&gt;"Complete",IF(COUNTIFS($A$4:$A66,$A67,$B$4:$B66,$B67,$I$4:$I66,"&lt;&gt;Complete")=0,$A67&amp;"|"&amp;$B67,""),"")</f>
        <v>|</v>
      </c>
      <c r="P67" t="str">
        <f ca="1">IF($K67="Yes",COUNTIFS($K$4:$K67,"Yes"),"")</f>
        <v/>
      </c>
      <c r="Q67">
        <f t="shared" ca="1" si="3"/>
        <v>0</v>
      </c>
      <c r="R67" t="str">
        <f ca="1">IF($Q67=1,SUM($Q$4:$Q67),"")</f>
        <v/>
      </c>
    </row>
    <row r="68" spans="1:18" ht="22.5" customHeight="1" x14ac:dyDescent="0.3">
      <c r="A68" s="2"/>
      <c r="B68" s="2"/>
      <c r="C68" s="3"/>
      <c r="D68" s="3"/>
      <c r="E68" s="2"/>
      <c r="F68" s="2"/>
      <c r="G68" s="5"/>
      <c r="H68" s="5"/>
      <c r="I68" s="4"/>
      <c r="J68" s="6" t="str">
        <f t="shared" ref="J68:J131" si="5">IF(OR($G68="",$H68=""),"",$H68-$G68)</f>
        <v/>
      </c>
      <c r="K68" s="4" t="str">
        <f t="shared" ref="K68:K131" ca="1" si="6">IF(C68="","",IF(H68="","",IF($I68="completed","-",IF($H68&gt;TODAY(),"No","Yes"))))</f>
        <v/>
      </c>
      <c r="L68" s="7" t="str">
        <f t="shared" ref="L68:L131" ca="1" si="7">IF(I68="Completed",0,IF(H68="","",H68-TODAY()))</f>
        <v/>
      </c>
      <c r="M68" s="4" t="str">
        <f>IF($I68="Complete","Green",IF($H68="","Amber",IF($H68&lt;'[2]Read Me'!$B$4,"Red",IF($H68-'[2]Read Me'!$B$4&lt;=21,"Amber","Green"))))</f>
        <v>Amber</v>
      </c>
      <c r="N68" s="3"/>
      <c r="O68" t="str">
        <f>IF($I68&lt;&gt;"Complete",IF(COUNTIFS($A$4:$A67,$A68,$B$4:$B67,$B68,$I$4:$I67,"&lt;&gt;Complete")=0,$A68&amp;"|"&amp;$B68,""),"")</f>
        <v>|</v>
      </c>
      <c r="P68" t="str">
        <f ca="1">IF($K68="Yes",COUNTIFS($K$4:$K68,"Yes"),"")</f>
        <v/>
      </c>
      <c r="Q68">
        <f t="shared" ref="Q68:Q131" ca="1" si="8">IF(OR($I68="In Progress",$K68="Yes"),1,0)</f>
        <v>0</v>
      </c>
      <c r="R68" t="str">
        <f ca="1">IF($Q68=1,SUM($Q$4:$Q68),"")</f>
        <v/>
      </c>
    </row>
    <row r="69" spans="1:18" ht="22.5" customHeight="1" x14ac:dyDescent="0.3">
      <c r="A69" s="2"/>
      <c r="B69" s="2"/>
      <c r="C69" s="3"/>
      <c r="D69" s="3"/>
      <c r="E69" s="2"/>
      <c r="F69" s="2"/>
      <c r="G69" s="5"/>
      <c r="H69" s="5"/>
      <c r="I69" s="4"/>
      <c r="J69" s="6" t="str">
        <f t="shared" si="5"/>
        <v/>
      </c>
      <c r="K69" s="4" t="str">
        <f t="shared" ca="1" si="6"/>
        <v/>
      </c>
      <c r="L69" s="7" t="str">
        <f t="shared" ca="1" si="7"/>
        <v/>
      </c>
      <c r="M69" s="4" t="str">
        <f>IF($I69="Complete","Green",IF($H69="","Amber",IF($H69&lt;'[2]Read Me'!$B$4,"Red",IF($H69-'[2]Read Me'!$B$4&lt;=21,"Amber","Green"))))</f>
        <v>Amber</v>
      </c>
      <c r="N69" s="3"/>
      <c r="O69" t="str">
        <f>IF($I69&lt;&gt;"Complete",IF(COUNTIFS($A$4:$A68,$A69,$B$4:$B68,$B69,$I$4:$I68,"&lt;&gt;Complete")=0,$A69&amp;"|"&amp;$B69,""),"")</f>
        <v>|</v>
      </c>
      <c r="P69" t="str">
        <f ca="1">IF($K69="Yes",COUNTIFS($K$4:$K69,"Yes"),"")</f>
        <v/>
      </c>
      <c r="Q69">
        <f t="shared" ca="1" si="8"/>
        <v>0</v>
      </c>
      <c r="R69" t="str">
        <f ca="1">IF($Q69=1,SUM($Q$4:$Q69),"")</f>
        <v/>
      </c>
    </row>
    <row r="70" spans="1:18" ht="22.5" customHeight="1" x14ac:dyDescent="0.3">
      <c r="A70" s="2"/>
      <c r="B70" s="2"/>
      <c r="C70" s="3"/>
      <c r="D70" s="3"/>
      <c r="E70" s="2"/>
      <c r="F70" s="2"/>
      <c r="G70" s="5"/>
      <c r="H70" s="5"/>
      <c r="I70" s="4"/>
      <c r="J70" s="6" t="str">
        <f t="shared" si="5"/>
        <v/>
      </c>
      <c r="K70" s="4" t="str">
        <f t="shared" ca="1" si="6"/>
        <v/>
      </c>
      <c r="L70" s="7" t="str">
        <f t="shared" ca="1" si="7"/>
        <v/>
      </c>
      <c r="M70" s="4" t="str">
        <f>IF($I70="Complete","Green",IF($H70="","Amber",IF($H70&lt;'[2]Read Me'!$B$4,"Red",IF($H70-'[2]Read Me'!$B$4&lt;=21,"Amber","Green"))))</f>
        <v>Amber</v>
      </c>
      <c r="N70" s="3"/>
      <c r="O70" t="str">
        <f>IF($I70&lt;&gt;"Complete",IF(COUNTIFS($A$4:$A69,$A70,$B$4:$B69,$B70,$I$4:$I69,"&lt;&gt;Complete")=0,$A70&amp;"|"&amp;$B70,""),"")</f>
        <v>|</v>
      </c>
      <c r="P70" t="str">
        <f ca="1">IF($K70="Yes",COUNTIFS($K$4:$K70,"Yes"),"")</f>
        <v/>
      </c>
      <c r="Q70">
        <f t="shared" ca="1" si="8"/>
        <v>0</v>
      </c>
      <c r="R70" t="str">
        <f ca="1">IF($Q70=1,SUM($Q$4:$Q70),"")</f>
        <v/>
      </c>
    </row>
    <row r="71" spans="1:18" ht="22.5" customHeight="1" x14ac:dyDescent="0.3">
      <c r="A71" s="2"/>
      <c r="B71" s="2"/>
      <c r="C71" s="3"/>
      <c r="D71" s="3"/>
      <c r="E71" s="2"/>
      <c r="F71" s="2"/>
      <c r="G71" s="5"/>
      <c r="H71" s="5"/>
      <c r="I71" s="4"/>
      <c r="J71" s="6" t="str">
        <f t="shared" si="5"/>
        <v/>
      </c>
      <c r="K71" s="4" t="str">
        <f t="shared" ca="1" si="6"/>
        <v/>
      </c>
      <c r="L71" s="7" t="str">
        <f t="shared" ca="1" si="7"/>
        <v/>
      </c>
      <c r="M71" s="4" t="str">
        <f>IF($I71="Complete","Green",IF($H71="","Amber",IF($H71&lt;'[2]Read Me'!$B$4,"Red",IF($H71-'[2]Read Me'!$B$4&lt;=21,"Amber","Green"))))</f>
        <v>Amber</v>
      </c>
      <c r="N71" s="3"/>
      <c r="O71" t="str">
        <f>IF($I71&lt;&gt;"Complete",IF(COUNTIFS($A$4:$A70,$A71,$B$4:$B70,$B71,$I$4:$I70,"&lt;&gt;Complete")=0,$A71&amp;"|"&amp;$B71,""),"")</f>
        <v>|</v>
      </c>
      <c r="P71" t="str">
        <f ca="1">IF($K71="Yes",COUNTIFS($K$4:$K71,"Yes"),"")</f>
        <v/>
      </c>
      <c r="Q71">
        <f t="shared" ca="1" si="8"/>
        <v>0</v>
      </c>
      <c r="R71" t="str">
        <f ca="1">IF($Q71=1,SUM($Q$4:$Q71),"")</f>
        <v/>
      </c>
    </row>
    <row r="72" spans="1:18" ht="33.75" customHeight="1" x14ac:dyDescent="0.3">
      <c r="A72" s="2"/>
      <c r="B72" s="2"/>
      <c r="C72" s="3"/>
      <c r="D72" s="3"/>
      <c r="E72" s="2"/>
      <c r="F72" s="2"/>
      <c r="G72" s="5"/>
      <c r="H72" s="5"/>
      <c r="I72" s="4"/>
      <c r="J72" s="6" t="str">
        <f t="shared" si="5"/>
        <v/>
      </c>
      <c r="K72" s="4" t="str">
        <f t="shared" ca="1" si="6"/>
        <v/>
      </c>
      <c r="L72" s="7" t="str">
        <f t="shared" ca="1" si="7"/>
        <v/>
      </c>
      <c r="M72" s="4" t="str">
        <f>IF($I72="Complete","Green",IF($H72="","Amber",IF($H72&lt;'[2]Read Me'!$B$4,"Red",IF($H72-'[2]Read Me'!$B$4&lt;=21,"Amber","Green"))))</f>
        <v>Amber</v>
      </c>
      <c r="N72" s="3"/>
      <c r="O72" t="str">
        <f>IF($I72&lt;&gt;"Complete",IF(COUNTIFS($A$4:$A71,$A72,$B$4:$B71,$B72,$I$4:$I71,"&lt;&gt;Complete")=0,$A72&amp;"|"&amp;$B72,""),"")</f>
        <v>|</v>
      </c>
      <c r="P72" t="str">
        <f ca="1">IF($K72="Yes",COUNTIFS($K$4:$K72,"Yes"),"")</f>
        <v/>
      </c>
      <c r="Q72">
        <f t="shared" ca="1" si="8"/>
        <v>0</v>
      </c>
      <c r="R72" t="str">
        <f ca="1">IF($Q72=1,SUM($Q$4:$Q72),"")</f>
        <v/>
      </c>
    </row>
    <row r="73" spans="1:18" ht="33.75" customHeight="1" x14ac:dyDescent="0.3">
      <c r="A73" s="2"/>
      <c r="B73" s="2"/>
      <c r="C73" s="3"/>
      <c r="D73" s="3"/>
      <c r="E73" s="2"/>
      <c r="F73" s="2"/>
      <c r="G73" s="5"/>
      <c r="H73" s="5"/>
      <c r="I73" s="4"/>
      <c r="J73" s="6" t="str">
        <f t="shared" si="5"/>
        <v/>
      </c>
      <c r="K73" s="4" t="str">
        <f t="shared" ca="1" si="6"/>
        <v/>
      </c>
      <c r="L73" s="7" t="str">
        <f t="shared" ca="1" si="7"/>
        <v/>
      </c>
      <c r="M73" s="4" t="str">
        <f>IF($I73="Complete","Green",IF($H73="","Amber",IF($H73&lt;'[2]Read Me'!$B$4,"Red",IF($H73-'[2]Read Me'!$B$4&lt;=21,"Amber","Green"))))</f>
        <v>Amber</v>
      </c>
      <c r="N73" s="3"/>
      <c r="O73" t="str">
        <f>IF($I73&lt;&gt;"Complete",IF(COUNTIFS($A$4:$A72,$A73,$B$4:$B72,$B73,$I$4:$I72,"&lt;&gt;Complete")=0,$A73&amp;"|"&amp;$B73,""),"")</f>
        <v>|</v>
      </c>
      <c r="P73" t="str">
        <f ca="1">IF($K73="Yes",COUNTIFS($K$4:$K73,"Yes"),"")</f>
        <v/>
      </c>
      <c r="Q73">
        <f t="shared" ca="1" si="8"/>
        <v>0</v>
      </c>
      <c r="R73" t="str">
        <f ca="1">IF($Q73=1,SUM($Q$4:$Q73),"")</f>
        <v/>
      </c>
    </row>
    <row r="74" spans="1:18" ht="33.75" customHeight="1" x14ac:dyDescent="0.3">
      <c r="A74" s="2"/>
      <c r="B74" s="2"/>
      <c r="C74" s="3"/>
      <c r="D74" s="3"/>
      <c r="E74" s="2"/>
      <c r="F74" s="2"/>
      <c r="G74" s="5"/>
      <c r="H74" s="5"/>
      <c r="I74" s="4"/>
      <c r="J74" s="6" t="str">
        <f t="shared" si="5"/>
        <v/>
      </c>
      <c r="K74" s="4" t="str">
        <f t="shared" ca="1" si="6"/>
        <v/>
      </c>
      <c r="L74" s="7" t="str">
        <f t="shared" ca="1" si="7"/>
        <v/>
      </c>
      <c r="M74" s="4" t="str">
        <f>IF($I74="Complete","Green",IF($H74="","Amber",IF($H74&lt;'[2]Read Me'!$B$4,"Red",IF($H74-'[2]Read Me'!$B$4&lt;=21,"Amber","Green"))))</f>
        <v>Amber</v>
      </c>
      <c r="N74" s="3"/>
      <c r="O74" t="str">
        <f>IF($I74&lt;&gt;"Complete",IF(COUNTIFS($A$4:$A73,$A74,$B$4:$B73,$B74,$I$4:$I73,"&lt;&gt;Complete")=0,$A74&amp;"|"&amp;$B74,""),"")</f>
        <v>|</v>
      </c>
      <c r="P74" t="str">
        <f ca="1">IF($K74="Yes",COUNTIFS($K$4:$K74,"Yes"),"")</f>
        <v/>
      </c>
      <c r="Q74">
        <f t="shared" ca="1" si="8"/>
        <v>0</v>
      </c>
      <c r="R74" t="str">
        <f ca="1">IF($Q74=1,SUM($Q$4:$Q74),"")</f>
        <v/>
      </c>
    </row>
    <row r="75" spans="1:18" ht="14.25" customHeight="1" x14ac:dyDescent="0.3">
      <c r="A75" s="2"/>
      <c r="B75" s="2"/>
      <c r="C75" s="3"/>
      <c r="D75" s="3"/>
      <c r="E75" s="2"/>
      <c r="F75" s="2"/>
      <c r="G75" s="5"/>
      <c r="H75" s="5"/>
      <c r="I75" s="4"/>
      <c r="J75" s="6" t="str">
        <f t="shared" si="5"/>
        <v/>
      </c>
      <c r="K75" s="4" t="str">
        <f t="shared" ca="1" si="6"/>
        <v/>
      </c>
      <c r="L75" s="7" t="str">
        <f t="shared" ca="1" si="7"/>
        <v/>
      </c>
      <c r="M75" s="4" t="str">
        <f>IF($I75="Complete","Green",IF($H75="","Amber",IF($H75&lt;'[2]Read Me'!$B$4,"Red",IF($H75-'[2]Read Me'!$B$4&lt;=21,"Amber","Green"))))</f>
        <v>Amber</v>
      </c>
      <c r="N75" s="3"/>
      <c r="O75" t="str">
        <f>IF($I75&lt;&gt;"Complete",IF(COUNTIFS($A$4:$A74,$A75,$B$4:$B74,$B75,$I$4:$I74,"&lt;&gt;Complete")=0,$A75&amp;"|"&amp;$B75,""),"")</f>
        <v>|</v>
      </c>
      <c r="P75" t="str">
        <f ca="1">IF($K75="Yes",COUNTIFS($K$4:$K75,"Yes"),"")</f>
        <v/>
      </c>
      <c r="Q75">
        <f t="shared" ca="1" si="8"/>
        <v>0</v>
      </c>
      <c r="R75" t="str">
        <f ca="1">IF($Q75=1,SUM($Q$4:$Q75),"")</f>
        <v/>
      </c>
    </row>
    <row r="76" spans="1:18" ht="14.25" customHeight="1" x14ac:dyDescent="0.3">
      <c r="A76" s="2"/>
      <c r="B76" s="2"/>
      <c r="C76" s="3"/>
      <c r="D76" s="3"/>
      <c r="E76" s="2"/>
      <c r="F76" s="2"/>
      <c r="G76" s="5"/>
      <c r="H76" s="5"/>
      <c r="I76" s="4"/>
      <c r="J76" s="6" t="str">
        <f t="shared" si="5"/>
        <v/>
      </c>
      <c r="K76" s="4" t="str">
        <f t="shared" ca="1" si="6"/>
        <v/>
      </c>
      <c r="L76" s="7" t="str">
        <f t="shared" ca="1" si="7"/>
        <v/>
      </c>
      <c r="M76" s="4" t="str">
        <f>IF($I76="Complete","Green",IF($H76="","Amber",IF($H76&lt;'[2]Read Me'!$B$4,"Red",IF($H76-'[2]Read Me'!$B$4&lt;=21,"Amber","Green"))))</f>
        <v>Amber</v>
      </c>
      <c r="N76" s="3"/>
      <c r="O76" t="str">
        <f>IF($I76&lt;&gt;"Complete",IF(COUNTIFS($A$4:$A75,$A76,$B$4:$B75,$B76,$I$4:$I75,"&lt;&gt;Complete")=0,$A76&amp;"|"&amp;$B76,""),"")</f>
        <v>|</v>
      </c>
      <c r="P76" t="str">
        <f ca="1">IF($K76="Yes",COUNTIFS($K$4:$K76,"Yes"),"")</f>
        <v/>
      </c>
      <c r="Q76">
        <f t="shared" ca="1" si="8"/>
        <v>0</v>
      </c>
      <c r="R76" t="str">
        <f ca="1">IF($Q76=1,SUM($Q$4:$Q76),"")</f>
        <v/>
      </c>
    </row>
    <row r="77" spans="1:18" ht="22.5" customHeight="1" x14ac:dyDescent="0.3">
      <c r="A77" s="2"/>
      <c r="B77" s="2"/>
      <c r="C77" s="3"/>
      <c r="D77" s="3"/>
      <c r="E77" s="2"/>
      <c r="F77" s="2"/>
      <c r="G77" s="5"/>
      <c r="H77" s="5"/>
      <c r="I77" s="4"/>
      <c r="J77" s="6" t="str">
        <f t="shared" si="5"/>
        <v/>
      </c>
      <c r="K77" s="4" t="str">
        <f t="shared" ca="1" si="6"/>
        <v/>
      </c>
      <c r="L77" s="7" t="str">
        <f t="shared" ca="1" si="7"/>
        <v/>
      </c>
      <c r="M77" s="4" t="str">
        <f>IF($I77="Complete","Green",IF($H77="","Amber",IF($H77&lt;'[2]Read Me'!$B$4,"Red",IF($H77-'[2]Read Me'!$B$4&lt;=21,"Amber","Green"))))</f>
        <v>Amber</v>
      </c>
      <c r="N77" s="3"/>
      <c r="O77" t="str">
        <f>IF($I77&lt;&gt;"Complete",IF(COUNTIFS($A$4:$A76,$A77,$B$4:$B76,$B77,$I$4:$I76,"&lt;&gt;Complete")=0,$A77&amp;"|"&amp;$B77,""),"")</f>
        <v>|</v>
      </c>
      <c r="P77" t="str">
        <f ca="1">IF($K77="Yes",COUNTIFS($K$4:$K77,"Yes"),"")</f>
        <v/>
      </c>
      <c r="Q77">
        <f t="shared" ca="1" si="8"/>
        <v>0</v>
      </c>
      <c r="R77" t="str">
        <f ca="1">IF($Q77=1,SUM($Q$4:$Q77),"")</f>
        <v/>
      </c>
    </row>
    <row r="78" spans="1:18" ht="14.25" customHeight="1" x14ac:dyDescent="0.3">
      <c r="A78" s="2"/>
      <c r="B78" s="2"/>
      <c r="C78" s="3"/>
      <c r="D78" s="3"/>
      <c r="E78" s="2"/>
      <c r="F78" s="2"/>
      <c r="G78" s="5"/>
      <c r="H78" s="5"/>
      <c r="I78" s="4"/>
      <c r="J78" s="6" t="str">
        <f t="shared" si="5"/>
        <v/>
      </c>
      <c r="K78" s="4" t="str">
        <f t="shared" ca="1" si="6"/>
        <v/>
      </c>
      <c r="L78" s="7" t="str">
        <f t="shared" ca="1" si="7"/>
        <v/>
      </c>
      <c r="M78" s="4" t="str">
        <f>IF($I78="Complete","Green",IF($H78="","Amber",IF($H78&lt;'[2]Read Me'!$B$4,"Red",IF($H78-'[2]Read Me'!$B$4&lt;=21,"Amber","Green"))))</f>
        <v>Amber</v>
      </c>
      <c r="N78" s="3"/>
      <c r="O78" t="str">
        <f>IF($I78&lt;&gt;"Complete",IF(COUNTIFS($A$4:$A77,$A78,$B$4:$B77,$B78,$I$4:$I77,"&lt;&gt;Complete")=0,$A78&amp;"|"&amp;$B78,""),"")</f>
        <v>|</v>
      </c>
      <c r="P78" t="str">
        <f ca="1">IF($K78="Yes",COUNTIFS($K$4:$K78,"Yes"),"")</f>
        <v/>
      </c>
      <c r="Q78">
        <f t="shared" ca="1" si="8"/>
        <v>0</v>
      </c>
      <c r="R78" t="str">
        <f ca="1">IF($Q78=1,SUM($Q$4:$Q78),"")</f>
        <v/>
      </c>
    </row>
    <row r="79" spans="1:18" ht="33.75" customHeight="1" x14ac:dyDescent="0.3">
      <c r="A79" s="2"/>
      <c r="B79" s="2"/>
      <c r="C79" s="3"/>
      <c r="D79" s="3"/>
      <c r="E79" s="2"/>
      <c r="F79" s="2"/>
      <c r="G79" s="5"/>
      <c r="H79" s="5"/>
      <c r="I79" s="4"/>
      <c r="J79" s="6" t="str">
        <f t="shared" si="5"/>
        <v/>
      </c>
      <c r="K79" s="4" t="str">
        <f t="shared" ca="1" si="6"/>
        <v/>
      </c>
      <c r="L79" s="7" t="str">
        <f t="shared" ca="1" si="7"/>
        <v/>
      </c>
      <c r="M79" s="4" t="str">
        <f>IF($I79="Complete","Green",IF($H79="","Amber",IF($H79&lt;'[2]Read Me'!$B$4,"Red",IF($H79-'[2]Read Me'!$B$4&lt;=21,"Amber","Green"))))</f>
        <v>Amber</v>
      </c>
      <c r="N79" s="3"/>
      <c r="O79" t="str">
        <f>IF($I79&lt;&gt;"Complete",IF(COUNTIFS($A$4:$A78,$A79,$B$4:$B78,$B79,$I$4:$I78,"&lt;&gt;Complete")=0,$A79&amp;"|"&amp;$B79,""),"")</f>
        <v>|</v>
      </c>
      <c r="P79" t="str">
        <f ca="1">IF($K79="Yes",COUNTIFS($K$4:$K79,"Yes"),"")</f>
        <v/>
      </c>
      <c r="Q79">
        <f t="shared" ca="1" si="8"/>
        <v>0</v>
      </c>
      <c r="R79" t="str">
        <f ca="1">IF($Q79=1,SUM($Q$4:$Q79),"")</f>
        <v/>
      </c>
    </row>
    <row r="80" spans="1:18" ht="33.75" customHeight="1" x14ac:dyDescent="0.3">
      <c r="A80" s="2"/>
      <c r="B80" s="2"/>
      <c r="C80" s="3"/>
      <c r="D80" s="3"/>
      <c r="E80" s="2"/>
      <c r="F80" s="2"/>
      <c r="G80" s="5"/>
      <c r="H80" s="5"/>
      <c r="I80" s="4"/>
      <c r="J80" s="6" t="str">
        <f t="shared" si="5"/>
        <v/>
      </c>
      <c r="K80" s="4" t="str">
        <f t="shared" ca="1" si="6"/>
        <v/>
      </c>
      <c r="L80" s="7" t="str">
        <f t="shared" ca="1" si="7"/>
        <v/>
      </c>
      <c r="M80" s="4" t="str">
        <f>IF($I80="Complete","Green",IF($H80="","Amber",IF($H80&lt;'[2]Read Me'!$B$4,"Red",IF($H80-'[2]Read Me'!$B$4&lt;=21,"Amber","Green"))))</f>
        <v>Amber</v>
      </c>
      <c r="N80" s="3"/>
      <c r="O80" t="str">
        <f>IF($I80&lt;&gt;"Complete",IF(COUNTIFS($A$4:$A79,$A80,$B$4:$B79,$B80,$I$4:$I79,"&lt;&gt;Complete")=0,$A80&amp;"|"&amp;$B80,""),"")</f>
        <v>|</v>
      </c>
      <c r="P80" t="str">
        <f ca="1">IF($K80="Yes",COUNTIFS($K$4:$K80,"Yes"),"")</f>
        <v/>
      </c>
      <c r="Q80">
        <f t="shared" ca="1" si="8"/>
        <v>0</v>
      </c>
      <c r="R80" t="str">
        <f ca="1">IF($Q80=1,SUM($Q$4:$Q80),"")</f>
        <v/>
      </c>
    </row>
    <row r="81" spans="1:18" ht="33.75" customHeight="1" x14ac:dyDescent="0.3">
      <c r="A81" s="2"/>
      <c r="B81" s="2"/>
      <c r="C81" s="3"/>
      <c r="D81" s="3"/>
      <c r="E81" s="2"/>
      <c r="F81" s="2"/>
      <c r="G81" s="5"/>
      <c r="H81" s="5"/>
      <c r="I81" s="4"/>
      <c r="J81" s="6" t="str">
        <f t="shared" si="5"/>
        <v/>
      </c>
      <c r="K81" s="4" t="str">
        <f t="shared" ca="1" si="6"/>
        <v/>
      </c>
      <c r="L81" s="7" t="str">
        <f t="shared" ca="1" si="7"/>
        <v/>
      </c>
      <c r="M81" s="4" t="str">
        <f>IF($I81="Complete","Green",IF($H81="","Amber",IF($H81&lt;'[2]Read Me'!$B$4,"Red",IF($H81-'[2]Read Me'!$B$4&lt;=21,"Amber","Green"))))</f>
        <v>Amber</v>
      </c>
      <c r="N81" s="3"/>
      <c r="O81" t="str">
        <f>IF($I81&lt;&gt;"Complete",IF(COUNTIFS($A$4:$A80,$A81,$B$4:$B80,$B81,$I$4:$I80,"&lt;&gt;Complete")=0,$A81&amp;"|"&amp;$B81,""),"")</f>
        <v>|</v>
      </c>
      <c r="P81" t="str">
        <f ca="1">IF($K81="Yes",COUNTIFS($K$4:$K81,"Yes"),"")</f>
        <v/>
      </c>
      <c r="Q81">
        <f t="shared" ca="1" si="8"/>
        <v>0</v>
      </c>
      <c r="R81" t="str">
        <f ca="1">IF($Q81=1,SUM($Q$4:$Q81),"")</f>
        <v/>
      </c>
    </row>
    <row r="82" spans="1:18" ht="33.75" customHeight="1" x14ac:dyDescent="0.3">
      <c r="A82" s="2"/>
      <c r="B82" s="2"/>
      <c r="C82" s="3"/>
      <c r="D82" s="3"/>
      <c r="E82" s="2"/>
      <c r="F82" s="2"/>
      <c r="G82" s="5"/>
      <c r="H82" s="5"/>
      <c r="I82" s="4"/>
      <c r="J82" s="6" t="str">
        <f t="shared" si="5"/>
        <v/>
      </c>
      <c r="K82" s="4" t="str">
        <f t="shared" ca="1" si="6"/>
        <v/>
      </c>
      <c r="L82" s="7" t="str">
        <f t="shared" ca="1" si="7"/>
        <v/>
      </c>
      <c r="M82" s="4" t="str">
        <f>IF($I82="Complete","Green",IF($H82="","Amber",IF($H82&lt;'[2]Read Me'!$B$4,"Red",IF($H82-'[2]Read Me'!$B$4&lt;=21,"Amber","Green"))))</f>
        <v>Amber</v>
      </c>
      <c r="N82" s="3"/>
      <c r="O82" t="str">
        <f>IF($I82&lt;&gt;"Complete",IF(COUNTIFS($A$4:$A81,$A82,$B$4:$B81,$B82,$I$4:$I81,"&lt;&gt;Complete")=0,$A82&amp;"|"&amp;$B82,""),"")</f>
        <v>|</v>
      </c>
      <c r="P82" t="str">
        <f ca="1">IF($K82="Yes",COUNTIFS($K$4:$K82,"Yes"),"")</f>
        <v/>
      </c>
      <c r="Q82">
        <f t="shared" ca="1" si="8"/>
        <v>0</v>
      </c>
      <c r="R82" t="str">
        <f ca="1">IF($Q82=1,SUM($Q$4:$Q82),"")</f>
        <v/>
      </c>
    </row>
    <row r="83" spans="1:18" ht="33.75" customHeight="1" x14ac:dyDescent="0.3">
      <c r="A83" s="2"/>
      <c r="B83" s="2"/>
      <c r="C83" s="3"/>
      <c r="D83" s="3"/>
      <c r="E83" s="2"/>
      <c r="F83" s="2"/>
      <c r="G83" s="5"/>
      <c r="H83" s="5"/>
      <c r="I83" s="4"/>
      <c r="J83" s="6" t="str">
        <f t="shared" si="5"/>
        <v/>
      </c>
      <c r="K83" s="4" t="str">
        <f t="shared" ca="1" si="6"/>
        <v/>
      </c>
      <c r="L83" s="7" t="str">
        <f t="shared" ca="1" si="7"/>
        <v/>
      </c>
      <c r="M83" s="4" t="str">
        <f>IF($I83="Complete","Green",IF($H83="","Amber",IF($H83&lt;'[2]Read Me'!$B$4,"Red",IF($H83-'[2]Read Me'!$B$4&lt;=21,"Amber","Green"))))</f>
        <v>Amber</v>
      </c>
      <c r="N83" s="3"/>
      <c r="O83" t="str">
        <f>IF($I83&lt;&gt;"Complete",IF(COUNTIFS($A$4:$A82,$A83,$B$4:$B82,$B83,$I$4:$I82,"&lt;&gt;Complete")=0,$A83&amp;"|"&amp;$B83,""),"")</f>
        <v>|</v>
      </c>
      <c r="P83" t="str">
        <f ca="1">IF($K83="Yes",COUNTIFS($K$4:$K83,"Yes"),"")</f>
        <v/>
      </c>
      <c r="Q83">
        <f t="shared" ca="1" si="8"/>
        <v>0</v>
      </c>
      <c r="R83" t="str">
        <f ca="1">IF($Q83=1,SUM($Q$4:$Q83),"")</f>
        <v/>
      </c>
    </row>
    <row r="84" spans="1:18" ht="33.75" customHeight="1" x14ac:dyDescent="0.3">
      <c r="A84" s="2"/>
      <c r="B84" s="2"/>
      <c r="C84" s="3"/>
      <c r="D84" s="3"/>
      <c r="E84" s="2"/>
      <c r="F84" s="2"/>
      <c r="G84" s="5"/>
      <c r="H84" s="5"/>
      <c r="I84" s="4"/>
      <c r="J84" s="6" t="str">
        <f t="shared" si="5"/>
        <v/>
      </c>
      <c r="K84" s="4" t="str">
        <f t="shared" ca="1" si="6"/>
        <v/>
      </c>
      <c r="L84" s="7" t="str">
        <f t="shared" ca="1" si="7"/>
        <v/>
      </c>
      <c r="M84" s="4" t="str">
        <f>IF($I84="Complete","Green",IF($H84="","Amber",IF($H84&lt;'[2]Read Me'!$B$4,"Red",IF($H84-'[2]Read Me'!$B$4&lt;=21,"Amber","Green"))))</f>
        <v>Amber</v>
      </c>
      <c r="N84" s="3"/>
      <c r="O84" t="str">
        <f>IF($I84&lt;&gt;"Complete",IF(COUNTIFS($A$4:$A83,$A84,$B$4:$B83,$B84,$I$4:$I83,"&lt;&gt;Complete")=0,$A84&amp;"|"&amp;$B84,""),"")</f>
        <v>|</v>
      </c>
      <c r="P84" t="str">
        <f ca="1">IF($K84="Yes",COUNTIFS($K$4:$K84,"Yes"),"")</f>
        <v/>
      </c>
      <c r="Q84">
        <f t="shared" ca="1" si="8"/>
        <v>0</v>
      </c>
      <c r="R84" t="str">
        <f ca="1">IF($Q84=1,SUM($Q$4:$Q84),"")</f>
        <v/>
      </c>
    </row>
    <row r="85" spans="1:18" ht="33.75" customHeight="1" x14ac:dyDescent="0.3">
      <c r="A85" s="2"/>
      <c r="B85" s="2"/>
      <c r="C85" s="3"/>
      <c r="D85" s="3"/>
      <c r="E85" s="2"/>
      <c r="F85" s="2"/>
      <c r="G85" s="5"/>
      <c r="H85" s="5"/>
      <c r="I85" s="4"/>
      <c r="J85" s="6" t="str">
        <f t="shared" si="5"/>
        <v/>
      </c>
      <c r="K85" s="4" t="str">
        <f t="shared" ca="1" si="6"/>
        <v/>
      </c>
      <c r="L85" s="7" t="str">
        <f t="shared" ca="1" si="7"/>
        <v/>
      </c>
      <c r="M85" s="4" t="str">
        <f>IF($I85="Complete","Green",IF($H85="","Amber",IF($H85&lt;'[2]Read Me'!$B$4,"Red",IF($H85-'[2]Read Me'!$B$4&lt;=21,"Amber","Green"))))</f>
        <v>Amber</v>
      </c>
      <c r="N85" s="3"/>
      <c r="O85" t="str">
        <f>IF($I85&lt;&gt;"Complete",IF(COUNTIFS($A$4:$A84,$A85,$B$4:$B84,$B85,$I$4:$I84,"&lt;&gt;Complete")=0,$A85&amp;"|"&amp;$B85,""),"")</f>
        <v>|</v>
      </c>
      <c r="P85" t="str">
        <f ca="1">IF($K85="Yes",COUNTIFS($K$4:$K85,"Yes"),"")</f>
        <v/>
      </c>
      <c r="Q85">
        <f t="shared" ca="1" si="8"/>
        <v>0</v>
      </c>
      <c r="R85" t="str">
        <f ca="1">IF($Q85=1,SUM($Q$4:$Q85),"")</f>
        <v/>
      </c>
    </row>
    <row r="86" spans="1:18" ht="33.75" customHeight="1" x14ac:dyDescent="0.3">
      <c r="A86" s="2"/>
      <c r="B86" s="2"/>
      <c r="C86" s="3"/>
      <c r="D86" s="3"/>
      <c r="E86" s="2"/>
      <c r="F86" s="2"/>
      <c r="G86" s="5"/>
      <c r="H86" s="5"/>
      <c r="I86" s="4"/>
      <c r="J86" s="6" t="str">
        <f t="shared" si="5"/>
        <v/>
      </c>
      <c r="K86" s="4" t="str">
        <f t="shared" ca="1" si="6"/>
        <v/>
      </c>
      <c r="L86" s="7" t="str">
        <f t="shared" ca="1" si="7"/>
        <v/>
      </c>
      <c r="M86" s="4" t="str">
        <f>IF($I86="Complete","Green",IF($H86="","Amber",IF($H86&lt;'[2]Read Me'!$B$4,"Red",IF($H86-'[2]Read Me'!$B$4&lt;=21,"Amber","Green"))))</f>
        <v>Amber</v>
      </c>
      <c r="N86" s="3"/>
      <c r="O86" t="str">
        <f>IF($I86&lt;&gt;"Complete",IF(COUNTIFS($A$4:$A85,$A86,$B$4:$B85,$B86,$I$4:$I85,"&lt;&gt;Complete")=0,$A86&amp;"|"&amp;$B86,""),"")</f>
        <v>|</v>
      </c>
      <c r="P86" t="str">
        <f ca="1">IF($K86="Yes",COUNTIFS($K$4:$K86,"Yes"),"")</f>
        <v/>
      </c>
      <c r="Q86">
        <f t="shared" ca="1" si="8"/>
        <v>0</v>
      </c>
      <c r="R86" t="str">
        <f ca="1">IF($Q86=1,SUM($Q$4:$Q86),"")</f>
        <v/>
      </c>
    </row>
    <row r="87" spans="1:18" ht="33.75" customHeight="1" x14ac:dyDescent="0.3">
      <c r="A87" s="2"/>
      <c r="B87" s="2"/>
      <c r="C87" s="3"/>
      <c r="D87" s="3"/>
      <c r="E87" s="2"/>
      <c r="F87" s="2"/>
      <c r="G87" s="5"/>
      <c r="H87" s="5"/>
      <c r="I87" s="4"/>
      <c r="J87" s="6" t="str">
        <f t="shared" si="5"/>
        <v/>
      </c>
      <c r="K87" s="4" t="str">
        <f t="shared" ca="1" si="6"/>
        <v/>
      </c>
      <c r="L87" s="7" t="str">
        <f t="shared" ca="1" si="7"/>
        <v/>
      </c>
      <c r="M87" s="4" t="str">
        <f>IF($I87="Complete","Green",IF($H87="","Amber",IF($H87&lt;'[2]Read Me'!$B$4,"Red",IF($H87-'[2]Read Me'!$B$4&lt;=21,"Amber","Green"))))</f>
        <v>Amber</v>
      </c>
      <c r="N87" s="3"/>
      <c r="O87" t="str">
        <f>IF($I87&lt;&gt;"Complete",IF(COUNTIFS($A$4:$A86,$A87,$B$4:$B86,$B87,$I$4:$I86,"&lt;&gt;Complete")=0,$A87&amp;"|"&amp;$B87,""),"")</f>
        <v>|</v>
      </c>
      <c r="P87" t="str">
        <f ca="1">IF($K87="Yes",COUNTIFS($K$4:$K87,"Yes"),"")</f>
        <v/>
      </c>
      <c r="Q87">
        <f t="shared" ca="1" si="8"/>
        <v>0</v>
      </c>
      <c r="R87" t="str">
        <f ca="1">IF($Q87=1,SUM($Q$4:$Q87),"")</f>
        <v/>
      </c>
    </row>
    <row r="88" spans="1:18" ht="33.75" customHeight="1" x14ac:dyDescent="0.3">
      <c r="A88" s="2"/>
      <c r="B88" s="2"/>
      <c r="C88" s="3"/>
      <c r="D88" s="3"/>
      <c r="E88" s="2"/>
      <c r="F88" s="2"/>
      <c r="G88" s="5"/>
      <c r="H88" s="5"/>
      <c r="I88" s="4"/>
      <c r="J88" s="6" t="str">
        <f t="shared" si="5"/>
        <v/>
      </c>
      <c r="K88" s="4" t="str">
        <f t="shared" ca="1" si="6"/>
        <v/>
      </c>
      <c r="L88" s="7" t="str">
        <f t="shared" ca="1" si="7"/>
        <v/>
      </c>
      <c r="M88" s="4" t="str">
        <f>IF($I88="Complete","Green",IF($H88="","Amber",IF($H88&lt;'[2]Read Me'!$B$4,"Red",IF($H88-'[2]Read Me'!$B$4&lt;=21,"Amber","Green"))))</f>
        <v>Amber</v>
      </c>
      <c r="N88" s="3"/>
      <c r="O88" t="str">
        <f>IF($I88&lt;&gt;"Complete",IF(COUNTIFS($A$4:$A87,$A88,$B$4:$B87,$B88,$I$4:$I87,"&lt;&gt;Complete")=0,$A88&amp;"|"&amp;$B88,""),"")</f>
        <v>|</v>
      </c>
      <c r="P88" t="str">
        <f ca="1">IF($K88="Yes",COUNTIFS($K$4:$K88,"Yes"),"")</f>
        <v/>
      </c>
      <c r="Q88">
        <f t="shared" ca="1" si="8"/>
        <v>0</v>
      </c>
      <c r="R88" t="str">
        <f ca="1">IF($Q88=1,SUM($Q$4:$Q88),"")</f>
        <v/>
      </c>
    </row>
    <row r="89" spans="1:18" ht="33.75" customHeight="1" x14ac:dyDescent="0.3">
      <c r="A89" s="2"/>
      <c r="B89" s="2"/>
      <c r="C89" s="3"/>
      <c r="D89" s="3"/>
      <c r="E89" s="2"/>
      <c r="F89" s="2"/>
      <c r="G89" s="5"/>
      <c r="H89" s="5"/>
      <c r="I89" s="4"/>
      <c r="J89" s="6" t="str">
        <f t="shared" si="5"/>
        <v/>
      </c>
      <c r="K89" s="4" t="str">
        <f t="shared" ca="1" si="6"/>
        <v/>
      </c>
      <c r="L89" s="7" t="str">
        <f t="shared" ca="1" si="7"/>
        <v/>
      </c>
      <c r="M89" s="4" t="str">
        <f>IF($I89="Complete","Green",IF($H89="","Amber",IF($H89&lt;'[2]Read Me'!$B$4,"Red",IF($H89-'[2]Read Me'!$B$4&lt;=21,"Amber","Green"))))</f>
        <v>Amber</v>
      </c>
      <c r="N89" s="3"/>
      <c r="O89" t="str">
        <f>IF($I89&lt;&gt;"Complete",IF(COUNTIFS($A$4:$A88,$A89,$B$4:$B88,$B89,$I$4:$I88,"&lt;&gt;Complete")=0,$A89&amp;"|"&amp;$B89,""),"")</f>
        <v>|</v>
      </c>
      <c r="P89" t="str">
        <f ca="1">IF($K89="Yes",COUNTIFS($K$4:$K89,"Yes"),"")</f>
        <v/>
      </c>
      <c r="Q89">
        <f t="shared" ca="1" si="8"/>
        <v>0</v>
      </c>
      <c r="R89" t="str">
        <f ca="1">IF($Q89=1,SUM($Q$4:$Q89),"")</f>
        <v/>
      </c>
    </row>
    <row r="90" spans="1:18" ht="33.75" customHeight="1" x14ac:dyDescent="0.3">
      <c r="A90" s="2"/>
      <c r="B90" s="2"/>
      <c r="C90" s="3"/>
      <c r="D90" s="3"/>
      <c r="E90" s="2"/>
      <c r="F90" s="2"/>
      <c r="G90" s="5"/>
      <c r="H90" s="5"/>
      <c r="I90" s="4"/>
      <c r="J90" s="6" t="str">
        <f t="shared" si="5"/>
        <v/>
      </c>
      <c r="K90" s="4" t="str">
        <f t="shared" ca="1" si="6"/>
        <v/>
      </c>
      <c r="L90" s="7" t="str">
        <f t="shared" ca="1" si="7"/>
        <v/>
      </c>
      <c r="M90" s="4" t="str">
        <f>IF($I90="Complete","Green",IF($H90="","Amber",IF($H90&lt;'[2]Read Me'!$B$4,"Red",IF($H90-'[2]Read Me'!$B$4&lt;=21,"Amber","Green"))))</f>
        <v>Amber</v>
      </c>
      <c r="N90" s="3"/>
      <c r="O90" t="str">
        <f>IF($I90&lt;&gt;"Complete",IF(COUNTIFS($A$4:$A89,$A90,$B$4:$B89,$B90,$I$4:$I89,"&lt;&gt;Complete")=0,$A90&amp;"|"&amp;$B90,""),"")</f>
        <v>|</v>
      </c>
      <c r="P90" t="str">
        <f ca="1">IF($K90="Yes",COUNTIFS($K$4:$K90,"Yes"),"")</f>
        <v/>
      </c>
      <c r="Q90">
        <f t="shared" ca="1" si="8"/>
        <v>0</v>
      </c>
      <c r="R90" t="str">
        <f ca="1">IF($Q90=1,SUM($Q$4:$Q90),"")</f>
        <v/>
      </c>
    </row>
    <row r="91" spans="1:18" ht="33.75" customHeight="1" x14ac:dyDescent="0.3">
      <c r="A91" s="2"/>
      <c r="B91" s="2"/>
      <c r="C91" s="3"/>
      <c r="D91" s="3"/>
      <c r="E91" s="2"/>
      <c r="F91" s="2"/>
      <c r="G91" s="5"/>
      <c r="H91" s="5"/>
      <c r="I91" s="4"/>
      <c r="J91" s="6" t="str">
        <f t="shared" si="5"/>
        <v/>
      </c>
      <c r="K91" s="4" t="str">
        <f t="shared" ca="1" si="6"/>
        <v/>
      </c>
      <c r="L91" s="7" t="str">
        <f t="shared" ca="1" si="7"/>
        <v/>
      </c>
      <c r="M91" s="4" t="str">
        <f>IF($I91="Complete","Green",IF($H91="","Amber",IF($H91&lt;'[2]Read Me'!$B$4,"Red",IF($H91-'[2]Read Me'!$B$4&lt;=21,"Amber","Green"))))</f>
        <v>Amber</v>
      </c>
      <c r="N91" s="3"/>
      <c r="O91" t="str">
        <f>IF($I91&lt;&gt;"Complete",IF(COUNTIFS($A$4:$A90,$A91,$B$4:$B90,$B91,$I$4:$I90,"&lt;&gt;Complete")=0,$A91&amp;"|"&amp;$B91,""),"")</f>
        <v>|</v>
      </c>
      <c r="P91" t="str">
        <f ca="1">IF($K91="Yes",COUNTIFS($K$4:$K91,"Yes"),"")</f>
        <v/>
      </c>
      <c r="Q91">
        <f t="shared" ca="1" si="8"/>
        <v>0</v>
      </c>
      <c r="R91" t="str">
        <f ca="1">IF($Q91=1,SUM($Q$4:$Q91),"")</f>
        <v/>
      </c>
    </row>
    <row r="92" spans="1:18" ht="33.75" customHeight="1" x14ac:dyDescent="0.3">
      <c r="A92" s="2"/>
      <c r="B92" s="2"/>
      <c r="C92" s="3"/>
      <c r="D92" s="3"/>
      <c r="E92" s="2"/>
      <c r="F92" s="2"/>
      <c r="G92" s="5"/>
      <c r="H92" s="5"/>
      <c r="I92" s="4"/>
      <c r="J92" s="6" t="str">
        <f t="shared" si="5"/>
        <v/>
      </c>
      <c r="K92" s="4" t="str">
        <f t="shared" ca="1" si="6"/>
        <v/>
      </c>
      <c r="L92" s="7" t="str">
        <f t="shared" ca="1" si="7"/>
        <v/>
      </c>
      <c r="M92" s="4" t="str">
        <f>IF($I92="Complete","Green",IF($H92="","Amber",IF($H92&lt;'[2]Read Me'!$B$4,"Red",IF($H92-'[2]Read Me'!$B$4&lt;=21,"Amber","Green"))))</f>
        <v>Amber</v>
      </c>
      <c r="N92" s="3"/>
      <c r="O92" t="str">
        <f>IF($I92&lt;&gt;"Complete",IF(COUNTIFS($A$4:$A91,$A92,$B$4:$B91,$B92,$I$4:$I91,"&lt;&gt;Complete")=0,$A92&amp;"|"&amp;$B92,""),"")</f>
        <v>|</v>
      </c>
      <c r="P92" t="str">
        <f ca="1">IF($K92="Yes",COUNTIFS($K$4:$K92,"Yes"),"")</f>
        <v/>
      </c>
      <c r="Q92">
        <f t="shared" ca="1" si="8"/>
        <v>0</v>
      </c>
      <c r="R92" t="str">
        <f ca="1">IF($Q92=1,SUM($Q$4:$Q92),"")</f>
        <v/>
      </c>
    </row>
    <row r="93" spans="1:18" ht="33.75" customHeight="1" x14ac:dyDescent="0.3">
      <c r="A93" s="2"/>
      <c r="B93" s="2"/>
      <c r="C93" s="3"/>
      <c r="D93" s="3"/>
      <c r="E93" s="2"/>
      <c r="F93" s="2"/>
      <c r="G93" s="5"/>
      <c r="H93" s="5"/>
      <c r="I93" s="4"/>
      <c r="J93" s="6" t="str">
        <f t="shared" si="5"/>
        <v/>
      </c>
      <c r="K93" s="4" t="str">
        <f t="shared" ca="1" si="6"/>
        <v/>
      </c>
      <c r="L93" s="7" t="str">
        <f t="shared" ca="1" si="7"/>
        <v/>
      </c>
      <c r="M93" s="4" t="str">
        <f>IF($I93="Complete","Green",IF($H93="","Amber",IF($H93&lt;'[2]Read Me'!$B$4,"Red",IF($H93-'[2]Read Me'!$B$4&lt;=21,"Amber","Green"))))</f>
        <v>Amber</v>
      </c>
      <c r="N93" s="3"/>
      <c r="O93" t="str">
        <f>IF($I93&lt;&gt;"Complete",IF(COUNTIFS($A$4:$A92,$A93,$B$4:$B92,$B93,$I$4:$I92,"&lt;&gt;Complete")=0,$A93&amp;"|"&amp;$B93,""),"")</f>
        <v>|</v>
      </c>
      <c r="P93" t="str">
        <f ca="1">IF($K93="Yes",COUNTIFS($K$4:$K93,"Yes"),"")</f>
        <v/>
      </c>
      <c r="Q93">
        <f t="shared" ca="1" si="8"/>
        <v>0</v>
      </c>
      <c r="R93" t="str">
        <f ca="1">IF($Q93=1,SUM($Q$4:$Q93),"")</f>
        <v/>
      </c>
    </row>
    <row r="94" spans="1:18" ht="33.75" customHeight="1" x14ac:dyDescent="0.3">
      <c r="A94" s="2"/>
      <c r="B94" s="2"/>
      <c r="C94" s="3"/>
      <c r="D94" s="3"/>
      <c r="E94" s="2"/>
      <c r="F94" s="2"/>
      <c r="G94" s="5"/>
      <c r="H94" s="5"/>
      <c r="I94" s="4"/>
      <c r="J94" s="6" t="str">
        <f t="shared" si="5"/>
        <v/>
      </c>
      <c r="K94" s="4" t="str">
        <f t="shared" ca="1" si="6"/>
        <v/>
      </c>
      <c r="L94" s="7" t="str">
        <f t="shared" ca="1" si="7"/>
        <v/>
      </c>
      <c r="M94" s="4" t="str">
        <f>IF($I94="Complete","Green",IF($H94="","Amber",IF($H94&lt;'[2]Read Me'!$B$4,"Red",IF($H94-'[2]Read Me'!$B$4&lt;=21,"Amber","Green"))))</f>
        <v>Amber</v>
      </c>
      <c r="N94" s="3"/>
      <c r="O94" t="str">
        <f>IF($I94&lt;&gt;"Complete",IF(COUNTIFS($A$4:$A93,$A94,$B$4:$B93,$B94,$I$4:$I93,"&lt;&gt;Complete")=0,$A94&amp;"|"&amp;$B94,""),"")</f>
        <v>|</v>
      </c>
      <c r="P94" t="str">
        <f ca="1">IF($K94="Yes",COUNTIFS($K$4:$K94,"Yes"),"")</f>
        <v/>
      </c>
      <c r="Q94">
        <f t="shared" ca="1" si="8"/>
        <v>0</v>
      </c>
      <c r="R94" t="str">
        <f ca="1">IF($Q94=1,SUM($Q$4:$Q94),"")</f>
        <v/>
      </c>
    </row>
    <row r="95" spans="1:18" ht="33.75" customHeight="1" x14ac:dyDescent="0.3">
      <c r="A95" s="2"/>
      <c r="B95" s="2"/>
      <c r="C95" s="3"/>
      <c r="D95" s="3"/>
      <c r="E95" s="2"/>
      <c r="F95" s="2"/>
      <c r="G95" s="5"/>
      <c r="H95" s="5"/>
      <c r="I95" s="4"/>
      <c r="J95" s="6" t="str">
        <f t="shared" si="5"/>
        <v/>
      </c>
      <c r="K95" s="4" t="str">
        <f t="shared" ca="1" si="6"/>
        <v/>
      </c>
      <c r="L95" s="7" t="str">
        <f t="shared" ca="1" si="7"/>
        <v/>
      </c>
      <c r="M95" s="4" t="str">
        <f>IF($I95="Complete","Green",IF($H95="","Amber",IF($H95&lt;'[2]Read Me'!$B$4,"Red",IF($H95-'[2]Read Me'!$B$4&lt;=21,"Amber","Green"))))</f>
        <v>Amber</v>
      </c>
      <c r="N95" s="3"/>
      <c r="O95" t="str">
        <f>IF($I95&lt;&gt;"Complete",IF(COUNTIFS($A$4:$A94,$A95,$B$4:$B94,$B95,$I$4:$I94,"&lt;&gt;Complete")=0,$A95&amp;"|"&amp;$B95,""),"")</f>
        <v>|</v>
      </c>
      <c r="P95" t="str">
        <f ca="1">IF($K95="Yes",COUNTIFS($K$4:$K95,"Yes"),"")</f>
        <v/>
      </c>
      <c r="Q95">
        <f t="shared" ca="1" si="8"/>
        <v>0</v>
      </c>
      <c r="R95" t="str">
        <f ca="1">IF($Q95=1,SUM($Q$4:$Q95),"")</f>
        <v/>
      </c>
    </row>
    <row r="96" spans="1:18" ht="33.75" customHeight="1" x14ac:dyDescent="0.3">
      <c r="A96" s="2"/>
      <c r="B96" s="2"/>
      <c r="C96" s="3"/>
      <c r="D96" s="3"/>
      <c r="E96" s="2"/>
      <c r="F96" s="2"/>
      <c r="G96" s="5"/>
      <c r="H96" s="5"/>
      <c r="I96" s="4"/>
      <c r="J96" s="6" t="str">
        <f t="shared" si="5"/>
        <v/>
      </c>
      <c r="K96" s="4" t="str">
        <f t="shared" ca="1" si="6"/>
        <v/>
      </c>
      <c r="L96" s="7" t="str">
        <f t="shared" ca="1" si="7"/>
        <v/>
      </c>
      <c r="M96" s="4" t="str">
        <f>IF($I96="Complete","Green",IF($H96="","Amber",IF($H96&lt;'[2]Read Me'!$B$4,"Red",IF($H96-'[2]Read Me'!$B$4&lt;=21,"Amber","Green"))))</f>
        <v>Amber</v>
      </c>
      <c r="N96" s="3"/>
      <c r="O96" t="str">
        <f>IF($I96&lt;&gt;"Complete",IF(COUNTIFS($A$4:$A95,$A96,$B$4:$B95,$B96,$I$4:$I95,"&lt;&gt;Complete")=0,$A96&amp;"|"&amp;$B96,""),"")</f>
        <v>|</v>
      </c>
      <c r="P96" t="str">
        <f ca="1">IF($K96="Yes",COUNTIFS($K$4:$K96,"Yes"),"")</f>
        <v/>
      </c>
      <c r="Q96">
        <f t="shared" ca="1" si="8"/>
        <v>0</v>
      </c>
      <c r="R96" t="str">
        <f ca="1">IF($Q96=1,SUM($Q$4:$Q96),"")</f>
        <v/>
      </c>
    </row>
    <row r="97" spans="1:18" ht="33.75" customHeight="1" x14ac:dyDescent="0.3">
      <c r="A97" s="2"/>
      <c r="B97" s="2"/>
      <c r="C97" s="3"/>
      <c r="D97" s="3"/>
      <c r="E97" s="2"/>
      <c r="F97" s="2"/>
      <c r="G97" s="5"/>
      <c r="H97" s="5"/>
      <c r="I97" s="4"/>
      <c r="J97" s="6" t="str">
        <f t="shared" si="5"/>
        <v/>
      </c>
      <c r="K97" s="4" t="str">
        <f t="shared" ca="1" si="6"/>
        <v/>
      </c>
      <c r="L97" s="7" t="str">
        <f t="shared" ca="1" si="7"/>
        <v/>
      </c>
      <c r="M97" s="4" t="str">
        <f>IF($I97="Complete","Green",IF($H97="","Amber",IF($H97&lt;'[2]Read Me'!$B$4,"Red",IF($H97-'[2]Read Me'!$B$4&lt;=21,"Amber","Green"))))</f>
        <v>Amber</v>
      </c>
      <c r="N97" s="3"/>
      <c r="O97" t="str">
        <f>IF($I97&lt;&gt;"Complete",IF(COUNTIFS($A$4:$A96,$A97,$B$4:$B96,$B97,$I$4:$I96,"&lt;&gt;Complete")=0,$A97&amp;"|"&amp;$B97,""),"")</f>
        <v>|</v>
      </c>
      <c r="P97" t="str">
        <f ca="1">IF($K97="Yes",COUNTIFS($K$4:$K97,"Yes"),"")</f>
        <v/>
      </c>
      <c r="Q97">
        <f t="shared" ca="1" si="8"/>
        <v>0</v>
      </c>
      <c r="R97" t="str">
        <f ca="1">IF($Q97=1,SUM($Q$4:$Q97),"")</f>
        <v/>
      </c>
    </row>
    <row r="98" spans="1:18" ht="33.75" customHeight="1" x14ac:dyDescent="0.3">
      <c r="A98" s="2"/>
      <c r="B98" s="2"/>
      <c r="C98" s="3"/>
      <c r="D98" s="3"/>
      <c r="E98" s="2"/>
      <c r="F98" s="2"/>
      <c r="G98" s="5"/>
      <c r="H98" s="5"/>
      <c r="I98" s="4"/>
      <c r="J98" s="6" t="str">
        <f t="shared" si="5"/>
        <v/>
      </c>
      <c r="K98" s="4" t="str">
        <f t="shared" ca="1" si="6"/>
        <v/>
      </c>
      <c r="L98" s="7" t="str">
        <f t="shared" ca="1" si="7"/>
        <v/>
      </c>
      <c r="M98" s="4" t="str">
        <f>IF($I98="Complete","Green",IF($H98="","Amber",IF($H98&lt;'[2]Read Me'!$B$4,"Red",IF($H98-'[2]Read Me'!$B$4&lt;=21,"Amber","Green"))))</f>
        <v>Amber</v>
      </c>
      <c r="N98" s="3"/>
      <c r="O98" t="str">
        <f>IF($I98&lt;&gt;"Complete",IF(COUNTIFS($A$4:$A97,$A98,$B$4:$B97,$B98,$I$4:$I97,"&lt;&gt;Complete")=0,$A98&amp;"|"&amp;$B98,""),"")</f>
        <v>|</v>
      </c>
      <c r="P98" t="str">
        <f ca="1">IF($K98="Yes",COUNTIFS($K$4:$K98,"Yes"),"")</f>
        <v/>
      </c>
      <c r="Q98">
        <f t="shared" ca="1" si="8"/>
        <v>0</v>
      </c>
      <c r="R98" t="str">
        <f ca="1">IF($Q98=1,SUM($Q$4:$Q98),"")</f>
        <v/>
      </c>
    </row>
    <row r="99" spans="1:18" ht="33.75" customHeight="1" x14ac:dyDescent="0.3">
      <c r="A99" s="2"/>
      <c r="B99" s="2"/>
      <c r="C99" s="3"/>
      <c r="D99" s="3"/>
      <c r="E99" s="2"/>
      <c r="F99" s="2"/>
      <c r="G99" s="5"/>
      <c r="H99" s="5"/>
      <c r="I99" s="4"/>
      <c r="J99" s="6" t="str">
        <f t="shared" si="5"/>
        <v/>
      </c>
      <c r="K99" s="4" t="str">
        <f t="shared" ca="1" si="6"/>
        <v/>
      </c>
      <c r="L99" s="7" t="str">
        <f t="shared" ca="1" si="7"/>
        <v/>
      </c>
      <c r="M99" s="4" t="str">
        <f>IF($I99="Complete","Green",IF($H99="","Amber",IF($H99&lt;'[2]Read Me'!$B$4,"Red",IF($H99-'[2]Read Me'!$B$4&lt;=21,"Amber","Green"))))</f>
        <v>Amber</v>
      </c>
      <c r="N99" s="3"/>
      <c r="O99" t="str">
        <f>IF($I99&lt;&gt;"Complete",IF(COUNTIFS($A$4:$A98,$A99,$B$4:$B98,$B99,$I$4:$I98,"&lt;&gt;Complete")=0,$A99&amp;"|"&amp;$B99,""),"")</f>
        <v>|</v>
      </c>
      <c r="P99" t="str">
        <f ca="1">IF($K99="Yes",COUNTIFS($K$4:$K99,"Yes"),"")</f>
        <v/>
      </c>
      <c r="Q99">
        <f t="shared" ca="1" si="8"/>
        <v>0</v>
      </c>
      <c r="R99" t="str">
        <f ca="1">IF($Q99=1,SUM($Q$4:$Q99),"")</f>
        <v/>
      </c>
    </row>
    <row r="100" spans="1:18" ht="33.75" customHeight="1" x14ac:dyDescent="0.3">
      <c r="A100" s="2"/>
      <c r="B100" s="2"/>
      <c r="C100" s="3"/>
      <c r="D100" s="3"/>
      <c r="E100" s="2"/>
      <c r="F100" s="2"/>
      <c r="G100" s="5"/>
      <c r="H100" s="5"/>
      <c r="I100" s="4"/>
      <c r="J100" s="6" t="str">
        <f t="shared" si="5"/>
        <v/>
      </c>
      <c r="K100" s="4" t="str">
        <f t="shared" ca="1" si="6"/>
        <v/>
      </c>
      <c r="L100" s="7" t="str">
        <f t="shared" ca="1" si="7"/>
        <v/>
      </c>
      <c r="M100" s="4" t="str">
        <f>IF($I100="Complete","Green",IF($H100="","Amber",IF($H100&lt;'[2]Read Me'!$B$4,"Red",IF($H100-'[2]Read Me'!$B$4&lt;=21,"Amber","Green"))))</f>
        <v>Amber</v>
      </c>
      <c r="N100" s="3"/>
      <c r="O100" t="str">
        <f>IF($I100&lt;&gt;"Complete",IF(COUNTIFS($A$4:$A99,$A100,$B$4:$B99,$B100,$I$4:$I99,"&lt;&gt;Complete")=0,$A100&amp;"|"&amp;$B100,""),"")</f>
        <v>|</v>
      </c>
      <c r="P100" t="str">
        <f ca="1">IF($K100="Yes",COUNTIFS($K$4:$K100,"Yes"),"")</f>
        <v/>
      </c>
      <c r="Q100">
        <f t="shared" ca="1" si="8"/>
        <v>0</v>
      </c>
      <c r="R100" t="str">
        <f ca="1">IF($Q100=1,SUM($Q$4:$Q100),"")</f>
        <v/>
      </c>
    </row>
    <row r="101" spans="1:18" ht="33.75" customHeight="1" x14ac:dyDescent="0.3">
      <c r="A101" s="2"/>
      <c r="B101" s="2"/>
      <c r="C101" s="3"/>
      <c r="D101" s="3"/>
      <c r="E101" s="2"/>
      <c r="F101" s="2"/>
      <c r="G101" s="5"/>
      <c r="H101" s="5"/>
      <c r="I101" s="4"/>
      <c r="J101" s="6" t="str">
        <f t="shared" si="5"/>
        <v/>
      </c>
      <c r="K101" s="4" t="str">
        <f t="shared" ca="1" si="6"/>
        <v/>
      </c>
      <c r="L101" s="7" t="str">
        <f t="shared" ca="1" si="7"/>
        <v/>
      </c>
      <c r="M101" s="4" t="str">
        <f>IF($I101="Complete","Green",IF($H101="","Amber",IF($H101&lt;'[2]Read Me'!$B$4,"Red",IF($H101-'[2]Read Me'!$B$4&lt;=21,"Amber","Green"))))</f>
        <v>Amber</v>
      </c>
      <c r="N101" s="3"/>
      <c r="O101" t="str">
        <f>IF($I101&lt;&gt;"Complete",IF(COUNTIFS($A$4:$A100,$A101,$B$4:$B100,$B101,$I$4:$I100,"&lt;&gt;Complete")=0,$A101&amp;"|"&amp;$B101,""),"")</f>
        <v>|</v>
      </c>
      <c r="P101" t="str">
        <f ca="1">IF($K101="Yes",COUNTIFS($K$4:$K101,"Yes"),"")</f>
        <v/>
      </c>
      <c r="Q101">
        <f t="shared" ca="1" si="8"/>
        <v>0</v>
      </c>
      <c r="R101" t="str">
        <f ca="1">IF($Q101=1,SUM($Q$4:$Q101),"")</f>
        <v/>
      </c>
    </row>
    <row r="102" spans="1:18" ht="33.75" customHeight="1" x14ac:dyDescent="0.3">
      <c r="A102" s="2"/>
      <c r="B102" s="2"/>
      <c r="C102" s="3"/>
      <c r="D102" s="3"/>
      <c r="E102" s="2"/>
      <c r="F102" s="2"/>
      <c r="G102" s="5"/>
      <c r="H102" s="5"/>
      <c r="I102" s="4"/>
      <c r="J102" s="6" t="str">
        <f t="shared" si="5"/>
        <v/>
      </c>
      <c r="K102" s="4" t="str">
        <f t="shared" ca="1" si="6"/>
        <v/>
      </c>
      <c r="L102" s="7" t="str">
        <f t="shared" ca="1" si="7"/>
        <v/>
      </c>
      <c r="M102" s="4" t="str">
        <f>IF($I102="Complete","Green",IF($H102="","Amber",IF($H102&lt;'[2]Read Me'!$B$4,"Red",IF($H102-'[2]Read Me'!$B$4&lt;=21,"Amber","Green"))))</f>
        <v>Amber</v>
      </c>
      <c r="N102" s="3"/>
      <c r="O102" t="str">
        <f>IF($I102&lt;&gt;"Complete",IF(COUNTIFS($A$4:$A101,$A102,$B$4:$B101,$B102,$I$4:$I101,"&lt;&gt;Complete")=0,$A102&amp;"|"&amp;$B102,""),"")</f>
        <v>|</v>
      </c>
      <c r="P102" t="str">
        <f ca="1">IF($K102="Yes",COUNTIFS($K$4:$K102,"Yes"),"")</f>
        <v/>
      </c>
      <c r="Q102">
        <f t="shared" ca="1" si="8"/>
        <v>0</v>
      </c>
      <c r="R102" t="str">
        <f ca="1">IF($Q102=1,SUM($Q$4:$Q102),"")</f>
        <v/>
      </c>
    </row>
    <row r="103" spans="1:18" ht="33.75" customHeight="1" x14ac:dyDescent="0.3">
      <c r="A103" s="2"/>
      <c r="B103" s="2"/>
      <c r="C103" s="3"/>
      <c r="D103" s="3"/>
      <c r="E103" s="2"/>
      <c r="F103" s="2"/>
      <c r="G103" s="5"/>
      <c r="H103" s="5"/>
      <c r="I103" s="4"/>
      <c r="J103" s="6" t="str">
        <f t="shared" si="5"/>
        <v/>
      </c>
      <c r="K103" s="4" t="str">
        <f t="shared" ca="1" si="6"/>
        <v/>
      </c>
      <c r="L103" s="7" t="str">
        <f t="shared" ca="1" si="7"/>
        <v/>
      </c>
      <c r="M103" s="4" t="str">
        <f>IF($I103="Complete","Green",IF($H103="","Amber",IF($H103&lt;'[2]Read Me'!$B$4,"Red",IF($H103-'[2]Read Me'!$B$4&lt;=21,"Amber","Green"))))</f>
        <v>Amber</v>
      </c>
      <c r="N103" s="3"/>
      <c r="O103" t="str">
        <f>IF($I103&lt;&gt;"Complete",IF(COUNTIFS($A$4:$A102,$A103,$B$4:$B102,$B103,$I$4:$I102,"&lt;&gt;Complete")=0,$A103&amp;"|"&amp;$B103,""),"")</f>
        <v>|</v>
      </c>
      <c r="P103" t="str">
        <f ca="1">IF($K103="Yes",COUNTIFS($K$4:$K103,"Yes"),"")</f>
        <v/>
      </c>
      <c r="Q103">
        <f t="shared" ca="1" si="8"/>
        <v>0</v>
      </c>
      <c r="R103" t="str">
        <f ca="1">IF($Q103=1,SUM($Q$4:$Q103),"")</f>
        <v/>
      </c>
    </row>
    <row r="104" spans="1:18" ht="33.75" customHeight="1" x14ac:dyDescent="0.3">
      <c r="A104" s="2"/>
      <c r="B104" s="2"/>
      <c r="C104" s="3"/>
      <c r="D104" s="3"/>
      <c r="E104" s="2"/>
      <c r="F104" s="2"/>
      <c r="G104" s="5"/>
      <c r="H104" s="5"/>
      <c r="I104" s="4"/>
      <c r="J104" s="6" t="str">
        <f t="shared" si="5"/>
        <v/>
      </c>
      <c r="K104" s="4" t="str">
        <f t="shared" ca="1" si="6"/>
        <v/>
      </c>
      <c r="L104" s="7" t="str">
        <f t="shared" ca="1" si="7"/>
        <v/>
      </c>
      <c r="M104" s="4" t="str">
        <f>IF($I104="Complete","Green",IF($H104="","Amber",IF($H104&lt;'[2]Read Me'!$B$4,"Red",IF($H104-'[2]Read Me'!$B$4&lt;=21,"Amber","Green"))))</f>
        <v>Amber</v>
      </c>
      <c r="N104" s="3"/>
      <c r="O104" t="str">
        <f>IF($I104&lt;&gt;"Complete",IF(COUNTIFS($A$4:$A103,$A104,$B$4:$B103,$B104,$I$4:$I103,"&lt;&gt;Complete")=0,$A104&amp;"|"&amp;$B104,""),"")</f>
        <v>|</v>
      </c>
      <c r="P104" t="str">
        <f ca="1">IF($K104="Yes",COUNTIFS($K$4:$K104,"Yes"),"")</f>
        <v/>
      </c>
      <c r="Q104">
        <f t="shared" ca="1" si="8"/>
        <v>0</v>
      </c>
      <c r="R104" t="str">
        <f ca="1">IF($Q104=1,SUM($Q$4:$Q104),"")</f>
        <v/>
      </c>
    </row>
    <row r="105" spans="1:18" ht="33.75" customHeight="1" x14ac:dyDescent="0.3">
      <c r="A105" s="2"/>
      <c r="B105" s="2"/>
      <c r="C105" s="3"/>
      <c r="D105" s="3"/>
      <c r="E105" s="2"/>
      <c r="F105" s="2"/>
      <c r="G105" s="5"/>
      <c r="H105" s="5"/>
      <c r="I105" s="4"/>
      <c r="J105" s="6" t="str">
        <f t="shared" si="5"/>
        <v/>
      </c>
      <c r="K105" s="4" t="str">
        <f t="shared" ca="1" si="6"/>
        <v/>
      </c>
      <c r="L105" s="7" t="str">
        <f t="shared" ca="1" si="7"/>
        <v/>
      </c>
      <c r="M105" s="4" t="str">
        <f>IF($I105="Complete","Green",IF($H105="","Amber",IF($H105&lt;'[2]Read Me'!$B$4,"Red",IF($H105-'[2]Read Me'!$B$4&lt;=21,"Amber","Green"))))</f>
        <v>Amber</v>
      </c>
      <c r="N105" s="3"/>
      <c r="O105" t="str">
        <f>IF($I105&lt;&gt;"Complete",IF(COUNTIFS($A$4:$A104,$A105,$B$4:$B104,$B105,$I$4:$I104,"&lt;&gt;Complete")=0,$A105&amp;"|"&amp;$B105,""),"")</f>
        <v>|</v>
      </c>
      <c r="P105" t="str">
        <f ca="1">IF($K105="Yes",COUNTIFS($K$4:$K105,"Yes"),"")</f>
        <v/>
      </c>
      <c r="Q105">
        <f t="shared" ca="1" si="8"/>
        <v>0</v>
      </c>
      <c r="R105" t="str">
        <f ca="1">IF($Q105=1,SUM($Q$4:$Q105),"")</f>
        <v/>
      </c>
    </row>
    <row r="106" spans="1:18" ht="22.5" customHeight="1" x14ac:dyDescent="0.3">
      <c r="A106" s="2"/>
      <c r="B106" s="2"/>
      <c r="C106" s="3"/>
      <c r="D106" s="3"/>
      <c r="E106" s="2"/>
      <c r="F106" s="2"/>
      <c r="G106" s="5"/>
      <c r="H106" s="5"/>
      <c r="I106" s="4"/>
      <c r="J106" s="6" t="str">
        <f t="shared" si="5"/>
        <v/>
      </c>
      <c r="K106" s="4" t="str">
        <f t="shared" ca="1" si="6"/>
        <v/>
      </c>
      <c r="L106" s="7" t="str">
        <f t="shared" ca="1" si="7"/>
        <v/>
      </c>
      <c r="M106" s="4" t="str">
        <f>IF($I106="Complete","Green",IF($H106="","Amber",IF($H106&lt;'[2]Read Me'!$B$4,"Red",IF($H106-'[2]Read Me'!$B$4&lt;=21,"Amber","Green"))))</f>
        <v>Amber</v>
      </c>
      <c r="N106" s="3"/>
      <c r="O106" t="str">
        <f>IF($I106&lt;&gt;"Complete",IF(COUNTIFS($A$4:$A105,$A106,$B$4:$B105,$B106,$I$4:$I105,"&lt;&gt;Complete")=0,$A106&amp;"|"&amp;$B106,""),"")</f>
        <v>|</v>
      </c>
      <c r="P106" t="str">
        <f ca="1">IF($K106="Yes",COUNTIFS($K$4:$K106,"Yes"),"")</f>
        <v/>
      </c>
      <c r="Q106">
        <f t="shared" ca="1" si="8"/>
        <v>0</v>
      </c>
      <c r="R106" t="str">
        <f ca="1">IF($Q106=1,SUM($Q$4:$Q106),"")</f>
        <v/>
      </c>
    </row>
    <row r="107" spans="1:18" ht="22.5" customHeight="1" x14ac:dyDescent="0.3">
      <c r="A107" s="2"/>
      <c r="B107" s="2"/>
      <c r="C107" s="3"/>
      <c r="D107" s="3"/>
      <c r="E107" s="2"/>
      <c r="F107" s="2"/>
      <c r="G107" s="5"/>
      <c r="H107" s="5"/>
      <c r="I107" s="4"/>
      <c r="J107" s="6" t="str">
        <f t="shared" si="5"/>
        <v/>
      </c>
      <c r="K107" s="4" t="str">
        <f t="shared" ca="1" si="6"/>
        <v/>
      </c>
      <c r="L107" s="7" t="str">
        <f t="shared" ca="1" si="7"/>
        <v/>
      </c>
      <c r="M107" s="4" t="str">
        <f>IF($I107="Complete","Green",IF($H107="","Amber",IF($H107&lt;'[2]Read Me'!$B$4,"Red",IF($H107-'[2]Read Me'!$B$4&lt;=21,"Amber","Green"))))</f>
        <v>Amber</v>
      </c>
      <c r="N107" s="3"/>
      <c r="O107" t="str">
        <f>IF($I107&lt;&gt;"Complete",IF(COUNTIFS($A$4:$A106,$A107,$B$4:$B106,$B107,$I$4:$I106,"&lt;&gt;Complete")=0,$A107&amp;"|"&amp;$B107,""),"")</f>
        <v>|</v>
      </c>
      <c r="P107" t="str">
        <f ca="1">IF($K107="Yes",COUNTIFS($K$4:$K107,"Yes"),"")</f>
        <v/>
      </c>
      <c r="Q107">
        <f t="shared" ca="1" si="8"/>
        <v>0</v>
      </c>
      <c r="R107" t="str">
        <f ca="1">IF($Q107=1,SUM($Q$4:$Q107),"")</f>
        <v/>
      </c>
    </row>
    <row r="108" spans="1:18" ht="22.5" customHeight="1" x14ac:dyDescent="0.3">
      <c r="A108" s="2"/>
      <c r="B108" s="2"/>
      <c r="C108" s="3"/>
      <c r="D108" s="3"/>
      <c r="E108" s="2"/>
      <c r="F108" s="2"/>
      <c r="G108" s="5"/>
      <c r="H108" s="5"/>
      <c r="I108" s="4"/>
      <c r="J108" s="6" t="str">
        <f t="shared" si="5"/>
        <v/>
      </c>
      <c r="K108" s="4" t="str">
        <f t="shared" ca="1" si="6"/>
        <v/>
      </c>
      <c r="L108" s="7" t="str">
        <f t="shared" ca="1" si="7"/>
        <v/>
      </c>
      <c r="M108" s="4" t="str">
        <f>IF($I108="Complete","Green",IF($H108="","Amber",IF($H108&lt;'[2]Read Me'!$B$4,"Red",IF($H108-'[2]Read Me'!$B$4&lt;=21,"Amber","Green"))))</f>
        <v>Amber</v>
      </c>
      <c r="N108" s="3"/>
      <c r="O108" t="str">
        <f>IF($I108&lt;&gt;"Complete",IF(COUNTIFS($A$4:$A107,$A108,$B$4:$B107,$B108,$I$4:$I107,"&lt;&gt;Complete")=0,$A108&amp;"|"&amp;$B108,""),"")</f>
        <v>|</v>
      </c>
      <c r="P108" t="str">
        <f ca="1">IF($K108="Yes",COUNTIFS($K$4:$K108,"Yes"),"")</f>
        <v/>
      </c>
      <c r="Q108">
        <f t="shared" ca="1" si="8"/>
        <v>0</v>
      </c>
      <c r="R108" t="str">
        <f ca="1">IF($Q108=1,SUM($Q$4:$Q108),"")</f>
        <v/>
      </c>
    </row>
    <row r="109" spans="1:18" ht="22.5" customHeight="1" x14ac:dyDescent="0.3">
      <c r="A109" s="2"/>
      <c r="B109" s="2"/>
      <c r="C109" s="3"/>
      <c r="D109" s="3"/>
      <c r="E109" s="2"/>
      <c r="F109" s="2"/>
      <c r="G109" s="5"/>
      <c r="H109" s="5"/>
      <c r="I109" s="4"/>
      <c r="J109" s="6" t="str">
        <f t="shared" si="5"/>
        <v/>
      </c>
      <c r="K109" s="4" t="str">
        <f t="shared" ca="1" si="6"/>
        <v/>
      </c>
      <c r="L109" s="7" t="str">
        <f t="shared" ca="1" si="7"/>
        <v/>
      </c>
      <c r="M109" s="4" t="str">
        <f>IF($I109="Complete","Green",IF($H109="","Amber",IF($H109&lt;'[2]Read Me'!$B$4,"Red",IF($H109-'[2]Read Me'!$B$4&lt;=21,"Amber","Green"))))</f>
        <v>Amber</v>
      </c>
      <c r="N109" s="3"/>
      <c r="O109" t="str">
        <f>IF($I109&lt;&gt;"Complete",IF(COUNTIFS($A$4:$A108,$A109,$B$4:$B108,$B109,$I$4:$I108,"&lt;&gt;Complete")=0,$A109&amp;"|"&amp;$B109,""),"")</f>
        <v>|</v>
      </c>
      <c r="P109" t="str">
        <f ca="1">IF($K109="Yes",COUNTIFS($K$4:$K109,"Yes"),"")</f>
        <v/>
      </c>
      <c r="Q109">
        <f t="shared" ca="1" si="8"/>
        <v>0</v>
      </c>
      <c r="R109" t="str">
        <f ca="1">IF($Q109=1,SUM($Q$4:$Q109),"")</f>
        <v/>
      </c>
    </row>
    <row r="110" spans="1:18" ht="22.5" customHeight="1" x14ac:dyDescent="0.3">
      <c r="A110" s="2"/>
      <c r="B110" s="2"/>
      <c r="C110" s="3"/>
      <c r="D110" s="3"/>
      <c r="E110" s="2"/>
      <c r="F110" s="2"/>
      <c r="G110" s="5"/>
      <c r="H110" s="5"/>
      <c r="I110" s="4"/>
      <c r="J110" s="6" t="str">
        <f t="shared" si="5"/>
        <v/>
      </c>
      <c r="K110" s="4" t="str">
        <f t="shared" ca="1" si="6"/>
        <v/>
      </c>
      <c r="L110" s="7" t="str">
        <f t="shared" ca="1" si="7"/>
        <v/>
      </c>
      <c r="M110" s="4" t="str">
        <f>IF($I110="Complete","Green",IF($H110="","Amber",IF($H110&lt;'[2]Read Me'!$B$4,"Red",IF($H110-'[2]Read Me'!$B$4&lt;=21,"Amber","Green"))))</f>
        <v>Amber</v>
      </c>
      <c r="N110" s="3"/>
      <c r="O110" t="str">
        <f>IF($I110&lt;&gt;"Complete",IF(COUNTIFS($A$4:$A109,$A110,$B$4:$B109,$B110,$I$4:$I109,"&lt;&gt;Complete")=0,$A110&amp;"|"&amp;$B110,""),"")</f>
        <v>|</v>
      </c>
      <c r="P110" t="str">
        <f ca="1">IF($K110="Yes",COUNTIFS($K$4:$K110,"Yes"),"")</f>
        <v/>
      </c>
      <c r="Q110">
        <f t="shared" ca="1" si="8"/>
        <v>0</v>
      </c>
      <c r="R110" t="str">
        <f ca="1">IF($Q110=1,SUM($Q$4:$Q110),"")</f>
        <v/>
      </c>
    </row>
    <row r="111" spans="1:18" ht="22.5" customHeight="1" x14ac:dyDescent="0.3">
      <c r="A111" s="2"/>
      <c r="B111" s="2"/>
      <c r="C111" s="3"/>
      <c r="D111" s="3"/>
      <c r="E111" s="2"/>
      <c r="F111" s="2"/>
      <c r="G111" s="5"/>
      <c r="H111" s="5"/>
      <c r="I111" s="4"/>
      <c r="J111" s="6" t="str">
        <f t="shared" si="5"/>
        <v/>
      </c>
      <c r="K111" s="4" t="str">
        <f t="shared" ca="1" si="6"/>
        <v/>
      </c>
      <c r="L111" s="7" t="str">
        <f t="shared" ca="1" si="7"/>
        <v/>
      </c>
      <c r="M111" s="4" t="str">
        <f>IF($I111="Complete","Green",IF($H111="","Amber",IF($H111&lt;'[2]Read Me'!$B$4,"Red",IF($H111-'[2]Read Me'!$B$4&lt;=21,"Amber","Green"))))</f>
        <v>Amber</v>
      </c>
      <c r="N111" s="3"/>
      <c r="O111" t="str">
        <f>IF($I111&lt;&gt;"Complete",IF(COUNTIFS($A$4:$A110,$A111,$B$4:$B110,$B111,$I$4:$I110,"&lt;&gt;Complete")=0,$A111&amp;"|"&amp;$B111,""),"")</f>
        <v>|</v>
      </c>
      <c r="P111" t="str">
        <f ca="1">IF($K111="Yes",COUNTIFS($K$4:$K111,"Yes"),"")</f>
        <v/>
      </c>
      <c r="Q111">
        <f t="shared" ca="1" si="8"/>
        <v>0</v>
      </c>
      <c r="R111" t="str">
        <f ca="1">IF($Q111=1,SUM($Q$4:$Q111),"")</f>
        <v/>
      </c>
    </row>
    <row r="112" spans="1:18" ht="22.5" customHeight="1" x14ac:dyDescent="0.3">
      <c r="A112" s="2"/>
      <c r="B112" s="2"/>
      <c r="C112" s="3"/>
      <c r="D112" s="3"/>
      <c r="E112" s="2"/>
      <c r="F112" s="2"/>
      <c r="G112" s="5"/>
      <c r="H112" s="5"/>
      <c r="I112" s="4"/>
      <c r="J112" s="6" t="str">
        <f t="shared" si="5"/>
        <v/>
      </c>
      <c r="K112" s="4" t="str">
        <f t="shared" ca="1" si="6"/>
        <v/>
      </c>
      <c r="L112" s="7" t="str">
        <f t="shared" ca="1" si="7"/>
        <v/>
      </c>
      <c r="M112" s="4" t="str">
        <f>IF($I112="Complete","Green",IF($H112="","Amber",IF($H112&lt;'[2]Read Me'!$B$4,"Red",IF($H112-'[2]Read Me'!$B$4&lt;=21,"Amber","Green"))))</f>
        <v>Amber</v>
      </c>
      <c r="N112" s="3"/>
      <c r="O112" t="str">
        <f>IF($I112&lt;&gt;"Complete",IF(COUNTIFS($A$4:$A111,$A112,$B$4:$B111,$B112,$I$4:$I111,"&lt;&gt;Complete")=0,$A112&amp;"|"&amp;$B112,""),"")</f>
        <v>|</v>
      </c>
      <c r="P112" t="str">
        <f ca="1">IF($K112="Yes",COUNTIFS($K$4:$K112,"Yes"),"")</f>
        <v/>
      </c>
      <c r="Q112">
        <f t="shared" ca="1" si="8"/>
        <v>0</v>
      </c>
      <c r="R112" t="str">
        <f ca="1">IF($Q112=1,SUM($Q$4:$Q112),"")</f>
        <v/>
      </c>
    </row>
    <row r="113" spans="1:18" ht="22.5" customHeight="1" x14ac:dyDescent="0.3">
      <c r="A113" s="2"/>
      <c r="B113" s="2"/>
      <c r="C113" s="3"/>
      <c r="D113" s="3"/>
      <c r="E113" s="2"/>
      <c r="F113" s="2"/>
      <c r="G113" s="5"/>
      <c r="H113" s="5"/>
      <c r="I113" s="4"/>
      <c r="J113" s="6" t="str">
        <f t="shared" si="5"/>
        <v/>
      </c>
      <c r="K113" s="4" t="str">
        <f t="shared" ca="1" si="6"/>
        <v/>
      </c>
      <c r="L113" s="7" t="str">
        <f t="shared" ca="1" si="7"/>
        <v/>
      </c>
      <c r="M113" s="4" t="str">
        <f>IF($I113="Complete","Green",IF($H113="","Amber",IF($H113&lt;'[2]Read Me'!$B$4,"Red",IF($H113-'[2]Read Me'!$B$4&lt;=21,"Amber","Green"))))</f>
        <v>Amber</v>
      </c>
      <c r="N113" s="3"/>
      <c r="O113" t="str">
        <f>IF($I113&lt;&gt;"Complete",IF(COUNTIFS($A$4:$A112,$A113,$B$4:$B112,$B113,$I$4:$I112,"&lt;&gt;Complete")=0,$A113&amp;"|"&amp;$B113,""),"")</f>
        <v>|</v>
      </c>
      <c r="P113" t="str">
        <f ca="1">IF($K113="Yes",COUNTIFS($K$4:$K113,"Yes"),"")</f>
        <v/>
      </c>
      <c r="Q113">
        <f t="shared" ca="1" si="8"/>
        <v>0</v>
      </c>
      <c r="R113" t="str">
        <f ca="1">IF($Q113=1,SUM($Q$4:$Q113),"")</f>
        <v/>
      </c>
    </row>
    <row r="114" spans="1:18" ht="22.5" customHeight="1" x14ac:dyDescent="0.3">
      <c r="A114" s="2"/>
      <c r="B114" s="2"/>
      <c r="C114" s="3"/>
      <c r="D114" s="3"/>
      <c r="E114" s="2"/>
      <c r="F114" s="2"/>
      <c r="G114" s="5"/>
      <c r="H114" s="5"/>
      <c r="I114" s="4"/>
      <c r="J114" s="6" t="str">
        <f t="shared" si="5"/>
        <v/>
      </c>
      <c r="K114" s="4" t="str">
        <f t="shared" ca="1" si="6"/>
        <v/>
      </c>
      <c r="L114" s="7" t="str">
        <f t="shared" ca="1" si="7"/>
        <v/>
      </c>
      <c r="M114" s="4" t="str">
        <f>IF($I114="Complete","Green",IF($H114="","Amber",IF($H114&lt;'[2]Read Me'!$B$4,"Red",IF($H114-'[2]Read Me'!$B$4&lt;=21,"Amber","Green"))))</f>
        <v>Amber</v>
      </c>
      <c r="N114" s="3"/>
      <c r="O114" t="str">
        <f>IF($I114&lt;&gt;"Complete",IF(COUNTIFS($A$4:$A113,$A114,$B$4:$B113,$B114,$I$4:$I113,"&lt;&gt;Complete")=0,$A114&amp;"|"&amp;$B114,""),"")</f>
        <v>|</v>
      </c>
      <c r="P114" t="str">
        <f ca="1">IF($K114="Yes",COUNTIFS($K$4:$K114,"Yes"),"")</f>
        <v/>
      </c>
      <c r="Q114">
        <f t="shared" ca="1" si="8"/>
        <v>0</v>
      </c>
      <c r="R114" t="str">
        <f ca="1">IF($Q114=1,SUM($Q$4:$Q114),"")</f>
        <v/>
      </c>
    </row>
    <row r="115" spans="1:18" ht="22.5" customHeight="1" x14ac:dyDescent="0.3">
      <c r="A115" s="2"/>
      <c r="B115" s="2"/>
      <c r="C115" s="3"/>
      <c r="D115" s="3"/>
      <c r="E115" s="2"/>
      <c r="F115" s="2"/>
      <c r="G115" s="5"/>
      <c r="H115" s="5"/>
      <c r="I115" s="4"/>
      <c r="J115" s="6" t="str">
        <f t="shared" si="5"/>
        <v/>
      </c>
      <c r="K115" s="4" t="str">
        <f t="shared" ca="1" si="6"/>
        <v/>
      </c>
      <c r="L115" s="7" t="str">
        <f t="shared" ca="1" si="7"/>
        <v/>
      </c>
      <c r="M115" s="4" t="str">
        <f>IF($I115="Complete","Green",IF($H115="","Amber",IF($H115&lt;'[2]Read Me'!$B$4,"Red",IF($H115-'[2]Read Me'!$B$4&lt;=21,"Amber","Green"))))</f>
        <v>Amber</v>
      </c>
      <c r="N115" s="3"/>
      <c r="O115" t="str">
        <f>IF($I115&lt;&gt;"Complete",IF(COUNTIFS($A$4:$A114,$A115,$B$4:$B114,$B115,$I$4:$I114,"&lt;&gt;Complete")=0,$A115&amp;"|"&amp;$B115,""),"")</f>
        <v>|</v>
      </c>
      <c r="P115" t="str">
        <f ca="1">IF($K115="Yes",COUNTIFS($K$4:$K115,"Yes"),"")</f>
        <v/>
      </c>
      <c r="Q115">
        <f t="shared" ca="1" si="8"/>
        <v>0</v>
      </c>
      <c r="R115" t="str">
        <f ca="1">IF($Q115=1,SUM($Q$4:$Q115),"")</f>
        <v/>
      </c>
    </row>
    <row r="116" spans="1:18" ht="22.5" customHeight="1" x14ac:dyDescent="0.3">
      <c r="A116" s="2"/>
      <c r="B116" s="2"/>
      <c r="C116" s="3"/>
      <c r="D116" s="3"/>
      <c r="E116" s="2"/>
      <c r="F116" s="2"/>
      <c r="G116" s="5"/>
      <c r="H116" s="5"/>
      <c r="I116" s="4"/>
      <c r="J116" s="6" t="str">
        <f t="shared" si="5"/>
        <v/>
      </c>
      <c r="K116" s="4" t="str">
        <f t="shared" ca="1" si="6"/>
        <v/>
      </c>
      <c r="L116" s="7" t="str">
        <f t="shared" ca="1" si="7"/>
        <v/>
      </c>
      <c r="M116" s="4" t="str">
        <f>IF($I116="Complete","Green",IF($H116="","Amber",IF($H116&lt;'[2]Read Me'!$B$4,"Red",IF($H116-'[2]Read Me'!$B$4&lt;=21,"Amber","Green"))))</f>
        <v>Amber</v>
      </c>
      <c r="N116" s="3"/>
      <c r="O116" t="str">
        <f>IF($I116&lt;&gt;"Complete",IF(COUNTIFS($A$4:$A115,$A116,$B$4:$B115,$B116,$I$4:$I115,"&lt;&gt;Complete")=0,$A116&amp;"|"&amp;$B116,""),"")</f>
        <v>|</v>
      </c>
      <c r="P116" t="str">
        <f ca="1">IF($K116="Yes",COUNTIFS($K$4:$K116,"Yes"),"")</f>
        <v/>
      </c>
      <c r="Q116">
        <f t="shared" ca="1" si="8"/>
        <v>0</v>
      </c>
      <c r="R116" t="str">
        <f ca="1">IF($Q116=1,SUM($Q$4:$Q116),"")</f>
        <v/>
      </c>
    </row>
    <row r="117" spans="1:18" ht="22.5" customHeight="1" x14ac:dyDescent="0.3">
      <c r="A117" s="2"/>
      <c r="B117" s="2"/>
      <c r="C117" s="3"/>
      <c r="D117" s="3"/>
      <c r="E117" s="2"/>
      <c r="F117" s="2"/>
      <c r="G117" s="5"/>
      <c r="H117" s="5"/>
      <c r="I117" s="4"/>
      <c r="J117" s="6" t="str">
        <f t="shared" si="5"/>
        <v/>
      </c>
      <c r="K117" s="4" t="str">
        <f t="shared" ca="1" si="6"/>
        <v/>
      </c>
      <c r="L117" s="7" t="str">
        <f t="shared" ca="1" si="7"/>
        <v/>
      </c>
      <c r="M117" s="4" t="str">
        <f>IF($I117="Complete","Green",IF($H117="","Amber",IF($H117&lt;'[2]Read Me'!$B$4,"Red",IF($H117-'[2]Read Me'!$B$4&lt;=21,"Amber","Green"))))</f>
        <v>Amber</v>
      </c>
      <c r="N117" s="3"/>
      <c r="O117" t="str">
        <f>IF($I117&lt;&gt;"Complete",IF(COUNTIFS($A$4:$A116,$A117,$B$4:$B116,$B117,$I$4:$I116,"&lt;&gt;Complete")=0,$A117&amp;"|"&amp;$B117,""),"")</f>
        <v>|</v>
      </c>
      <c r="P117" t="str">
        <f ca="1">IF($K117="Yes",COUNTIFS($K$4:$K117,"Yes"),"")</f>
        <v/>
      </c>
      <c r="Q117">
        <f t="shared" ca="1" si="8"/>
        <v>0</v>
      </c>
      <c r="R117" t="str">
        <f ca="1">IF($Q117=1,SUM($Q$4:$Q117),"")</f>
        <v/>
      </c>
    </row>
    <row r="118" spans="1:18" ht="22.5" customHeight="1" x14ac:dyDescent="0.3">
      <c r="A118" s="2"/>
      <c r="B118" s="2"/>
      <c r="C118" s="3"/>
      <c r="D118" s="3"/>
      <c r="E118" s="2"/>
      <c r="F118" s="2"/>
      <c r="G118" s="5"/>
      <c r="H118" s="5"/>
      <c r="I118" s="4"/>
      <c r="J118" s="6" t="str">
        <f t="shared" si="5"/>
        <v/>
      </c>
      <c r="K118" s="4" t="str">
        <f t="shared" ca="1" si="6"/>
        <v/>
      </c>
      <c r="L118" s="7" t="str">
        <f t="shared" ca="1" si="7"/>
        <v/>
      </c>
      <c r="M118" s="4" t="str">
        <f>IF($I118="Complete","Green",IF($H118="","Amber",IF($H118&lt;'[2]Read Me'!$B$4,"Red",IF($H118-'[2]Read Me'!$B$4&lt;=21,"Amber","Green"))))</f>
        <v>Amber</v>
      </c>
      <c r="N118" s="3"/>
      <c r="O118" t="str">
        <f>IF($I118&lt;&gt;"Complete",IF(COUNTIFS($A$4:$A117,$A118,$B$4:$B117,$B118,$I$4:$I117,"&lt;&gt;Complete")=0,$A118&amp;"|"&amp;$B118,""),"")</f>
        <v>|</v>
      </c>
      <c r="P118" t="str">
        <f ca="1">IF($K118="Yes",COUNTIFS($K$4:$K118,"Yes"),"")</f>
        <v/>
      </c>
      <c r="Q118">
        <f t="shared" ca="1" si="8"/>
        <v>0</v>
      </c>
      <c r="R118" t="str">
        <f ca="1">IF($Q118=1,SUM($Q$4:$Q118),"")</f>
        <v/>
      </c>
    </row>
    <row r="119" spans="1:18" ht="22.5" customHeight="1" x14ac:dyDescent="0.3">
      <c r="A119" s="2"/>
      <c r="B119" s="2"/>
      <c r="C119" s="3"/>
      <c r="D119" s="3"/>
      <c r="E119" s="2"/>
      <c r="F119" s="2"/>
      <c r="G119" s="5"/>
      <c r="H119" s="5"/>
      <c r="I119" s="4"/>
      <c r="J119" s="6" t="str">
        <f t="shared" si="5"/>
        <v/>
      </c>
      <c r="K119" s="4" t="str">
        <f t="shared" ca="1" si="6"/>
        <v/>
      </c>
      <c r="L119" s="7" t="str">
        <f t="shared" ca="1" si="7"/>
        <v/>
      </c>
      <c r="M119" s="4" t="str">
        <f>IF($I119="Complete","Green",IF($H119="","Amber",IF($H119&lt;'[2]Read Me'!$B$4,"Red",IF($H119-'[2]Read Me'!$B$4&lt;=21,"Amber","Green"))))</f>
        <v>Amber</v>
      </c>
      <c r="N119" s="3"/>
      <c r="O119" t="str">
        <f>IF($I119&lt;&gt;"Complete",IF(COUNTIFS($A$4:$A118,$A119,$B$4:$B118,$B119,$I$4:$I118,"&lt;&gt;Complete")=0,$A119&amp;"|"&amp;$B119,""),"")</f>
        <v>|</v>
      </c>
      <c r="P119" t="str">
        <f ca="1">IF($K119="Yes",COUNTIFS($K$4:$K119,"Yes"),"")</f>
        <v/>
      </c>
      <c r="Q119">
        <f t="shared" ca="1" si="8"/>
        <v>0</v>
      </c>
      <c r="R119" t="str">
        <f ca="1">IF($Q119=1,SUM($Q$4:$Q119),"")</f>
        <v/>
      </c>
    </row>
    <row r="120" spans="1:18" ht="22.5" customHeight="1" x14ac:dyDescent="0.3">
      <c r="A120" s="2"/>
      <c r="B120" s="2"/>
      <c r="C120" s="3"/>
      <c r="D120" s="3"/>
      <c r="E120" s="2"/>
      <c r="F120" s="2"/>
      <c r="G120" s="5"/>
      <c r="H120" s="5"/>
      <c r="I120" s="4"/>
      <c r="J120" s="6" t="str">
        <f t="shared" si="5"/>
        <v/>
      </c>
      <c r="K120" s="4" t="str">
        <f t="shared" ca="1" si="6"/>
        <v/>
      </c>
      <c r="L120" s="7" t="str">
        <f t="shared" ca="1" si="7"/>
        <v/>
      </c>
      <c r="M120" s="4" t="str">
        <f>IF($I120="Complete","Green",IF($H120="","Amber",IF($H120&lt;'[2]Read Me'!$B$4,"Red",IF($H120-'[2]Read Me'!$B$4&lt;=21,"Amber","Green"))))</f>
        <v>Amber</v>
      </c>
      <c r="N120" s="3"/>
      <c r="O120" t="str">
        <f>IF($I120&lt;&gt;"Complete",IF(COUNTIFS($A$4:$A119,$A120,$B$4:$B119,$B120,$I$4:$I119,"&lt;&gt;Complete")=0,$A120&amp;"|"&amp;$B120,""),"")</f>
        <v>|</v>
      </c>
      <c r="P120" t="str">
        <f ca="1">IF($K120="Yes",COUNTIFS($K$4:$K120,"Yes"),"")</f>
        <v/>
      </c>
      <c r="Q120">
        <f t="shared" ca="1" si="8"/>
        <v>0</v>
      </c>
      <c r="R120" t="str">
        <f ca="1">IF($Q120=1,SUM($Q$4:$Q120),"")</f>
        <v/>
      </c>
    </row>
    <row r="121" spans="1:18" ht="22.5" customHeight="1" x14ac:dyDescent="0.3">
      <c r="A121" s="2"/>
      <c r="B121" s="2"/>
      <c r="C121" s="3"/>
      <c r="D121" s="3"/>
      <c r="E121" s="2"/>
      <c r="F121" s="2"/>
      <c r="G121" s="5"/>
      <c r="H121" s="5"/>
      <c r="I121" s="4"/>
      <c r="J121" s="6" t="str">
        <f t="shared" si="5"/>
        <v/>
      </c>
      <c r="K121" s="4" t="str">
        <f t="shared" ca="1" si="6"/>
        <v/>
      </c>
      <c r="L121" s="7" t="str">
        <f t="shared" ca="1" si="7"/>
        <v/>
      </c>
      <c r="M121" s="4" t="str">
        <f>IF($I121="Complete","Green",IF($H121="","Amber",IF($H121&lt;'[2]Read Me'!$B$4,"Red",IF($H121-'[2]Read Me'!$B$4&lt;=21,"Amber","Green"))))</f>
        <v>Amber</v>
      </c>
      <c r="N121" s="3"/>
      <c r="O121" t="str">
        <f>IF($I121&lt;&gt;"Complete",IF(COUNTIFS($A$4:$A120,$A121,$B$4:$B120,$B121,$I$4:$I120,"&lt;&gt;Complete")=0,$A121&amp;"|"&amp;$B121,""),"")</f>
        <v>|</v>
      </c>
      <c r="P121" t="str">
        <f ca="1">IF($K121="Yes",COUNTIFS($K$4:$K121,"Yes"),"")</f>
        <v/>
      </c>
      <c r="Q121">
        <f t="shared" ca="1" si="8"/>
        <v>0</v>
      </c>
      <c r="R121" t="str">
        <f ca="1">IF($Q121=1,SUM($Q$4:$Q121),"")</f>
        <v/>
      </c>
    </row>
    <row r="122" spans="1:18" ht="22.5" customHeight="1" x14ac:dyDescent="0.3">
      <c r="A122" s="2"/>
      <c r="B122" s="2"/>
      <c r="C122" s="3"/>
      <c r="D122" s="3"/>
      <c r="E122" s="2"/>
      <c r="F122" s="2"/>
      <c r="G122" s="5"/>
      <c r="H122" s="5"/>
      <c r="I122" s="4"/>
      <c r="J122" s="6" t="str">
        <f t="shared" si="5"/>
        <v/>
      </c>
      <c r="K122" s="4" t="str">
        <f t="shared" ca="1" si="6"/>
        <v/>
      </c>
      <c r="L122" s="7" t="str">
        <f t="shared" ca="1" si="7"/>
        <v/>
      </c>
      <c r="M122" s="4" t="str">
        <f>IF($I122="Complete","Green",IF($H122="","Amber",IF($H122&lt;'[2]Read Me'!$B$4,"Red",IF($H122-'[2]Read Me'!$B$4&lt;=21,"Amber","Green"))))</f>
        <v>Amber</v>
      </c>
      <c r="N122" s="3"/>
      <c r="O122" t="str">
        <f>IF($I122&lt;&gt;"Complete",IF(COUNTIFS($A$4:$A121,$A122,$B$4:$B121,$B122,$I$4:$I121,"&lt;&gt;Complete")=0,$A122&amp;"|"&amp;$B122,""),"")</f>
        <v>|</v>
      </c>
      <c r="P122" t="str">
        <f ca="1">IF($K122="Yes",COUNTIFS($K$4:$K122,"Yes"),"")</f>
        <v/>
      </c>
      <c r="Q122">
        <f t="shared" ca="1" si="8"/>
        <v>0</v>
      </c>
      <c r="R122" t="str">
        <f ca="1">IF($Q122=1,SUM($Q$4:$Q122),"")</f>
        <v/>
      </c>
    </row>
    <row r="123" spans="1:18" ht="22.5" customHeight="1" x14ac:dyDescent="0.3">
      <c r="A123" s="2"/>
      <c r="B123" s="2"/>
      <c r="C123" s="3"/>
      <c r="D123" s="3"/>
      <c r="E123" s="2"/>
      <c r="F123" s="2"/>
      <c r="G123" s="5"/>
      <c r="H123" s="5"/>
      <c r="I123" s="4"/>
      <c r="J123" s="6" t="str">
        <f t="shared" si="5"/>
        <v/>
      </c>
      <c r="K123" s="4" t="str">
        <f t="shared" ca="1" si="6"/>
        <v/>
      </c>
      <c r="L123" s="7" t="str">
        <f t="shared" ca="1" si="7"/>
        <v/>
      </c>
      <c r="M123" s="4" t="str">
        <f>IF($I123="Complete","Green",IF($H123="","Amber",IF($H123&lt;'[2]Read Me'!$B$4,"Red",IF($H123-'[2]Read Me'!$B$4&lt;=21,"Amber","Green"))))</f>
        <v>Amber</v>
      </c>
      <c r="N123" s="3"/>
      <c r="O123" t="str">
        <f>IF($I123&lt;&gt;"Complete",IF(COUNTIFS($A$4:$A122,$A123,$B$4:$B122,$B123,$I$4:$I122,"&lt;&gt;Complete")=0,$A123&amp;"|"&amp;$B123,""),"")</f>
        <v>|</v>
      </c>
      <c r="P123" t="str">
        <f ca="1">IF($K123="Yes",COUNTIFS($K$4:$K123,"Yes"),"")</f>
        <v/>
      </c>
      <c r="Q123">
        <f t="shared" ca="1" si="8"/>
        <v>0</v>
      </c>
      <c r="R123" t="str">
        <f ca="1">IF($Q123=1,SUM($Q$4:$Q123),"")</f>
        <v/>
      </c>
    </row>
    <row r="124" spans="1:18" ht="22.5" customHeight="1" x14ac:dyDescent="0.3">
      <c r="A124" s="2"/>
      <c r="B124" s="2"/>
      <c r="C124" s="3"/>
      <c r="D124" s="3"/>
      <c r="E124" s="2"/>
      <c r="F124" s="2"/>
      <c r="G124" s="5"/>
      <c r="H124" s="5"/>
      <c r="I124" s="4"/>
      <c r="J124" s="6" t="str">
        <f t="shared" si="5"/>
        <v/>
      </c>
      <c r="K124" s="4" t="str">
        <f t="shared" ca="1" si="6"/>
        <v/>
      </c>
      <c r="L124" s="7" t="str">
        <f t="shared" ca="1" si="7"/>
        <v/>
      </c>
      <c r="M124" s="4" t="str">
        <f>IF($I124="Complete","Green",IF($H124="","Amber",IF($H124&lt;'[2]Read Me'!$B$4,"Red",IF($H124-'[2]Read Me'!$B$4&lt;=21,"Amber","Green"))))</f>
        <v>Amber</v>
      </c>
      <c r="N124" s="3"/>
      <c r="O124" t="str">
        <f>IF($I124&lt;&gt;"Complete",IF(COUNTIFS($A$4:$A123,$A124,$B$4:$B123,$B124,$I$4:$I123,"&lt;&gt;Complete")=0,$A124&amp;"|"&amp;$B124,""),"")</f>
        <v>|</v>
      </c>
      <c r="P124" t="str">
        <f ca="1">IF($K124="Yes",COUNTIFS($K$4:$K124,"Yes"),"")</f>
        <v/>
      </c>
      <c r="Q124">
        <f t="shared" ca="1" si="8"/>
        <v>0</v>
      </c>
      <c r="R124" t="str">
        <f ca="1">IF($Q124=1,SUM($Q$4:$Q124),"")</f>
        <v/>
      </c>
    </row>
    <row r="125" spans="1:18" ht="22.5" customHeight="1" x14ac:dyDescent="0.3">
      <c r="A125" s="2"/>
      <c r="B125" s="2"/>
      <c r="C125" s="3"/>
      <c r="D125" s="3"/>
      <c r="E125" s="2"/>
      <c r="F125" s="2"/>
      <c r="G125" s="5"/>
      <c r="H125" s="5"/>
      <c r="I125" s="4"/>
      <c r="J125" s="6" t="str">
        <f t="shared" si="5"/>
        <v/>
      </c>
      <c r="K125" s="4" t="str">
        <f t="shared" ca="1" si="6"/>
        <v/>
      </c>
      <c r="L125" s="7" t="str">
        <f t="shared" ca="1" si="7"/>
        <v/>
      </c>
      <c r="M125" s="4" t="str">
        <f>IF($I125="Complete","Green",IF($H125="","Amber",IF($H125&lt;'[2]Read Me'!$B$4,"Red",IF($H125-'[2]Read Me'!$B$4&lt;=21,"Amber","Green"))))</f>
        <v>Amber</v>
      </c>
      <c r="N125" s="3"/>
      <c r="O125" t="str">
        <f>IF($I125&lt;&gt;"Complete",IF(COUNTIFS($A$4:$A124,$A125,$B$4:$B124,$B125,$I$4:$I124,"&lt;&gt;Complete")=0,$A125&amp;"|"&amp;$B125,""),"")</f>
        <v>|</v>
      </c>
      <c r="P125" t="str">
        <f ca="1">IF($K125="Yes",COUNTIFS($K$4:$K125,"Yes"),"")</f>
        <v/>
      </c>
      <c r="Q125">
        <f t="shared" ca="1" si="8"/>
        <v>0</v>
      </c>
      <c r="R125" t="str">
        <f ca="1">IF($Q125=1,SUM($Q$4:$Q125),"")</f>
        <v/>
      </c>
    </row>
    <row r="126" spans="1:18" ht="22.5" customHeight="1" x14ac:dyDescent="0.3">
      <c r="A126" s="2"/>
      <c r="B126" s="2"/>
      <c r="C126" s="3"/>
      <c r="D126" s="3"/>
      <c r="E126" s="2"/>
      <c r="F126" s="2"/>
      <c r="G126" s="5"/>
      <c r="H126" s="5"/>
      <c r="I126" s="4"/>
      <c r="J126" s="6" t="str">
        <f t="shared" si="5"/>
        <v/>
      </c>
      <c r="K126" s="4" t="str">
        <f t="shared" ca="1" si="6"/>
        <v/>
      </c>
      <c r="L126" s="7" t="str">
        <f t="shared" ca="1" si="7"/>
        <v/>
      </c>
      <c r="M126" s="4" t="str">
        <f>IF($I126="Complete","Green",IF($H126="","Amber",IF($H126&lt;'[2]Read Me'!$B$4,"Red",IF($H126-'[2]Read Me'!$B$4&lt;=21,"Amber","Green"))))</f>
        <v>Amber</v>
      </c>
      <c r="N126" s="3"/>
      <c r="O126" t="str">
        <f>IF($I126&lt;&gt;"Complete",IF(COUNTIFS($A$4:$A125,$A126,$B$4:$B125,$B126,$I$4:$I125,"&lt;&gt;Complete")=0,$A126&amp;"|"&amp;$B126,""),"")</f>
        <v>|</v>
      </c>
      <c r="P126" t="str">
        <f ca="1">IF($K126="Yes",COUNTIFS($K$4:$K126,"Yes"),"")</f>
        <v/>
      </c>
      <c r="Q126">
        <f t="shared" ca="1" si="8"/>
        <v>0</v>
      </c>
      <c r="R126" t="str">
        <f ca="1">IF($Q126=1,SUM($Q$4:$Q126),"")</f>
        <v/>
      </c>
    </row>
    <row r="127" spans="1:18" ht="22.5" customHeight="1" x14ac:dyDescent="0.3">
      <c r="A127" s="2"/>
      <c r="B127" s="2"/>
      <c r="C127" s="3"/>
      <c r="D127" s="3"/>
      <c r="E127" s="2"/>
      <c r="F127" s="2"/>
      <c r="G127" s="5"/>
      <c r="H127" s="5"/>
      <c r="I127" s="4"/>
      <c r="J127" s="6" t="str">
        <f t="shared" si="5"/>
        <v/>
      </c>
      <c r="K127" s="4" t="str">
        <f t="shared" ca="1" si="6"/>
        <v/>
      </c>
      <c r="L127" s="7" t="str">
        <f t="shared" ca="1" si="7"/>
        <v/>
      </c>
      <c r="M127" s="4" t="str">
        <f>IF($I127="Complete","Green",IF($H127="","Amber",IF($H127&lt;'[2]Read Me'!$B$4,"Red",IF($H127-'[2]Read Me'!$B$4&lt;=21,"Amber","Green"))))</f>
        <v>Amber</v>
      </c>
      <c r="N127" s="3"/>
      <c r="O127" t="str">
        <f>IF($I127&lt;&gt;"Complete",IF(COUNTIFS($A$4:$A126,$A127,$B$4:$B126,$B127,$I$4:$I126,"&lt;&gt;Complete")=0,$A127&amp;"|"&amp;$B127,""),"")</f>
        <v>|</v>
      </c>
      <c r="P127" t="str">
        <f ca="1">IF($K127="Yes",COUNTIFS($K$4:$K127,"Yes"),"")</f>
        <v/>
      </c>
      <c r="Q127">
        <f t="shared" ca="1" si="8"/>
        <v>0</v>
      </c>
      <c r="R127" t="str">
        <f ca="1">IF($Q127=1,SUM($Q$4:$Q127),"")</f>
        <v/>
      </c>
    </row>
    <row r="128" spans="1:18" ht="22.5" customHeight="1" x14ac:dyDescent="0.3">
      <c r="A128" s="2"/>
      <c r="B128" s="2"/>
      <c r="C128" s="3"/>
      <c r="D128" s="3"/>
      <c r="E128" s="2"/>
      <c r="F128" s="2"/>
      <c r="G128" s="5"/>
      <c r="H128" s="5"/>
      <c r="I128" s="4"/>
      <c r="J128" s="6" t="str">
        <f t="shared" si="5"/>
        <v/>
      </c>
      <c r="K128" s="4" t="str">
        <f t="shared" ca="1" si="6"/>
        <v/>
      </c>
      <c r="L128" s="7" t="str">
        <f t="shared" ca="1" si="7"/>
        <v/>
      </c>
      <c r="M128" s="4" t="str">
        <f>IF($I128="Complete","Green",IF($H128="","Amber",IF($H128&lt;'[2]Read Me'!$B$4,"Red",IF($H128-'[2]Read Me'!$B$4&lt;=21,"Amber","Green"))))</f>
        <v>Amber</v>
      </c>
      <c r="N128" s="3"/>
      <c r="O128" t="str">
        <f>IF($I128&lt;&gt;"Complete",IF(COUNTIFS($A$4:$A127,$A128,$B$4:$B127,$B128,$I$4:$I127,"&lt;&gt;Complete")=0,$A128&amp;"|"&amp;$B128,""),"")</f>
        <v>|</v>
      </c>
      <c r="P128" t="str">
        <f ca="1">IF($K128="Yes",COUNTIFS($K$4:$K128,"Yes"),"")</f>
        <v/>
      </c>
      <c r="Q128">
        <f t="shared" ca="1" si="8"/>
        <v>0</v>
      </c>
      <c r="R128" t="str">
        <f ca="1">IF($Q128=1,SUM($Q$4:$Q128),"")</f>
        <v/>
      </c>
    </row>
    <row r="129" spans="1:18" ht="22.5" customHeight="1" x14ac:dyDescent="0.3">
      <c r="A129" s="2"/>
      <c r="B129" s="2"/>
      <c r="C129" s="3"/>
      <c r="D129" s="3"/>
      <c r="E129" s="2"/>
      <c r="F129" s="2"/>
      <c r="G129" s="5"/>
      <c r="H129" s="5"/>
      <c r="I129" s="4"/>
      <c r="J129" s="6" t="str">
        <f t="shared" si="5"/>
        <v/>
      </c>
      <c r="K129" s="4" t="str">
        <f t="shared" ca="1" si="6"/>
        <v/>
      </c>
      <c r="L129" s="7" t="str">
        <f t="shared" ca="1" si="7"/>
        <v/>
      </c>
      <c r="M129" s="4" t="str">
        <f>IF($I129="Complete","Green",IF($H129="","Amber",IF($H129&lt;'[2]Read Me'!$B$4,"Red",IF($H129-'[2]Read Me'!$B$4&lt;=21,"Amber","Green"))))</f>
        <v>Amber</v>
      </c>
      <c r="N129" s="3"/>
      <c r="O129" t="str">
        <f>IF($I129&lt;&gt;"Complete",IF(COUNTIFS($A$4:$A128,$A129,$B$4:$B128,$B129,$I$4:$I128,"&lt;&gt;Complete")=0,$A129&amp;"|"&amp;$B129,""),"")</f>
        <v>|</v>
      </c>
      <c r="P129" t="str">
        <f ca="1">IF($K129="Yes",COUNTIFS($K$4:$K129,"Yes"),"")</f>
        <v/>
      </c>
      <c r="Q129">
        <f t="shared" ca="1" si="8"/>
        <v>0</v>
      </c>
      <c r="R129" t="str">
        <f ca="1">IF($Q129=1,SUM($Q$4:$Q129),"")</f>
        <v/>
      </c>
    </row>
    <row r="130" spans="1:18" ht="22.5" customHeight="1" x14ac:dyDescent="0.3">
      <c r="A130" s="2"/>
      <c r="B130" s="2"/>
      <c r="C130" s="3"/>
      <c r="D130" s="3"/>
      <c r="E130" s="2"/>
      <c r="F130" s="2"/>
      <c r="G130" s="5"/>
      <c r="H130" s="5"/>
      <c r="I130" s="4"/>
      <c r="J130" s="6" t="str">
        <f t="shared" si="5"/>
        <v/>
      </c>
      <c r="K130" s="4" t="str">
        <f t="shared" ca="1" si="6"/>
        <v/>
      </c>
      <c r="L130" s="7" t="str">
        <f t="shared" ca="1" si="7"/>
        <v/>
      </c>
      <c r="M130" s="4" t="str">
        <f>IF($I130="Complete","Green",IF($H130="","Amber",IF($H130&lt;'[2]Read Me'!$B$4,"Red",IF($H130-'[2]Read Me'!$B$4&lt;=21,"Amber","Green"))))</f>
        <v>Amber</v>
      </c>
      <c r="N130" s="3"/>
      <c r="O130" t="str">
        <f>IF($I130&lt;&gt;"Complete",IF(COUNTIFS($A$4:$A129,$A130,$B$4:$B129,$B130,$I$4:$I129,"&lt;&gt;Complete")=0,$A130&amp;"|"&amp;$B130,""),"")</f>
        <v>|</v>
      </c>
      <c r="P130" t="str">
        <f ca="1">IF($K130="Yes",COUNTIFS($K$4:$K130,"Yes"),"")</f>
        <v/>
      </c>
      <c r="Q130">
        <f t="shared" ca="1" si="8"/>
        <v>0</v>
      </c>
      <c r="R130" t="str">
        <f ca="1">IF($Q130=1,SUM($Q$4:$Q130),"")</f>
        <v/>
      </c>
    </row>
    <row r="131" spans="1:18" ht="22.5" customHeight="1" x14ac:dyDescent="0.3">
      <c r="A131" s="2"/>
      <c r="B131" s="2"/>
      <c r="C131" s="3"/>
      <c r="D131" s="3"/>
      <c r="E131" s="2"/>
      <c r="F131" s="2"/>
      <c r="G131" s="5"/>
      <c r="H131" s="5"/>
      <c r="I131" s="4"/>
      <c r="J131" s="6" t="str">
        <f t="shared" si="5"/>
        <v/>
      </c>
      <c r="K131" s="4" t="str">
        <f t="shared" ca="1" si="6"/>
        <v/>
      </c>
      <c r="L131" s="7" t="str">
        <f t="shared" ca="1" si="7"/>
        <v/>
      </c>
      <c r="M131" s="4" t="str">
        <f>IF($I131="Complete","Green",IF($H131="","Amber",IF($H131&lt;'[2]Read Me'!$B$4,"Red",IF($H131-'[2]Read Me'!$B$4&lt;=21,"Amber","Green"))))</f>
        <v>Amber</v>
      </c>
      <c r="N131" s="3"/>
      <c r="O131" t="str">
        <f>IF($I131&lt;&gt;"Complete",IF(COUNTIFS($A$4:$A130,$A131,$B$4:$B130,$B131,$I$4:$I130,"&lt;&gt;Complete")=0,$A131&amp;"|"&amp;$B131,""),"")</f>
        <v>|</v>
      </c>
      <c r="P131" t="str">
        <f ca="1">IF($K131="Yes",COUNTIFS($K$4:$K131,"Yes"),"")</f>
        <v/>
      </c>
      <c r="Q131">
        <f t="shared" ca="1" si="8"/>
        <v>0</v>
      </c>
      <c r="R131" t="str">
        <f ca="1">IF($Q131=1,SUM($Q$4:$Q131),"")</f>
        <v/>
      </c>
    </row>
    <row r="132" spans="1:18" ht="22.5" customHeight="1" x14ac:dyDescent="0.3">
      <c r="A132" s="2"/>
      <c r="B132" s="2"/>
      <c r="C132" s="3"/>
      <c r="D132" s="3"/>
      <c r="E132" s="2"/>
      <c r="F132" s="2"/>
      <c r="G132" s="5"/>
      <c r="H132" s="5"/>
      <c r="I132" s="4"/>
      <c r="J132" s="6" t="str">
        <f t="shared" ref="J132:J195" si="9">IF(OR($G132="",$H132=""),"",$H132-$G132)</f>
        <v/>
      </c>
      <c r="K132" s="4" t="str">
        <f t="shared" ref="K132:K195" ca="1" si="10">IF(C132="","",IF(H132="","",IF($I132="completed","-",IF($H132&gt;TODAY(),"No","Yes"))))</f>
        <v/>
      </c>
      <c r="L132" s="7" t="str">
        <f t="shared" ref="L132:L195" ca="1" si="11">IF(I132="Completed",0,IF(H132="","",H132-TODAY()))</f>
        <v/>
      </c>
      <c r="M132" s="4" t="str">
        <f>IF($I132="Complete","Green",IF($H132="","Amber",IF($H132&lt;'[2]Read Me'!$B$4,"Red",IF($H132-'[2]Read Me'!$B$4&lt;=21,"Amber","Green"))))</f>
        <v>Amber</v>
      </c>
      <c r="N132" s="3"/>
      <c r="O132" t="str">
        <f>IF($I132&lt;&gt;"Complete",IF(COUNTIFS($A$4:$A131,$A132,$B$4:$B131,$B132,$I$4:$I131,"&lt;&gt;Complete")=0,$A132&amp;"|"&amp;$B132,""),"")</f>
        <v>|</v>
      </c>
      <c r="P132" t="str">
        <f ca="1">IF($K132="Yes",COUNTIFS($K$4:$K132,"Yes"),"")</f>
        <v/>
      </c>
      <c r="Q132">
        <f t="shared" ref="Q132:Q195" ca="1" si="12">IF(OR($I132="In Progress",$K132="Yes"),1,0)</f>
        <v>0</v>
      </c>
      <c r="R132" t="str">
        <f ca="1">IF($Q132=1,SUM($Q$4:$Q132),"")</f>
        <v/>
      </c>
    </row>
    <row r="133" spans="1:18" ht="22.5" customHeight="1" x14ac:dyDescent="0.3">
      <c r="A133" s="2"/>
      <c r="B133" s="2"/>
      <c r="C133" s="3"/>
      <c r="D133" s="3"/>
      <c r="E133" s="2"/>
      <c r="F133" s="2"/>
      <c r="G133" s="5"/>
      <c r="H133" s="5"/>
      <c r="I133" s="4"/>
      <c r="J133" s="6" t="str">
        <f t="shared" si="9"/>
        <v/>
      </c>
      <c r="K133" s="4" t="str">
        <f t="shared" ca="1" si="10"/>
        <v/>
      </c>
      <c r="L133" s="7" t="str">
        <f t="shared" ca="1" si="11"/>
        <v/>
      </c>
      <c r="M133" s="4" t="str">
        <f>IF($I133="Complete","Green",IF($H133="","Amber",IF($H133&lt;'[2]Read Me'!$B$4,"Red",IF($H133-'[2]Read Me'!$B$4&lt;=21,"Amber","Green"))))</f>
        <v>Amber</v>
      </c>
      <c r="N133" s="3"/>
      <c r="O133" t="str">
        <f>IF($I133&lt;&gt;"Complete",IF(COUNTIFS($A$4:$A132,$A133,$B$4:$B132,$B133,$I$4:$I132,"&lt;&gt;Complete")=0,$A133&amp;"|"&amp;$B133,""),"")</f>
        <v>|</v>
      </c>
      <c r="P133" t="str">
        <f ca="1">IF($K133="Yes",COUNTIFS($K$4:$K133,"Yes"),"")</f>
        <v/>
      </c>
      <c r="Q133">
        <f t="shared" ca="1" si="12"/>
        <v>0</v>
      </c>
      <c r="R133" t="str">
        <f ca="1">IF($Q133=1,SUM($Q$4:$Q133),"")</f>
        <v/>
      </c>
    </row>
    <row r="134" spans="1:18" ht="22.5" customHeight="1" x14ac:dyDescent="0.3">
      <c r="A134" s="2"/>
      <c r="B134" s="2"/>
      <c r="C134" s="3"/>
      <c r="D134" s="3"/>
      <c r="E134" s="2"/>
      <c r="F134" s="2"/>
      <c r="G134" s="5"/>
      <c r="H134" s="5"/>
      <c r="I134" s="4"/>
      <c r="J134" s="6" t="str">
        <f t="shared" si="9"/>
        <v/>
      </c>
      <c r="K134" s="4" t="str">
        <f t="shared" ca="1" si="10"/>
        <v/>
      </c>
      <c r="L134" s="7" t="str">
        <f t="shared" ca="1" si="11"/>
        <v/>
      </c>
      <c r="M134" s="4" t="str">
        <f>IF($I134="Complete","Green",IF($H134="","Amber",IF($H134&lt;'[2]Read Me'!$B$4,"Red",IF($H134-'[2]Read Me'!$B$4&lt;=21,"Amber","Green"))))</f>
        <v>Amber</v>
      </c>
      <c r="N134" s="3"/>
      <c r="O134" t="str">
        <f>IF($I134&lt;&gt;"Complete",IF(COUNTIFS($A$4:$A133,$A134,$B$4:$B133,$B134,$I$4:$I133,"&lt;&gt;Complete")=0,$A134&amp;"|"&amp;$B134,""),"")</f>
        <v>|</v>
      </c>
      <c r="P134" t="str">
        <f ca="1">IF($K134="Yes",COUNTIFS($K$4:$K134,"Yes"),"")</f>
        <v/>
      </c>
      <c r="Q134">
        <f t="shared" ca="1" si="12"/>
        <v>0</v>
      </c>
      <c r="R134" t="str">
        <f ca="1">IF($Q134=1,SUM($Q$4:$Q134),"")</f>
        <v/>
      </c>
    </row>
    <row r="135" spans="1:18" ht="22.5" customHeight="1" x14ac:dyDescent="0.3">
      <c r="A135" s="2"/>
      <c r="B135" s="2"/>
      <c r="C135" s="3"/>
      <c r="D135" s="3"/>
      <c r="E135" s="2"/>
      <c r="F135" s="2"/>
      <c r="G135" s="5"/>
      <c r="H135" s="5"/>
      <c r="I135" s="4"/>
      <c r="J135" s="6" t="str">
        <f t="shared" si="9"/>
        <v/>
      </c>
      <c r="K135" s="4" t="str">
        <f t="shared" ca="1" si="10"/>
        <v/>
      </c>
      <c r="L135" s="7" t="str">
        <f t="shared" ca="1" si="11"/>
        <v/>
      </c>
      <c r="M135" s="4" t="str">
        <f>IF($I135="Complete","Green",IF($H135="","Amber",IF($H135&lt;'[2]Read Me'!$B$4,"Red",IF($H135-'[2]Read Me'!$B$4&lt;=21,"Amber","Green"))))</f>
        <v>Amber</v>
      </c>
      <c r="N135" s="3"/>
      <c r="O135" t="str">
        <f>IF($I135&lt;&gt;"Complete",IF(COUNTIFS($A$4:$A134,$A135,$B$4:$B134,$B135,$I$4:$I134,"&lt;&gt;Complete")=0,$A135&amp;"|"&amp;$B135,""),"")</f>
        <v>|</v>
      </c>
      <c r="P135" t="str">
        <f ca="1">IF($K135="Yes",COUNTIFS($K$4:$K135,"Yes"),"")</f>
        <v/>
      </c>
      <c r="Q135">
        <f t="shared" ca="1" si="12"/>
        <v>0</v>
      </c>
      <c r="R135" t="str">
        <f ca="1">IF($Q135=1,SUM($Q$4:$Q135),"")</f>
        <v/>
      </c>
    </row>
    <row r="136" spans="1:18" ht="22.5" customHeight="1" x14ac:dyDescent="0.3">
      <c r="A136" s="2"/>
      <c r="B136" s="2"/>
      <c r="C136" s="3"/>
      <c r="D136" s="3"/>
      <c r="E136" s="2"/>
      <c r="F136" s="2"/>
      <c r="G136" s="5"/>
      <c r="H136" s="5"/>
      <c r="I136" s="4"/>
      <c r="J136" s="6" t="str">
        <f t="shared" si="9"/>
        <v/>
      </c>
      <c r="K136" s="4" t="str">
        <f t="shared" ca="1" si="10"/>
        <v/>
      </c>
      <c r="L136" s="7" t="str">
        <f t="shared" ca="1" si="11"/>
        <v/>
      </c>
      <c r="M136" s="4" t="str">
        <f>IF($I136="Complete","Green",IF($H136="","Amber",IF($H136&lt;'[2]Read Me'!$B$4,"Red",IF($H136-'[2]Read Me'!$B$4&lt;=21,"Amber","Green"))))</f>
        <v>Amber</v>
      </c>
      <c r="N136" s="3"/>
      <c r="O136" t="str">
        <f>IF($I136&lt;&gt;"Complete",IF(COUNTIFS($A$4:$A135,$A136,$B$4:$B135,$B136,$I$4:$I135,"&lt;&gt;Complete")=0,$A136&amp;"|"&amp;$B136,""),"")</f>
        <v>|</v>
      </c>
      <c r="P136" t="str">
        <f ca="1">IF($K136="Yes",COUNTIFS($K$4:$K136,"Yes"),"")</f>
        <v/>
      </c>
      <c r="Q136">
        <f t="shared" ca="1" si="12"/>
        <v>0</v>
      </c>
      <c r="R136" t="str">
        <f ca="1">IF($Q136=1,SUM($Q$4:$Q136),"")</f>
        <v/>
      </c>
    </row>
    <row r="137" spans="1:18" ht="22.5" customHeight="1" x14ac:dyDescent="0.3">
      <c r="A137" s="2"/>
      <c r="B137" s="2"/>
      <c r="C137" s="3"/>
      <c r="D137" s="3"/>
      <c r="E137" s="2"/>
      <c r="F137" s="2"/>
      <c r="G137" s="5"/>
      <c r="H137" s="5"/>
      <c r="I137" s="4"/>
      <c r="J137" s="6" t="str">
        <f t="shared" si="9"/>
        <v/>
      </c>
      <c r="K137" s="4" t="str">
        <f t="shared" ca="1" si="10"/>
        <v/>
      </c>
      <c r="L137" s="7" t="str">
        <f t="shared" ca="1" si="11"/>
        <v/>
      </c>
      <c r="M137" s="4" t="str">
        <f>IF($I137="Complete","Green",IF($H137="","Amber",IF($H137&lt;'[2]Read Me'!$B$4,"Red",IF($H137-'[2]Read Me'!$B$4&lt;=21,"Amber","Green"))))</f>
        <v>Amber</v>
      </c>
      <c r="N137" s="3"/>
      <c r="O137" t="str">
        <f>IF($I137&lt;&gt;"Complete",IF(COUNTIFS($A$4:$A136,$A137,$B$4:$B136,$B137,$I$4:$I136,"&lt;&gt;Complete")=0,$A137&amp;"|"&amp;$B137,""),"")</f>
        <v>|</v>
      </c>
      <c r="P137" t="str">
        <f ca="1">IF($K137="Yes",COUNTIFS($K$4:$K137,"Yes"),"")</f>
        <v/>
      </c>
      <c r="Q137">
        <f t="shared" ca="1" si="12"/>
        <v>0</v>
      </c>
      <c r="R137" t="str">
        <f ca="1">IF($Q137=1,SUM($Q$4:$Q137),"")</f>
        <v/>
      </c>
    </row>
    <row r="138" spans="1:18" ht="22.5" customHeight="1" x14ac:dyDescent="0.3">
      <c r="A138" s="2"/>
      <c r="B138" s="2"/>
      <c r="C138" s="3"/>
      <c r="D138" s="3"/>
      <c r="E138" s="2"/>
      <c r="F138" s="2"/>
      <c r="G138" s="5"/>
      <c r="H138" s="5"/>
      <c r="I138" s="4"/>
      <c r="J138" s="6" t="str">
        <f t="shared" si="9"/>
        <v/>
      </c>
      <c r="K138" s="4" t="str">
        <f t="shared" ca="1" si="10"/>
        <v/>
      </c>
      <c r="L138" s="7" t="str">
        <f t="shared" ca="1" si="11"/>
        <v/>
      </c>
      <c r="M138" s="4" t="str">
        <f>IF($I138="Complete","Green",IF($H138="","Amber",IF($H138&lt;'[2]Read Me'!$B$4,"Red",IF($H138-'[2]Read Me'!$B$4&lt;=21,"Amber","Green"))))</f>
        <v>Amber</v>
      </c>
      <c r="N138" s="3"/>
      <c r="O138" t="str">
        <f>IF($I138&lt;&gt;"Complete",IF(COUNTIFS($A$4:$A137,$A138,$B$4:$B137,$B138,$I$4:$I137,"&lt;&gt;Complete")=0,$A138&amp;"|"&amp;$B138,""),"")</f>
        <v>|</v>
      </c>
      <c r="P138" t="str">
        <f ca="1">IF($K138="Yes",COUNTIFS($K$4:$K138,"Yes"),"")</f>
        <v/>
      </c>
      <c r="Q138">
        <f t="shared" ca="1" si="12"/>
        <v>0</v>
      </c>
      <c r="R138" t="str">
        <f ca="1">IF($Q138=1,SUM($Q$4:$Q138),"")</f>
        <v/>
      </c>
    </row>
    <row r="139" spans="1:18" ht="22.5" customHeight="1" x14ac:dyDescent="0.3">
      <c r="A139" s="2"/>
      <c r="B139" s="2"/>
      <c r="C139" s="3"/>
      <c r="D139" s="3"/>
      <c r="E139" s="2"/>
      <c r="F139" s="2"/>
      <c r="G139" s="5"/>
      <c r="H139" s="5"/>
      <c r="I139" s="4"/>
      <c r="J139" s="6" t="str">
        <f t="shared" si="9"/>
        <v/>
      </c>
      <c r="K139" s="4" t="str">
        <f t="shared" ca="1" si="10"/>
        <v/>
      </c>
      <c r="L139" s="7" t="str">
        <f t="shared" ca="1" si="11"/>
        <v/>
      </c>
      <c r="M139" s="4" t="str">
        <f>IF($I139="Complete","Green",IF($H139="","Amber",IF($H139&lt;'[2]Read Me'!$B$4,"Red",IF($H139-'[2]Read Me'!$B$4&lt;=21,"Amber","Green"))))</f>
        <v>Amber</v>
      </c>
      <c r="N139" s="3"/>
      <c r="O139" t="str">
        <f>IF($I139&lt;&gt;"Complete",IF(COUNTIFS($A$4:$A138,$A139,$B$4:$B138,$B139,$I$4:$I138,"&lt;&gt;Complete")=0,$A139&amp;"|"&amp;$B139,""),"")</f>
        <v>|</v>
      </c>
      <c r="P139" t="str">
        <f ca="1">IF($K139="Yes",COUNTIFS($K$4:$K139,"Yes"),"")</f>
        <v/>
      </c>
      <c r="Q139">
        <f t="shared" ca="1" si="12"/>
        <v>0</v>
      </c>
      <c r="R139" t="str">
        <f ca="1">IF($Q139=1,SUM($Q$4:$Q139),"")</f>
        <v/>
      </c>
    </row>
    <row r="140" spans="1:18" ht="22.5" customHeight="1" x14ac:dyDescent="0.3">
      <c r="A140" s="2"/>
      <c r="B140" s="2"/>
      <c r="C140" s="3"/>
      <c r="D140" s="3"/>
      <c r="E140" s="2"/>
      <c r="F140" s="2"/>
      <c r="G140" s="5"/>
      <c r="H140" s="5"/>
      <c r="I140" s="4"/>
      <c r="J140" s="6" t="str">
        <f t="shared" si="9"/>
        <v/>
      </c>
      <c r="K140" s="4" t="str">
        <f t="shared" ca="1" si="10"/>
        <v/>
      </c>
      <c r="L140" s="7" t="str">
        <f t="shared" ca="1" si="11"/>
        <v/>
      </c>
      <c r="M140" s="4" t="str">
        <f>IF($I140="Complete","Green",IF($H140="","Amber",IF($H140&lt;'[2]Read Me'!$B$4,"Red",IF($H140-'[2]Read Me'!$B$4&lt;=21,"Amber","Green"))))</f>
        <v>Amber</v>
      </c>
      <c r="N140" s="3"/>
      <c r="O140" t="str">
        <f>IF($I140&lt;&gt;"Complete",IF(COUNTIFS($A$4:$A139,$A140,$B$4:$B139,$B140,$I$4:$I139,"&lt;&gt;Complete")=0,$A140&amp;"|"&amp;$B140,""),"")</f>
        <v>|</v>
      </c>
      <c r="P140" t="str">
        <f ca="1">IF($K140="Yes",COUNTIFS($K$4:$K140,"Yes"),"")</f>
        <v/>
      </c>
      <c r="Q140">
        <f t="shared" ca="1" si="12"/>
        <v>0</v>
      </c>
      <c r="R140" t="str">
        <f ca="1">IF($Q140=1,SUM($Q$4:$Q140),"")</f>
        <v/>
      </c>
    </row>
    <row r="141" spans="1:18" ht="22.5" customHeight="1" x14ac:dyDescent="0.3">
      <c r="A141" s="2"/>
      <c r="B141" s="2"/>
      <c r="C141" s="3"/>
      <c r="D141" s="3"/>
      <c r="E141" s="2"/>
      <c r="F141" s="2"/>
      <c r="G141" s="5"/>
      <c r="H141" s="5"/>
      <c r="I141" s="4"/>
      <c r="J141" s="6" t="str">
        <f t="shared" si="9"/>
        <v/>
      </c>
      <c r="K141" s="4" t="str">
        <f t="shared" ca="1" si="10"/>
        <v/>
      </c>
      <c r="L141" s="7" t="str">
        <f t="shared" ca="1" si="11"/>
        <v/>
      </c>
      <c r="M141" s="4" t="str">
        <f>IF($I141="Complete","Green",IF($H141="","Amber",IF($H141&lt;'[2]Read Me'!$B$4,"Red",IF($H141-'[2]Read Me'!$B$4&lt;=21,"Amber","Green"))))</f>
        <v>Amber</v>
      </c>
      <c r="N141" s="3"/>
      <c r="O141" t="str">
        <f>IF($I141&lt;&gt;"Complete",IF(COUNTIFS($A$4:$A140,$A141,$B$4:$B140,$B141,$I$4:$I140,"&lt;&gt;Complete")=0,$A141&amp;"|"&amp;$B141,""),"")</f>
        <v>|</v>
      </c>
      <c r="P141" t="str">
        <f ca="1">IF($K141="Yes",COUNTIFS($K$4:$K141,"Yes"),"")</f>
        <v/>
      </c>
      <c r="Q141">
        <f t="shared" ca="1" si="12"/>
        <v>0</v>
      </c>
      <c r="R141" t="str">
        <f ca="1">IF($Q141=1,SUM($Q$4:$Q141),"")</f>
        <v/>
      </c>
    </row>
    <row r="142" spans="1:18" ht="22.5" customHeight="1" x14ac:dyDescent="0.3">
      <c r="A142" s="2"/>
      <c r="B142" s="2"/>
      <c r="C142" s="3"/>
      <c r="D142" s="3"/>
      <c r="E142" s="2"/>
      <c r="F142" s="2"/>
      <c r="G142" s="5"/>
      <c r="H142" s="5"/>
      <c r="I142" s="4"/>
      <c r="J142" s="6" t="str">
        <f t="shared" si="9"/>
        <v/>
      </c>
      <c r="K142" s="4" t="str">
        <f t="shared" ca="1" si="10"/>
        <v/>
      </c>
      <c r="L142" s="7" t="str">
        <f t="shared" ca="1" si="11"/>
        <v/>
      </c>
      <c r="M142" s="4" t="str">
        <f>IF($I142="Complete","Green",IF($H142="","Amber",IF($H142&lt;'[2]Read Me'!$B$4,"Red",IF($H142-'[2]Read Me'!$B$4&lt;=21,"Amber","Green"))))</f>
        <v>Amber</v>
      </c>
      <c r="N142" s="3"/>
      <c r="O142" t="str">
        <f>IF($I142&lt;&gt;"Complete",IF(COUNTIFS($A$4:$A141,$A142,$B$4:$B141,$B142,$I$4:$I141,"&lt;&gt;Complete")=0,$A142&amp;"|"&amp;$B142,""),"")</f>
        <v>|</v>
      </c>
      <c r="P142" t="str">
        <f ca="1">IF($K142="Yes",COUNTIFS($K$4:$K142,"Yes"),"")</f>
        <v/>
      </c>
      <c r="Q142">
        <f t="shared" ca="1" si="12"/>
        <v>0</v>
      </c>
      <c r="R142" t="str">
        <f ca="1">IF($Q142=1,SUM($Q$4:$Q142),"")</f>
        <v/>
      </c>
    </row>
    <row r="143" spans="1:18" ht="22.5" customHeight="1" x14ac:dyDescent="0.3">
      <c r="A143" s="2"/>
      <c r="B143" s="2"/>
      <c r="C143" s="3"/>
      <c r="D143" s="3"/>
      <c r="E143" s="2"/>
      <c r="F143" s="2"/>
      <c r="G143" s="5"/>
      <c r="H143" s="5"/>
      <c r="I143" s="4"/>
      <c r="J143" s="6" t="str">
        <f t="shared" si="9"/>
        <v/>
      </c>
      <c r="K143" s="4" t="str">
        <f t="shared" ca="1" si="10"/>
        <v/>
      </c>
      <c r="L143" s="7" t="str">
        <f t="shared" ca="1" si="11"/>
        <v/>
      </c>
      <c r="M143" s="4" t="str">
        <f>IF($I143="Complete","Green",IF($H143="","Amber",IF($H143&lt;'[2]Read Me'!$B$4,"Red",IF($H143-'[2]Read Me'!$B$4&lt;=21,"Amber","Green"))))</f>
        <v>Amber</v>
      </c>
      <c r="N143" s="3"/>
      <c r="O143" t="str">
        <f>IF($I143&lt;&gt;"Complete",IF(COUNTIFS($A$4:$A142,$A143,$B$4:$B142,$B143,$I$4:$I142,"&lt;&gt;Complete")=0,$A143&amp;"|"&amp;$B143,""),"")</f>
        <v>|</v>
      </c>
      <c r="P143" t="str">
        <f ca="1">IF($K143="Yes",COUNTIFS($K$4:$K143,"Yes"),"")</f>
        <v/>
      </c>
      <c r="Q143">
        <f t="shared" ca="1" si="12"/>
        <v>0</v>
      </c>
      <c r="R143" t="str">
        <f ca="1">IF($Q143=1,SUM($Q$4:$Q143),"")</f>
        <v/>
      </c>
    </row>
    <row r="144" spans="1:18" ht="22.5" customHeight="1" x14ac:dyDescent="0.3">
      <c r="A144" s="2"/>
      <c r="B144" s="2"/>
      <c r="C144" s="3"/>
      <c r="D144" s="3"/>
      <c r="E144" s="2"/>
      <c r="F144" s="2"/>
      <c r="G144" s="5"/>
      <c r="H144" s="5"/>
      <c r="I144" s="4"/>
      <c r="J144" s="6" t="str">
        <f t="shared" si="9"/>
        <v/>
      </c>
      <c r="K144" s="4" t="str">
        <f t="shared" ca="1" si="10"/>
        <v/>
      </c>
      <c r="L144" s="7" t="str">
        <f t="shared" ca="1" si="11"/>
        <v/>
      </c>
      <c r="M144" s="4" t="str">
        <f>IF($I144="Complete","Green",IF($H144="","Amber",IF($H144&lt;'[2]Read Me'!$B$4,"Red",IF($H144-'[2]Read Me'!$B$4&lt;=21,"Amber","Green"))))</f>
        <v>Amber</v>
      </c>
      <c r="N144" s="3"/>
      <c r="O144" t="str">
        <f>IF($I144&lt;&gt;"Complete",IF(COUNTIFS($A$4:$A143,$A144,$B$4:$B143,$B144,$I$4:$I143,"&lt;&gt;Complete")=0,$A144&amp;"|"&amp;$B144,""),"")</f>
        <v>|</v>
      </c>
      <c r="P144" t="str">
        <f ca="1">IF($K144="Yes",COUNTIFS($K$4:$K144,"Yes"),"")</f>
        <v/>
      </c>
      <c r="Q144">
        <f t="shared" ca="1" si="12"/>
        <v>0</v>
      </c>
      <c r="R144" t="str">
        <f ca="1">IF($Q144=1,SUM($Q$4:$Q144),"")</f>
        <v/>
      </c>
    </row>
    <row r="145" spans="1:18" ht="22.5" customHeight="1" x14ac:dyDescent="0.3">
      <c r="A145" s="2"/>
      <c r="B145" s="2"/>
      <c r="C145" s="3"/>
      <c r="D145" s="3"/>
      <c r="E145" s="2"/>
      <c r="F145" s="2"/>
      <c r="G145" s="5"/>
      <c r="H145" s="5"/>
      <c r="I145" s="4"/>
      <c r="J145" s="6" t="str">
        <f t="shared" si="9"/>
        <v/>
      </c>
      <c r="K145" s="4" t="str">
        <f t="shared" ca="1" si="10"/>
        <v/>
      </c>
      <c r="L145" s="7" t="str">
        <f t="shared" ca="1" si="11"/>
        <v/>
      </c>
      <c r="M145" s="4" t="str">
        <f>IF($I145="Complete","Green",IF($H145="","Amber",IF($H145&lt;'[2]Read Me'!$B$4,"Red",IF($H145-'[2]Read Me'!$B$4&lt;=21,"Amber","Green"))))</f>
        <v>Amber</v>
      </c>
      <c r="N145" s="3"/>
      <c r="O145" t="str">
        <f>IF($I145&lt;&gt;"Complete",IF(COUNTIFS($A$4:$A144,$A145,$B$4:$B144,$B145,$I$4:$I144,"&lt;&gt;Complete")=0,$A145&amp;"|"&amp;$B145,""),"")</f>
        <v>|</v>
      </c>
      <c r="P145" t="str">
        <f ca="1">IF($K145="Yes",COUNTIFS($K$4:$K145,"Yes"),"")</f>
        <v/>
      </c>
      <c r="Q145">
        <f t="shared" ca="1" si="12"/>
        <v>0</v>
      </c>
      <c r="R145" t="str">
        <f ca="1">IF($Q145=1,SUM($Q$4:$Q145),"")</f>
        <v/>
      </c>
    </row>
    <row r="146" spans="1:18" ht="22.5" customHeight="1" x14ac:dyDescent="0.3">
      <c r="A146" s="2"/>
      <c r="B146" s="2"/>
      <c r="C146" s="3"/>
      <c r="D146" s="3"/>
      <c r="E146" s="2"/>
      <c r="F146" s="2"/>
      <c r="G146" s="5"/>
      <c r="H146" s="5"/>
      <c r="I146" s="4"/>
      <c r="J146" s="6" t="str">
        <f t="shared" si="9"/>
        <v/>
      </c>
      <c r="K146" s="4" t="str">
        <f t="shared" ca="1" si="10"/>
        <v/>
      </c>
      <c r="L146" s="7" t="str">
        <f t="shared" ca="1" si="11"/>
        <v/>
      </c>
      <c r="M146" s="4" t="str">
        <f>IF($I146="Complete","Green",IF($H146="","Amber",IF($H146&lt;'[2]Read Me'!$B$4,"Red",IF($H146-'[2]Read Me'!$B$4&lt;=21,"Amber","Green"))))</f>
        <v>Amber</v>
      </c>
      <c r="N146" s="3"/>
      <c r="O146" t="str">
        <f>IF($I146&lt;&gt;"Complete",IF(COUNTIFS($A$4:$A145,$A146,$B$4:$B145,$B146,$I$4:$I145,"&lt;&gt;Complete")=0,$A146&amp;"|"&amp;$B146,""),"")</f>
        <v>|</v>
      </c>
      <c r="P146" t="str">
        <f ca="1">IF($K146="Yes",COUNTIFS($K$4:$K146,"Yes"),"")</f>
        <v/>
      </c>
      <c r="Q146">
        <f t="shared" ca="1" si="12"/>
        <v>0</v>
      </c>
      <c r="R146" t="str">
        <f ca="1">IF($Q146=1,SUM($Q$4:$Q146),"")</f>
        <v/>
      </c>
    </row>
    <row r="147" spans="1:18" ht="22.5" customHeight="1" x14ac:dyDescent="0.3">
      <c r="A147" s="2"/>
      <c r="B147" s="2"/>
      <c r="C147" s="3"/>
      <c r="D147" s="3"/>
      <c r="E147" s="2"/>
      <c r="F147" s="2"/>
      <c r="G147" s="5"/>
      <c r="H147" s="5"/>
      <c r="I147" s="4"/>
      <c r="J147" s="6" t="str">
        <f t="shared" si="9"/>
        <v/>
      </c>
      <c r="K147" s="4" t="str">
        <f t="shared" ca="1" si="10"/>
        <v/>
      </c>
      <c r="L147" s="7" t="str">
        <f t="shared" ca="1" si="11"/>
        <v/>
      </c>
      <c r="M147" s="4" t="str">
        <f>IF($I147="Complete","Green",IF($H147="","Amber",IF($H147&lt;'[2]Read Me'!$B$4,"Red",IF($H147-'[2]Read Me'!$B$4&lt;=21,"Amber","Green"))))</f>
        <v>Amber</v>
      </c>
      <c r="N147" s="3"/>
      <c r="O147" t="str">
        <f>IF($I147&lt;&gt;"Complete",IF(COUNTIFS($A$4:$A146,$A147,$B$4:$B146,$B147,$I$4:$I146,"&lt;&gt;Complete")=0,$A147&amp;"|"&amp;$B147,""),"")</f>
        <v>|</v>
      </c>
      <c r="P147" t="str">
        <f ca="1">IF($K147="Yes",COUNTIFS($K$4:$K147,"Yes"),"")</f>
        <v/>
      </c>
      <c r="Q147">
        <f t="shared" ca="1" si="12"/>
        <v>0</v>
      </c>
      <c r="R147" t="str">
        <f ca="1">IF($Q147=1,SUM($Q$4:$Q147),"")</f>
        <v/>
      </c>
    </row>
    <row r="148" spans="1:18" ht="22.5" customHeight="1" x14ac:dyDescent="0.3">
      <c r="A148" s="2"/>
      <c r="B148" s="2"/>
      <c r="C148" s="3"/>
      <c r="D148" s="3"/>
      <c r="E148" s="2"/>
      <c r="F148" s="2"/>
      <c r="G148" s="5"/>
      <c r="H148" s="5"/>
      <c r="I148" s="4"/>
      <c r="J148" s="6" t="str">
        <f t="shared" si="9"/>
        <v/>
      </c>
      <c r="K148" s="4" t="str">
        <f t="shared" ca="1" si="10"/>
        <v/>
      </c>
      <c r="L148" s="7" t="str">
        <f t="shared" ca="1" si="11"/>
        <v/>
      </c>
      <c r="M148" s="4" t="str">
        <f>IF($I148="Complete","Green",IF($H148="","Amber",IF($H148&lt;'[2]Read Me'!$B$4,"Red",IF($H148-'[2]Read Me'!$B$4&lt;=21,"Amber","Green"))))</f>
        <v>Amber</v>
      </c>
      <c r="N148" s="3"/>
      <c r="O148" t="str">
        <f>IF($I148&lt;&gt;"Complete",IF(COUNTIFS($A$4:$A147,$A148,$B$4:$B147,$B148,$I$4:$I147,"&lt;&gt;Complete")=0,$A148&amp;"|"&amp;$B148,""),"")</f>
        <v>|</v>
      </c>
      <c r="P148" t="str">
        <f ca="1">IF($K148="Yes",COUNTIFS($K$4:$K148,"Yes"),"")</f>
        <v/>
      </c>
      <c r="Q148">
        <f t="shared" ca="1" si="12"/>
        <v>0</v>
      </c>
      <c r="R148" t="str">
        <f ca="1">IF($Q148=1,SUM($Q$4:$Q148),"")</f>
        <v/>
      </c>
    </row>
    <row r="149" spans="1:18" ht="22.5" customHeight="1" x14ac:dyDescent="0.3">
      <c r="A149" s="2"/>
      <c r="B149" s="2"/>
      <c r="C149" s="3"/>
      <c r="D149" s="3"/>
      <c r="E149" s="2"/>
      <c r="F149" s="2"/>
      <c r="G149" s="5"/>
      <c r="H149" s="5"/>
      <c r="I149" s="4"/>
      <c r="J149" s="6" t="str">
        <f t="shared" si="9"/>
        <v/>
      </c>
      <c r="K149" s="4" t="str">
        <f t="shared" ca="1" si="10"/>
        <v/>
      </c>
      <c r="L149" s="7" t="str">
        <f t="shared" ca="1" si="11"/>
        <v/>
      </c>
      <c r="M149" s="4" t="str">
        <f>IF($I149="Complete","Green",IF($H149="","Amber",IF($H149&lt;'[2]Read Me'!$B$4,"Red",IF($H149-'[2]Read Me'!$B$4&lt;=21,"Amber","Green"))))</f>
        <v>Amber</v>
      </c>
      <c r="N149" s="3"/>
      <c r="O149" t="str">
        <f>IF($I149&lt;&gt;"Complete",IF(COUNTIFS($A$4:$A148,$A149,$B$4:$B148,$B149,$I$4:$I148,"&lt;&gt;Complete")=0,$A149&amp;"|"&amp;$B149,""),"")</f>
        <v>|</v>
      </c>
      <c r="P149" t="str">
        <f ca="1">IF($K149="Yes",COUNTIFS($K$4:$K149,"Yes"),"")</f>
        <v/>
      </c>
      <c r="Q149">
        <f t="shared" ca="1" si="12"/>
        <v>0</v>
      </c>
      <c r="R149" t="str">
        <f ca="1">IF($Q149=1,SUM($Q$4:$Q149),"")</f>
        <v/>
      </c>
    </row>
    <row r="150" spans="1:18" ht="22.5" customHeight="1" x14ac:dyDescent="0.3">
      <c r="A150" s="2"/>
      <c r="B150" s="2"/>
      <c r="C150" s="3"/>
      <c r="D150" s="3"/>
      <c r="E150" s="2"/>
      <c r="F150" s="2"/>
      <c r="G150" s="5"/>
      <c r="H150" s="5"/>
      <c r="I150" s="4"/>
      <c r="J150" s="6" t="str">
        <f t="shared" si="9"/>
        <v/>
      </c>
      <c r="K150" s="4" t="str">
        <f t="shared" ca="1" si="10"/>
        <v/>
      </c>
      <c r="L150" s="7" t="str">
        <f t="shared" ca="1" si="11"/>
        <v/>
      </c>
      <c r="M150" s="4" t="str">
        <f>IF($I150="Complete","Green",IF($H150="","Amber",IF($H150&lt;'[2]Read Me'!$B$4,"Red",IF($H150-'[2]Read Me'!$B$4&lt;=21,"Amber","Green"))))</f>
        <v>Amber</v>
      </c>
      <c r="N150" s="3"/>
      <c r="O150" t="str">
        <f>IF($I150&lt;&gt;"Complete",IF(COUNTIFS($A$4:$A149,$A150,$B$4:$B149,$B150,$I$4:$I149,"&lt;&gt;Complete")=0,$A150&amp;"|"&amp;$B150,""),"")</f>
        <v>|</v>
      </c>
      <c r="P150" t="str">
        <f ca="1">IF($K150="Yes",COUNTIFS($K$4:$K150,"Yes"),"")</f>
        <v/>
      </c>
      <c r="Q150">
        <f t="shared" ca="1" si="12"/>
        <v>0</v>
      </c>
      <c r="R150" t="str">
        <f ca="1">IF($Q150=1,SUM($Q$4:$Q150),"")</f>
        <v/>
      </c>
    </row>
    <row r="151" spans="1:18" ht="22.5" customHeight="1" x14ac:dyDescent="0.3">
      <c r="A151" s="2"/>
      <c r="B151" s="2"/>
      <c r="C151" s="3"/>
      <c r="D151" s="3"/>
      <c r="E151" s="2"/>
      <c r="F151" s="2"/>
      <c r="G151" s="5"/>
      <c r="H151" s="5"/>
      <c r="I151" s="4"/>
      <c r="J151" s="6" t="str">
        <f t="shared" si="9"/>
        <v/>
      </c>
      <c r="K151" s="4" t="str">
        <f t="shared" ca="1" si="10"/>
        <v/>
      </c>
      <c r="L151" s="7" t="str">
        <f t="shared" ca="1" si="11"/>
        <v/>
      </c>
      <c r="M151" s="4" t="str">
        <f>IF($I151="Complete","Green",IF($H151="","Amber",IF($H151&lt;'[2]Read Me'!$B$4,"Red",IF($H151-'[2]Read Me'!$B$4&lt;=21,"Amber","Green"))))</f>
        <v>Amber</v>
      </c>
      <c r="N151" s="3"/>
      <c r="O151" t="str">
        <f>IF($I151&lt;&gt;"Complete",IF(COUNTIFS($A$4:$A150,$A151,$B$4:$B150,$B151,$I$4:$I150,"&lt;&gt;Complete")=0,$A151&amp;"|"&amp;$B151,""),"")</f>
        <v>|</v>
      </c>
      <c r="P151" t="str">
        <f ca="1">IF($K151="Yes",COUNTIFS($K$4:$K151,"Yes"),"")</f>
        <v/>
      </c>
      <c r="Q151">
        <f t="shared" ca="1" si="12"/>
        <v>0</v>
      </c>
      <c r="R151" t="str">
        <f ca="1">IF($Q151=1,SUM($Q$4:$Q151),"")</f>
        <v/>
      </c>
    </row>
    <row r="152" spans="1:18" ht="22.5" customHeight="1" x14ac:dyDescent="0.3">
      <c r="A152" s="2"/>
      <c r="B152" s="2"/>
      <c r="C152" s="3"/>
      <c r="D152" s="3"/>
      <c r="E152" s="2"/>
      <c r="F152" s="2"/>
      <c r="G152" s="5"/>
      <c r="H152" s="5"/>
      <c r="I152" s="4"/>
      <c r="J152" s="6" t="str">
        <f t="shared" si="9"/>
        <v/>
      </c>
      <c r="K152" s="4" t="str">
        <f t="shared" ca="1" si="10"/>
        <v/>
      </c>
      <c r="L152" s="7" t="str">
        <f t="shared" ca="1" si="11"/>
        <v/>
      </c>
      <c r="M152" s="4" t="str">
        <f>IF($I152="Complete","Green",IF($H152="","Amber",IF($H152&lt;'[2]Read Me'!$B$4,"Red",IF($H152-'[2]Read Me'!$B$4&lt;=21,"Amber","Green"))))</f>
        <v>Amber</v>
      </c>
      <c r="N152" s="3"/>
      <c r="O152" t="str">
        <f>IF($I152&lt;&gt;"Complete",IF(COUNTIFS($A$4:$A151,$A152,$B$4:$B151,$B152,$I$4:$I151,"&lt;&gt;Complete")=0,$A152&amp;"|"&amp;$B152,""),"")</f>
        <v>|</v>
      </c>
      <c r="P152" t="str">
        <f ca="1">IF($K152="Yes",COUNTIFS($K$4:$K152,"Yes"),"")</f>
        <v/>
      </c>
      <c r="Q152">
        <f t="shared" ca="1" si="12"/>
        <v>0</v>
      </c>
      <c r="R152" t="str">
        <f ca="1">IF($Q152=1,SUM($Q$4:$Q152),"")</f>
        <v/>
      </c>
    </row>
    <row r="153" spans="1:18" ht="22.5" customHeight="1" x14ac:dyDescent="0.3">
      <c r="A153" s="2"/>
      <c r="B153" s="2"/>
      <c r="C153" s="3"/>
      <c r="D153" s="3"/>
      <c r="E153" s="2"/>
      <c r="F153" s="2"/>
      <c r="G153" s="5"/>
      <c r="H153" s="5"/>
      <c r="I153" s="4"/>
      <c r="J153" s="6" t="str">
        <f t="shared" si="9"/>
        <v/>
      </c>
      <c r="K153" s="4" t="str">
        <f t="shared" ca="1" si="10"/>
        <v/>
      </c>
      <c r="L153" s="7" t="str">
        <f t="shared" ca="1" si="11"/>
        <v/>
      </c>
      <c r="M153" s="4" t="str">
        <f>IF($I153="Complete","Green",IF($H153="","Amber",IF($H153&lt;'[2]Read Me'!$B$4,"Red",IF($H153-'[2]Read Me'!$B$4&lt;=21,"Amber","Green"))))</f>
        <v>Amber</v>
      </c>
      <c r="N153" s="3"/>
      <c r="O153" t="str">
        <f>IF($I153&lt;&gt;"Complete",IF(COUNTIFS($A$4:$A152,$A153,$B$4:$B152,$B153,$I$4:$I152,"&lt;&gt;Complete")=0,$A153&amp;"|"&amp;$B153,""),"")</f>
        <v>|</v>
      </c>
      <c r="P153" t="str">
        <f ca="1">IF($K153="Yes",COUNTIFS($K$4:$K153,"Yes"),"")</f>
        <v/>
      </c>
      <c r="Q153">
        <f t="shared" ca="1" si="12"/>
        <v>0</v>
      </c>
      <c r="R153" t="str">
        <f ca="1">IF($Q153=1,SUM($Q$4:$Q153),"")</f>
        <v/>
      </c>
    </row>
    <row r="154" spans="1:18" ht="22.5" customHeight="1" x14ac:dyDescent="0.3">
      <c r="A154" s="2"/>
      <c r="B154" s="2"/>
      <c r="C154" s="3"/>
      <c r="D154" s="3"/>
      <c r="E154" s="2"/>
      <c r="F154" s="2"/>
      <c r="G154" s="5"/>
      <c r="H154" s="5"/>
      <c r="I154" s="4"/>
      <c r="J154" s="6" t="str">
        <f t="shared" si="9"/>
        <v/>
      </c>
      <c r="K154" s="4" t="str">
        <f t="shared" ca="1" si="10"/>
        <v/>
      </c>
      <c r="L154" s="7" t="str">
        <f t="shared" ca="1" si="11"/>
        <v/>
      </c>
      <c r="M154" s="4" t="str">
        <f>IF($I154="Complete","Green",IF($H154="","Amber",IF($H154&lt;'[2]Read Me'!$B$4,"Red",IF($H154-'[2]Read Me'!$B$4&lt;=21,"Amber","Green"))))</f>
        <v>Amber</v>
      </c>
      <c r="N154" s="3"/>
      <c r="O154" t="str">
        <f>IF($I154&lt;&gt;"Complete",IF(COUNTIFS($A$4:$A153,$A154,$B$4:$B153,$B154,$I$4:$I153,"&lt;&gt;Complete")=0,$A154&amp;"|"&amp;$B154,""),"")</f>
        <v>|</v>
      </c>
      <c r="P154" t="str">
        <f ca="1">IF($K154="Yes",COUNTIFS($K$4:$K154,"Yes"),"")</f>
        <v/>
      </c>
      <c r="Q154">
        <f t="shared" ca="1" si="12"/>
        <v>0</v>
      </c>
      <c r="R154" t="str">
        <f ca="1">IF($Q154=1,SUM($Q$4:$Q154),"")</f>
        <v/>
      </c>
    </row>
    <row r="155" spans="1:18" ht="22.5" customHeight="1" x14ac:dyDescent="0.3">
      <c r="A155" s="2"/>
      <c r="B155" s="2"/>
      <c r="C155" s="3"/>
      <c r="D155" s="3"/>
      <c r="E155" s="2"/>
      <c r="F155" s="2"/>
      <c r="G155" s="5"/>
      <c r="H155" s="5"/>
      <c r="I155" s="4"/>
      <c r="J155" s="6" t="str">
        <f t="shared" si="9"/>
        <v/>
      </c>
      <c r="K155" s="4" t="str">
        <f t="shared" ca="1" si="10"/>
        <v/>
      </c>
      <c r="L155" s="7" t="str">
        <f t="shared" ca="1" si="11"/>
        <v/>
      </c>
      <c r="M155" s="4" t="str">
        <f>IF($I155="Complete","Green",IF($H155="","Amber",IF($H155&lt;'[2]Read Me'!$B$4,"Red",IF($H155-'[2]Read Me'!$B$4&lt;=21,"Amber","Green"))))</f>
        <v>Amber</v>
      </c>
      <c r="N155" s="3"/>
      <c r="O155" t="str">
        <f>IF($I155&lt;&gt;"Complete",IF(COUNTIFS($A$4:$A154,$A155,$B$4:$B154,$B155,$I$4:$I154,"&lt;&gt;Complete")=0,$A155&amp;"|"&amp;$B155,""),"")</f>
        <v>|</v>
      </c>
      <c r="P155" t="str">
        <f ca="1">IF($K155="Yes",COUNTIFS($K$4:$K155,"Yes"),"")</f>
        <v/>
      </c>
      <c r="Q155">
        <f t="shared" ca="1" si="12"/>
        <v>0</v>
      </c>
      <c r="R155" t="str">
        <f ca="1">IF($Q155=1,SUM($Q$4:$Q155),"")</f>
        <v/>
      </c>
    </row>
    <row r="156" spans="1:18" ht="22.5" customHeight="1" x14ac:dyDescent="0.3">
      <c r="A156" s="2"/>
      <c r="B156" s="2"/>
      <c r="C156" s="3"/>
      <c r="D156" s="3"/>
      <c r="E156" s="2"/>
      <c r="F156" s="2"/>
      <c r="G156" s="5"/>
      <c r="H156" s="5"/>
      <c r="I156" s="4"/>
      <c r="J156" s="6" t="str">
        <f t="shared" si="9"/>
        <v/>
      </c>
      <c r="K156" s="4" t="str">
        <f t="shared" ca="1" si="10"/>
        <v/>
      </c>
      <c r="L156" s="7" t="str">
        <f t="shared" ca="1" si="11"/>
        <v/>
      </c>
      <c r="M156" s="4" t="str">
        <f>IF($I156="Complete","Green",IF($H156="","Amber",IF($H156&lt;'[2]Read Me'!$B$4,"Red",IF($H156-'[2]Read Me'!$B$4&lt;=21,"Amber","Green"))))</f>
        <v>Amber</v>
      </c>
      <c r="N156" s="3"/>
      <c r="O156" t="str">
        <f>IF($I156&lt;&gt;"Complete",IF(COUNTIFS($A$4:$A155,$A156,$B$4:$B155,$B156,$I$4:$I155,"&lt;&gt;Complete")=0,$A156&amp;"|"&amp;$B156,""),"")</f>
        <v>|</v>
      </c>
      <c r="P156" t="str">
        <f ca="1">IF($K156="Yes",COUNTIFS($K$4:$K156,"Yes"),"")</f>
        <v/>
      </c>
      <c r="Q156">
        <f t="shared" ca="1" si="12"/>
        <v>0</v>
      </c>
      <c r="R156" t="str">
        <f ca="1">IF($Q156=1,SUM($Q$4:$Q156),"")</f>
        <v/>
      </c>
    </row>
    <row r="157" spans="1:18" ht="33.75" customHeight="1" x14ac:dyDescent="0.3">
      <c r="A157" s="2"/>
      <c r="B157" s="2"/>
      <c r="C157" s="3"/>
      <c r="D157" s="3"/>
      <c r="E157" s="2"/>
      <c r="F157" s="2"/>
      <c r="G157" s="5"/>
      <c r="H157" s="5"/>
      <c r="I157" s="4"/>
      <c r="J157" s="6" t="str">
        <f t="shared" si="9"/>
        <v/>
      </c>
      <c r="K157" s="4" t="str">
        <f t="shared" ca="1" si="10"/>
        <v/>
      </c>
      <c r="L157" s="7" t="str">
        <f t="shared" ca="1" si="11"/>
        <v/>
      </c>
      <c r="M157" s="4" t="str">
        <f>IF($I157="Complete","Green",IF($H157="","Amber",IF($H157&lt;'[2]Read Me'!$B$4,"Red",IF($H157-'[2]Read Me'!$B$4&lt;=21,"Amber","Green"))))</f>
        <v>Amber</v>
      </c>
      <c r="N157" s="3"/>
      <c r="O157" t="str">
        <f>IF($I157&lt;&gt;"Complete",IF(COUNTIFS($A$4:$A156,$A157,$B$4:$B156,$B157,$I$4:$I156,"&lt;&gt;Complete")=0,$A157&amp;"|"&amp;$B157,""),"")</f>
        <v>|</v>
      </c>
      <c r="P157" t="str">
        <f ca="1">IF($K157="Yes",COUNTIFS($K$4:$K157,"Yes"),"")</f>
        <v/>
      </c>
      <c r="Q157">
        <f t="shared" ca="1" si="12"/>
        <v>0</v>
      </c>
      <c r="R157" t="str">
        <f ca="1">IF($Q157=1,SUM($Q$4:$Q157),"")</f>
        <v/>
      </c>
    </row>
    <row r="158" spans="1:18" ht="33.75" customHeight="1" x14ac:dyDescent="0.3">
      <c r="A158" s="2"/>
      <c r="B158" s="2"/>
      <c r="C158" s="3"/>
      <c r="D158" s="3"/>
      <c r="E158" s="2"/>
      <c r="F158" s="2"/>
      <c r="G158" s="5"/>
      <c r="H158" s="5"/>
      <c r="I158" s="4"/>
      <c r="J158" s="6" t="str">
        <f t="shared" si="9"/>
        <v/>
      </c>
      <c r="K158" s="4" t="str">
        <f t="shared" ca="1" si="10"/>
        <v/>
      </c>
      <c r="L158" s="7" t="str">
        <f t="shared" ca="1" si="11"/>
        <v/>
      </c>
      <c r="M158" s="4" t="str">
        <f>IF($I158="Complete","Green",IF($H158="","Amber",IF($H158&lt;'[2]Read Me'!$B$4,"Red",IF($H158-'[2]Read Me'!$B$4&lt;=21,"Amber","Green"))))</f>
        <v>Amber</v>
      </c>
      <c r="N158" s="3"/>
      <c r="O158" t="str">
        <f>IF($I158&lt;&gt;"Complete",IF(COUNTIFS($A$4:$A157,$A158,$B$4:$B157,$B158,$I$4:$I157,"&lt;&gt;Complete")=0,$A158&amp;"|"&amp;$B158,""),"")</f>
        <v>|</v>
      </c>
      <c r="P158" t="str">
        <f ca="1">IF($K158="Yes",COUNTIFS($K$4:$K158,"Yes"),"")</f>
        <v/>
      </c>
      <c r="Q158">
        <f t="shared" ca="1" si="12"/>
        <v>0</v>
      </c>
      <c r="R158" t="str">
        <f ca="1">IF($Q158=1,SUM($Q$4:$Q158),"")</f>
        <v/>
      </c>
    </row>
    <row r="159" spans="1:18" ht="33.75" customHeight="1" x14ac:dyDescent="0.3">
      <c r="A159" s="2"/>
      <c r="B159" s="2"/>
      <c r="C159" s="3"/>
      <c r="D159" s="3"/>
      <c r="E159" s="2"/>
      <c r="F159" s="2"/>
      <c r="G159" s="5"/>
      <c r="H159" s="5"/>
      <c r="I159" s="4"/>
      <c r="J159" s="6" t="str">
        <f t="shared" si="9"/>
        <v/>
      </c>
      <c r="K159" s="4" t="str">
        <f t="shared" ca="1" si="10"/>
        <v/>
      </c>
      <c r="L159" s="7" t="str">
        <f t="shared" ca="1" si="11"/>
        <v/>
      </c>
      <c r="M159" s="4" t="str">
        <f>IF($I159="Complete","Green",IF($H159="","Amber",IF($H159&lt;'[2]Read Me'!$B$4,"Red",IF($H159-'[2]Read Me'!$B$4&lt;=21,"Amber","Green"))))</f>
        <v>Amber</v>
      </c>
      <c r="N159" s="3"/>
      <c r="O159" t="str">
        <f>IF($I159&lt;&gt;"Complete",IF(COUNTIFS($A$4:$A158,$A159,$B$4:$B158,$B159,$I$4:$I158,"&lt;&gt;Complete")=0,$A159&amp;"|"&amp;$B159,""),"")</f>
        <v>|</v>
      </c>
      <c r="P159" t="str">
        <f ca="1">IF($K159="Yes",COUNTIFS($K$4:$K159,"Yes"),"")</f>
        <v/>
      </c>
      <c r="Q159">
        <f t="shared" ca="1" si="12"/>
        <v>0</v>
      </c>
      <c r="R159" t="str">
        <f ca="1">IF($Q159=1,SUM($Q$4:$Q159),"")</f>
        <v/>
      </c>
    </row>
    <row r="160" spans="1:18" ht="33.75" customHeight="1" x14ac:dyDescent="0.3">
      <c r="A160" s="2"/>
      <c r="B160" s="2"/>
      <c r="C160" s="3"/>
      <c r="D160" s="3"/>
      <c r="E160" s="2"/>
      <c r="F160" s="2"/>
      <c r="G160" s="5"/>
      <c r="H160" s="5"/>
      <c r="I160" s="4"/>
      <c r="J160" s="6" t="str">
        <f t="shared" si="9"/>
        <v/>
      </c>
      <c r="K160" s="4" t="str">
        <f t="shared" ca="1" si="10"/>
        <v/>
      </c>
      <c r="L160" s="7" t="str">
        <f t="shared" ca="1" si="11"/>
        <v/>
      </c>
      <c r="M160" s="4" t="str">
        <f>IF($I160="Complete","Green",IF($H160="","Amber",IF($H160&lt;'[2]Read Me'!$B$4,"Red",IF($H160-'[2]Read Me'!$B$4&lt;=21,"Amber","Green"))))</f>
        <v>Amber</v>
      </c>
      <c r="N160" s="3"/>
      <c r="O160" t="str">
        <f>IF($I160&lt;&gt;"Complete",IF(COUNTIFS($A$4:$A159,$A160,$B$4:$B159,$B160,$I$4:$I159,"&lt;&gt;Complete")=0,$A160&amp;"|"&amp;$B160,""),"")</f>
        <v>|</v>
      </c>
      <c r="P160" t="str">
        <f ca="1">IF($K160="Yes",COUNTIFS($K$4:$K160,"Yes"),"")</f>
        <v/>
      </c>
      <c r="Q160">
        <f t="shared" ca="1" si="12"/>
        <v>0</v>
      </c>
      <c r="R160" t="str">
        <f ca="1">IF($Q160=1,SUM($Q$4:$Q160),"")</f>
        <v/>
      </c>
    </row>
    <row r="161" spans="1:18" ht="33.75" customHeight="1" x14ac:dyDescent="0.3">
      <c r="A161" s="2"/>
      <c r="B161" s="2"/>
      <c r="C161" s="3"/>
      <c r="D161" s="3"/>
      <c r="E161" s="2"/>
      <c r="F161" s="2"/>
      <c r="G161" s="5"/>
      <c r="H161" s="5"/>
      <c r="I161" s="4"/>
      <c r="J161" s="6" t="str">
        <f t="shared" si="9"/>
        <v/>
      </c>
      <c r="K161" s="4" t="str">
        <f t="shared" ca="1" si="10"/>
        <v/>
      </c>
      <c r="L161" s="7" t="str">
        <f t="shared" ca="1" si="11"/>
        <v/>
      </c>
      <c r="M161" s="4" t="str">
        <f>IF($I161="Complete","Green",IF($H161="","Amber",IF($H161&lt;'[2]Read Me'!$B$4,"Red",IF($H161-'[2]Read Me'!$B$4&lt;=21,"Amber","Green"))))</f>
        <v>Amber</v>
      </c>
      <c r="N161" s="3"/>
      <c r="O161" t="str">
        <f>IF($I161&lt;&gt;"Complete",IF(COUNTIFS($A$4:$A160,$A161,$B$4:$B160,$B161,$I$4:$I160,"&lt;&gt;Complete")=0,$A161&amp;"|"&amp;$B161,""),"")</f>
        <v>|</v>
      </c>
      <c r="P161" t="str">
        <f ca="1">IF($K161="Yes",COUNTIFS($K$4:$K161,"Yes"),"")</f>
        <v/>
      </c>
      <c r="Q161">
        <f t="shared" ca="1" si="12"/>
        <v>0</v>
      </c>
      <c r="R161" t="str">
        <f ca="1">IF($Q161=1,SUM($Q$4:$Q161),"")</f>
        <v/>
      </c>
    </row>
    <row r="162" spans="1:18" ht="33.75" customHeight="1" x14ac:dyDescent="0.3">
      <c r="A162" s="2"/>
      <c r="B162" s="2"/>
      <c r="C162" s="3"/>
      <c r="D162" s="3"/>
      <c r="E162" s="2"/>
      <c r="F162" s="2"/>
      <c r="G162" s="5"/>
      <c r="H162" s="5"/>
      <c r="I162" s="4"/>
      <c r="J162" s="6" t="str">
        <f t="shared" si="9"/>
        <v/>
      </c>
      <c r="K162" s="4" t="str">
        <f t="shared" ca="1" si="10"/>
        <v/>
      </c>
      <c r="L162" s="7" t="str">
        <f t="shared" ca="1" si="11"/>
        <v/>
      </c>
      <c r="M162" s="4" t="str">
        <f>IF($I162="Complete","Green",IF($H162="","Amber",IF($H162&lt;'[2]Read Me'!$B$4,"Red",IF($H162-'[2]Read Me'!$B$4&lt;=21,"Amber","Green"))))</f>
        <v>Amber</v>
      </c>
      <c r="N162" s="3"/>
      <c r="O162" t="str">
        <f>IF($I162&lt;&gt;"Complete",IF(COUNTIFS($A$4:$A161,$A162,$B$4:$B161,$B162,$I$4:$I161,"&lt;&gt;Complete")=0,$A162&amp;"|"&amp;$B162,""),"")</f>
        <v>|</v>
      </c>
      <c r="P162" t="str">
        <f ca="1">IF($K162="Yes",COUNTIFS($K$4:$K162,"Yes"),"")</f>
        <v/>
      </c>
      <c r="Q162">
        <f t="shared" ca="1" si="12"/>
        <v>0</v>
      </c>
      <c r="R162" t="str">
        <f ca="1">IF($Q162=1,SUM($Q$4:$Q162),"")</f>
        <v/>
      </c>
    </row>
    <row r="163" spans="1:18" ht="33.75" customHeight="1" x14ac:dyDescent="0.3">
      <c r="A163" s="2"/>
      <c r="B163" s="2"/>
      <c r="C163" s="3"/>
      <c r="D163" s="3"/>
      <c r="E163" s="2"/>
      <c r="F163" s="2"/>
      <c r="G163" s="5"/>
      <c r="H163" s="5"/>
      <c r="I163" s="4"/>
      <c r="J163" s="6" t="str">
        <f t="shared" si="9"/>
        <v/>
      </c>
      <c r="K163" s="4" t="str">
        <f t="shared" ca="1" si="10"/>
        <v/>
      </c>
      <c r="L163" s="7" t="str">
        <f t="shared" ca="1" si="11"/>
        <v/>
      </c>
      <c r="M163" s="4" t="str">
        <f>IF($I163="Complete","Green",IF($H163="","Amber",IF($H163&lt;'[2]Read Me'!$B$4,"Red",IF($H163-'[2]Read Me'!$B$4&lt;=21,"Amber","Green"))))</f>
        <v>Amber</v>
      </c>
      <c r="N163" s="3"/>
      <c r="O163" t="str">
        <f>IF($I163&lt;&gt;"Complete",IF(COUNTIFS($A$4:$A162,$A163,$B$4:$B162,$B163,$I$4:$I162,"&lt;&gt;Complete")=0,$A163&amp;"|"&amp;$B163,""),"")</f>
        <v>|</v>
      </c>
      <c r="P163" t="str">
        <f ca="1">IF($K163="Yes",COUNTIFS($K$4:$K163,"Yes"),"")</f>
        <v/>
      </c>
      <c r="Q163">
        <f t="shared" ca="1" si="12"/>
        <v>0</v>
      </c>
      <c r="R163" t="str">
        <f ca="1">IF($Q163=1,SUM($Q$4:$Q163),"")</f>
        <v/>
      </c>
    </row>
    <row r="164" spans="1:18" ht="33.75" customHeight="1" x14ac:dyDescent="0.3">
      <c r="A164" s="2"/>
      <c r="B164" s="2"/>
      <c r="C164" s="3"/>
      <c r="D164" s="3"/>
      <c r="E164" s="2"/>
      <c r="F164" s="2"/>
      <c r="G164" s="5"/>
      <c r="H164" s="5"/>
      <c r="I164" s="4"/>
      <c r="J164" s="6" t="str">
        <f t="shared" si="9"/>
        <v/>
      </c>
      <c r="K164" s="4" t="str">
        <f t="shared" ca="1" si="10"/>
        <v/>
      </c>
      <c r="L164" s="7" t="str">
        <f t="shared" ca="1" si="11"/>
        <v/>
      </c>
      <c r="M164" s="4" t="str">
        <f>IF($I164="Complete","Green",IF($H164="","Amber",IF($H164&lt;'[2]Read Me'!$B$4,"Red",IF($H164-'[2]Read Me'!$B$4&lt;=21,"Amber","Green"))))</f>
        <v>Amber</v>
      </c>
      <c r="N164" s="3"/>
      <c r="O164" t="str">
        <f>IF($I164&lt;&gt;"Complete",IF(COUNTIFS($A$4:$A163,$A164,$B$4:$B163,$B164,$I$4:$I163,"&lt;&gt;Complete")=0,$A164&amp;"|"&amp;$B164,""),"")</f>
        <v>|</v>
      </c>
      <c r="P164" t="str">
        <f ca="1">IF($K164="Yes",COUNTIFS($K$4:$K164,"Yes"),"")</f>
        <v/>
      </c>
      <c r="Q164">
        <f t="shared" ca="1" si="12"/>
        <v>0</v>
      </c>
      <c r="R164" t="str">
        <f ca="1">IF($Q164=1,SUM($Q$4:$Q164),"")</f>
        <v/>
      </c>
    </row>
    <row r="165" spans="1:18" ht="33.75" customHeight="1" x14ac:dyDescent="0.3">
      <c r="A165" s="2"/>
      <c r="B165" s="2"/>
      <c r="C165" s="3"/>
      <c r="D165" s="3"/>
      <c r="E165" s="2"/>
      <c r="F165" s="2"/>
      <c r="G165" s="5"/>
      <c r="H165" s="5"/>
      <c r="I165" s="4"/>
      <c r="J165" s="6" t="str">
        <f t="shared" si="9"/>
        <v/>
      </c>
      <c r="K165" s="4" t="str">
        <f t="shared" ca="1" si="10"/>
        <v/>
      </c>
      <c r="L165" s="7" t="str">
        <f t="shared" ca="1" si="11"/>
        <v/>
      </c>
      <c r="M165" s="4" t="str">
        <f>IF($I165="Complete","Green",IF($H165="","Amber",IF($H165&lt;'[2]Read Me'!$B$4,"Red",IF($H165-'[2]Read Me'!$B$4&lt;=21,"Amber","Green"))))</f>
        <v>Amber</v>
      </c>
      <c r="N165" s="3"/>
      <c r="O165" t="str">
        <f>IF($I165&lt;&gt;"Complete",IF(COUNTIFS($A$4:$A164,$A165,$B$4:$B164,$B165,$I$4:$I164,"&lt;&gt;Complete")=0,$A165&amp;"|"&amp;$B165,""),"")</f>
        <v>|</v>
      </c>
      <c r="P165" t="str">
        <f ca="1">IF($K165="Yes",COUNTIFS($K$4:$K165,"Yes"),"")</f>
        <v/>
      </c>
      <c r="Q165">
        <f t="shared" ca="1" si="12"/>
        <v>0</v>
      </c>
      <c r="R165" t="str">
        <f ca="1">IF($Q165=1,SUM($Q$4:$Q165),"")</f>
        <v/>
      </c>
    </row>
    <row r="166" spans="1:18" ht="33.75" customHeight="1" x14ac:dyDescent="0.3">
      <c r="A166" s="2"/>
      <c r="B166" s="2"/>
      <c r="C166" s="3"/>
      <c r="D166" s="3"/>
      <c r="E166" s="2"/>
      <c r="F166" s="2"/>
      <c r="G166" s="5"/>
      <c r="H166" s="5"/>
      <c r="I166" s="4"/>
      <c r="J166" s="6" t="str">
        <f t="shared" si="9"/>
        <v/>
      </c>
      <c r="K166" s="4" t="str">
        <f t="shared" ca="1" si="10"/>
        <v/>
      </c>
      <c r="L166" s="7" t="str">
        <f t="shared" ca="1" si="11"/>
        <v/>
      </c>
      <c r="M166" s="4" t="str">
        <f>IF($I166="Complete","Green",IF($H166="","Amber",IF($H166&lt;'[2]Read Me'!$B$4,"Red",IF($H166-'[2]Read Me'!$B$4&lt;=21,"Amber","Green"))))</f>
        <v>Amber</v>
      </c>
      <c r="N166" s="3"/>
      <c r="O166" t="str">
        <f>IF($I166&lt;&gt;"Complete",IF(COUNTIFS($A$4:$A165,$A166,$B$4:$B165,$B166,$I$4:$I165,"&lt;&gt;Complete")=0,$A166&amp;"|"&amp;$B166,""),"")</f>
        <v>|</v>
      </c>
      <c r="P166" t="str">
        <f ca="1">IF($K166="Yes",COUNTIFS($K$4:$K166,"Yes"),"")</f>
        <v/>
      </c>
      <c r="Q166">
        <f t="shared" ca="1" si="12"/>
        <v>0</v>
      </c>
      <c r="R166" t="str">
        <f ca="1">IF($Q166=1,SUM($Q$4:$Q166),"")</f>
        <v/>
      </c>
    </row>
    <row r="167" spans="1:18" ht="33.75" customHeight="1" x14ac:dyDescent="0.3">
      <c r="A167" s="2"/>
      <c r="B167" s="2"/>
      <c r="C167" s="3"/>
      <c r="D167" s="3"/>
      <c r="E167" s="2"/>
      <c r="F167" s="2"/>
      <c r="G167" s="5"/>
      <c r="H167" s="5"/>
      <c r="I167" s="4"/>
      <c r="J167" s="6" t="str">
        <f t="shared" si="9"/>
        <v/>
      </c>
      <c r="K167" s="4" t="str">
        <f t="shared" ca="1" si="10"/>
        <v/>
      </c>
      <c r="L167" s="7" t="str">
        <f t="shared" ca="1" si="11"/>
        <v/>
      </c>
      <c r="M167" s="4" t="str">
        <f>IF($I167="Complete","Green",IF($H167="","Amber",IF($H167&lt;'[2]Read Me'!$B$4,"Red",IF($H167-'[2]Read Me'!$B$4&lt;=21,"Amber","Green"))))</f>
        <v>Amber</v>
      </c>
      <c r="N167" s="3"/>
      <c r="O167" t="str">
        <f>IF($I167&lt;&gt;"Complete",IF(COUNTIFS($A$4:$A166,$A167,$B$4:$B166,$B167,$I$4:$I166,"&lt;&gt;Complete")=0,$A167&amp;"|"&amp;$B167,""),"")</f>
        <v>|</v>
      </c>
      <c r="P167" t="str">
        <f ca="1">IF($K167="Yes",COUNTIFS($K$4:$K167,"Yes"),"")</f>
        <v/>
      </c>
      <c r="Q167">
        <f t="shared" ca="1" si="12"/>
        <v>0</v>
      </c>
      <c r="R167" t="str">
        <f ca="1">IF($Q167=1,SUM($Q$4:$Q167),"")</f>
        <v/>
      </c>
    </row>
    <row r="168" spans="1:18" ht="33.75" customHeight="1" x14ac:dyDescent="0.3">
      <c r="A168" s="2"/>
      <c r="B168" s="2"/>
      <c r="C168" s="3"/>
      <c r="D168" s="3"/>
      <c r="E168" s="2"/>
      <c r="F168" s="2"/>
      <c r="G168" s="5"/>
      <c r="H168" s="5"/>
      <c r="I168" s="4"/>
      <c r="J168" s="6" t="str">
        <f t="shared" si="9"/>
        <v/>
      </c>
      <c r="K168" s="4" t="str">
        <f t="shared" ca="1" si="10"/>
        <v/>
      </c>
      <c r="L168" s="7" t="str">
        <f t="shared" ca="1" si="11"/>
        <v/>
      </c>
      <c r="M168" s="4" t="str">
        <f>IF($I168="Complete","Green",IF($H168="","Amber",IF($H168&lt;'[2]Read Me'!$B$4,"Red",IF($H168-'[2]Read Me'!$B$4&lt;=21,"Amber","Green"))))</f>
        <v>Amber</v>
      </c>
      <c r="N168" s="3"/>
      <c r="O168" t="str">
        <f>IF($I168&lt;&gt;"Complete",IF(COUNTIFS($A$4:$A167,$A168,$B$4:$B167,$B168,$I$4:$I167,"&lt;&gt;Complete")=0,$A168&amp;"|"&amp;$B168,""),"")</f>
        <v>|</v>
      </c>
      <c r="P168" t="str">
        <f ca="1">IF($K168="Yes",COUNTIFS($K$4:$K168,"Yes"),"")</f>
        <v/>
      </c>
      <c r="Q168">
        <f t="shared" ca="1" si="12"/>
        <v>0</v>
      </c>
      <c r="R168" t="str">
        <f ca="1">IF($Q168=1,SUM($Q$4:$Q168),"")</f>
        <v/>
      </c>
    </row>
    <row r="169" spans="1:18" ht="33.75" customHeight="1" x14ac:dyDescent="0.3">
      <c r="A169" s="2"/>
      <c r="B169" s="2"/>
      <c r="C169" s="3"/>
      <c r="D169" s="3"/>
      <c r="E169" s="2"/>
      <c r="F169" s="2"/>
      <c r="G169" s="5"/>
      <c r="H169" s="5"/>
      <c r="I169" s="4"/>
      <c r="J169" s="6" t="str">
        <f t="shared" si="9"/>
        <v/>
      </c>
      <c r="K169" s="4" t="str">
        <f t="shared" ca="1" si="10"/>
        <v/>
      </c>
      <c r="L169" s="7" t="str">
        <f t="shared" ca="1" si="11"/>
        <v/>
      </c>
      <c r="M169" s="4" t="str">
        <f>IF($I169="Complete","Green",IF($H169="","Amber",IF($H169&lt;'[2]Read Me'!$B$4,"Red",IF($H169-'[2]Read Me'!$B$4&lt;=21,"Amber","Green"))))</f>
        <v>Amber</v>
      </c>
      <c r="N169" s="3"/>
      <c r="O169" t="str">
        <f>IF($I169&lt;&gt;"Complete",IF(COUNTIFS($A$4:$A168,$A169,$B$4:$B168,$B169,$I$4:$I168,"&lt;&gt;Complete")=0,$A169&amp;"|"&amp;$B169,""),"")</f>
        <v>|</v>
      </c>
      <c r="P169" t="str">
        <f ca="1">IF($K169="Yes",COUNTIFS($K$4:$K169,"Yes"),"")</f>
        <v/>
      </c>
      <c r="Q169">
        <f t="shared" ca="1" si="12"/>
        <v>0</v>
      </c>
      <c r="R169" t="str">
        <f ca="1">IF($Q169=1,SUM($Q$4:$Q169),"")</f>
        <v/>
      </c>
    </row>
    <row r="170" spans="1:18" ht="33.75" customHeight="1" x14ac:dyDescent="0.3">
      <c r="A170" s="2"/>
      <c r="B170" s="2"/>
      <c r="C170" s="3"/>
      <c r="D170" s="3"/>
      <c r="E170" s="2"/>
      <c r="F170" s="2"/>
      <c r="G170" s="5"/>
      <c r="H170" s="5"/>
      <c r="I170" s="4"/>
      <c r="J170" s="6" t="str">
        <f t="shared" si="9"/>
        <v/>
      </c>
      <c r="K170" s="4" t="str">
        <f t="shared" ca="1" si="10"/>
        <v/>
      </c>
      <c r="L170" s="7" t="str">
        <f t="shared" ca="1" si="11"/>
        <v/>
      </c>
      <c r="M170" s="4" t="str">
        <f>IF($I170="Complete","Green",IF($H170="","Amber",IF($H170&lt;'[2]Read Me'!$B$4,"Red",IF($H170-'[2]Read Me'!$B$4&lt;=21,"Amber","Green"))))</f>
        <v>Amber</v>
      </c>
      <c r="N170" s="3"/>
      <c r="O170" t="str">
        <f>IF($I170&lt;&gt;"Complete",IF(COUNTIFS($A$4:$A169,$A170,$B$4:$B169,$B170,$I$4:$I169,"&lt;&gt;Complete")=0,$A170&amp;"|"&amp;$B170,""),"")</f>
        <v>|</v>
      </c>
      <c r="P170" t="str">
        <f ca="1">IF($K170="Yes",COUNTIFS($K$4:$K170,"Yes"),"")</f>
        <v/>
      </c>
      <c r="Q170">
        <f t="shared" ca="1" si="12"/>
        <v>0</v>
      </c>
      <c r="R170" t="str">
        <f ca="1">IF($Q170=1,SUM($Q$4:$Q170),"")</f>
        <v/>
      </c>
    </row>
    <row r="171" spans="1:18" ht="33.75" customHeight="1" x14ac:dyDescent="0.3">
      <c r="A171" s="2"/>
      <c r="B171" s="2"/>
      <c r="C171" s="3"/>
      <c r="D171" s="3"/>
      <c r="E171" s="2"/>
      <c r="F171" s="2"/>
      <c r="G171" s="5"/>
      <c r="H171" s="5"/>
      <c r="I171" s="4"/>
      <c r="J171" s="6" t="str">
        <f t="shared" si="9"/>
        <v/>
      </c>
      <c r="K171" s="4" t="str">
        <f t="shared" ca="1" si="10"/>
        <v/>
      </c>
      <c r="L171" s="7" t="str">
        <f t="shared" ca="1" si="11"/>
        <v/>
      </c>
      <c r="M171" s="4" t="str">
        <f>IF($I171="Complete","Green",IF($H171="","Amber",IF($H171&lt;'[2]Read Me'!$B$4,"Red",IF($H171-'[2]Read Me'!$B$4&lt;=21,"Amber","Green"))))</f>
        <v>Amber</v>
      </c>
      <c r="N171" s="3"/>
      <c r="O171" t="str">
        <f>IF($I171&lt;&gt;"Complete",IF(COUNTIFS($A$4:$A170,$A171,$B$4:$B170,$B171,$I$4:$I170,"&lt;&gt;Complete")=0,$A171&amp;"|"&amp;$B171,""),"")</f>
        <v>|</v>
      </c>
      <c r="P171" t="str">
        <f ca="1">IF($K171="Yes",COUNTIFS($K$4:$K171,"Yes"),"")</f>
        <v/>
      </c>
      <c r="Q171">
        <f t="shared" ca="1" si="12"/>
        <v>0</v>
      </c>
      <c r="R171" t="str">
        <f ca="1">IF($Q171=1,SUM($Q$4:$Q171),"")</f>
        <v/>
      </c>
    </row>
    <row r="172" spans="1:18" ht="33.75" customHeight="1" x14ac:dyDescent="0.3">
      <c r="A172" s="2"/>
      <c r="B172" s="2"/>
      <c r="C172" s="3"/>
      <c r="D172" s="3"/>
      <c r="E172" s="2"/>
      <c r="F172" s="2"/>
      <c r="G172" s="5"/>
      <c r="H172" s="5"/>
      <c r="I172" s="4"/>
      <c r="J172" s="6" t="str">
        <f t="shared" si="9"/>
        <v/>
      </c>
      <c r="K172" s="4" t="str">
        <f t="shared" ca="1" si="10"/>
        <v/>
      </c>
      <c r="L172" s="7" t="str">
        <f t="shared" ca="1" si="11"/>
        <v/>
      </c>
      <c r="M172" s="4" t="str">
        <f>IF($I172="Complete","Green",IF($H172="","Amber",IF($H172&lt;'[2]Read Me'!$B$4,"Red",IF($H172-'[2]Read Me'!$B$4&lt;=21,"Amber","Green"))))</f>
        <v>Amber</v>
      </c>
      <c r="N172" s="3"/>
      <c r="O172" t="str">
        <f>IF($I172&lt;&gt;"Complete",IF(COUNTIFS($A$4:$A171,$A172,$B$4:$B171,$B172,$I$4:$I171,"&lt;&gt;Complete")=0,$A172&amp;"|"&amp;$B172,""),"")</f>
        <v>|</v>
      </c>
      <c r="P172" t="str">
        <f ca="1">IF($K172="Yes",COUNTIFS($K$4:$K172,"Yes"),"")</f>
        <v/>
      </c>
      <c r="Q172">
        <f t="shared" ca="1" si="12"/>
        <v>0</v>
      </c>
      <c r="R172" t="str">
        <f ca="1">IF($Q172=1,SUM($Q$4:$Q172),"")</f>
        <v/>
      </c>
    </row>
    <row r="173" spans="1:18" ht="33.75" customHeight="1" x14ac:dyDescent="0.3">
      <c r="A173" s="2"/>
      <c r="B173" s="2"/>
      <c r="C173" s="3"/>
      <c r="D173" s="3"/>
      <c r="E173" s="2"/>
      <c r="F173" s="2"/>
      <c r="G173" s="5"/>
      <c r="H173" s="5"/>
      <c r="I173" s="4"/>
      <c r="J173" s="6" t="str">
        <f t="shared" si="9"/>
        <v/>
      </c>
      <c r="K173" s="4" t="str">
        <f t="shared" ca="1" si="10"/>
        <v/>
      </c>
      <c r="L173" s="7" t="str">
        <f t="shared" ca="1" si="11"/>
        <v/>
      </c>
      <c r="M173" s="4" t="str">
        <f>IF($I173="Complete","Green",IF($H173="","Amber",IF($H173&lt;'[2]Read Me'!$B$4,"Red",IF($H173-'[2]Read Me'!$B$4&lt;=21,"Amber","Green"))))</f>
        <v>Amber</v>
      </c>
      <c r="N173" s="3"/>
      <c r="O173" t="str">
        <f>IF($I173&lt;&gt;"Complete",IF(COUNTIFS($A$4:$A172,$A173,$B$4:$B172,$B173,$I$4:$I172,"&lt;&gt;Complete")=0,$A173&amp;"|"&amp;$B173,""),"")</f>
        <v>|</v>
      </c>
      <c r="P173" t="str">
        <f ca="1">IF($K173="Yes",COUNTIFS($K$4:$K173,"Yes"),"")</f>
        <v/>
      </c>
      <c r="Q173">
        <f t="shared" ca="1" si="12"/>
        <v>0</v>
      </c>
      <c r="R173" t="str">
        <f ca="1">IF($Q173=1,SUM($Q$4:$Q173),"")</f>
        <v/>
      </c>
    </row>
    <row r="174" spans="1:18" ht="33.75" customHeight="1" x14ac:dyDescent="0.3">
      <c r="A174" s="2"/>
      <c r="B174" s="2"/>
      <c r="C174" s="3"/>
      <c r="D174" s="3"/>
      <c r="E174" s="2"/>
      <c r="F174" s="2"/>
      <c r="G174" s="5"/>
      <c r="H174" s="5"/>
      <c r="I174" s="4"/>
      <c r="J174" s="6" t="str">
        <f t="shared" si="9"/>
        <v/>
      </c>
      <c r="K174" s="4" t="str">
        <f t="shared" ca="1" si="10"/>
        <v/>
      </c>
      <c r="L174" s="7" t="str">
        <f t="shared" ca="1" si="11"/>
        <v/>
      </c>
      <c r="M174" s="4" t="str">
        <f>IF($I174="Complete","Green",IF($H174="","Amber",IF($H174&lt;'[2]Read Me'!$B$4,"Red",IF($H174-'[2]Read Me'!$B$4&lt;=21,"Amber","Green"))))</f>
        <v>Amber</v>
      </c>
      <c r="N174" s="3"/>
      <c r="O174" t="str">
        <f>IF($I174&lt;&gt;"Complete",IF(COUNTIFS($A$4:$A173,$A174,$B$4:$B173,$B174,$I$4:$I173,"&lt;&gt;Complete")=0,$A174&amp;"|"&amp;$B174,""),"")</f>
        <v>|</v>
      </c>
      <c r="P174" t="str">
        <f ca="1">IF($K174="Yes",COUNTIFS($K$4:$K174,"Yes"),"")</f>
        <v/>
      </c>
      <c r="Q174">
        <f t="shared" ca="1" si="12"/>
        <v>0</v>
      </c>
      <c r="R174" t="str">
        <f ca="1">IF($Q174=1,SUM($Q$4:$Q174),"")</f>
        <v/>
      </c>
    </row>
    <row r="175" spans="1:18" ht="33.75" customHeight="1" x14ac:dyDescent="0.3">
      <c r="A175" s="2"/>
      <c r="B175" s="2"/>
      <c r="C175" s="3"/>
      <c r="D175" s="3"/>
      <c r="E175" s="2"/>
      <c r="F175" s="2"/>
      <c r="G175" s="5"/>
      <c r="H175" s="5"/>
      <c r="I175" s="4"/>
      <c r="J175" s="6" t="str">
        <f t="shared" si="9"/>
        <v/>
      </c>
      <c r="K175" s="4" t="str">
        <f t="shared" ca="1" si="10"/>
        <v/>
      </c>
      <c r="L175" s="7" t="str">
        <f t="shared" ca="1" si="11"/>
        <v/>
      </c>
      <c r="M175" s="4" t="str">
        <f>IF($I175="Complete","Green",IF($H175="","Amber",IF($H175&lt;'[2]Read Me'!$B$4,"Red",IF($H175-'[2]Read Me'!$B$4&lt;=21,"Amber","Green"))))</f>
        <v>Amber</v>
      </c>
      <c r="N175" s="3"/>
      <c r="O175" t="str">
        <f>IF($I175&lt;&gt;"Complete",IF(COUNTIFS($A$4:$A174,$A175,$B$4:$B174,$B175,$I$4:$I174,"&lt;&gt;Complete")=0,$A175&amp;"|"&amp;$B175,""),"")</f>
        <v>|</v>
      </c>
      <c r="P175" t="str">
        <f ca="1">IF($K175="Yes",COUNTIFS($K$4:$K175,"Yes"),"")</f>
        <v/>
      </c>
      <c r="Q175">
        <f t="shared" ca="1" si="12"/>
        <v>0</v>
      </c>
      <c r="R175" t="str">
        <f ca="1">IF($Q175=1,SUM($Q$4:$Q175),"")</f>
        <v/>
      </c>
    </row>
    <row r="176" spans="1:18" ht="22.5" customHeight="1" x14ac:dyDescent="0.3">
      <c r="A176" s="2"/>
      <c r="B176" s="2"/>
      <c r="C176" s="3"/>
      <c r="D176" s="3"/>
      <c r="E176" s="2"/>
      <c r="F176" s="2"/>
      <c r="G176" s="5"/>
      <c r="H176" s="5"/>
      <c r="I176" s="4"/>
      <c r="J176" s="6" t="str">
        <f t="shared" si="9"/>
        <v/>
      </c>
      <c r="K176" s="4" t="str">
        <f t="shared" ca="1" si="10"/>
        <v/>
      </c>
      <c r="L176" s="7" t="str">
        <f t="shared" ca="1" si="11"/>
        <v/>
      </c>
      <c r="M176" s="4" t="str">
        <f>IF($I176="Complete","Green",IF($H176="","Amber",IF($H176&lt;'[2]Read Me'!$B$4,"Red",IF($H176-'[2]Read Me'!$B$4&lt;=21,"Amber","Green"))))</f>
        <v>Amber</v>
      </c>
      <c r="N176" s="3"/>
      <c r="O176" t="str">
        <f>IF($I176&lt;&gt;"Complete",IF(COUNTIFS($A$4:$A175,$A176,$B$4:$B175,$B176,$I$4:$I175,"&lt;&gt;Complete")=0,$A176&amp;"|"&amp;$B176,""),"")</f>
        <v>|</v>
      </c>
      <c r="P176" t="str">
        <f ca="1">IF($K176="Yes",COUNTIFS($K$4:$K176,"Yes"),"")</f>
        <v/>
      </c>
      <c r="Q176">
        <f t="shared" ca="1" si="12"/>
        <v>0</v>
      </c>
      <c r="R176" t="str">
        <f ca="1">IF($Q176=1,SUM($Q$4:$Q176),"")</f>
        <v/>
      </c>
    </row>
    <row r="177" spans="1:18" ht="22.5" customHeight="1" x14ac:dyDescent="0.3">
      <c r="A177" s="2"/>
      <c r="B177" s="2"/>
      <c r="C177" s="3"/>
      <c r="D177" s="3"/>
      <c r="E177" s="2"/>
      <c r="F177" s="2"/>
      <c r="G177" s="5"/>
      <c r="H177" s="5"/>
      <c r="I177" s="4"/>
      <c r="J177" s="6" t="str">
        <f t="shared" si="9"/>
        <v/>
      </c>
      <c r="K177" s="4" t="str">
        <f t="shared" ca="1" si="10"/>
        <v/>
      </c>
      <c r="L177" s="7" t="str">
        <f t="shared" ca="1" si="11"/>
        <v/>
      </c>
      <c r="M177" s="4" t="str">
        <f>IF($I177="Complete","Green",IF($H177="","Amber",IF($H177&lt;'[2]Read Me'!$B$4,"Red",IF($H177-'[2]Read Me'!$B$4&lt;=21,"Amber","Green"))))</f>
        <v>Amber</v>
      </c>
      <c r="N177" s="3"/>
      <c r="O177" t="str">
        <f>IF($I177&lt;&gt;"Complete",IF(COUNTIFS($A$4:$A176,$A177,$B$4:$B176,$B177,$I$4:$I176,"&lt;&gt;Complete")=0,$A177&amp;"|"&amp;$B177,""),"")</f>
        <v>|</v>
      </c>
      <c r="P177" t="str">
        <f ca="1">IF($K177="Yes",COUNTIFS($K$4:$K177,"Yes"),"")</f>
        <v/>
      </c>
      <c r="Q177">
        <f t="shared" ca="1" si="12"/>
        <v>0</v>
      </c>
      <c r="R177" t="str">
        <f ca="1">IF($Q177=1,SUM($Q$4:$Q177),"")</f>
        <v/>
      </c>
    </row>
    <row r="178" spans="1:18" ht="22.5" customHeight="1" x14ac:dyDescent="0.3">
      <c r="A178" s="2"/>
      <c r="B178" s="2"/>
      <c r="C178" s="3"/>
      <c r="D178" s="3"/>
      <c r="E178" s="2"/>
      <c r="F178" s="2"/>
      <c r="G178" s="5"/>
      <c r="H178" s="5"/>
      <c r="I178" s="4"/>
      <c r="J178" s="6" t="str">
        <f t="shared" si="9"/>
        <v/>
      </c>
      <c r="K178" s="4" t="str">
        <f t="shared" ca="1" si="10"/>
        <v/>
      </c>
      <c r="L178" s="7" t="str">
        <f t="shared" ca="1" si="11"/>
        <v/>
      </c>
      <c r="M178" s="4" t="str">
        <f>IF($I178="Complete","Green",IF($H178="","Amber",IF($H178&lt;'[2]Read Me'!$B$4,"Red",IF($H178-'[2]Read Me'!$B$4&lt;=21,"Amber","Green"))))</f>
        <v>Amber</v>
      </c>
      <c r="N178" s="3"/>
      <c r="O178" t="str">
        <f>IF($I178&lt;&gt;"Complete",IF(COUNTIFS($A$4:$A177,$A178,$B$4:$B177,$B178,$I$4:$I177,"&lt;&gt;Complete")=0,$A178&amp;"|"&amp;$B178,""),"")</f>
        <v>|</v>
      </c>
      <c r="P178" t="str">
        <f ca="1">IF($K178="Yes",COUNTIFS($K$4:$K178,"Yes"),"")</f>
        <v/>
      </c>
      <c r="Q178">
        <f t="shared" ca="1" si="12"/>
        <v>0</v>
      </c>
      <c r="R178" t="str">
        <f ca="1">IF($Q178=1,SUM($Q$4:$Q178),"")</f>
        <v/>
      </c>
    </row>
    <row r="179" spans="1:18" ht="22.5" customHeight="1" x14ac:dyDescent="0.3">
      <c r="A179" s="2"/>
      <c r="B179" s="2"/>
      <c r="C179" s="3"/>
      <c r="D179" s="3"/>
      <c r="E179" s="2"/>
      <c r="F179" s="2"/>
      <c r="G179" s="5"/>
      <c r="H179" s="5"/>
      <c r="I179" s="4"/>
      <c r="J179" s="6" t="str">
        <f t="shared" si="9"/>
        <v/>
      </c>
      <c r="K179" s="4" t="str">
        <f t="shared" ca="1" si="10"/>
        <v/>
      </c>
      <c r="L179" s="7" t="str">
        <f t="shared" ca="1" si="11"/>
        <v/>
      </c>
      <c r="M179" s="4" t="str">
        <f>IF($I179="Complete","Green",IF($H179="","Amber",IF($H179&lt;'[2]Read Me'!$B$4,"Red",IF($H179-'[2]Read Me'!$B$4&lt;=21,"Amber","Green"))))</f>
        <v>Amber</v>
      </c>
      <c r="N179" s="3"/>
      <c r="O179" t="str">
        <f>IF($I179&lt;&gt;"Complete",IF(COUNTIFS($A$4:$A178,$A179,$B$4:$B178,$B179,$I$4:$I178,"&lt;&gt;Complete")=0,$A179&amp;"|"&amp;$B179,""),"")</f>
        <v>|</v>
      </c>
      <c r="P179" t="str">
        <f ca="1">IF($K179="Yes",COUNTIFS($K$4:$K179,"Yes"),"")</f>
        <v/>
      </c>
      <c r="Q179">
        <f t="shared" ca="1" si="12"/>
        <v>0</v>
      </c>
      <c r="R179" t="str">
        <f ca="1">IF($Q179=1,SUM($Q$4:$Q179),"")</f>
        <v/>
      </c>
    </row>
    <row r="180" spans="1:18" ht="22.5" customHeight="1" x14ac:dyDescent="0.3">
      <c r="A180" s="2"/>
      <c r="B180" s="2"/>
      <c r="C180" s="3"/>
      <c r="D180" s="3"/>
      <c r="E180" s="2"/>
      <c r="F180" s="2"/>
      <c r="G180" s="5"/>
      <c r="H180" s="5"/>
      <c r="I180" s="4"/>
      <c r="J180" s="6" t="str">
        <f t="shared" si="9"/>
        <v/>
      </c>
      <c r="K180" s="4" t="str">
        <f t="shared" ca="1" si="10"/>
        <v/>
      </c>
      <c r="L180" s="7" t="str">
        <f t="shared" ca="1" si="11"/>
        <v/>
      </c>
      <c r="M180" s="4" t="str">
        <f>IF($I180="Complete","Green",IF($H180="","Amber",IF($H180&lt;'[2]Read Me'!$B$4,"Red",IF($H180-'[2]Read Me'!$B$4&lt;=21,"Amber","Green"))))</f>
        <v>Amber</v>
      </c>
      <c r="N180" s="3"/>
      <c r="O180" t="str">
        <f>IF($I180&lt;&gt;"Complete",IF(COUNTIFS($A$4:$A179,$A180,$B$4:$B179,$B180,$I$4:$I179,"&lt;&gt;Complete")=0,$A180&amp;"|"&amp;$B180,""),"")</f>
        <v>|</v>
      </c>
      <c r="P180" t="str">
        <f ca="1">IF($K180="Yes",COUNTIFS($K$4:$K180,"Yes"),"")</f>
        <v/>
      </c>
      <c r="Q180">
        <f t="shared" ca="1" si="12"/>
        <v>0</v>
      </c>
      <c r="R180" t="str">
        <f ca="1">IF($Q180=1,SUM($Q$4:$Q180),"")</f>
        <v/>
      </c>
    </row>
    <row r="181" spans="1:18" ht="22.5" customHeight="1" x14ac:dyDescent="0.3">
      <c r="A181" s="2"/>
      <c r="B181" s="2"/>
      <c r="C181" s="3"/>
      <c r="D181" s="3"/>
      <c r="E181" s="2"/>
      <c r="F181" s="2"/>
      <c r="G181" s="5"/>
      <c r="H181" s="5"/>
      <c r="I181" s="4"/>
      <c r="J181" s="6" t="str">
        <f t="shared" si="9"/>
        <v/>
      </c>
      <c r="K181" s="4" t="str">
        <f t="shared" ca="1" si="10"/>
        <v/>
      </c>
      <c r="L181" s="7" t="str">
        <f t="shared" ca="1" si="11"/>
        <v/>
      </c>
      <c r="M181" s="4" t="str">
        <f>IF($I181="Complete","Green",IF($H181="","Amber",IF($H181&lt;'[2]Read Me'!$B$4,"Red",IF($H181-'[2]Read Me'!$B$4&lt;=21,"Amber","Green"))))</f>
        <v>Amber</v>
      </c>
      <c r="N181" s="3"/>
      <c r="O181" t="str">
        <f>IF($I181&lt;&gt;"Complete",IF(COUNTIFS($A$4:$A180,$A181,$B$4:$B180,$B181,$I$4:$I180,"&lt;&gt;Complete")=0,$A181&amp;"|"&amp;$B181,""),"")</f>
        <v>|</v>
      </c>
      <c r="P181" t="str">
        <f ca="1">IF($K181="Yes",COUNTIFS($K$4:$K181,"Yes"),"")</f>
        <v/>
      </c>
      <c r="Q181">
        <f t="shared" ca="1" si="12"/>
        <v>0</v>
      </c>
      <c r="R181" t="str">
        <f ca="1">IF($Q181=1,SUM($Q$4:$Q181),"")</f>
        <v/>
      </c>
    </row>
    <row r="182" spans="1:18" ht="22.5" customHeight="1" x14ac:dyDescent="0.3">
      <c r="A182" s="2"/>
      <c r="B182" s="2"/>
      <c r="C182" s="3"/>
      <c r="D182" s="3"/>
      <c r="E182" s="2"/>
      <c r="F182" s="2"/>
      <c r="G182" s="5"/>
      <c r="H182" s="5"/>
      <c r="I182" s="4"/>
      <c r="J182" s="6" t="str">
        <f t="shared" si="9"/>
        <v/>
      </c>
      <c r="K182" s="4" t="str">
        <f t="shared" ca="1" si="10"/>
        <v/>
      </c>
      <c r="L182" s="7" t="str">
        <f t="shared" ca="1" si="11"/>
        <v/>
      </c>
      <c r="M182" s="4" t="str">
        <f>IF($I182="Complete","Green",IF($H182="","Amber",IF($H182&lt;'[2]Read Me'!$B$4,"Red",IF($H182-'[2]Read Me'!$B$4&lt;=21,"Amber","Green"))))</f>
        <v>Amber</v>
      </c>
      <c r="N182" s="3"/>
      <c r="O182" t="str">
        <f>IF($I182&lt;&gt;"Complete",IF(COUNTIFS($A$4:$A181,$A182,$B$4:$B181,$B182,$I$4:$I181,"&lt;&gt;Complete")=0,$A182&amp;"|"&amp;$B182,""),"")</f>
        <v>|</v>
      </c>
      <c r="P182" t="str">
        <f ca="1">IF($K182="Yes",COUNTIFS($K$4:$K182,"Yes"),"")</f>
        <v/>
      </c>
      <c r="Q182">
        <f t="shared" ca="1" si="12"/>
        <v>0</v>
      </c>
      <c r="R182" t="str">
        <f ca="1">IF($Q182=1,SUM($Q$4:$Q182),"")</f>
        <v/>
      </c>
    </row>
    <row r="183" spans="1:18" ht="22.5" customHeight="1" x14ac:dyDescent="0.3">
      <c r="A183" s="2"/>
      <c r="B183" s="2"/>
      <c r="C183" s="3"/>
      <c r="D183" s="3"/>
      <c r="E183" s="2"/>
      <c r="F183" s="2"/>
      <c r="G183" s="5"/>
      <c r="H183" s="5"/>
      <c r="I183" s="4"/>
      <c r="J183" s="6" t="str">
        <f t="shared" si="9"/>
        <v/>
      </c>
      <c r="K183" s="4" t="str">
        <f t="shared" ca="1" si="10"/>
        <v/>
      </c>
      <c r="L183" s="7" t="str">
        <f t="shared" ca="1" si="11"/>
        <v/>
      </c>
      <c r="M183" s="4" t="str">
        <f>IF($I183="Complete","Green",IF($H183="","Amber",IF($H183&lt;'[2]Read Me'!$B$4,"Red",IF($H183-'[2]Read Me'!$B$4&lt;=21,"Amber","Green"))))</f>
        <v>Amber</v>
      </c>
      <c r="N183" s="3"/>
      <c r="O183" t="str">
        <f>IF($I183&lt;&gt;"Complete",IF(COUNTIFS($A$4:$A182,$A183,$B$4:$B182,$B183,$I$4:$I182,"&lt;&gt;Complete")=0,$A183&amp;"|"&amp;$B183,""),"")</f>
        <v>|</v>
      </c>
      <c r="P183" t="str">
        <f ca="1">IF($K183="Yes",COUNTIFS($K$4:$K183,"Yes"),"")</f>
        <v/>
      </c>
      <c r="Q183">
        <f t="shared" ca="1" si="12"/>
        <v>0</v>
      </c>
      <c r="R183" t="str">
        <f ca="1">IF($Q183=1,SUM($Q$4:$Q183),"")</f>
        <v/>
      </c>
    </row>
    <row r="184" spans="1:18" ht="22.5" customHeight="1" x14ac:dyDescent="0.3">
      <c r="A184" s="2"/>
      <c r="B184" s="2"/>
      <c r="C184" s="3"/>
      <c r="D184" s="3"/>
      <c r="E184" s="2"/>
      <c r="F184" s="2"/>
      <c r="G184" s="5"/>
      <c r="H184" s="5"/>
      <c r="I184" s="4"/>
      <c r="J184" s="6" t="str">
        <f t="shared" si="9"/>
        <v/>
      </c>
      <c r="K184" s="4" t="str">
        <f t="shared" ca="1" si="10"/>
        <v/>
      </c>
      <c r="L184" s="7" t="str">
        <f t="shared" ca="1" si="11"/>
        <v/>
      </c>
      <c r="M184" s="4" t="str">
        <f>IF($I184="Complete","Green",IF($H184="","Amber",IF($H184&lt;'[2]Read Me'!$B$4,"Red",IF($H184-'[2]Read Me'!$B$4&lt;=21,"Amber","Green"))))</f>
        <v>Amber</v>
      </c>
      <c r="N184" s="3"/>
      <c r="O184" t="str">
        <f>IF($I184&lt;&gt;"Complete",IF(COUNTIFS($A$4:$A183,$A184,$B$4:$B183,$B184,$I$4:$I183,"&lt;&gt;Complete")=0,$A184&amp;"|"&amp;$B184,""),"")</f>
        <v>|</v>
      </c>
      <c r="P184" t="str">
        <f ca="1">IF($K184="Yes",COUNTIFS($K$4:$K184,"Yes"),"")</f>
        <v/>
      </c>
      <c r="Q184">
        <f t="shared" ca="1" si="12"/>
        <v>0</v>
      </c>
      <c r="R184" t="str">
        <f ca="1">IF($Q184=1,SUM($Q$4:$Q184),"")</f>
        <v/>
      </c>
    </row>
    <row r="185" spans="1:18" ht="22.5" customHeight="1" x14ac:dyDescent="0.3">
      <c r="A185" s="2"/>
      <c r="B185" s="2"/>
      <c r="C185" s="3"/>
      <c r="D185" s="3"/>
      <c r="E185" s="2"/>
      <c r="F185" s="2"/>
      <c r="G185" s="5"/>
      <c r="H185" s="5"/>
      <c r="I185" s="4"/>
      <c r="J185" s="6" t="str">
        <f t="shared" si="9"/>
        <v/>
      </c>
      <c r="K185" s="4" t="str">
        <f t="shared" ca="1" si="10"/>
        <v/>
      </c>
      <c r="L185" s="7" t="str">
        <f t="shared" ca="1" si="11"/>
        <v/>
      </c>
      <c r="M185" s="4" t="str">
        <f>IF($I185="Complete","Green",IF($H185="","Amber",IF($H185&lt;'[2]Read Me'!$B$4,"Red",IF($H185-'[2]Read Me'!$B$4&lt;=21,"Amber","Green"))))</f>
        <v>Amber</v>
      </c>
      <c r="N185" s="3"/>
      <c r="O185" t="str">
        <f>IF($I185&lt;&gt;"Complete",IF(COUNTIFS($A$4:$A184,$A185,$B$4:$B184,$B185,$I$4:$I184,"&lt;&gt;Complete")=0,$A185&amp;"|"&amp;$B185,""),"")</f>
        <v>|</v>
      </c>
      <c r="P185" t="str">
        <f ca="1">IF($K185="Yes",COUNTIFS($K$4:$K185,"Yes"),"")</f>
        <v/>
      </c>
      <c r="Q185">
        <f t="shared" ca="1" si="12"/>
        <v>0</v>
      </c>
      <c r="R185" t="str">
        <f ca="1">IF($Q185=1,SUM($Q$4:$Q185),"")</f>
        <v/>
      </c>
    </row>
    <row r="186" spans="1:18" ht="22.5" customHeight="1" x14ac:dyDescent="0.3">
      <c r="A186" s="2"/>
      <c r="B186" s="2"/>
      <c r="C186" s="3"/>
      <c r="D186" s="3"/>
      <c r="E186" s="2"/>
      <c r="F186" s="2"/>
      <c r="G186" s="5"/>
      <c r="H186" s="5"/>
      <c r="I186" s="4"/>
      <c r="J186" s="6" t="str">
        <f t="shared" si="9"/>
        <v/>
      </c>
      <c r="K186" s="4" t="str">
        <f t="shared" ca="1" si="10"/>
        <v/>
      </c>
      <c r="L186" s="7" t="str">
        <f t="shared" ca="1" si="11"/>
        <v/>
      </c>
      <c r="M186" s="4" t="str">
        <f>IF($I186="Complete","Green",IF($H186="","Amber",IF($H186&lt;'[2]Read Me'!$B$4,"Red",IF($H186-'[2]Read Me'!$B$4&lt;=21,"Amber","Green"))))</f>
        <v>Amber</v>
      </c>
      <c r="N186" s="3"/>
      <c r="O186" t="str">
        <f>IF($I186&lt;&gt;"Complete",IF(COUNTIFS($A$4:$A185,$A186,$B$4:$B185,$B186,$I$4:$I185,"&lt;&gt;Complete")=0,$A186&amp;"|"&amp;$B186,""),"")</f>
        <v>|</v>
      </c>
      <c r="P186" t="str">
        <f ca="1">IF($K186="Yes",COUNTIFS($K$4:$K186,"Yes"),"")</f>
        <v/>
      </c>
      <c r="Q186">
        <f t="shared" ca="1" si="12"/>
        <v>0</v>
      </c>
      <c r="R186" t="str">
        <f ca="1">IF($Q186=1,SUM($Q$4:$Q186),"")</f>
        <v/>
      </c>
    </row>
    <row r="187" spans="1:18" ht="22.5" customHeight="1" x14ac:dyDescent="0.3">
      <c r="A187" s="2"/>
      <c r="B187" s="2"/>
      <c r="C187" s="3"/>
      <c r="D187" s="3"/>
      <c r="E187" s="2"/>
      <c r="F187" s="2"/>
      <c r="G187" s="5"/>
      <c r="H187" s="5"/>
      <c r="I187" s="4"/>
      <c r="J187" s="6" t="str">
        <f t="shared" si="9"/>
        <v/>
      </c>
      <c r="K187" s="4" t="str">
        <f t="shared" ca="1" si="10"/>
        <v/>
      </c>
      <c r="L187" s="7" t="str">
        <f t="shared" ca="1" si="11"/>
        <v/>
      </c>
      <c r="M187" s="4" t="str">
        <f>IF($I187="Complete","Green",IF($H187="","Amber",IF($H187&lt;'[2]Read Me'!$B$4,"Red",IF($H187-'[2]Read Me'!$B$4&lt;=21,"Amber","Green"))))</f>
        <v>Amber</v>
      </c>
      <c r="N187" s="3"/>
      <c r="O187" t="str">
        <f>IF($I187&lt;&gt;"Complete",IF(COUNTIFS($A$4:$A186,$A187,$B$4:$B186,$B187,$I$4:$I186,"&lt;&gt;Complete")=0,$A187&amp;"|"&amp;$B187,""),"")</f>
        <v>|</v>
      </c>
      <c r="P187" t="str">
        <f ca="1">IF($K187="Yes",COUNTIFS($K$4:$K187,"Yes"),"")</f>
        <v/>
      </c>
      <c r="Q187">
        <f t="shared" ca="1" si="12"/>
        <v>0</v>
      </c>
      <c r="R187" t="str">
        <f ca="1">IF($Q187=1,SUM($Q$4:$Q187),"")</f>
        <v/>
      </c>
    </row>
    <row r="188" spans="1:18" ht="22.5" customHeight="1" x14ac:dyDescent="0.3">
      <c r="A188" s="2"/>
      <c r="B188" s="2"/>
      <c r="C188" s="3"/>
      <c r="D188" s="3"/>
      <c r="E188" s="2"/>
      <c r="F188" s="2"/>
      <c r="G188" s="5"/>
      <c r="H188" s="5"/>
      <c r="I188" s="4"/>
      <c r="J188" s="6" t="str">
        <f t="shared" si="9"/>
        <v/>
      </c>
      <c r="K188" s="4" t="str">
        <f t="shared" ca="1" si="10"/>
        <v/>
      </c>
      <c r="L188" s="7" t="str">
        <f t="shared" ca="1" si="11"/>
        <v/>
      </c>
      <c r="M188" s="4" t="str">
        <f>IF($I188="Complete","Green",IF($H188="","Amber",IF($H188&lt;'[2]Read Me'!$B$4,"Red",IF($H188-'[2]Read Me'!$B$4&lt;=21,"Amber","Green"))))</f>
        <v>Amber</v>
      </c>
      <c r="N188" s="3"/>
      <c r="O188" t="str">
        <f>IF($I188&lt;&gt;"Complete",IF(COUNTIFS($A$4:$A187,$A188,$B$4:$B187,$B188,$I$4:$I187,"&lt;&gt;Complete")=0,$A188&amp;"|"&amp;$B188,""),"")</f>
        <v>|</v>
      </c>
      <c r="P188" t="str">
        <f ca="1">IF($K188="Yes",COUNTIFS($K$4:$K188,"Yes"),"")</f>
        <v/>
      </c>
      <c r="Q188">
        <f t="shared" ca="1" si="12"/>
        <v>0</v>
      </c>
      <c r="R188" t="str">
        <f ca="1">IF($Q188=1,SUM($Q$4:$Q188),"")</f>
        <v/>
      </c>
    </row>
    <row r="189" spans="1:18" ht="22.5" customHeight="1" x14ac:dyDescent="0.3">
      <c r="A189" s="2"/>
      <c r="B189" s="2"/>
      <c r="C189" s="3"/>
      <c r="D189" s="3"/>
      <c r="E189" s="2"/>
      <c r="F189" s="2"/>
      <c r="G189" s="5"/>
      <c r="H189" s="5"/>
      <c r="I189" s="4"/>
      <c r="J189" s="6" t="str">
        <f t="shared" si="9"/>
        <v/>
      </c>
      <c r="K189" s="4" t="str">
        <f t="shared" ca="1" si="10"/>
        <v/>
      </c>
      <c r="L189" s="7" t="str">
        <f t="shared" ca="1" si="11"/>
        <v/>
      </c>
      <c r="M189" s="4" t="str">
        <f>IF($I189="Complete","Green",IF($H189="","Amber",IF($H189&lt;'[2]Read Me'!$B$4,"Red",IF($H189-'[2]Read Me'!$B$4&lt;=21,"Amber","Green"))))</f>
        <v>Amber</v>
      </c>
      <c r="N189" s="3"/>
      <c r="O189" t="str">
        <f>IF($I189&lt;&gt;"Complete",IF(COUNTIFS($A$4:$A188,$A189,$B$4:$B188,$B189,$I$4:$I188,"&lt;&gt;Complete")=0,$A189&amp;"|"&amp;$B189,""),"")</f>
        <v>|</v>
      </c>
      <c r="P189" t="str">
        <f ca="1">IF($K189="Yes",COUNTIFS($K$4:$K189,"Yes"),"")</f>
        <v/>
      </c>
      <c r="Q189">
        <f t="shared" ca="1" si="12"/>
        <v>0</v>
      </c>
      <c r="R189" t="str">
        <f ca="1">IF($Q189=1,SUM($Q$4:$Q189),"")</f>
        <v/>
      </c>
    </row>
    <row r="190" spans="1:18" ht="22.5" customHeight="1" x14ac:dyDescent="0.3">
      <c r="A190" s="2"/>
      <c r="B190" s="2"/>
      <c r="C190" s="3"/>
      <c r="D190" s="3"/>
      <c r="E190" s="2"/>
      <c r="F190" s="2"/>
      <c r="G190" s="5"/>
      <c r="H190" s="5"/>
      <c r="I190" s="4"/>
      <c r="J190" s="6" t="str">
        <f t="shared" si="9"/>
        <v/>
      </c>
      <c r="K190" s="4" t="str">
        <f t="shared" ca="1" si="10"/>
        <v/>
      </c>
      <c r="L190" s="7" t="str">
        <f t="shared" ca="1" si="11"/>
        <v/>
      </c>
      <c r="M190" s="4" t="str">
        <f>IF($I190="Complete","Green",IF($H190="","Amber",IF($H190&lt;'[2]Read Me'!$B$4,"Red",IF($H190-'[2]Read Me'!$B$4&lt;=21,"Amber","Green"))))</f>
        <v>Amber</v>
      </c>
      <c r="N190" s="3"/>
      <c r="O190" t="str">
        <f>IF($I190&lt;&gt;"Complete",IF(COUNTIFS($A$4:$A189,$A190,$B$4:$B189,$B190,$I$4:$I189,"&lt;&gt;Complete")=0,$A190&amp;"|"&amp;$B190,""),"")</f>
        <v>|</v>
      </c>
      <c r="P190" t="str">
        <f ca="1">IF($K190="Yes",COUNTIFS($K$4:$K190,"Yes"),"")</f>
        <v/>
      </c>
      <c r="Q190">
        <f t="shared" ca="1" si="12"/>
        <v>0</v>
      </c>
      <c r="R190" t="str">
        <f ca="1">IF($Q190=1,SUM($Q$4:$Q190),"")</f>
        <v/>
      </c>
    </row>
    <row r="191" spans="1:18" ht="22.5" customHeight="1" x14ac:dyDescent="0.3">
      <c r="A191" s="2"/>
      <c r="B191" s="2"/>
      <c r="C191" s="3"/>
      <c r="D191" s="3"/>
      <c r="E191" s="2"/>
      <c r="F191" s="2"/>
      <c r="G191" s="5"/>
      <c r="H191" s="5"/>
      <c r="I191" s="4"/>
      <c r="J191" s="6" t="str">
        <f t="shared" si="9"/>
        <v/>
      </c>
      <c r="K191" s="4" t="str">
        <f t="shared" ca="1" si="10"/>
        <v/>
      </c>
      <c r="L191" s="7" t="str">
        <f t="shared" ca="1" si="11"/>
        <v/>
      </c>
      <c r="M191" s="4" t="str">
        <f>IF($I191="Complete","Green",IF($H191="","Amber",IF($H191&lt;'[2]Read Me'!$B$4,"Red",IF($H191-'[2]Read Me'!$B$4&lt;=21,"Amber","Green"))))</f>
        <v>Amber</v>
      </c>
      <c r="N191" s="3"/>
      <c r="O191" t="str">
        <f>IF($I191&lt;&gt;"Complete",IF(COUNTIFS($A$4:$A190,$A191,$B$4:$B190,$B191,$I$4:$I190,"&lt;&gt;Complete")=0,$A191&amp;"|"&amp;$B191,""),"")</f>
        <v>|</v>
      </c>
      <c r="P191" t="str">
        <f ca="1">IF($K191="Yes",COUNTIFS($K$4:$K191,"Yes"),"")</f>
        <v/>
      </c>
      <c r="Q191">
        <f t="shared" ca="1" si="12"/>
        <v>0</v>
      </c>
      <c r="R191" t="str">
        <f ca="1">IF($Q191=1,SUM($Q$4:$Q191),"")</f>
        <v/>
      </c>
    </row>
    <row r="192" spans="1:18" ht="33.75" customHeight="1" x14ac:dyDescent="0.3">
      <c r="A192" s="2"/>
      <c r="B192" s="2"/>
      <c r="C192" s="3"/>
      <c r="D192" s="3"/>
      <c r="E192" s="2"/>
      <c r="F192" s="2"/>
      <c r="G192" s="5"/>
      <c r="H192" s="5"/>
      <c r="I192" s="4"/>
      <c r="J192" s="6" t="str">
        <f t="shared" si="9"/>
        <v/>
      </c>
      <c r="K192" s="4" t="str">
        <f t="shared" ca="1" si="10"/>
        <v/>
      </c>
      <c r="L192" s="7" t="str">
        <f t="shared" ca="1" si="11"/>
        <v/>
      </c>
      <c r="M192" s="4" t="str">
        <f>IF($I192="Complete","Green",IF($H192="","Amber",IF($H192&lt;'[2]Read Me'!$B$4,"Red",IF($H192-'[2]Read Me'!$B$4&lt;=21,"Amber","Green"))))</f>
        <v>Amber</v>
      </c>
      <c r="N192" s="3"/>
      <c r="O192" t="str">
        <f>IF($I192&lt;&gt;"Complete",IF(COUNTIFS($A$4:$A191,$A192,$B$4:$B191,$B192,$I$4:$I191,"&lt;&gt;Complete")=0,$A192&amp;"|"&amp;$B192,""),"")</f>
        <v>|</v>
      </c>
      <c r="P192" t="str">
        <f ca="1">IF($K192="Yes",COUNTIFS($K$4:$K192,"Yes"),"")</f>
        <v/>
      </c>
      <c r="Q192">
        <f t="shared" ca="1" si="12"/>
        <v>0</v>
      </c>
      <c r="R192" t="str">
        <f ca="1">IF($Q192=1,SUM($Q$4:$Q192),"")</f>
        <v/>
      </c>
    </row>
    <row r="193" spans="1:18" ht="33.75" customHeight="1" x14ac:dyDescent="0.3">
      <c r="A193" s="2"/>
      <c r="B193" s="2"/>
      <c r="C193" s="3"/>
      <c r="D193" s="3"/>
      <c r="E193" s="2"/>
      <c r="F193" s="2"/>
      <c r="G193" s="5"/>
      <c r="H193" s="5"/>
      <c r="I193" s="4"/>
      <c r="J193" s="6" t="str">
        <f t="shared" si="9"/>
        <v/>
      </c>
      <c r="K193" s="4" t="str">
        <f t="shared" ca="1" si="10"/>
        <v/>
      </c>
      <c r="L193" s="7" t="str">
        <f t="shared" ca="1" si="11"/>
        <v/>
      </c>
      <c r="M193" s="4" t="str">
        <f>IF($I193="Complete","Green",IF($H193="","Amber",IF($H193&lt;'[2]Read Me'!$B$4,"Red",IF($H193-'[2]Read Me'!$B$4&lt;=21,"Amber","Green"))))</f>
        <v>Amber</v>
      </c>
      <c r="N193" s="3"/>
      <c r="O193" t="str">
        <f>IF($I193&lt;&gt;"Complete",IF(COUNTIFS($A$4:$A192,$A193,$B$4:$B192,$B193,$I$4:$I192,"&lt;&gt;Complete")=0,$A193&amp;"|"&amp;$B193,""),"")</f>
        <v>|</v>
      </c>
      <c r="P193" t="str">
        <f ca="1">IF($K193="Yes",COUNTIFS($K$4:$K193,"Yes"),"")</f>
        <v/>
      </c>
      <c r="Q193">
        <f t="shared" ca="1" si="12"/>
        <v>0</v>
      </c>
      <c r="R193" t="str">
        <f ca="1">IF($Q193=1,SUM($Q$4:$Q193),"")</f>
        <v/>
      </c>
    </row>
    <row r="194" spans="1:18" ht="33.75" customHeight="1" x14ac:dyDescent="0.3">
      <c r="A194" s="2"/>
      <c r="B194" s="2"/>
      <c r="C194" s="3"/>
      <c r="D194" s="3"/>
      <c r="E194" s="2"/>
      <c r="F194" s="2"/>
      <c r="G194" s="5"/>
      <c r="H194" s="5"/>
      <c r="I194" s="4"/>
      <c r="J194" s="6" t="str">
        <f t="shared" si="9"/>
        <v/>
      </c>
      <c r="K194" s="4" t="str">
        <f t="shared" ca="1" si="10"/>
        <v/>
      </c>
      <c r="L194" s="7" t="str">
        <f t="shared" ca="1" si="11"/>
        <v/>
      </c>
      <c r="M194" s="4" t="str">
        <f>IF($I194="Complete","Green",IF($H194="","Amber",IF($H194&lt;'[2]Read Me'!$B$4,"Red",IF($H194-'[2]Read Me'!$B$4&lt;=21,"Amber","Green"))))</f>
        <v>Amber</v>
      </c>
      <c r="N194" s="3"/>
      <c r="O194" t="str">
        <f>IF($I194&lt;&gt;"Complete",IF(COUNTIFS($A$4:$A193,$A194,$B$4:$B193,$B194,$I$4:$I193,"&lt;&gt;Complete")=0,$A194&amp;"|"&amp;$B194,""),"")</f>
        <v>|</v>
      </c>
      <c r="P194" t="str">
        <f ca="1">IF($K194="Yes",COUNTIFS($K$4:$K194,"Yes"),"")</f>
        <v/>
      </c>
      <c r="Q194">
        <f t="shared" ca="1" si="12"/>
        <v>0</v>
      </c>
      <c r="R194" t="str">
        <f ca="1">IF($Q194=1,SUM($Q$4:$Q194),"")</f>
        <v/>
      </c>
    </row>
    <row r="195" spans="1:18" ht="33.75" customHeight="1" x14ac:dyDescent="0.3">
      <c r="A195" s="2"/>
      <c r="B195" s="2"/>
      <c r="C195" s="3"/>
      <c r="D195" s="3"/>
      <c r="E195" s="2"/>
      <c r="F195" s="2"/>
      <c r="G195" s="5"/>
      <c r="H195" s="5"/>
      <c r="I195" s="4"/>
      <c r="J195" s="6" t="str">
        <f t="shared" si="9"/>
        <v/>
      </c>
      <c r="K195" s="4" t="str">
        <f t="shared" ca="1" si="10"/>
        <v/>
      </c>
      <c r="L195" s="7" t="str">
        <f t="shared" ca="1" si="11"/>
        <v/>
      </c>
      <c r="M195" s="4" t="str">
        <f>IF($I195="Complete","Green",IF($H195="","Amber",IF($H195&lt;'[2]Read Me'!$B$4,"Red",IF($H195-'[2]Read Me'!$B$4&lt;=21,"Amber","Green"))))</f>
        <v>Amber</v>
      </c>
      <c r="N195" s="3"/>
      <c r="O195" t="str">
        <f>IF($I195&lt;&gt;"Complete",IF(COUNTIFS($A$4:$A194,$A195,$B$4:$B194,$B195,$I$4:$I194,"&lt;&gt;Complete")=0,$A195&amp;"|"&amp;$B195,""),"")</f>
        <v>|</v>
      </c>
      <c r="P195" t="str">
        <f ca="1">IF($K195="Yes",COUNTIFS($K$4:$K195,"Yes"),"")</f>
        <v/>
      </c>
      <c r="Q195">
        <f t="shared" ca="1" si="12"/>
        <v>0</v>
      </c>
      <c r="R195" t="str">
        <f ca="1">IF($Q195=1,SUM($Q$4:$Q195),"")</f>
        <v/>
      </c>
    </row>
    <row r="196" spans="1:18" ht="33.75" customHeight="1" x14ac:dyDescent="0.3">
      <c r="A196" s="2"/>
      <c r="B196" s="2"/>
      <c r="C196" s="3"/>
      <c r="D196" s="3"/>
      <c r="E196" s="2"/>
      <c r="F196" s="2"/>
      <c r="G196" s="5"/>
      <c r="H196" s="5"/>
      <c r="I196" s="4"/>
      <c r="J196" s="6" t="str">
        <f t="shared" ref="J196:J259" si="13">IF(OR($G196="",$H196=""),"",$H196-$G196)</f>
        <v/>
      </c>
      <c r="K196" s="4" t="str">
        <f t="shared" ref="K196:K243" ca="1" si="14">IF(C196="","",IF(H196="","",IF($I196="completed","-",IF($H196&gt;TODAY(),"No","Yes"))))</f>
        <v/>
      </c>
      <c r="L196" s="7" t="str">
        <f t="shared" ref="L196:L259" ca="1" si="15">IF(I196="Completed",0,IF(H196="","",H196-TODAY()))</f>
        <v/>
      </c>
      <c r="M196" s="4" t="str">
        <f>IF($I196="Complete","Green",IF($H196="","Amber",IF($H196&lt;'[2]Read Me'!$B$4,"Red",IF($H196-'[2]Read Me'!$B$4&lt;=21,"Amber","Green"))))</f>
        <v>Amber</v>
      </c>
      <c r="N196" s="3"/>
      <c r="O196" t="str">
        <f>IF($I196&lt;&gt;"Complete",IF(COUNTIFS($A$4:$A195,$A196,$B$4:$B195,$B196,$I$4:$I195,"&lt;&gt;Complete")=0,$A196&amp;"|"&amp;$B196,""),"")</f>
        <v>|</v>
      </c>
      <c r="P196" t="str">
        <f ca="1">IF($K196="Yes",COUNTIFS($K$4:$K196,"Yes"),"")</f>
        <v/>
      </c>
      <c r="Q196">
        <f t="shared" ref="Q196:Q259" ca="1" si="16">IF(OR($I196="In Progress",$K196="Yes"),1,0)</f>
        <v>0</v>
      </c>
      <c r="R196" t="str">
        <f ca="1">IF($Q196=1,SUM($Q$4:$Q196),"")</f>
        <v/>
      </c>
    </row>
    <row r="197" spans="1:18" ht="22.5" customHeight="1" x14ac:dyDescent="0.3">
      <c r="A197" s="2"/>
      <c r="B197" s="2"/>
      <c r="C197" s="3"/>
      <c r="D197" s="3"/>
      <c r="E197" s="2"/>
      <c r="F197" s="2"/>
      <c r="G197" s="5"/>
      <c r="H197" s="5"/>
      <c r="I197" s="4"/>
      <c r="J197" s="6" t="str">
        <f t="shared" si="13"/>
        <v/>
      </c>
      <c r="K197" s="4" t="str">
        <f t="shared" ca="1" si="14"/>
        <v/>
      </c>
      <c r="L197" s="7" t="str">
        <f t="shared" ca="1" si="15"/>
        <v/>
      </c>
      <c r="M197" s="4" t="str">
        <f>IF($I197="Complete","Green",IF($H197="","Amber",IF($H197&lt;'[2]Read Me'!$B$4,"Red",IF($H197-'[2]Read Me'!$B$4&lt;=21,"Amber","Green"))))</f>
        <v>Amber</v>
      </c>
      <c r="N197" s="3"/>
      <c r="O197" t="str">
        <f>IF($I197&lt;&gt;"Complete",IF(COUNTIFS($A$4:$A196,$A197,$B$4:$B196,$B197,$I$4:$I196,"&lt;&gt;Complete")=0,$A197&amp;"|"&amp;$B197,""),"")</f>
        <v>|</v>
      </c>
      <c r="P197" t="str">
        <f ca="1">IF($K197="Yes",COUNTIFS($K$4:$K197,"Yes"),"")</f>
        <v/>
      </c>
      <c r="Q197">
        <f t="shared" ca="1" si="16"/>
        <v>0</v>
      </c>
      <c r="R197" t="str">
        <f ca="1">IF($Q197=1,SUM($Q$4:$Q197),"")</f>
        <v/>
      </c>
    </row>
    <row r="198" spans="1:18" ht="22.5" customHeight="1" x14ac:dyDescent="0.3">
      <c r="A198" s="2"/>
      <c r="B198" s="2"/>
      <c r="C198" s="3"/>
      <c r="D198" s="3"/>
      <c r="E198" s="2"/>
      <c r="F198" s="2"/>
      <c r="G198" s="5"/>
      <c r="H198" s="5"/>
      <c r="I198" s="4"/>
      <c r="J198" s="6" t="str">
        <f t="shared" si="13"/>
        <v/>
      </c>
      <c r="K198" s="4" t="str">
        <f t="shared" ca="1" si="14"/>
        <v/>
      </c>
      <c r="L198" s="7" t="str">
        <f t="shared" ca="1" si="15"/>
        <v/>
      </c>
      <c r="M198" s="4" t="str">
        <f>IF($I198="Complete","Green",IF($H198="","Amber",IF($H198&lt;'[2]Read Me'!$B$4,"Red",IF($H198-'[2]Read Me'!$B$4&lt;=21,"Amber","Green"))))</f>
        <v>Amber</v>
      </c>
      <c r="N198" s="3"/>
      <c r="O198" t="str">
        <f>IF($I198&lt;&gt;"Complete",IF(COUNTIFS($A$4:$A197,$A198,$B$4:$B197,$B198,$I$4:$I197,"&lt;&gt;Complete")=0,$A198&amp;"|"&amp;$B198,""),"")</f>
        <v>|</v>
      </c>
      <c r="P198" t="str">
        <f ca="1">IF($K198="Yes",COUNTIFS($K$4:$K198,"Yes"),"")</f>
        <v/>
      </c>
      <c r="Q198">
        <f t="shared" ca="1" si="16"/>
        <v>0</v>
      </c>
      <c r="R198" t="str">
        <f ca="1">IF($Q198=1,SUM($Q$4:$Q198),"")</f>
        <v/>
      </c>
    </row>
    <row r="199" spans="1:18" ht="22.5" customHeight="1" x14ac:dyDescent="0.3">
      <c r="A199" s="2"/>
      <c r="B199" s="2"/>
      <c r="C199" s="3"/>
      <c r="D199" s="3"/>
      <c r="E199" s="2"/>
      <c r="F199" s="2"/>
      <c r="G199" s="5"/>
      <c r="H199" s="5"/>
      <c r="I199" s="4"/>
      <c r="J199" s="6" t="str">
        <f t="shared" si="13"/>
        <v/>
      </c>
      <c r="K199" s="4" t="str">
        <f t="shared" ca="1" si="14"/>
        <v/>
      </c>
      <c r="L199" s="7" t="str">
        <f t="shared" ca="1" si="15"/>
        <v/>
      </c>
      <c r="M199" s="4" t="str">
        <f>IF($I199="Complete","Green",IF($H199="","Amber",IF($H199&lt;'[2]Read Me'!$B$4,"Red",IF($H199-'[2]Read Me'!$B$4&lt;=21,"Amber","Green"))))</f>
        <v>Amber</v>
      </c>
      <c r="N199" s="3"/>
      <c r="O199" t="str">
        <f>IF($I199&lt;&gt;"Complete",IF(COUNTIFS($A$4:$A198,$A199,$B$4:$B198,$B199,$I$4:$I198,"&lt;&gt;Complete")=0,$A199&amp;"|"&amp;$B199,""),"")</f>
        <v>|</v>
      </c>
      <c r="P199" t="str">
        <f ca="1">IF($K199="Yes",COUNTIFS($K$4:$K199,"Yes"),"")</f>
        <v/>
      </c>
      <c r="Q199">
        <f t="shared" ca="1" si="16"/>
        <v>0</v>
      </c>
      <c r="R199" t="str">
        <f ca="1">IF($Q199=1,SUM($Q$4:$Q199),"")</f>
        <v/>
      </c>
    </row>
    <row r="200" spans="1:18" ht="22.5" customHeight="1" x14ac:dyDescent="0.3">
      <c r="A200" s="2"/>
      <c r="B200" s="2"/>
      <c r="C200" s="3"/>
      <c r="D200" s="3"/>
      <c r="E200" s="2"/>
      <c r="F200" s="2"/>
      <c r="G200" s="5"/>
      <c r="H200" s="5"/>
      <c r="I200" s="4"/>
      <c r="J200" s="6" t="str">
        <f t="shared" si="13"/>
        <v/>
      </c>
      <c r="K200" s="4" t="str">
        <f t="shared" ca="1" si="14"/>
        <v/>
      </c>
      <c r="L200" s="7" t="str">
        <f t="shared" ca="1" si="15"/>
        <v/>
      </c>
      <c r="M200" s="4" t="str">
        <f>IF($I200="Complete","Green",IF($H200="","Amber",IF($H200&lt;'[2]Read Me'!$B$4,"Red",IF($H200-'[2]Read Me'!$B$4&lt;=21,"Amber","Green"))))</f>
        <v>Amber</v>
      </c>
      <c r="N200" s="3"/>
      <c r="O200" t="str">
        <f>IF($I200&lt;&gt;"Complete",IF(COUNTIFS($A$4:$A199,$A200,$B$4:$B199,$B200,$I$4:$I199,"&lt;&gt;Complete")=0,$A200&amp;"|"&amp;$B200,""),"")</f>
        <v>|</v>
      </c>
      <c r="P200" t="str">
        <f ca="1">IF($K200="Yes",COUNTIFS($K$4:$K200,"Yes"),"")</f>
        <v/>
      </c>
      <c r="Q200">
        <f t="shared" ca="1" si="16"/>
        <v>0</v>
      </c>
      <c r="R200" t="str">
        <f ca="1">IF($Q200=1,SUM($Q$4:$Q200),"")</f>
        <v/>
      </c>
    </row>
    <row r="201" spans="1:18" ht="22.5" customHeight="1" x14ac:dyDescent="0.3">
      <c r="A201" s="2"/>
      <c r="B201" s="2"/>
      <c r="C201" s="3"/>
      <c r="D201" s="3"/>
      <c r="E201" s="2"/>
      <c r="F201" s="2"/>
      <c r="G201" s="5"/>
      <c r="H201" s="5"/>
      <c r="I201" s="4"/>
      <c r="J201" s="6" t="str">
        <f t="shared" si="13"/>
        <v/>
      </c>
      <c r="K201" s="4" t="str">
        <f t="shared" ca="1" si="14"/>
        <v/>
      </c>
      <c r="L201" s="7" t="str">
        <f t="shared" ca="1" si="15"/>
        <v/>
      </c>
      <c r="M201" s="4" t="str">
        <f>IF($I201="Complete","Green",IF($H201="","Amber",IF($H201&lt;'[2]Read Me'!$B$4,"Red",IF($H201-'[2]Read Me'!$B$4&lt;=21,"Amber","Green"))))</f>
        <v>Amber</v>
      </c>
      <c r="N201" s="3"/>
      <c r="O201" t="str">
        <f>IF($I201&lt;&gt;"Complete",IF(COUNTIFS($A$4:$A200,$A201,$B$4:$B200,$B201,$I$4:$I200,"&lt;&gt;Complete")=0,$A201&amp;"|"&amp;$B201,""),"")</f>
        <v>|</v>
      </c>
      <c r="P201" t="str">
        <f ca="1">IF($K201="Yes",COUNTIFS($K$4:$K201,"Yes"),"")</f>
        <v/>
      </c>
      <c r="Q201">
        <f t="shared" ca="1" si="16"/>
        <v>0</v>
      </c>
      <c r="R201" t="str">
        <f ca="1">IF($Q201=1,SUM($Q$4:$Q201),"")</f>
        <v/>
      </c>
    </row>
    <row r="202" spans="1:18" ht="22.5" customHeight="1" x14ac:dyDescent="0.3">
      <c r="A202" s="2"/>
      <c r="B202" s="2"/>
      <c r="C202" s="3"/>
      <c r="D202" s="3"/>
      <c r="E202" s="2"/>
      <c r="F202" s="2"/>
      <c r="G202" s="5"/>
      <c r="H202" s="5"/>
      <c r="I202" s="4"/>
      <c r="J202" s="6" t="str">
        <f t="shared" si="13"/>
        <v/>
      </c>
      <c r="K202" s="4" t="str">
        <f t="shared" ca="1" si="14"/>
        <v/>
      </c>
      <c r="L202" s="7" t="str">
        <f t="shared" ca="1" si="15"/>
        <v/>
      </c>
      <c r="M202" s="4" t="str">
        <f>IF($I202="Complete","Green",IF($H202="","Amber",IF($H202&lt;'[2]Read Me'!$B$4,"Red",IF($H202-'[2]Read Me'!$B$4&lt;=21,"Amber","Green"))))</f>
        <v>Amber</v>
      </c>
      <c r="N202" s="3"/>
      <c r="O202" t="str">
        <f>IF($I202&lt;&gt;"Complete",IF(COUNTIFS($A$4:$A201,$A202,$B$4:$B201,$B202,$I$4:$I201,"&lt;&gt;Complete")=0,$A202&amp;"|"&amp;$B202,""),"")</f>
        <v>|</v>
      </c>
      <c r="P202" t="str">
        <f ca="1">IF($K202="Yes",COUNTIFS($K$4:$K202,"Yes"),"")</f>
        <v/>
      </c>
      <c r="Q202">
        <f t="shared" ca="1" si="16"/>
        <v>0</v>
      </c>
      <c r="R202" t="str">
        <f ca="1">IF($Q202=1,SUM($Q$4:$Q202),"")</f>
        <v/>
      </c>
    </row>
    <row r="203" spans="1:18" ht="22.5" customHeight="1" x14ac:dyDescent="0.3">
      <c r="A203" s="2"/>
      <c r="B203" s="2"/>
      <c r="C203" s="3"/>
      <c r="D203" s="3"/>
      <c r="E203" s="2"/>
      <c r="F203" s="2"/>
      <c r="G203" s="5"/>
      <c r="H203" s="5"/>
      <c r="I203" s="4"/>
      <c r="J203" s="6" t="str">
        <f t="shared" si="13"/>
        <v/>
      </c>
      <c r="K203" s="4" t="str">
        <f t="shared" ca="1" si="14"/>
        <v/>
      </c>
      <c r="L203" s="7" t="str">
        <f t="shared" ca="1" si="15"/>
        <v/>
      </c>
      <c r="M203" s="4" t="str">
        <f>IF($I203="Complete","Green",IF($H203="","Amber",IF($H203&lt;'[2]Read Me'!$B$4,"Red",IF($H203-'[2]Read Me'!$B$4&lt;=21,"Amber","Green"))))</f>
        <v>Amber</v>
      </c>
      <c r="N203" s="3"/>
      <c r="O203" t="str">
        <f>IF($I203&lt;&gt;"Complete",IF(COUNTIFS($A$4:$A202,$A203,$B$4:$B202,$B203,$I$4:$I202,"&lt;&gt;Complete")=0,$A203&amp;"|"&amp;$B203,""),"")</f>
        <v>|</v>
      </c>
      <c r="P203" t="str">
        <f ca="1">IF($K203="Yes",COUNTIFS($K$4:$K203,"Yes"),"")</f>
        <v/>
      </c>
      <c r="Q203">
        <f t="shared" ca="1" si="16"/>
        <v>0</v>
      </c>
      <c r="R203" t="str">
        <f ca="1">IF($Q203=1,SUM($Q$4:$Q203),"")</f>
        <v/>
      </c>
    </row>
    <row r="204" spans="1:18" ht="33.75" customHeight="1" x14ac:dyDescent="0.3">
      <c r="A204" s="2"/>
      <c r="B204" s="2"/>
      <c r="C204" s="3"/>
      <c r="D204" s="3"/>
      <c r="E204" s="2"/>
      <c r="F204" s="2"/>
      <c r="G204" s="5"/>
      <c r="H204" s="5"/>
      <c r="I204" s="4"/>
      <c r="J204" s="6" t="str">
        <f t="shared" si="13"/>
        <v/>
      </c>
      <c r="K204" s="4" t="str">
        <f t="shared" ca="1" si="14"/>
        <v/>
      </c>
      <c r="L204" s="7" t="str">
        <f t="shared" ca="1" si="15"/>
        <v/>
      </c>
      <c r="M204" s="4" t="str">
        <f>IF($I204="Complete","Green",IF($H204="","Amber",IF($H204&lt;'[2]Read Me'!$B$4,"Red",IF($H204-'[2]Read Me'!$B$4&lt;=21,"Amber","Green"))))</f>
        <v>Amber</v>
      </c>
      <c r="N204" s="3"/>
      <c r="O204" t="str">
        <f>IF($I204&lt;&gt;"Complete",IF(COUNTIFS($A$4:$A203,$A204,$B$4:$B203,$B204,$I$4:$I203,"&lt;&gt;Complete")=0,$A204&amp;"|"&amp;$B204,""),"")</f>
        <v>|</v>
      </c>
      <c r="P204" t="str">
        <f ca="1">IF($K204="Yes",COUNTIFS($K$4:$K204,"Yes"),"")</f>
        <v/>
      </c>
      <c r="Q204">
        <f t="shared" ca="1" si="16"/>
        <v>0</v>
      </c>
      <c r="R204" t="str">
        <f ca="1">IF($Q204=1,SUM($Q$4:$Q204),"")</f>
        <v/>
      </c>
    </row>
    <row r="205" spans="1:18" ht="33.75" customHeight="1" x14ac:dyDescent="0.3">
      <c r="A205" s="2"/>
      <c r="B205" s="2"/>
      <c r="C205" s="3"/>
      <c r="D205" s="3"/>
      <c r="E205" s="2"/>
      <c r="F205" s="2"/>
      <c r="G205" s="5"/>
      <c r="H205" s="5"/>
      <c r="I205" s="4"/>
      <c r="J205" s="6" t="str">
        <f t="shared" si="13"/>
        <v/>
      </c>
      <c r="K205" s="4" t="str">
        <f t="shared" ca="1" si="14"/>
        <v/>
      </c>
      <c r="L205" s="7" t="str">
        <f t="shared" ca="1" si="15"/>
        <v/>
      </c>
      <c r="M205" s="4" t="str">
        <f>IF($I205="Complete","Green",IF($H205="","Amber",IF($H205&lt;'[2]Read Me'!$B$4,"Red",IF($H205-'[2]Read Me'!$B$4&lt;=21,"Amber","Green"))))</f>
        <v>Amber</v>
      </c>
      <c r="N205" s="3"/>
      <c r="O205" t="str">
        <f>IF($I205&lt;&gt;"Complete",IF(COUNTIFS($A$4:$A204,$A205,$B$4:$B204,$B205,$I$4:$I204,"&lt;&gt;Complete")=0,$A205&amp;"|"&amp;$B205,""),"")</f>
        <v>|</v>
      </c>
      <c r="P205" t="str">
        <f ca="1">IF($K205="Yes",COUNTIFS($K$4:$K205,"Yes"),"")</f>
        <v/>
      </c>
      <c r="Q205">
        <f t="shared" ca="1" si="16"/>
        <v>0</v>
      </c>
      <c r="R205" t="str">
        <f ca="1">IF($Q205=1,SUM($Q$4:$Q205),"")</f>
        <v/>
      </c>
    </row>
    <row r="206" spans="1:18" ht="33.75" customHeight="1" x14ac:dyDescent="0.3">
      <c r="A206" s="2"/>
      <c r="B206" s="2"/>
      <c r="C206" s="3"/>
      <c r="D206" s="3"/>
      <c r="E206" s="2"/>
      <c r="F206" s="2"/>
      <c r="G206" s="5"/>
      <c r="H206" s="5"/>
      <c r="I206" s="4"/>
      <c r="J206" s="6" t="str">
        <f t="shared" si="13"/>
        <v/>
      </c>
      <c r="K206" s="4" t="str">
        <f t="shared" ca="1" si="14"/>
        <v/>
      </c>
      <c r="L206" s="7" t="str">
        <f t="shared" ca="1" si="15"/>
        <v/>
      </c>
      <c r="M206" s="4" t="str">
        <f>IF($I206="Complete","Green",IF($H206="","Amber",IF($H206&lt;'[2]Read Me'!$B$4,"Red",IF($H206-'[2]Read Me'!$B$4&lt;=21,"Amber","Green"))))</f>
        <v>Amber</v>
      </c>
      <c r="N206" s="3"/>
      <c r="O206" t="str">
        <f>IF($I206&lt;&gt;"Complete",IF(COUNTIFS($A$4:$A205,$A206,$B$4:$B205,$B206,$I$4:$I205,"&lt;&gt;Complete")=0,$A206&amp;"|"&amp;$B206,""),"")</f>
        <v>|</v>
      </c>
      <c r="P206" t="str">
        <f ca="1">IF($K206="Yes",COUNTIFS($K$4:$K206,"Yes"),"")</f>
        <v/>
      </c>
      <c r="Q206">
        <f t="shared" ca="1" si="16"/>
        <v>0</v>
      </c>
      <c r="R206" t="str">
        <f ca="1">IF($Q206=1,SUM($Q$4:$Q206),"")</f>
        <v/>
      </c>
    </row>
    <row r="207" spans="1:18" ht="33.75" customHeight="1" x14ac:dyDescent="0.3">
      <c r="A207" s="2"/>
      <c r="B207" s="2"/>
      <c r="C207" s="3"/>
      <c r="D207" s="3"/>
      <c r="E207" s="2"/>
      <c r="F207" s="2"/>
      <c r="G207" s="5"/>
      <c r="H207" s="5"/>
      <c r="I207" s="4"/>
      <c r="J207" s="6" t="str">
        <f t="shared" si="13"/>
        <v/>
      </c>
      <c r="K207" s="4" t="str">
        <f t="shared" ca="1" si="14"/>
        <v/>
      </c>
      <c r="L207" s="7" t="str">
        <f t="shared" ca="1" si="15"/>
        <v/>
      </c>
      <c r="M207" s="4" t="str">
        <f>IF($I207="Complete","Green",IF($H207="","Amber",IF($H207&lt;'[2]Read Me'!$B$4,"Red",IF($H207-'[2]Read Me'!$B$4&lt;=21,"Amber","Green"))))</f>
        <v>Amber</v>
      </c>
      <c r="N207" s="3"/>
      <c r="O207" t="str">
        <f>IF($I207&lt;&gt;"Complete",IF(COUNTIFS($A$4:$A206,$A207,$B$4:$B206,$B207,$I$4:$I206,"&lt;&gt;Complete")=0,$A207&amp;"|"&amp;$B207,""),"")</f>
        <v>|</v>
      </c>
      <c r="P207" t="str">
        <f ca="1">IF($K207="Yes",COUNTIFS($K$4:$K207,"Yes"),"")</f>
        <v/>
      </c>
      <c r="Q207">
        <f t="shared" ca="1" si="16"/>
        <v>0</v>
      </c>
      <c r="R207" t="str">
        <f ca="1">IF($Q207=1,SUM($Q$4:$Q207),"")</f>
        <v/>
      </c>
    </row>
    <row r="208" spans="1:18" ht="33.75" customHeight="1" x14ac:dyDescent="0.3">
      <c r="A208" s="2"/>
      <c r="B208" s="2"/>
      <c r="C208" s="3"/>
      <c r="D208" s="3"/>
      <c r="E208" s="2"/>
      <c r="F208" s="2"/>
      <c r="G208" s="5"/>
      <c r="H208" s="5"/>
      <c r="I208" s="4"/>
      <c r="J208" s="6" t="str">
        <f t="shared" si="13"/>
        <v/>
      </c>
      <c r="K208" s="4" t="str">
        <f t="shared" ca="1" si="14"/>
        <v/>
      </c>
      <c r="L208" s="7" t="str">
        <f t="shared" ca="1" si="15"/>
        <v/>
      </c>
      <c r="M208" s="4" t="str">
        <f>IF($I208="Complete","Green",IF($H208="","Amber",IF($H208&lt;'[2]Read Me'!$B$4,"Red",IF($H208-'[2]Read Me'!$B$4&lt;=21,"Amber","Green"))))</f>
        <v>Amber</v>
      </c>
      <c r="N208" s="3"/>
      <c r="O208" t="str">
        <f>IF($I208&lt;&gt;"Complete",IF(COUNTIFS($A$4:$A207,$A208,$B$4:$B207,$B208,$I$4:$I207,"&lt;&gt;Complete")=0,$A208&amp;"|"&amp;$B208,""),"")</f>
        <v>|</v>
      </c>
      <c r="P208" t="str">
        <f ca="1">IF($K208="Yes",COUNTIFS($K$4:$K208,"Yes"),"")</f>
        <v/>
      </c>
      <c r="Q208">
        <f t="shared" ca="1" si="16"/>
        <v>0</v>
      </c>
      <c r="R208" t="str">
        <f ca="1">IF($Q208=1,SUM($Q$4:$Q208),"")</f>
        <v/>
      </c>
    </row>
    <row r="209" spans="1:18" ht="33.75" customHeight="1" x14ac:dyDescent="0.3">
      <c r="A209" s="2"/>
      <c r="B209" s="2"/>
      <c r="C209" s="3"/>
      <c r="D209" s="3"/>
      <c r="E209" s="2"/>
      <c r="F209" s="2"/>
      <c r="G209" s="5"/>
      <c r="H209" s="5"/>
      <c r="I209" s="4"/>
      <c r="J209" s="6" t="str">
        <f t="shared" si="13"/>
        <v/>
      </c>
      <c r="K209" s="4" t="str">
        <f t="shared" ca="1" si="14"/>
        <v/>
      </c>
      <c r="L209" s="7" t="str">
        <f t="shared" ca="1" si="15"/>
        <v/>
      </c>
      <c r="M209" s="4" t="str">
        <f>IF($I209="Complete","Green",IF($H209="","Amber",IF($H209&lt;'[2]Read Me'!$B$4,"Red",IF($H209-'[2]Read Me'!$B$4&lt;=21,"Amber","Green"))))</f>
        <v>Amber</v>
      </c>
      <c r="N209" s="3"/>
      <c r="O209" t="str">
        <f>IF($I209&lt;&gt;"Complete",IF(COUNTIFS($A$4:$A208,$A209,$B$4:$B208,$B209,$I$4:$I208,"&lt;&gt;Complete")=0,$A209&amp;"|"&amp;$B209,""),"")</f>
        <v>|</v>
      </c>
      <c r="P209" t="str">
        <f ca="1">IF($K209="Yes",COUNTIFS($K$4:$K209,"Yes"),"")</f>
        <v/>
      </c>
      <c r="Q209">
        <f t="shared" ca="1" si="16"/>
        <v>0</v>
      </c>
      <c r="R209" t="str">
        <f ca="1">IF($Q209=1,SUM($Q$4:$Q209),"")</f>
        <v/>
      </c>
    </row>
    <row r="210" spans="1:18" ht="33.75" customHeight="1" x14ac:dyDescent="0.3">
      <c r="A210" s="2"/>
      <c r="B210" s="2"/>
      <c r="C210" s="3"/>
      <c r="D210" s="3"/>
      <c r="E210" s="2"/>
      <c r="F210" s="2"/>
      <c r="G210" s="5"/>
      <c r="H210" s="5"/>
      <c r="I210" s="4"/>
      <c r="J210" s="6" t="str">
        <f t="shared" si="13"/>
        <v/>
      </c>
      <c r="K210" s="4" t="str">
        <f t="shared" ca="1" si="14"/>
        <v/>
      </c>
      <c r="L210" s="7" t="str">
        <f t="shared" ca="1" si="15"/>
        <v/>
      </c>
      <c r="M210" s="4" t="str">
        <f>IF($I210="Complete","Green",IF($H210="","Amber",IF($H210&lt;'[2]Read Me'!$B$4,"Red",IF($H210-'[2]Read Me'!$B$4&lt;=21,"Amber","Green"))))</f>
        <v>Amber</v>
      </c>
      <c r="N210" s="3"/>
      <c r="O210" t="str">
        <f>IF($I210&lt;&gt;"Complete",IF(COUNTIFS($A$4:$A209,$A210,$B$4:$B209,$B210,$I$4:$I209,"&lt;&gt;Complete")=0,$A210&amp;"|"&amp;$B210,""),"")</f>
        <v>|</v>
      </c>
      <c r="P210" t="str">
        <f ca="1">IF($K210="Yes",COUNTIFS($K$4:$K210,"Yes"),"")</f>
        <v/>
      </c>
      <c r="Q210">
        <f t="shared" ca="1" si="16"/>
        <v>0</v>
      </c>
      <c r="R210" t="str">
        <f ca="1">IF($Q210=1,SUM($Q$4:$Q210),"")</f>
        <v/>
      </c>
    </row>
    <row r="211" spans="1:18" ht="22.5" customHeight="1" x14ac:dyDescent="0.3">
      <c r="A211" s="2"/>
      <c r="B211" s="2"/>
      <c r="C211" s="3"/>
      <c r="D211" s="3"/>
      <c r="E211" s="2"/>
      <c r="F211" s="2"/>
      <c r="G211" s="5"/>
      <c r="H211" s="5"/>
      <c r="I211" s="4"/>
      <c r="J211" s="6" t="str">
        <f t="shared" si="13"/>
        <v/>
      </c>
      <c r="K211" s="4" t="str">
        <f t="shared" ca="1" si="14"/>
        <v/>
      </c>
      <c r="L211" s="7" t="str">
        <f t="shared" ca="1" si="15"/>
        <v/>
      </c>
      <c r="M211" s="4" t="str">
        <f>IF($I211="Complete","Green",IF($H211="","Amber",IF($H211&lt;'[2]Read Me'!$B$4,"Red",IF($H211-'[2]Read Me'!$B$4&lt;=21,"Amber","Green"))))</f>
        <v>Amber</v>
      </c>
      <c r="N211" s="3"/>
      <c r="O211" t="str">
        <f>IF($I211&lt;&gt;"Complete",IF(COUNTIFS($A$4:$A210,$A211,$B$4:$B210,$B211,$I$4:$I210,"&lt;&gt;Complete")=0,$A211&amp;"|"&amp;$B211,""),"")</f>
        <v>|</v>
      </c>
      <c r="P211" t="str">
        <f ca="1">IF($K211="Yes",COUNTIFS($K$4:$K211,"Yes"),"")</f>
        <v/>
      </c>
      <c r="Q211">
        <f t="shared" ca="1" si="16"/>
        <v>0</v>
      </c>
      <c r="R211" t="str">
        <f ca="1">IF($Q211=1,SUM($Q$4:$Q211),"")</f>
        <v/>
      </c>
    </row>
    <row r="212" spans="1:18" ht="22.5" customHeight="1" x14ac:dyDescent="0.3">
      <c r="A212" s="2"/>
      <c r="B212" s="2"/>
      <c r="C212" s="3"/>
      <c r="D212" s="3"/>
      <c r="E212" s="2"/>
      <c r="F212" s="2"/>
      <c r="G212" s="5"/>
      <c r="H212" s="5"/>
      <c r="I212" s="4"/>
      <c r="J212" s="6" t="str">
        <f t="shared" si="13"/>
        <v/>
      </c>
      <c r="K212" s="4" t="str">
        <f t="shared" ca="1" si="14"/>
        <v/>
      </c>
      <c r="L212" s="7" t="str">
        <f t="shared" ca="1" si="15"/>
        <v/>
      </c>
      <c r="M212" s="4" t="str">
        <f>IF($I212="Complete","Green",IF($H212="","Amber",IF($H212&lt;'[2]Read Me'!$B$4,"Red",IF($H212-'[2]Read Me'!$B$4&lt;=21,"Amber","Green"))))</f>
        <v>Amber</v>
      </c>
      <c r="N212" s="3"/>
      <c r="O212" t="str">
        <f>IF($I212&lt;&gt;"Complete",IF(COUNTIFS($A$4:$A211,$A212,$B$4:$B211,$B212,$I$4:$I211,"&lt;&gt;Complete")=0,$A212&amp;"|"&amp;$B212,""),"")</f>
        <v>|</v>
      </c>
      <c r="P212" t="str">
        <f ca="1">IF($K212="Yes",COUNTIFS($K$4:$K212,"Yes"),"")</f>
        <v/>
      </c>
      <c r="Q212">
        <f t="shared" ca="1" si="16"/>
        <v>0</v>
      </c>
      <c r="R212" t="str">
        <f ca="1">IF($Q212=1,SUM($Q$4:$Q212),"")</f>
        <v/>
      </c>
    </row>
    <row r="213" spans="1:18" ht="22.5" customHeight="1" x14ac:dyDescent="0.3">
      <c r="A213" s="2"/>
      <c r="B213" s="2"/>
      <c r="C213" s="3"/>
      <c r="D213" s="3"/>
      <c r="E213" s="2"/>
      <c r="F213" s="2"/>
      <c r="G213" s="5"/>
      <c r="H213" s="5"/>
      <c r="I213" s="4"/>
      <c r="J213" s="6" t="str">
        <f t="shared" si="13"/>
        <v/>
      </c>
      <c r="K213" s="4" t="str">
        <f t="shared" ca="1" si="14"/>
        <v/>
      </c>
      <c r="L213" s="7" t="str">
        <f t="shared" ca="1" si="15"/>
        <v/>
      </c>
      <c r="M213" s="4" t="str">
        <f>IF($I213="Complete","Green",IF($H213="","Amber",IF($H213&lt;'[2]Read Me'!$B$4,"Red",IF($H213-'[2]Read Me'!$B$4&lt;=21,"Amber","Green"))))</f>
        <v>Amber</v>
      </c>
      <c r="N213" s="3"/>
      <c r="O213" t="str">
        <f>IF($I213&lt;&gt;"Complete",IF(COUNTIFS($A$4:$A212,$A213,$B$4:$B212,$B213,$I$4:$I212,"&lt;&gt;Complete")=0,$A213&amp;"|"&amp;$B213,""),"")</f>
        <v>|</v>
      </c>
      <c r="P213" t="str">
        <f ca="1">IF($K213="Yes",COUNTIFS($K$4:$K213,"Yes"),"")</f>
        <v/>
      </c>
      <c r="Q213">
        <f t="shared" ca="1" si="16"/>
        <v>0</v>
      </c>
      <c r="R213" t="str">
        <f ca="1">IF($Q213=1,SUM($Q$4:$Q213),"")</f>
        <v/>
      </c>
    </row>
    <row r="214" spans="1:18" ht="22.5" customHeight="1" x14ac:dyDescent="0.3">
      <c r="A214" s="2"/>
      <c r="B214" s="2"/>
      <c r="C214" s="3"/>
      <c r="D214" s="3"/>
      <c r="E214" s="2"/>
      <c r="F214" s="2"/>
      <c r="G214" s="5"/>
      <c r="H214" s="5"/>
      <c r="I214" s="4"/>
      <c r="J214" s="6" t="str">
        <f t="shared" si="13"/>
        <v/>
      </c>
      <c r="K214" s="4" t="str">
        <f t="shared" ca="1" si="14"/>
        <v/>
      </c>
      <c r="L214" s="7" t="str">
        <f t="shared" ca="1" si="15"/>
        <v/>
      </c>
      <c r="M214" s="4" t="str">
        <f>IF($I214="Complete","Green",IF($H214="","Amber",IF($H214&lt;'[2]Read Me'!$B$4,"Red",IF($H214-'[2]Read Me'!$B$4&lt;=21,"Amber","Green"))))</f>
        <v>Amber</v>
      </c>
      <c r="N214" s="3"/>
      <c r="O214" t="str">
        <f>IF($I214&lt;&gt;"Complete",IF(COUNTIFS($A$4:$A213,$A214,$B$4:$B213,$B214,$I$4:$I213,"&lt;&gt;Complete")=0,$A214&amp;"|"&amp;$B214,""),"")</f>
        <v>|</v>
      </c>
      <c r="P214" t="str">
        <f ca="1">IF($K214="Yes",COUNTIFS($K$4:$K214,"Yes"),"")</f>
        <v/>
      </c>
      <c r="Q214">
        <f t="shared" ca="1" si="16"/>
        <v>0</v>
      </c>
      <c r="R214" t="str">
        <f ca="1">IF($Q214=1,SUM($Q$4:$Q214),"")</f>
        <v/>
      </c>
    </row>
    <row r="215" spans="1:18" ht="22.5" customHeight="1" x14ac:dyDescent="0.3">
      <c r="A215" s="2"/>
      <c r="B215" s="2"/>
      <c r="C215" s="3"/>
      <c r="D215" s="3"/>
      <c r="E215" s="2"/>
      <c r="F215" s="2"/>
      <c r="G215" s="5"/>
      <c r="H215" s="5"/>
      <c r="I215" s="4"/>
      <c r="J215" s="6" t="str">
        <f t="shared" si="13"/>
        <v/>
      </c>
      <c r="K215" s="4" t="str">
        <f t="shared" ca="1" si="14"/>
        <v/>
      </c>
      <c r="L215" s="7" t="str">
        <f t="shared" ca="1" si="15"/>
        <v/>
      </c>
      <c r="M215" s="4" t="str">
        <f>IF($I215="Complete","Green",IF($H215="","Amber",IF($H215&lt;'[2]Read Me'!$B$4,"Red",IF($H215-'[2]Read Me'!$B$4&lt;=21,"Amber","Green"))))</f>
        <v>Amber</v>
      </c>
      <c r="N215" s="3"/>
      <c r="O215" t="str">
        <f>IF($I215&lt;&gt;"Complete",IF(COUNTIFS($A$4:$A214,$A215,$B$4:$B214,$B215,$I$4:$I214,"&lt;&gt;Complete")=0,$A215&amp;"|"&amp;$B215,""),"")</f>
        <v>|</v>
      </c>
      <c r="P215" t="str">
        <f ca="1">IF($K215="Yes",COUNTIFS($K$4:$K215,"Yes"),"")</f>
        <v/>
      </c>
      <c r="Q215">
        <f t="shared" ca="1" si="16"/>
        <v>0</v>
      </c>
      <c r="R215" t="str">
        <f ca="1">IF($Q215=1,SUM($Q$4:$Q215),"")</f>
        <v/>
      </c>
    </row>
    <row r="216" spans="1:18" ht="22.5" customHeight="1" x14ac:dyDescent="0.3">
      <c r="A216" s="2"/>
      <c r="B216" s="2"/>
      <c r="C216" s="3"/>
      <c r="D216" s="3"/>
      <c r="E216" s="2"/>
      <c r="F216" s="2"/>
      <c r="G216" s="5"/>
      <c r="H216" s="5"/>
      <c r="I216" s="4"/>
      <c r="J216" s="6" t="str">
        <f t="shared" si="13"/>
        <v/>
      </c>
      <c r="K216" s="4" t="str">
        <f t="shared" ca="1" si="14"/>
        <v/>
      </c>
      <c r="L216" s="7" t="str">
        <f t="shared" ca="1" si="15"/>
        <v/>
      </c>
      <c r="M216" s="4" t="str">
        <f>IF($I216="Complete","Green",IF($H216="","Amber",IF($H216&lt;'[2]Read Me'!$B$4,"Red",IF($H216-'[2]Read Me'!$B$4&lt;=21,"Amber","Green"))))</f>
        <v>Amber</v>
      </c>
      <c r="N216" s="3"/>
      <c r="O216" t="str">
        <f>IF($I216&lt;&gt;"Complete",IF(COUNTIFS($A$4:$A215,$A216,$B$4:$B215,$B216,$I$4:$I215,"&lt;&gt;Complete")=0,$A216&amp;"|"&amp;$B216,""),"")</f>
        <v>|</v>
      </c>
      <c r="P216" t="str">
        <f ca="1">IF($K216="Yes",COUNTIFS($K$4:$K216,"Yes"),"")</f>
        <v/>
      </c>
      <c r="Q216">
        <f t="shared" ca="1" si="16"/>
        <v>0</v>
      </c>
      <c r="R216" t="str">
        <f ca="1">IF($Q216=1,SUM($Q$4:$Q216),"")</f>
        <v/>
      </c>
    </row>
    <row r="217" spans="1:18" ht="22.5" customHeight="1" x14ac:dyDescent="0.3">
      <c r="A217" s="2"/>
      <c r="B217" s="2"/>
      <c r="C217" s="3"/>
      <c r="D217" s="3"/>
      <c r="E217" s="2"/>
      <c r="F217" s="2"/>
      <c r="G217" s="5"/>
      <c r="H217" s="5"/>
      <c r="I217" s="4"/>
      <c r="J217" s="6" t="str">
        <f t="shared" si="13"/>
        <v/>
      </c>
      <c r="K217" s="4" t="str">
        <f t="shared" ca="1" si="14"/>
        <v/>
      </c>
      <c r="L217" s="7" t="str">
        <f t="shared" ca="1" si="15"/>
        <v/>
      </c>
      <c r="M217" s="4" t="str">
        <f>IF($I217="Complete","Green",IF($H217="","Amber",IF($H217&lt;'[2]Read Me'!$B$4,"Red",IF($H217-'[2]Read Me'!$B$4&lt;=21,"Amber","Green"))))</f>
        <v>Amber</v>
      </c>
      <c r="N217" s="3"/>
      <c r="O217" t="str">
        <f>IF($I217&lt;&gt;"Complete",IF(COUNTIFS($A$4:$A216,$A217,$B$4:$B216,$B217,$I$4:$I216,"&lt;&gt;Complete")=0,$A217&amp;"|"&amp;$B217,""),"")</f>
        <v>|</v>
      </c>
      <c r="P217" t="str">
        <f ca="1">IF($K217="Yes",COUNTIFS($K$4:$K217,"Yes"),"")</f>
        <v/>
      </c>
      <c r="Q217">
        <f t="shared" ca="1" si="16"/>
        <v>0</v>
      </c>
      <c r="R217" t="str">
        <f ca="1">IF($Q217=1,SUM($Q$4:$Q217),"")</f>
        <v/>
      </c>
    </row>
    <row r="218" spans="1:18" ht="22.5" customHeight="1" x14ac:dyDescent="0.3">
      <c r="A218" s="2"/>
      <c r="B218" s="2"/>
      <c r="C218" s="3"/>
      <c r="D218" s="3"/>
      <c r="E218" s="2"/>
      <c r="F218" s="2"/>
      <c r="G218" s="5"/>
      <c r="H218" s="5"/>
      <c r="I218" s="4"/>
      <c r="J218" s="6" t="str">
        <f t="shared" si="13"/>
        <v/>
      </c>
      <c r="K218" s="4" t="str">
        <f t="shared" ca="1" si="14"/>
        <v/>
      </c>
      <c r="L218" s="7" t="str">
        <f t="shared" ca="1" si="15"/>
        <v/>
      </c>
      <c r="M218" s="4" t="str">
        <f>IF($I218="Complete","Green",IF($H218="","Amber",IF($H218&lt;'[2]Read Me'!$B$4,"Red",IF($H218-'[2]Read Me'!$B$4&lt;=21,"Amber","Green"))))</f>
        <v>Amber</v>
      </c>
      <c r="N218" s="3"/>
      <c r="O218" t="str">
        <f>IF($I218&lt;&gt;"Complete",IF(COUNTIFS($A$4:$A217,$A218,$B$4:$B217,$B218,$I$4:$I217,"&lt;&gt;Complete")=0,$A218&amp;"|"&amp;$B218,""),"")</f>
        <v>|</v>
      </c>
      <c r="P218" t="str">
        <f ca="1">IF($K218="Yes",COUNTIFS($K$4:$K218,"Yes"),"")</f>
        <v/>
      </c>
      <c r="Q218">
        <f t="shared" ca="1" si="16"/>
        <v>0</v>
      </c>
      <c r="R218" t="str">
        <f ca="1">IF($Q218=1,SUM($Q$4:$Q218),"")</f>
        <v/>
      </c>
    </row>
    <row r="219" spans="1:18" ht="22.5" customHeight="1" x14ac:dyDescent="0.3">
      <c r="A219" s="2"/>
      <c r="B219" s="2"/>
      <c r="C219" s="3"/>
      <c r="D219" s="3"/>
      <c r="E219" s="2"/>
      <c r="F219" s="2"/>
      <c r="G219" s="5"/>
      <c r="H219" s="5"/>
      <c r="I219" s="4"/>
      <c r="J219" s="6" t="str">
        <f t="shared" si="13"/>
        <v/>
      </c>
      <c r="K219" s="4" t="str">
        <f t="shared" ca="1" si="14"/>
        <v/>
      </c>
      <c r="L219" s="7" t="str">
        <f t="shared" ca="1" si="15"/>
        <v/>
      </c>
      <c r="M219" s="4" t="str">
        <f>IF($I219="Complete","Green",IF($H219="","Amber",IF($H219&lt;'[2]Read Me'!$B$4,"Red",IF($H219-'[2]Read Me'!$B$4&lt;=21,"Amber","Green"))))</f>
        <v>Amber</v>
      </c>
      <c r="N219" s="3"/>
      <c r="O219" t="str">
        <f>IF($I219&lt;&gt;"Complete",IF(COUNTIFS($A$4:$A218,$A219,$B$4:$B218,$B219,$I$4:$I218,"&lt;&gt;Complete")=0,$A219&amp;"|"&amp;$B219,""),"")</f>
        <v>|</v>
      </c>
      <c r="P219" t="str">
        <f ca="1">IF($K219="Yes",COUNTIFS($K$4:$K219,"Yes"),"")</f>
        <v/>
      </c>
      <c r="Q219">
        <f t="shared" ca="1" si="16"/>
        <v>0</v>
      </c>
      <c r="R219" t="str">
        <f ca="1">IF($Q219=1,SUM($Q$4:$Q219),"")</f>
        <v/>
      </c>
    </row>
    <row r="220" spans="1:18" ht="22.5" customHeight="1" x14ac:dyDescent="0.3">
      <c r="A220" s="2"/>
      <c r="B220" s="2"/>
      <c r="C220" s="3"/>
      <c r="D220" s="3"/>
      <c r="E220" s="2"/>
      <c r="F220" s="2"/>
      <c r="G220" s="5"/>
      <c r="H220" s="5"/>
      <c r="I220" s="4"/>
      <c r="J220" s="6" t="str">
        <f t="shared" si="13"/>
        <v/>
      </c>
      <c r="K220" s="4" t="str">
        <f t="shared" ca="1" si="14"/>
        <v/>
      </c>
      <c r="L220" s="7" t="str">
        <f t="shared" ca="1" si="15"/>
        <v/>
      </c>
      <c r="M220" s="4" t="str">
        <f>IF($I220="Complete","Green",IF($H220="","Amber",IF($H220&lt;'[2]Read Me'!$B$4,"Red",IF($H220-'[2]Read Me'!$B$4&lt;=21,"Amber","Green"))))</f>
        <v>Amber</v>
      </c>
      <c r="N220" s="3"/>
      <c r="O220" t="str">
        <f>IF($I220&lt;&gt;"Complete",IF(COUNTIFS($A$4:$A219,$A220,$B$4:$B219,$B220,$I$4:$I219,"&lt;&gt;Complete")=0,$A220&amp;"|"&amp;$B220,""),"")</f>
        <v>|</v>
      </c>
      <c r="P220" t="str">
        <f ca="1">IF($K220="Yes",COUNTIFS($K$4:$K220,"Yes"),"")</f>
        <v/>
      </c>
      <c r="Q220">
        <f t="shared" ca="1" si="16"/>
        <v>0</v>
      </c>
      <c r="R220" t="str">
        <f ca="1">IF($Q220=1,SUM($Q$4:$Q220),"")</f>
        <v/>
      </c>
    </row>
    <row r="221" spans="1:18" ht="22.5" customHeight="1" x14ac:dyDescent="0.3">
      <c r="A221" s="2"/>
      <c r="B221" s="2"/>
      <c r="C221" s="3"/>
      <c r="D221" s="3"/>
      <c r="E221" s="2"/>
      <c r="F221" s="2"/>
      <c r="G221" s="5"/>
      <c r="H221" s="5"/>
      <c r="I221" s="4"/>
      <c r="J221" s="6" t="str">
        <f t="shared" si="13"/>
        <v/>
      </c>
      <c r="K221" s="4" t="str">
        <f t="shared" ca="1" si="14"/>
        <v/>
      </c>
      <c r="L221" s="7" t="str">
        <f t="shared" ca="1" si="15"/>
        <v/>
      </c>
      <c r="M221" s="4" t="str">
        <f>IF($I221="Complete","Green",IF($H221="","Amber",IF($H221&lt;'[2]Read Me'!$B$4,"Red",IF($H221-'[2]Read Me'!$B$4&lt;=21,"Amber","Green"))))</f>
        <v>Amber</v>
      </c>
      <c r="N221" s="3"/>
      <c r="O221" t="str">
        <f>IF($I221&lt;&gt;"Complete",IF(COUNTIFS($A$4:$A220,$A221,$B$4:$B220,$B221,$I$4:$I220,"&lt;&gt;Complete")=0,$A221&amp;"|"&amp;$B221,""),"")</f>
        <v>|</v>
      </c>
      <c r="P221" t="str">
        <f ca="1">IF($K221="Yes",COUNTIFS($K$4:$K221,"Yes"),"")</f>
        <v/>
      </c>
      <c r="Q221">
        <f t="shared" ca="1" si="16"/>
        <v>0</v>
      </c>
      <c r="R221" t="str">
        <f ca="1">IF($Q221=1,SUM($Q$4:$Q221),"")</f>
        <v/>
      </c>
    </row>
    <row r="222" spans="1:18" ht="22.5" customHeight="1" x14ac:dyDescent="0.3">
      <c r="A222" s="2"/>
      <c r="B222" s="2"/>
      <c r="C222" s="3"/>
      <c r="D222" s="3"/>
      <c r="E222" s="2"/>
      <c r="F222" s="2"/>
      <c r="G222" s="5"/>
      <c r="H222" s="5"/>
      <c r="I222" s="4"/>
      <c r="J222" s="6" t="str">
        <f t="shared" si="13"/>
        <v/>
      </c>
      <c r="K222" s="4" t="str">
        <f t="shared" ca="1" si="14"/>
        <v/>
      </c>
      <c r="L222" s="7" t="str">
        <f t="shared" ca="1" si="15"/>
        <v/>
      </c>
      <c r="M222" s="4" t="str">
        <f>IF($I222="Complete","Green",IF($H222="","Amber",IF($H222&lt;'[2]Read Me'!$B$4,"Red",IF($H222-'[2]Read Me'!$B$4&lt;=21,"Amber","Green"))))</f>
        <v>Amber</v>
      </c>
      <c r="N222" s="3"/>
      <c r="O222" t="str">
        <f>IF($I222&lt;&gt;"Complete",IF(COUNTIFS($A$4:$A221,$A222,$B$4:$B221,$B222,$I$4:$I221,"&lt;&gt;Complete")=0,$A222&amp;"|"&amp;$B222,""),"")</f>
        <v>|</v>
      </c>
      <c r="P222" t="str">
        <f ca="1">IF($K222="Yes",COUNTIFS($K$4:$K222,"Yes"),"")</f>
        <v/>
      </c>
      <c r="Q222">
        <f t="shared" ca="1" si="16"/>
        <v>0</v>
      </c>
      <c r="R222" t="str">
        <f ca="1">IF($Q222=1,SUM($Q$4:$Q222),"")</f>
        <v/>
      </c>
    </row>
    <row r="223" spans="1:18" ht="22.5" customHeight="1" x14ac:dyDescent="0.3">
      <c r="A223" s="2"/>
      <c r="B223" s="2"/>
      <c r="C223" s="3"/>
      <c r="D223" s="3"/>
      <c r="E223" s="2"/>
      <c r="F223" s="2"/>
      <c r="G223" s="5"/>
      <c r="H223" s="5"/>
      <c r="I223" s="4"/>
      <c r="J223" s="6" t="str">
        <f t="shared" si="13"/>
        <v/>
      </c>
      <c r="K223" s="4" t="str">
        <f t="shared" ca="1" si="14"/>
        <v/>
      </c>
      <c r="L223" s="7" t="str">
        <f t="shared" ca="1" si="15"/>
        <v/>
      </c>
      <c r="M223" s="4" t="str">
        <f>IF($I223="Complete","Green",IF($H223="","Amber",IF($H223&lt;'[2]Read Me'!$B$4,"Red",IF($H223-'[2]Read Me'!$B$4&lt;=21,"Amber","Green"))))</f>
        <v>Amber</v>
      </c>
      <c r="N223" s="3"/>
      <c r="O223" t="str">
        <f>IF($I223&lt;&gt;"Complete",IF(COUNTIFS($A$4:$A222,$A223,$B$4:$B222,$B223,$I$4:$I222,"&lt;&gt;Complete")=0,$A223&amp;"|"&amp;$B223,""),"")</f>
        <v>|</v>
      </c>
      <c r="P223" t="str">
        <f ca="1">IF($K223="Yes",COUNTIFS($K$4:$K223,"Yes"),"")</f>
        <v/>
      </c>
      <c r="Q223">
        <f t="shared" ca="1" si="16"/>
        <v>0</v>
      </c>
      <c r="R223" t="str">
        <f ca="1">IF($Q223=1,SUM($Q$4:$Q223),"")</f>
        <v/>
      </c>
    </row>
    <row r="224" spans="1:18" ht="22.5" customHeight="1" x14ac:dyDescent="0.3">
      <c r="A224" s="2"/>
      <c r="B224" s="2"/>
      <c r="C224" s="3"/>
      <c r="D224" s="3"/>
      <c r="E224" s="2"/>
      <c r="F224" s="2"/>
      <c r="G224" s="5"/>
      <c r="H224" s="5"/>
      <c r="I224" s="4"/>
      <c r="J224" s="6" t="str">
        <f t="shared" si="13"/>
        <v/>
      </c>
      <c r="K224" s="4" t="str">
        <f t="shared" ca="1" si="14"/>
        <v/>
      </c>
      <c r="L224" s="7" t="str">
        <f t="shared" ca="1" si="15"/>
        <v/>
      </c>
      <c r="M224" s="4" t="str">
        <f>IF($I224="Complete","Green",IF($H224="","Amber",IF($H224&lt;'[2]Read Me'!$B$4,"Red",IF($H224-'[2]Read Me'!$B$4&lt;=21,"Amber","Green"))))</f>
        <v>Amber</v>
      </c>
      <c r="N224" s="3"/>
      <c r="O224" t="str">
        <f>IF($I224&lt;&gt;"Complete",IF(COUNTIFS($A$4:$A223,$A224,$B$4:$B223,$B224,$I$4:$I223,"&lt;&gt;Complete")=0,$A224&amp;"|"&amp;$B224,""),"")</f>
        <v>|</v>
      </c>
      <c r="P224" t="str">
        <f ca="1">IF($K224="Yes",COUNTIFS($K$4:$K224,"Yes"),"")</f>
        <v/>
      </c>
      <c r="Q224">
        <f t="shared" ca="1" si="16"/>
        <v>0</v>
      </c>
      <c r="R224" t="str">
        <f ca="1">IF($Q224=1,SUM($Q$4:$Q224),"")</f>
        <v/>
      </c>
    </row>
    <row r="225" spans="1:18" ht="22.5" customHeight="1" x14ac:dyDescent="0.3">
      <c r="A225" s="2"/>
      <c r="B225" s="2"/>
      <c r="C225" s="3"/>
      <c r="D225" s="3"/>
      <c r="E225" s="2"/>
      <c r="F225" s="2"/>
      <c r="G225" s="5"/>
      <c r="H225" s="5"/>
      <c r="I225" s="4"/>
      <c r="J225" s="6" t="str">
        <f t="shared" si="13"/>
        <v/>
      </c>
      <c r="K225" s="4" t="str">
        <f t="shared" ca="1" si="14"/>
        <v/>
      </c>
      <c r="L225" s="7" t="str">
        <f t="shared" ca="1" si="15"/>
        <v/>
      </c>
      <c r="M225" s="4" t="str">
        <f>IF($I225="Complete","Green",IF($H225="","Amber",IF($H225&lt;'[2]Read Me'!$B$4,"Red",IF($H225-'[2]Read Me'!$B$4&lt;=21,"Amber","Green"))))</f>
        <v>Amber</v>
      </c>
      <c r="N225" s="3"/>
      <c r="O225" t="str">
        <f>IF($I225&lt;&gt;"Complete",IF(COUNTIFS($A$4:$A224,$A225,$B$4:$B224,$B225,$I$4:$I224,"&lt;&gt;Complete")=0,$A225&amp;"|"&amp;$B225,""),"")</f>
        <v>|</v>
      </c>
      <c r="P225" t="str">
        <f ca="1">IF($K225="Yes",COUNTIFS($K$4:$K225,"Yes"),"")</f>
        <v/>
      </c>
      <c r="Q225">
        <f t="shared" ca="1" si="16"/>
        <v>0</v>
      </c>
      <c r="R225" t="str">
        <f ca="1">IF($Q225=1,SUM($Q$4:$Q225),"")</f>
        <v/>
      </c>
    </row>
    <row r="226" spans="1:18" ht="22.5" customHeight="1" x14ac:dyDescent="0.3">
      <c r="A226" s="2"/>
      <c r="B226" s="2"/>
      <c r="C226" s="3"/>
      <c r="D226" s="3"/>
      <c r="E226" s="2"/>
      <c r="F226" s="2"/>
      <c r="G226" s="5"/>
      <c r="H226" s="5"/>
      <c r="I226" s="4"/>
      <c r="J226" s="6" t="str">
        <f t="shared" si="13"/>
        <v/>
      </c>
      <c r="K226" s="4" t="str">
        <f t="shared" ca="1" si="14"/>
        <v/>
      </c>
      <c r="L226" s="7" t="str">
        <f t="shared" ca="1" si="15"/>
        <v/>
      </c>
      <c r="M226" s="4" t="str">
        <f>IF($I226="Complete","Green",IF($H226="","Amber",IF($H226&lt;'[2]Read Me'!$B$4,"Red",IF($H226-'[2]Read Me'!$B$4&lt;=21,"Amber","Green"))))</f>
        <v>Amber</v>
      </c>
      <c r="N226" s="3"/>
      <c r="O226" t="str">
        <f>IF($I226&lt;&gt;"Complete",IF(COUNTIFS($A$4:$A225,$A226,$B$4:$B225,$B226,$I$4:$I225,"&lt;&gt;Complete")=0,$A226&amp;"|"&amp;$B226,""),"")</f>
        <v>|</v>
      </c>
      <c r="P226" t="str">
        <f ca="1">IF($K226="Yes",COUNTIFS($K$4:$K226,"Yes"),"")</f>
        <v/>
      </c>
      <c r="Q226">
        <f t="shared" ca="1" si="16"/>
        <v>0</v>
      </c>
      <c r="R226" t="str">
        <f ca="1">IF($Q226=1,SUM($Q$4:$Q226),"")</f>
        <v/>
      </c>
    </row>
    <row r="227" spans="1:18" ht="22.5" customHeight="1" x14ac:dyDescent="0.3">
      <c r="A227" s="2"/>
      <c r="B227" s="2"/>
      <c r="C227" s="3"/>
      <c r="D227" s="3"/>
      <c r="E227" s="2"/>
      <c r="F227" s="2"/>
      <c r="G227" s="5"/>
      <c r="H227" s="5"/>
      <c r="I227" s="4"/>
      <c r="J227" s="6" t="str">
        <f t="shared" si="13"/>
        <v/>
      </c>
      <c r="K227" s="4" t="str">
        <f t="shared" ca="1" si="14"/>
        <v/>
      </c>
      <c r="L227" s="7" t="str">
        <f t="shared" ca="1" si="15"/>
        <v/>
      </c>
      <c r="M227" s="4" t="str">
        <f>IF($I227="Complete","Green",IF($H227="","Amber",IF($H227&lt;'[2]Read Me'!$B$4,"Red",IF($H227-'[2]Read Me'!$B$4&lt;=21,"Amber","Green"))))</f>
        <v>Amber</v>
      </c>
      <c r="N227" s="3"/>
      <c r="O227" t="str">
        <f>IF($I227&lt;&gt;"Complete",IF(COUNTIFS($A$4:$A226,$A227,$B$4:$B226,$B227,$I$4:$I226,"&lt;&gt;Complete")=0,$A227&amp;"|"&amp;$B227,""),"")</f>
        <v>|</v>
      </c>
      <c r="P227" t="str">
        <f ca="1">IF($K227="Yes",COUNTIFS($K$4:$K227,"Yes"),"")</f>
        <v/>
      </c>
      <c r="Q227">
        <f t="shared" ca="1" si="16"/>
        <v>0</v>
      </c>
      <c r="R227" t="str">
        <f ca="1">IF($Q227=1,SUM($Q$4:$Q227),"")</f>
        <v/>
      </c>
    </row>
    <row r="228" spans="1:18" ht="22.5" customHeight="1" x14ac:dyDescent="0.3">
      <c r="A228" s="2"/>
      <c r="B228" s="2"/>
      <c r="C228" s="3"/>
      <c r="D228" s="3"/>
      <c r="E228" s="2"/>
      <c r="F228" s="2"/>
      <c r="G228" s="5"/>
      <c r="H228" s="5"/>
      <c r="I228" s="4"/>
      <c r="J228" s="6" t="str">
        <f t="shared" si="13"/>
        <v/>
      </c>
      <c r="K228" s="4" t="str">
        <f t="shared" ca="1" si="14"/>
        <v/>
      </c>
      <c r="L228" s="7" t="str">
        <f t="shared" ca="1" si="15"/>
        <v/>
      </c>
      <c r="M228" s="4" t="str">
        <f>IF($I228="Complete","Green",IF($H228="","Amber",IF($H228&lt;'[2]Read Me'!$B$4,"Red",IF($H228-'[2]Read Me'!$B$4&lt;=21,"Amber","Green"))))</f>
        <v>Amber</v>
      </c>
      <c r="N228" s="3"/>
      <c r="O228" t="str">
        <f>IF($I228&lt;&gt;"Complete",IF(COUNTIFS($A$4:$A227,$A228,$B$4:$B227,$B228,$I$4:$I227,"&lt;&gt;Complete")=0,$A228&amp;"|"&amp;$B228,""),"")</f>
        <v>|</v>
      </c>
      <c r="P228" t="str">
        <f ca="1">IF($K228="Yes",COUNTIFS($K$4:$K228,"Yes"),"")</f>
        <v/>
      </c>
      <c r="Q228">
        <f t="shared" ca="1" si="16"/>
        <v>0</v>
      </c>
      <c r="R228" t="str">
        <f ca="1">IF($Q228=1,SUM($Q$4:$Q228),"")</f>
        <v/>
      </c>
    </row>
    <row r="229" spans="1:18" ht="22.5" customHeight="1" x14ac:dyDescent="0.3">
      <c r="A229" s="2"/>
      <c r="B229" s="2"/>
      <c r="C229" s="3"/>
      <c r="D229" s="3"/>
      <c r="E229" s="2"/>
      <c r="F229" s="2"/>
      <c r="G229" s="5"/>
      <c r="H229" s="5"/>
      <c r="I229" s="4"/>
      <c r="J229" s="6" t="str">
        <f t="shared" si="13"/>
        <v/>
      </c>
      <c r="K229" s="4" t="str">
        <f t="shared" ca="1" si="14"/>
        <v/>
      </c>
      <c r="L229" s="7" t="str">
        <f t="shared" ca="1" si="15"/>
        <v/>
      </c>
      <c r="M229" s="4" t="str">
        <f>IF($I229="Complete","Green",IF($H229="","Amber",IF($H229&lt;'[2]Read Me'!$B$4,"Red",IF($H229-'[2]Read Me'!$B$4&lt;=21,"Amber","Green"))))</f>
        <v>Amber</v>
      </c>
      <c r="N229" s="3"/>
      <c r="O229" t="str">
        <f>IF($I229&lt;&gt;"Complete",IF(COUNTIFS($A$4:$A228,$A229,$B$4:$B228,$B229,$I$4:$I228,"&lt;&gt;Complete")=0,$A229&amp;"|"&amp;$B229,""),"")</f>
        <v>|</v>
      </c>
      <c r="P229" t="str">
        <f ca="1">IF($K229="Yes",COUNTIFS($K$4:$K229,"Yes"),"")</f>
        <v/>
      </c>
      <c r="Q229">
        <f t="shared" ca="1" si="16"/>
        <v>0</v>
      </c>
      <c r="R229" t="str">
        <f ca="1">IF($Q229=1,SUM($Q$4:$Q229),"")</f>
        <v/>
      </c>
    </row>
    <row r="230" spans="1:18" ht="22.5" customHeight="1" x14ac:dyDescent="0.3">
      <c r="A230" s="2"/>
      <c r="B230" s="2"/>
      <c r="C230" s="3"/>
      <c r="D230" s="3"/>
      <c r="E230" s="2"/>
      <c r="F230" s="2"/>
      <c r="G230" s="5"/>
      <c r="H230" s="5"/>
      <c r="I230" s="4"/>
      <c r="J230" s="6" t="str">
        <f t="shared" si="13"/>
        <v/>
      </c>
      <c r="K230" s="4" t="str">
        <f t="shared" ca="1" si="14"/>
        <v/>
      </c>
      <c r="L230" s="7" t="str">
        <f t="shared" ca="1" si="15"/>
        <v/>
      </c>
      <c r="M230" s="4" t="str">
        <f>IF($I230="Complete","Green",IF($H230="","Amber",IF($H230&lt;'[2]Read Me'!$B$4,"Red",IF($H230-'[2]Read Me'!$B$4&lt;=21,"Amber","Green"))))</f>
        <v>Amber</v>
      </c>
      <c r="N230" s="3"/>
      <c r="O230" t="str">
        <f>IF($I230&lt;&gt;"Complete",IF(COUNTIFS($A$4:$A229,$A230,$B$4:$B229,$B230,$I$4:$I229,"&lt;&gt;Complete")=0,$A230&amp;"|"&amp;$B230,""),"")</f>
        <v>|</v>
      </c>
      <c r="P230" t="str">
        <f ca="1">IF($K230="Yes",COUNTIFS($K$4:$K230,"Yes"),"")</f>
        <v/>
      </c>
      <c r="Q230">
        <f t="shared" ca="1" si="16"/>
        <v>0</v>
      </c>
      <c r="R230" t="str">
        <f ca="1">IF($Q230=1,SUM($Q$4:$Q230),"")</f>
        <v/>
      </c>
    </row>
    <row r="231" spans="1:18" ht="22.5" customHeight="1" x14ac:dyDescent="0.3">
      <c r="A231" s="2"/>
      <c r="B231" s="2"/>
      <c r="C231" s="3"/>
      <c r="D231" s="3"/>
      <c r="E231" s="2"/>
      <c r="F231" s="2"/>
      <c r="G231" s="5"/>
      <c r="H231" s="5"/>
      <c r="I231" s="4"/>
      <c r="J231" s="6" t="str">
        <f t="shared" si="13"/>
        <v/>
      </c>
      <c r="K231" s="4" t="str">
        <f t="shared" ca="1" si="14"/>
        <v/>
      </c>
      <c r="L231" s="7" t="str">
        <f t="shared" ca="1" si="15"/>
        <v/>
      </c>
      <c r="M231" s="4" t="str">
        <f>IF($I231="Complete","Green",IF($H231="","Amber",IF($H231&lt;'[2]Read Me'!$B$4,"Red",IF($H231-'[2]Read Me'!$B$4&lt;=21,"Amber","Green"))))</f>
        <v>Amber</v>
      </c>
      <c r="N231" s="3"/>
      <c r="O231" t="str">
        <f>IF($I231&lt;&gt;"Complete",IF(COUNTIFS($A$4:$A230,$A231,$B$4:$B230,$B231,$I$4:$I230,"&lt;&gt;Complete")=0,$A231&amp;"|"&amp;$B231,""),"")</f>
        <v>|</v>
      </c>
      <c r="P231" t="str">
        <f ca="1">IF($K231="Yes",COUNTIFS($K$4:$K231,"Yes"),"")</f>
        <v/>
      </c>
      <c r="Q231">
        <f t="shared" ca="1" si="16"/>
        <v>0</v>
      </c>
      <c r="R231" t="str">
        <f ca="1">IF($Q231=1,SUM($Q$4:$Q231),"")</f>
        <v/>
      </c>
    </row>
    <row r="232" spans="1:18" ht="22.5" customHeight="1" x14ac:dyDescent="0.3">
      <c r="A232" s="2"/>
      <c r="B232" s="2"/>
      <c r="C232" s="3"/>
      <c r="D232" s="3"/>
      <c r="E232" s="2"/>
      <c r="F232" s="2"/>
      <c r="G232" s="5"/>
      <c r="H232" s="5"/>
      <c r="I232" s="4"/>
      <c r="J232" s="6" t="str">
        <f t="shared" si="13"/>
        <v/>
      </c>
      <c r="K232" s="4" t="str">
        <f t="shared" ca="1" si="14"/>
        <v/>
      </c>
      <c r="L232" s="7" t="str">
        <f t="shared" ca="1" si="15"/>
        <v/>
      </c>
      <c r="M232" s="4" t="str">
        <f>IF($I232="Complete","Green",IF($H232="","Amber",IF($H232&lt;'[2]Read Me'!$B$4,"Red",IF($H232-'[2]Read Me'!$B$4&lt;=21,"Amber","Green"))))</f>
        <v>Amber</v>
      </c>
      <c r="N232" s="3"/>
      <c r="O232" t="str">
        <f>IF($I232&lt;&gt;"Complete",IF(COUNTIFS($A$4:$A231,$A232,$B$4:$B231,$B232,$I$4:$I231,"&lt;&gt;Complete")=0,$A232&amp;"|"&amp;$B232,""),"")</f>
        <v>|</v>
      </c>
      <c r="P232" t="str">
        <f ca="1">IF($K232="Yes",COUNTIFS($K$4:$K232,"Yes"),"")</f>
        <v/>
      </c>
      <c r="Q232">
        <f t="shared" ca="1" si="16"/>
        <v>0</v>
      </c>
      <c r="R232" t="str">
        <f ca="1">IF($Q232=1,SUM($Q$4:$Q232),"")</f>
        <v/>
      </c>
    </row>
    <row r="233" spans="1:18" ht="22.5" customHeight="1" x14ac:dyDescent="0.3">
      <c r="A233" s="2"/>
      <c r="B233" s="2"/>
      <c r="C233" s="3"/>
      <c r="D233" s="3"/>
      <c r="E233" s="2"/>
      <c r="F233" s="2"/>
      <c r="G233" s="5"/>
      <c r="H233" s="5"/>
      <c r="I233" s="4"/>
      <c r="J233" s="6" t="str">
        <f t="shared" si="13"/>
        <v/>
      </c>
      <c r="K233" s="4" t="str">
        <f t="shared" ca="1" si="14"/>
        <v/>
      </c>
      <c r="L233" s="7" t="str">
        <f t="shared" ca="1" si="15"/>
        <v/>
      </c>
      <c r="M233" s="4" t="str">
        <f>IF($I233="Complete","Green",IF($H233="","Amber",IF($H233&lt;'[2]Read Me'!$B$4,"Red",IF($H233-'[2]Read Me'!$B$4&lt;=21,"Amber","Green"))))</f>
        <v>Amber</v>
      </c>
      <c r="N233" s="3"/>
      <c r="O233" t="str">
        <f>IF($I233&lt;&gt;"Complete",IF(COUNTIFS($A$4:$A232,$A233,$B$4:$B232,$B233,$I$4:$I232,"&lt;&gt;Complete")=0,$A233&amp;"|"&amp;$B233,""),"")</f>
        <v>|</v>
      </c>
      <c r="P233" t="str">
        <f ca="1">IF($K233="Yes",COUNTIFS($K$4:$K233,"Yes"),"")</f>
        <v/>
      </c>
      <c r="Q233">
        <f t="shared" ca="1" si="16"/>
        <v>0</v>
      </c>
      <c r="R233" t="str">
        <f ca="1">IF($Q233=1,SUM($Q$4:$Q233),"")</f>
        <v/>
      </c>
    </row>
    <row r="234" spans="1:18" ht="22.5" customHeight="1" x14ac:dyDescent="0.3">
      <c r="A234" s="2"/>
      <c r="B234" s="2"/>
      <c r="C234" s="3"/>
      <c r="D234" s="3"/>
      <c r="E234" s="2"/>
      <c r="F234" s="2"/>
      <c r="G234" s="5"/>
      <c r="H234" s="5"/>
      <c r="I234" s="4"/>
      <c r="J234" s="6" t="str">
        <f t="shared" si="13"/>
        <v/>
      </c>
      <c r="K234" s="4" t="str">
        <f t="shared" ca="1" si="14"/>
        <v/>
      </c>
      <c r="L234" s="7" t="str">
        <f t="shared" ca="1" si="15"/>
        <v/>
      </c>
      <c r="M234" s="4" t="str">
        <f>IF($I234="Complete","Green",IF($H234="","Amber",IF($H234&lt;'[2]Read Me'!$B$4,"Red",IF($H234-'[2]Read Me'!$B$4&lt;=21,"Amber","Green"))))</f>
        <v>Amber</v>
      </c>
      <c r="N234" s="3"/>
      <c r="O234" t="str">
        <f>IF($I234&lt;&gt;"Complete",IF(COUNTIFS($A$4:$A233,$A234,$B$4:$B233,$B234,$I$4:$I233,"&lt;&gt;Complete")=0,$A234&amp;"|"&amp;$B234,""),"")</f>
        <v>|</v>
      </c>
      <c r="P234" t="str">
        <f ca="1">IF($K234="Yes",COUNTIFS($K$4:$K234,"Yes"),"")</f>
        <v/>
      </c>
      <c r="Q234">
        <f t="shared" ca="1" si="16"/>
        <v>0</v>
      </c>
      <c r="R234" t="str">
        <f ca="1">IF($Q234=1,SUM($Q$4:$Q234),"")</f>
        <v/>
      </c>
    </row>
    <row r="235" spans="1:18" ht="22.5" customHeight="1" x14ac:dyDescent="0.3">
      <c r="A235" s="2"/>
      <c r="B235" s="2"/>
      <c r="C235" s="3"/>
      <c r="D235" s="3"/>
      <c r="E235" s="2"/>
      <c r="F235" s="2"/>
      <c r="G235" s="5"/>
      <c r="H235" s="5"/>
      <c r="I235" s="4"/>
      <c r="J235" s="6" t="str">
        <f t="shared" si="13"/>
        <v/>
      </c>
      <c r="K235" s="4" t="str">
        <f t="shared" ca="1" si="14"/>
        <v/>
      </c>
      <c r="L235" s="7" t="str">
        <f t="shared" ca="1" si="15"/>
        <v/>
      </c>
      <c r="M235" s="4" t="str">
        <f>IF($I235="Complete","Green",IF($H235="","Amber",IF($H235&lt;'[2]Read Me'!$B$4,"Red",IF($H235-'[2]Read Me'!$B$4&lt;=21,"Amber","Green"))))</f>
        <v>Amber</v>
      </c>
      <c r="N235" s="3"/>
      <c r="O235" t="str">
        <f>IF($I235&lt;&gt;"Complete",IF(COUNTIFS($A$4:$A234,$A235,$B$4:$B234,$B235,$I$4:$I234,"&lt;&gt;Complete")=0,$A235&amp;"|"&amp;$B235,""),"")</f>
        <v>|</v>
      </c>
      <c r="P235" t="str">
        <f ca="1">IF($K235="Yes",COUNTIFS($K$4:$K235,"Yes"),"")</f>
        <v/>
      </c>
      <c r="Q235">
        <f t="shared" ca="1" si="16"/>
        <v>0</v>
      </c>
      <c r="R235" t="str">
        <f ca="1">IF($Q235=1,SUM($Q$4:$Q235),"")</f>
        <v/>
      </c>
    </row>
    <row r="236" spans="1:18" ht="22.5" customHeight="1" x14ac:dyDescent="0.3">
      <c r="A236" s="2"/>
      <c r="B236" s="2"/>
      <c r="C236" s="3"/>
      <c r="D236" s="3"/>
      <c r="E236" s="2"/>
      <c r="F236" s="2"/>
      <c r="G236" s="5"/>
      <c r="H236" s="5"/>
      <c r="I236" s="4"/>
      <c r="J236" s="6" t="str">
        <f t="shared" si="13"/>
        <v/>
      </c>
      <c r="K236" s="4" t="str">
        <f t="shared" ca="1" si="14"/>
        <v/>
      </c>
      <c r="L236" s="7" t="str">
        <f t="shared" ca="1" si="15"/>
        <v/>
      </c>
      <c r="M236" s="4" t="str">
        <f>IF($I236="Complete","Green",IF($H236="","Amber",IF($H236&lt;'[2]Read Me'!$B$4,"Red",IF($H236-'[2]Read Me'!$B$4&lt;=21,"Amber","Green"))))</f>
        <v>Amber</v>
      </c>
      <c r="N236" s="3"/>
      <c r="O236" t="str">
        <f>IF($I236&lt;&gt;"Complete",IF(COUNTIFS($A$4:$A235,$A236,$B$4:$B235,$B236,$I$4:$I235,"&lt;&gt;Complete")=0,$A236&amp;"|"&amp;$B236,""),"")</f>
        <v>|</v>
      </c>
      <c r="P236" t="str">
        <f ca="1">IF($K236="Yes",COUNTIFS($K$4:$K236,"Yes"),"")</f>
        <v/>
      </c>
      <c r="Q236">
        <f t="shared" ca="1" si="16"/>
        <v>0</v>
      </c>
      <c r="R236" t="str">
        <f ca="1">IF($Q236=1,SUM($Q$4:$Q236),"")</f>
        <v/>
      </c>
    </row>
    <row r="237" spans="1:18" ht="22.5" customHeight="1" x14ac:dyDescent="0.3">
      <c r="A237" s="2"/>
      <c r="B237" s="2"/>
      <c r="C237" s="3"/>
      <c r="D237" s="3"/>
      <c r="E237" s="2"/>
      <c r="F237" s="2"/>
      <c r="G237" s="5"/>
      <c r="H237" s="5"/>
      <c r="I237" s="4"/>
      <c r="J237" s="6" t="str">
        <f t="shared" si="13"/>
        <v/>
      </c>
      <c r="K237" s="4" t="str">
        <f t="shared" ca="1" si="14"/>
        <v/>
      </c>
      <c r="L237" s="7" t="str">
        <f t="shared" ca="1" si="15"/>
        <v/>
      </c>
      <c r="M237" s="4" t="str">
        <f>IF($I237="Complete","Green",IF($H237="","Amber",IF($H237&lt;'[2]Read Me'!$B$4,"Red",IF($H237-'[2]Read Me'!$B$4&lt;=21,"Amber","Green"))))</f>
        <v>Amber</v>
      </c>
      <c r="N237" s="3"/>
      <c r="O237" t="str">
        <f>IF($I237&lt;&gt;"Complete",IF(COUNTIFS($A$4:$A236,$A237,$B$4:$B236,$B237,$I$4:$I236,"&lt;&gt;Complete")=0,$A237&amp;"|"&amp;$B237,""),"")</f>
        <v>|</v>
      </c>
      <c r="P237" t="str">
        <f ca="1">IF($K237="Yes",COUNTIFS($K$4:$K237,"Yes"),"")</f>
        <v/>
      </c>
      <c r="Q237">
        <f t="shared" ca="1" si="16"/>
        <v>0</v>
      </c>
      <c r="R237" t="str">
        <f ca="1">IF($Q237=1,SUM($Q$4:$Q237),"")</f>
        <v/>
      </c>
    </row>
    <row r="238" spans="1:18" ht="22.5" customHeight="1" x14ac:dyDescent="0.3">
      <c r="A238" s="2"/>
      <c r="B238" s="2"/>
      <c r="C238" s="3"/>
      <c r="D238" s="3"/>
      <c r="E238" s="2"/>
      <c r="F238" s="2"/>
      <c r="G238" s="5"/>
      <c r="H238" s="5"/>
      <c r="I238" s="4"/>
      <c r="J238" s="6" t="str">
        <f t="shared" si="13"/>
        <v/>
      </c>
      <c r="K238" s="4" t="str">
        <f t="shared" ca="1" si="14"/>
        <v/>
      </c>
      <c r="L238" s="7" t="str">
        <f t="shared" ca="1" si="15"/>
        <v/>
      </c>
      <c r="M238" s="4" t="str">
        <f>IF($I238="Complete","Green",IF($H238="","Amber",IF($H238&lt;'[2]Read Me'!$B$4,"Red",IF($H238-'[2]Read Me'!$B$4&lt;=21,"Amber","Green"))))</f>
        <v>Amber</v>
      </c>
      <c r="N238" s="3"/>
      <c r="O238" t="str">
        <f>IF($I238&lt;&gt;"Complete",IF(COUNTIFS($A$4:$A237,$A238,$B$4:$B237,$B238,$I$4:$I237,"&lt;&gt;Complete")=0,$A238&amp;"|"&amp;$B238,""),"")</f>
        <v>|</v>
      </c>
      <c r="P238" t="str">
        <f ca="1">IF($K238="Yes",COUNTIFS($K$4:$K238,"Yes"),"")</f>
        <v/>
      </c>
      <c r="Q238">
        <f t="shared" ca="1" si="16"/>
        <v>0</v>
      </c>
      <c r="R238" t="str">
        <f ca="1">IF($Q238=1,SUM($Q$4:$Q238),"")</f>
        <v/>
      </c>
    </row>
    <row r="239" spans="1:18" ht="22.5" customHeight="1" x14ac:dyDescent="0.3">
      <c r="A239" s="2"/>
      <c r="B239" s="2"/>
      <c r="C239" s="3"/>
      <c r="D239" s="3"/>
      <c r="E239" s="2"/>
      <c r="F239" s="2"/>
      <c r="G239" s="5"/>
      <c r="H239" s="5"/>
      <c r="I239" s="4"/>
      <c r="J239" s="6" t="str">
        <f t="shared" si="13"/>
        <v/>
      </c>
      <c r="K239" s="4" t="str">
        <f t="shared" ca="1" si="14"/>
        <v/>
      </c>
      <c r="L239" s="7" t="str">
        <f t="shared" ca="1" si="15"/>
        <v/>
      </c>
      <c r="M239" s="4" t="str">
        <f>IF($I239="Complete","Green",IF($H239="","Amber",IF($H239&lt;'[2]Read Me'!$B$4,"Red",IF($H239-'[2]Read Me'!$B$4&lt;=21,"Amber","Green"))))</f>
        <v>Amber</v>
      </c>
      <c r="N239" s="3"/>
      <c r="O239" t="str">
        <f>IF($I239&lt;&gt;"Complete",IF(COUNTIFS($A$4:$A238,$A239,$B$4:$B238,$B239,$I$4:$I238,"&lt;&gt;Complete")=0,$A239&amp;"|"&amp;$B239,""),"")</f>
        <v>|</v>
      </c>
      <c r="P239" t="str">
        <f ca="1">IF($K239="Yes",COUNTIFS($K$4:$K239,"Yes"),"")</f>
        <v/>
      </c>
      <c r="Q239">
        <f t="shared" ca="1" si="16"/>
        <v>0</v>
      </c>
      <c r="R239" t="str">
        <f ca="1">IF($Q239=1,SUM($Q$4:$Q239),"")</f>
        <v/>
      </c>
    </row>
    <row r="240" spans="1:18" ht="22.5" customHeight="1" x14ac:dyDescent="0.3">
      <c r="A240" s="2"/>
      <c r="B240" s="2"/>
      <c r="C240" s="3"/>
      <c r="D240" s="3"/>
      <c r="E240" s="2"/>
      <c r="F240" s="2"/>
      <c r="G240" s="5"/>
      <c r="H240" s="5"/>
      <c r="I240" s="4"/>
      <c r="J240" s="6" t="str">
        <f t="shared" si="13"/>
        <v/>
      </c>
      <c r="K240" s="4" t="str">
        <f t="shared" ca="1" si="14"/>
        <v/>
      </c>
      <c r="L240" s="7" t="str">
        <f t="shared" ca="1" si="15"/>
        <v/>
      </c>
      <c r="M240" s="4" t="str">
        <f>IF($I240="Complete","Green",IF($H240="","Amber",IF($H240&lt;'[2]Read Me'!$B$4,"Red",IF($H240-'[2]Read Me'!$B$4&lt;=21,"Amber","Green"))))</f>
        <v>Amber</v>
      </c>
      <c r="N240" s="3"/>
      <c r="O240" t="str">
        <f>IF($I240&lt;&gt;"Complete",IF(COUNTIFS($A$4:$A239,$A240,$B$4:$B239,$B240,$I$4:$I239,"&lt;&gt;Complete")=0,$A240&amp;"|"&amp;$B240,""),"")</f>
        <v>|</v>
      </c>
      <c r="P240" t="str">
        <f ca="1">IF($K240="Yes",COUNTIFS($K$4:$K240,"Yes"),"")</f>
        <v/>
      </c>
      <c r="Q240">
        <f t="shared" ca="1" si="16"/>
        <v>0</v>
      </c>
      <c r="R240" t="str">
        <f ca="1">IF($Q240=1,SUM($Q$4:$Q240),"")</f>
        <v/>
      </c>
    </row>
    <row r="241" spans="1:18" ht="22.5" customHeight="1" x14ac:dyDescent="0.3">
      <c r="A241" s="2"/>
      <c r="B241" s="2"/>
      <c r="C241" s="3"/>
      <c r="D241" s="3"/>
      <c r="E241" s="2"/>
      <c r="F241" s="2"/>
      <c r="G241" s="5"/>
      <c r="H241" s="5"/>
      <c r="I241" s="4"/>
      <c r="J241" s="6" t="str">
        <f t="shared" si="13"/>
        <v/>
      </c>
      <c r="K241" s="4" t="str">
        <f t="shared" ca="1" si="14"/>
        <v/>
      </c>
      <c r="L241" s="7" t="str">
        <f t="shared" ca="1" si="15"/>
        <v/>
      </c>
      <c r="M241" s="4" t="str">
        <f>IF($I241="Complete","Green",IF($H241="","Amber",IF($H241&lt;'[2]Read Me'!$B$4,"Red",IF($H241-'[2]Read Me'!$B$4&lt;=21,"Amber","Green"))))</f>
        <v>Amber</v>
      </c>
      <c r="N241" s="3"/>
      <c r="O241" t="str">
        <f>IF($I241&lt;&gt;"Complete",IF(COUNTIFS($A$4:$A240,$A241,$B$4:$B240,$B241,$I$4:$I240,"&lt;&gt;Complete")=0,$A241&amp;"|"&amp;$B241,""),"")</f>
        <v>|</v>
      </c>
      <c r="P241" t="str">
        <f ca="1">IF($K241="Yes",COUNTIFS($K$4:$K241,"Yes"),"")</f>
        <v/>
      </c>
      <c r="Q241">
        <f t="shared" ca="1" si="16"/>
        <v>0</v>
      </c>
      <c r="R241" t="str">
        <f ca="1">IF($Q241=1,SUM($Q$4:$Q241),"")</f>
        <v/>
      </c>
    </row>
    <row r="242" spans="1:18" ht="22.5" customHeight="1" x14ac:dyDescent="0.3">
      <c r="A242" s="2"/>
      <c r="B242" s="2"/>
      <c r="C242" s="3"/>
      <c r="D242" s="3"/>
      <c r="E242" s="2"/>
      <c r="F242" s="2"/>
      <c r="G242" s="5"/>
      <c r="H242" s="5"/>
      <c r="I242" s="4"/>
      <c r="J242" s="6" t="str">
        <f t="shared" si="13"/>
        <v/>
      </c>
      <c r="K242" s="4" t="str">
        <f t="shared" ca="1" si="14"/>
        <v/>
      </c>
      <c r="L242" s="7" t="str">
        <f t="shared" ca="1" si="15"/>
        <v/>
      </c>
      <c r="M242" s="4" t="str">
        <f>IF($I242="Complete","Green",IF($H242="","Amber",IF($H242&lt;'[2]Read Me'!$B$4,"Red",IF($H242-'[2]Read Me'!$B$4&lt;=21,"Amber","Green"))))</f>
        <v>Amber</v>
      </c>
      <c r="N242" s="3"/>
      <c r="O242" t="str">
        <f>IF($I242&lt;&gt;"Complete",IF(COUNTIFS($A$4:$A241,$A242,$B$4:$B241,$B242,$I$4:$I241,"&lt;&gt;Complete")=0,$A242&amp;"|"&amp;$B242,""),"")</f>
        <v>|</v>
      </c>
      <c r="P242" t="str">
        <f ca="1">IF($K242="Yes",COUNTIFS($K$4:$K242,"Yes"),"")</f>
        <v/>
      </c>
      <c r="Q242">
        <f t="shared" ca="1" si="16"/>
        <v>0</v>
      </c>
      <c r="R242" t="str">
        <f ca="1">IF($Q242=1,SUM($Q$4:$Q242),"")</f>
        <v/>
      </c>
    </row>
    <row r="243" spans="1:18" ht="22.5" customHeight="1" x14ac:dyDescent="0.3">
      <c r="A243" s="2"/>
      <c r="B243" s="2"/>
      <c r="C243" s="3"/>
      <c r="D243" s="3"/>
      <c r="E243" s="2"/>
      <c r="F243" s="2"/>
      <c r="G243" s="5"/>
      <c r="H243" s="5"/>
      <c r="I243" s="4"/>
      <c r="J243" s="6" t="str">
        <f t="shared" si="13"/>
        <v/>
      </c>
      <c r="K243" s="4" t="str">
        <f t="shared" ca="1" si="14"/>
        <v/>
      </c>
      <c r="L243" s="7" t="str">
        <f t="shared" ca="1" si="15"/>
        <v/>
      </c>
      <c r="M243" s="4" t="str">
        <f>IF($I243="Complete","Green",IF($H243="","Amber",IF($H243&lt;'[2]Read Me'!$B$4,"Red",IF($H243-'[2]Read Me'!$B$4&lt;=21,"Amber","Green"))))</f>
        <v>Amber</v>
      </c>
      <c r="N243" s="3"/>
      <c r="O243" t="str">
        <f>IF($I243&lt;&gt;"Complete",IF(COUNTIFS($A$4:$A242,$A243,$B$4:$B242,$B243,$I$4:$I242,"&lt;&gt;Complete")=0,$A243&amp;"|"&amp;$B243,""),"")</f>
        <v>|</v>
      </c>
      <c r="P243" t="str">
        <f ca="1">IF($K243="Yes",COUNTIFS($K$4:$K243,"Yes"),"")</f>
        <v/>
      </c>
      <c r="Q243">
        <f t="shared" ca="1" si="16"/>
        <v>0</v>
      </c>
      <c r="R243" t="str">
        <f ca="1">IF($Q243=1,SUM($Q$4:$Q243),"")</f>
        <v/>
      </c>
    </row>
    <row r="244" spans="1:18" ht="22.5" customHeight="1" x14ac:dyDescent="0.3">
      <c r="A244" s="2"/>
      <c r="B244" s="2"/>
      <c r="C244" s="3"/>
      <c r="D244" s="3"/>
      <c r="E244" s="2"/>
      <c r="F244" s="2"/>
      <c r="G244" s="5"/>
      <c r="H244" s="5"/>
      <c r="I244" s="4"/>
      <c r="J244" s="6" t="str">
        <f t="shared" si="13"/>
        <v/>
      </c>
      <c r="K244" s="4" t="str">
        <f t="shared" ref="K244:K260" ca="1" si="17">IF($H244="","",IF($H244&gt;TODAY(),"No","Yes"))</f>
        <v/>
      </c>
      <c r="L244" s="7" t="str">
        <f t="shared" ca="1" si="15"/>
        <v/>
      </c>
      <c r="M244" s="4" t="str">
        <f>IF($I244="Complete","Green",IF($H244="","Amber",IF($H244&lt;'[2]Read Me'!$B$4,"Red",IF($H244-'[2]Read Me'!$B$4&lt;=21,"Amber","Green"))))</f>
        <v>Amber</v>
      </c>
      <c r="N244" s="3"/>
      <c r="O244" t="str">
        <f>IF($I244&lt;&gt;"Complete",IF(COUNTIFS($A$4:$A243,$A244,$B$4:$B243,$B244,$I$4:$I243,"&lt;&gt;Complete")=0,$A244&amp;"|"&amp;$B244,""),"")</f>
        <v>|</v>
      </c>
      <c r="P244" t="str">
        <f ca="1">IF($K244="Yes",COUNTIFS($K$4:$K244,"Yes"),"")</f>
        <v/>
      </c>
      <c r="Q244">
        <f t="shared" ca="1" si="16"/>
        <v>0</v>
      </c>
      <c r="R244" t="str">
        <f ca="1">IF($Q244=1,SUM($Q$4:$Q244),"")</f>
        <v/>
      </c>
    </row>
    <row r="245" spans="1:18" ht="22.5" customHeight="1" x14ac:dyDescent="0.3">
      <c r="A245" s="2"/>
      <c r="B245" s="2"/>
      <c r="C245" s="3"/>
      <c r="D245" s="3"/>
      <c r="E245" s="2"/>
      <c r="F245" s="2"/>
      <c r="G245" s="5"/>
      <c r="H245" s="5"/>
      <c r="I245" s="4"/>
      <c r="J245" s="6" t="str">
        <f t="shared" si="13"/>
        <v/>
      </c>
      <c r="K245" s="4" t="str">
        <f t="shared" ca="1" si="17"/>
        <v/>
      </c>
      <c r="L245" s="7" t="str">
        <f t="shared" ca="1" si="15"/>
        <v/>
      </c>
      <c r="M245" s="4" t="str">
        <f>IF($I245="Complete","Green",IF($H245="","Amber",IF($H245&lt;'[2]Read Me'!$B$4,"Red",IF($H245-'[2]Read Me'!$B$4&lt;=21,"Amber","Green"))))</f>
        <v>Amber</v>
      </c>
      <c r="N245" s="3"/>
      <c r="O245" t="str">
        <f>IF($I245&lt;&gt;"Complete",IF(COUNTIFS($A$4:$A244,$A245,$B$4:$B244,$B245,$I$4:$I244,"&lt;&gt;Complete")=0,$A245&amp;"|"&amp;$B245,""),"")</f>
        <v>|</v>
      </c>
      <c r="P245" t="str">
        <f ca="1">IF($K245="Yes",COUNTIFS($K$4:$K245,"Yes"),"")</f>
        <v/>
      </c>
      <c r="Q245">
        <f t="shared" ca="1" si="16"/>
        <v>0</v>
      </c>
      <c r="R245" t="str">
        <f ca="1">IF($Q245=1,SUM($Q$4:$Q245),"")</f>
        <v/>
      </c>
    </row>
    <row r="246" spans="1:18" ht="22.5" customHeight="1" x14ac:dyDescent="0.3">
      <c r="A246" s="2"/>
      <c r="B246" s="2"/>
      <c r="C246" s="3"/>
      <c r="D246" s="3"/>
      <c r="E246" s="2"/>
      <c r="F246" s="2"/>
      <c r="G246" s="5"/>
      <c r="H246" s="5"/>
      <c r="I246" s="4"/>
      <c r="J246" s="6" t="str">
        <f t="shared" si="13"/>
        <v/>
      </c>
      <c r="K246" s="4" t="str">
        <f t="shared" ca="1" si="17"/>
        <v/>
      </c>
      <c r="L246" s="7" t="str">
        <f t="shared" ca="1" si="15"/>
        <v/>
      </c>
      <c r="M246" s="4" t="str">
        <f>IF($I246="Complete","Green",IF($H246="","Amber",IF($H246&lt;'[2]Read Me'!$B$4,"Red",IF($H246-'[2]Read Me'!$B$4&lt;=21,"Amber","Green"))))</f>
        <v>Amber</v>
      </c>
      <c r="N246" s="3"/>
      <c r="O246" t="str">
        <f>IF($I246&lt;&gt;"Complete",IF(COUNTIFS($A$4:$A245,$A246,$B$4:$B245,$B246,$I$4:$I245,"&lt;&gt;Complete")=0,$A246&amp;"|"&amp;$B246,""),"")</f>
        <v>|</v>
      </c>
      <c r="P246" t="str">
        <f ca="1">IF($K246="Yes",COUNTIFS($K$4:$K246,"Yes"),"")</f>
        <v/>
      </c>
      <c r="Q246">
        <f t="shared" ca="1" si="16"/>
        <v>0</v>
      </c>
      <c r="R246" t="str">
        <f ca="1">IF($Q246=1,SUM($Q$4:$Q246),"")</f>
        <v/>
      </c>
    </row>
    <row r="247" spans="1:18" ht="22.5" customHeight="1" x14ac:dyDescent="0.3">
      <c r="A247" s="2"/>
      <c r="B247" s="2"/>
      <c r="C247" s="3"/>
      <c r="D247" s="3"/>
      <c r="E247" s="2"/>
      <c r="F247" s="2"/>
      <c r="G247" s="5"/>
      <c r="H247" s="5"/>
      <c r="I247" s="4"/>
      <c r="J247" s="6" t="str">
        <f t="shared" si="13"/>
        <v/>
      </c>
      <c r="K247" s="4" t="str">
        <f t="shared" ca="1" si="17"/>
        <v/>
      </c>
      <c r="L247" s="7" t="str">
        <f t="shared" ca="1" si="15"/>
        <v/>
      </c>
      <c r="M247" s="4" t="str">
        <f>IF($I247="Complete","Green",IF($H247="","Amber",IF($H247&lt;'[2]Read Me'!$B$4,"Red",IF($H247-'[2]Read Me'!$B$4&lt;=21,"Amber","Green"))))</f>
        <v>Amber</v>
      </c>
      <c r="N247" s="3"/>
      <c r="O247" t="str">
        <f>IF($I247&lt;&gt;"Complete",IF(COUNTIFS($A$4:$A246,$A247,$B$4:$B246,$B247,$I$4:$I246,"&lt;&gt;Complete")=0,$A247&amp;"|"&amp;$B247,""),"")</f>
        <v>|</v>
      </c>
      <c r="P247" t="str">
        <f ca="1">IF($K247="Yes",COUNTIFS($K$4:$K247,"Yes"),"")</f>
        <v/>
      </c>
      <c r="Q247">
        <f t="shared" ca="1" si="16"/>
        <v>0</v>
      </c>
      <c r="R247" t="str">
        <f ca="1">IF($Q247=1,SUM($Q$4:$Q247),"")</f>
        <v/>
      </c>
    </row>
    <row r="248" spans="1:18" ht="22.5" customHeight="1" x14ac:dyDescent="0.3">
      <c r="A248" s="2"/>
      <c r="B248" s="2"/>
      <c r="C248" s="3"/>
      <c r="D248" s="3"/>
      <c r="E248" s="2"/>
      <c r="F248" s="2"/>
      <c r="G248" s="5"/>
      <c r="H248" s="5"/>
      <c r="I248" s="4"/>
      <c r="J248" s="6" t="str">
        <f t="shared" si="13"/>
        <v/>
      </c>
      <c r="K248" s="4" t="str">
        <f t="shared" ca="1" si="17"/>
        <v/>
      </c>
      <c r="L248" s="7" t="str">
        <f t="shared" ca="1" si="15"/>
        <v/>
      </c>
      <c r="M248" s="4" t="str">
        <f>IF($I248="Complete","Green",IF($H248="","Amber",IF($H248&lt;'[2]Read Me'!$B$4,"Red",IF($H248-'[2]Read Me'!$B$4&lt;=21,"Amber","Green"))))</f>
        <v>Amber</v>
      </c>
      <c r="N248" s="3"/>
      <c r="O248" t="str">
        <f>IF($I248&lt;&gt;"Complete",IF(COUNTIFS($A$4:$A247,$A248,$B$4:$B247,$B248,$I$4:$I247,"&lt;&gt;Complete")=0,$A248&amp;"|"&amp;$B248,""),"")</f>
        <v>|</v>
      </c>
      <c r="P248" t="str">
        <f ca="1">IF($K248="Yes",COUNTIFS($K$4:$K248,"Yes"),"")</f>
        <v/>
      </c>
      <c r="Q248">
        <f t="shared" ca="1" si="16"/>
        <v>0</v>
      </c>
      <c r="R248" t="str">
        <f ca="1">IF($Q248=1,SUM($Q$4:$Q248),"")</f>
        <v/>
      </c>
    </row>
    <row r="249" spans="1:18" ht="22.5" customHeight="1" x14ac:dyDescent="0.3">
      <c r="A249" s="2"/>
      <c r="B249" s="2"/>
      <c r="C249" s="3"/>
      <c r="D249" s="3"/>
      <c r="E249" s="2"/>
      <c r="F249" s="2"/>
      <c r="G249" s="5"/>
      <c r="H249" s="5"/>
      <c r="I249" s="4"/>
      <c r="J249" s="6" t="str">
        <f t="shared" si="13"/>
        <v/>
      </c>
      <c r="K249" s="4" t="str">
        <f t="shared" ca="1" si="17"/>
        <v/>
      </c>
      <c r="L249" s="7" t="str">
        <f t="shared" ca="1" si="15"/>
        <v/>
      </c>
      <c r="M249" s="4" t="str">
        <f>IF($I249="Complete","Green",IF($H249="","Amber",IF($H249&lt;'[2]Read Me'!$B$4,"Red",IF($H249-'[2]Read Me'!$B$4&lt;=21,"Amber","Green"))))</f>
        <v>Amber</v>
      </c>
      <c r="N249" s="3"/>
      <c r="O249" t="str">
        <f>IF($I249&lt;&gt;"Complete",IF(COUNTIFS($A$4:$A248,$A249,$B$4:$B248,$B249,$I$4:$I248,"&lt;&gt;Complete")=0,$A249&amp;"|"&amp;$B249,""),"")</f>
        <v>|</v>
      </c>
      <c r="P249" t="str">
        <f ca="1">IF($K249="Yes",COUNTIFS($K$4:$K249,"Yes"),"")</f>
        <v/>
      </c>
      <c r="Q249">
        <f t="shared" ca="1" si="16"/>
        <v>0</v>
      </c>
      <c r="R249" t="str">
        <f ca="1">IF($Q249=1,SUM($Q$4:$Q249),"")</f>
        <v/>
      </c>
    </row>
    <row r="250" spans="1:18" ht="22.5" customHeight="1" x14ac:dyDescent="0.3">
      <c r="A250" s="2"/>
      <c r="B250" s="2"/>
      <c r="C250" s="3"/>
      <c r="D250" s="3"/>
      <c r="E250" s="2"/>
      <c r="F250" s="2"/>
      <c r="G250" s="5"/>
      <c r="H250" s="5"/>
      <c r="I250" s="4"/>
      <c r="J250" s="6" t="str">
        <f t="shared" si="13"/>
        <v/>
      </c>
      <c r="K250" s="4" t="str">
        <f t="shared" ca="1" si="17"/>
        <v/>
      </c>
      <c r="L250" s="7" t="str">
        <f t="shared" ca="1" si="15"/>
        <v/>
      </c>
      <c r="M250" s="4" t="str">
        <f>IF($I250="Complete","Green",IF($H250="","Amber",IF($H250&lt;'[2]Read Me'!$B$4,"Red",IF($H250-'[2]Read Me'!$B$4&lt;=21,"Amber","Green"))))</f>
        <v>Amber</v>
      </c>
      <c r="N250" s="8"/>
      <c r="O250" t="str">
        <f>IF($I250&lt;&gt;"Complete",IF(COUNTIFS($A$4:$A249,$A250,$B$4:$B249,$B250,$I$4:$I249,"&lt;&gt;Complete")=0,$A250&amp;"|"&amp;$B250,""),"")</f>
        <v>|</v>
      </c>
      <c r="P250" t="str">
        <f ca="1">IF($K250="Yes",COUNTIFS($K$4:$K250,"Yes"),"")</f>
        <v/>
      </c>
      <c r="Q250">
        <f t="shared" ca="1" si="16"/>
        <v>0</v>
      </c>
      <c r="R250" t="str">
        <f ca="1">IF($Q250=1,SUM($Q$4:$Q250),"")</f>
        <v/>
      </c>
    </row>
    <row r="251" spans="1:18" ht="22.5" customHeight="1" x14ac:dyDescent="0.3">
      <c r="A251" s="2"/>
      <c r="B251" s="2"/>
      <c r="C251" s="3"/>
      <c r="D251" s="3"/>
      <c r="E251" s="2"/>
      <c r="F251" s="2"/>
      <c r="G251" s="5"/>
      <c r="H251" s="5"/>
      <c r="I251" s="4"/>
      <c r="J251" s="6" t="str">
        <f t="shared" si="13"/>
        <v/>
      </c>
      <c r="K251" s="4" t="str">
        <f t="shared" ca="1" si="17"/>
        <v/>
      </c>
      <c r="L251" s="7" t="str">
        <f t="shared" ca="1" si="15"/>
        <v/>
      </c>
      <c r="M251" s="4" t="str">
        <f>IF($I251="Complete","Green",IF($H251="","Amber",IF($H251&lt;'[2]Read Me'!$B$4,"Red",IF($H251-'[2]Read Me'!$B$4&lt;=21,"Amber","Green"))))</f>
        <v>Amber</v>
      </c>
      <c r="N251" s="3"/>
      <c r="O251" t="str">
        <f>IF($I251&lt;&gt;"Complete",IF(COUNTIFS($A$4:$A250,$A251,$B$4:$B250,$B251,$I$4:$I250,"&lt;&gt;Complete")=0,$A251&amp;"|"&amp;$B251,""),"")</f>
        <v>|</v>
      </c>
      <c r="P251" t="str">
        <f ca="1">IF($K251="Yes",COUNTIFS($K$4:$K251,"Yes"),"")</f>
        <v/>
      </c>
      <c r="Q251">
        <f t="shared" ca="1" si="16"/>
        <v>0</v>
      </c>
      <c r="R251" t="str">
        <f ca="1">IF($Q251=1,SUM($Q$4:$Q251),"")</f>
        <v/>
      </c>
    </row>
    <row r="252" spans="1:18" ht="22.5" customHeight="1" x14ac:dyDescent="0.3">
      <c r="A252" s="2"/>
      <c r="B252" s="2"/>
      <c r="C252" s="3"/>
      <c r="D252" s="3"/>
      <c r="E252" s="2"/>
      <c r="F252" s="2"/>
      <c r="G252" s="5"/>
      <c r="H252" s="5"/>
      <c r="I252" s="4"/>
      <c r="J252" s="6" t="str">
        <f t="shared" si="13"/>
        <v/>
      </c>
      <c r="K252" s="4" t="str">
        <f t="shared" ca="1" si="17"/>
        <v/>
      </c>
      <c r="L252" s="7" t="str">
        <f t="shared" ca="1" si="15"/>
        <v/>
      </c>
      <c r="M252" s="4" t="str">
        <f>IF($I252="Complete","Green",IF($H252="","Amber",IF($H252&lt;'[2]Read Me'!$B$4,"Red",IF($H252-'[2]Read Me'!$B$4&lt;=21,"Amber","Green"))))</f>
        <v>Amber</v>
      </c>
      <c r="N252" s="3"/>
      <c r="O252" t="str">
        <f>IF($I252&lt;&gt;"Complete",IF(COUNTIFS($A$4:$A251,$A252,$B$4:$B251,$B252,$I$4:$I251,"&lt;&gt;Complete")=0,$A252&amp;"|"&amp;$B252,""),"")</f>
        <v>|</v>
      </c>
      <c r="P252" t="str">
        <f ca="1">IF($K252="Yes",COUNTIFS($K$4:$K252,"Yes"),"")</f>
        <v/>
      </c>
      <c r="Q252">
        <f t="shared" ca="1" si="16"/>
        <v>0</v>
      </c>
      <c r="R252" t="str">
        <f ca="1">IF($Q252=1,SUM($Q$4:$Q252),"")</f>
        <v/>
      </c>
    </row>
    <row r="253" spans="1:18" ht="22.5" customHeight="1" x14ac:dyDescent="0.3">
      <c r="A253" s="2"/>
      <c r="B253" s="2"/>
      <c r="C253" s="3"/>
      <c r="D253" s="3"/>
      <c r="E253" s="2"/>
      <c r="F253" s="2"/>
      <c r="G253" s="5"/>
      <c r="H253" s="5"/>
      <c r="I253" s="4"/>
      <c r="J253" s="6" t="str">
        <f t="shared" si="13"/>
        <v/>
      </c>
      <c r="K253" s="4" t="str">
        <f t="shared" ca="1" si="17"/>
        <v/>
      </c>
      <c r="L253" s="7" t="str">
        <f t="shared" ca="1" si="15"/>
        <v/>
      </c>
      <c r="M253" s="4" t="str">
        <f>IF($I253="Complete","Green",IF($H253="","Amber",IF($H253&lt;'[2]Read Me'!$B$4,"Red",IF($H253-'[2]Read Me'!$B$4&lt;=21,"Amber","Green"))))</f>
        <v>Amber</v>
      </c>
      <c r="N253" s="3"/>
      <c r="O253" t="str">
        <f>IF($I253&lt;&gt;"Complete",IF(COUNTIFS($A$4:$A252,$A253,$B$4:$B252,$B253,$I$4:$I252,"&lt;&gt;Complete")=0,$A253&amp;"|"&amp;$B253,""),"")</f>
        <v>|</v>
      </c>
      <c r="P253" t="str">
        <f ca="1">IF($K253="Yes",COUNTIFS($K$4:$K253,"Yes"),"")</f>
        <v/>
      </c>
      <c r="Q253">
        <f t="shared" ca="1" si="16"/>
        <v>0</v>
      </c>
      <c r="R253" t="str">
        <f ca="1">IF($Q253=1,SUM($Q$4:$Q253),"")</f>
        <v/>
      </c>
    </row>
    <row r="254" spans="1:18" ht="22.5" customHeight="1" x14ac:dyDescent="0.3">
      <c r="A254" s="2"/>
      <c r="B254" s="2"/>
      <c r="C254" s="3"/>
      <c r="D254" s="3"/>
      <c r="E254" s="2"/>
      <c r="F254" s="2"/>
      <c r="G254" s="5"/>
      <c r="H254" s="5"/>
      <c r="I254" s="4"/>
      <c r="J254" s="6" t="str">
        <f t="shared" si="13"/>
        <v/>
      </c>
      <c r="K254" s="4" t="str">
        <f t="shared" ca="1" si="17"/>
        <v/>
      </c>
      <c r="L254" s="7" t="str">
        <f t="shared" ca="1" si="15"/>
        <v/>
      </c>
      <c r="M254" s="4" t="str">
        <f>IF($I254="Complete","Green",IF($H254="","Amber",IF($H254&lt;'[2]Read Me'!$B$4,"Red",IF($H254-'[2]Read Me'!$B$4&lt;=21,"Amber","Green"))))</f>
        <v>Amber</v>
      </c>
      <c r="N254" s="3"/>
      <c r="O254" t="str">
        <f>IF($I254&lt;&gt;"Complete",IF(COUNTIFS($A$4:$A253,$A254,$B$4:$B253,$B254,$I$4:$I253,"&lt;&gt;Complete")=0,$A254&amp;"|"&amp;$B254,""),"")</f>
        <v>|</v>
      </c>
      <c r="P254" t="str">
        <f ca="1">IF($K254="Yes",COUNTIFS($K$4:$K254,"Yes"),"")</f>
        <v/>
      </c>
      <c r="Q254">
        <f t="shared" ca="1" si="16"/>
        <v>0</v>
      </c>
      <c r="R254" t="str">
        <f ca="1">IF($Q254=1,SUM($Q$4:$Q254),"")</f>
        <v/>
      </c>
    </row>
    <row r="255" spans="1:18" ht="22.5" customHeight="1" x14ac:dyDescent="0.3">
      <c r="A255" s="2"/>
      <c r="B255" s="2"/>
      <c r="C255" s="3"/>
      <c r="D255" s="3"/>
      <c r="E255" s="2"/>
      <c r="F255" s="2"/>
      <c r="G255" s="5"/>
      <c r="H255" s="5"/>
      <c r="I255" s="4"/>
      <c r="J255" s="6" t="str">
        <f t="shared" si="13"/>
        <v/>
      </c>
      <c r="K255" s="4" t="str">
        <f t="shared" ca="1" si="17"/>
        <v/>
      </c>
      <c r="L255" s="7" t="str">
        <f t="shared" ca="1" si="15"/>
        <v/>
      </c>
      <c r="M255" s="4" t="str">
        <f>IF($I255="Complete","Green",IF($H255="","Amber",IF($H255&lt;'[2]Read Me'!$B$4,"Red",IF($H255-'[2]Read Me'!$B$4&lt;=21,"Amber","Green"))))</f>
        <v>Amber</v>
      </c>
      <c r="N255" s="3"/>
      <c r="O255" t="str">
        <f>IF($I255&lt;&gt;"Complete",IF(COUNTIFS($A$4:$A254,$A255,$B$4:$B254,$B255,$I$4:$I254,"&lt;&gt;Complete")=0,$A255&amp;"|"&amp;$B255,""),"")</f>
        <v>|</v>
      </c>
      <c r="P255" t="str">
        <f ca="1">IF($K255="Yes",COUNTIFS($K$4:$K255,"Yes"),"")</f>
        <v/>
      </c>
      <c r="Q255">
        <f t="shared" ca="1" si="16"/>
        <v>0</v>
      </c>
      <c r="R255" t="str">
        <f ca="1">IF($Q255=1,SUM($Q$4:$Q255),"")</f>
        <v/>
      </c>
    </row>
    <row r="256" spans="1:18" ht="22.5" customHeight="1" x14ac:dyDescent="0.3">
      <c r="A256" s="2"/>
      <c r="B256" s="2"/>
      <c r="C256" s="3"/>
      <c r="D256" s="3"/>
      <c r="E256" s="2"/>
      <c r="F256" s="2"/>
      <c r="G256" s="5"/>
      <c r="H256" s="5"/>
      <c r="I256" s="4"/>
      <c r="J256" s="6" t="str">
        <f t="shared" si="13"/>
        <v/>
      </c>
      <c r="K256" s="4" t="str">
        <f t="shared" ca="1" si="17"/>
        <v/>
      </c>
      <c r="L256" s="7" t="str">
        <f t="shared" ca="1" si="15"/>
        <v/>
      </c>
      <c r="M256" s="4" t="str">
        <f>IF($I256="Complete","Green",IF($H256="","Amber",IF($H256&lt;'[2]Read Me'!$B$4,"Red",IF($H256-'[2]Read Me'!$B$4&lt;=21,"Amber","Green"))))</f>
        <v>Amber</v>
      </c>
      <c r="N256" s="3"/>
      <c r="O256" t="str">
        <f>IF($I256&lt;&gt;"Complete",IF(COUNTIFS($A$4:$A255,$A256,$B$4:$B255,$B256,$I$4:$I255,"&lt;&gt;Complete")=0,$A256&amp;"|"&amp;$B256,""),"")</f>
        <v>|</v>
      </c>
      <c r="P256" t="str">
        <f ca="1">IF($K256="Yes",COUNTIFS($K$4:$K256,"Yes"),"")</f>
        <v/>
      </c>
      <c r="Q256">
        <f t="shared" ca="1" si="16"/>
        <v>0</v>
      </c>
      <c r="R256" t="str">
        <f ca="1">IF($Q256=1,SUM($Q$4:$Q256),"")</f>
        <v/>
      </c>
    </row>
    <row r="257" spans="1:18" ht="22.5" customHeight="1" x14ac:dyDescent="0.3">
      <c r="A257" s="2"/>
      <c r="B257" s="2"/>
      <c r="C257" s="3"/>
      <c r="D257" s="3"/>
      <c r="E257" s="2"/>
      <c r="F257" s="2"/>
      <c r="G257" s="5"/>
      <c r="H257" s="5"/>
      <c r="I257" s="4"/>
      <c r="J257" s="6" t="str">
        <f t="shared" si="13"/>
        <v/>
      </c>
      <c r="K257" s="4" t="str">
        <f t="shared" ca="1" si="17"/>
        <v/>
      </c>
      <c r="L257" s="7" t="str">
        <f t="shared" ca="1" si="15"/>
        <v/>
      </c>
      <c r="M257" s="4" t="str">
        <f>IF($I257="Complete","Green",IF($H257="","Amber",IF($H257&lt;'[2]Read Me'!$B$4,"Red",IF($H257-'[2]Read Me'!$B$4&lt;=21,"Amber","Green"))))</f>
        <v>Amber</v>
      </c>
      <c r="N257" s="3"/>
      <c r="O257" t="str">
        <f>IF($I257&lt;&gt;"Complete",IF(COUNTIFS($A$4:$A256,$A257,$B$4:$B256,$B257,$I$4:$I256,"&lt;&gt;Complete")=0,$A257&amp;"|"&amp;$B257,""),"")</f>
        <v>|</v>
      </c>
      <c r="P257" t="str">
        <f ca="1">IF($K257="Yes",COUNTIFS($K$4:$K257,"Yes"),"")</f>
        <v/>
      </c>
      <c r="Q257">
        <f t="shared" ca="1" si="16"/>
        <v>0</v>
      </c>
      <c r="R257" t="str">
        <f ca="1">IF($Q257=1,SUM($Q$4:$Q257),"")</f>
        <v/>
      </c>
    </row>
    <row r="258" spans="1:18" ht="45" customHeight="1" x14ac:dyDescent="0.3">
      <c r="A258" s="2"/>
      <c r="B258" s="2"/>
      <c r="C258" s="3"/>
      <c r="D258" s="3"/>
      <c r="E258" s="2"/>
      <c r="F258" s="2"/>
      <c r="G258" s="5"/>
      <c r="H258" s="5"/>
      <c r="I258" s="4"/>
      <c r="J258" s="6" t="str">
        <f t="shared" si="13"/>
        <v/>
      </c>
      <c r="K258" s="4" t="str">
        <f t="shared" ca="1" si="17"/>
        <v/>
      </c>
      <c r="L258" s="7" t="str">
        <f t="shared" ca="1" si="15"/>
        <v/>
      </c>
      <c r="M258" s="4" t="str">
        <f>IF($I258="Complete","Green",IF($H258="","Amber",IF($H258&lt;'[2]Read Me'!$B$4,"Red",IF($H258-'[2]Read Me'!$B$4&lt;=21,"Amber","Green"))))</f>
        <v>Amber</v>
      </c>
      <c r="N258" s="3"/>
      <c r="O258" t="str">
        <f>IF($I258&lt;&gt;"Complete",IF(COUNTIFS($A$4:$A257,$A258,$B$4:$B257,$B258,$I$4:$I257,"&lt;&gt;Complete")=0,$A258&amp;"|"&amp;$B258,""),"")</f>
        <v>|</v>
      </c>
      <c r="P258" t="str">
        <f ca="1">IF($K258="Yes",COUNTIFS($K$4:$K258,"Yes"),"")</f>
        <v/>
      </c>
      <c r="Q258">
        <f t="shared" ca="1" si="16"/>
        <v>0</v>
      </c>
      <c r="R258" t="str">
        <f ca="1">IF($Q258=1,SUM($Q$4:$Q258),"")</f>
        <v/>
      </c>
    </row>
    <row r="259" spans="1:18" ht="45" customHeight="1" x14ac:dyDescent="0.3">
      <c r="A259" s="2"/>
      <c r="B259" s="2"/>
      <c r="C259" s="3"/>
      <c r="D259" s="3"/>
      <c r="E259" s="2"/>
      <c r="F259" s="2"/>
      <c r="G259" s="5"/>
      <c r="H259" s="5"/>
      <c r="I259" s="4"/>
      <c r="J259" s="6" t="str">
        <f t="shared" si="13"/>
        <v/>
      </c>
      <c r="K259" s="4" t="str">
        <f t="shared" ca="1" si="17"/>
        <v/>
      </c>
      <c r="L259" s="7" t="str">
        <f t="shared" ca="1" si="15"/>
        <v/>
      </c>
      <c r="M259" s="4" t="str">
        <f>IF($I259="Complete","Green",IF($H259="","Amber",IF($H259&lt;'[2]Read Me'!$B$4,"Red",IF($H259-'[2]Read Me'!$B$4&lt;=21,"Amber","Green"))))</f>
        <v>Amber</v>
      </c>
      <c r="N259" s="3"/>
      <c r="O259" t="str">
        <f>IF($I259&lt;&gt;"Complete",IF(COUNTIFS($A$4:$A258,$A259,$B$4:$B258,$B259,$I$4:$I258,"&lt;&gt;Complete")=0,$A259&amp;"|"&amp;$B259,""),"")</f>
        <v>|</v>
      </c>
      <c r="P259" t="str">
        <f ca="1">IF($K259="Yes",COUNTIFS($K$4:$K259,"Yes"),"")</f>
        <v/>
      </c>
      <c r="Q259">
        <f t="shared" ca="1" si="16"/>
        <v>0</v>
      </c>
      <c r="R259" t="str">
        <f ca="1">IF($Q259=1,SUM($Q$4:$Q259),"")</f>
        <v/>
      </c>
    </row>
    <row r="260" spans="1:18" ht="45" customHeight="1" x14ac:dyDescent="0.3">
      <c r="A260" s="2"/>
      <c r="B260" s="2"/>
      <c r="C260" s="3"/>
      <c r="D260" s="3"/>
      <c r="E260" s="2"/>
      <c r="F260" s="2"/>
      <c r="G260" s="5"/>
      <c r="H260" s="5"/>
      <c r="I260" s="4"/>
      <c r="J260" s="6" t="str">
        <f t="shared" ref="J260:J312" si="18">IF(OR($G260="",$H260=""),"",$H260-$G260)</f>
        <v/>
      </c>
      <c r="K260" s="4" t="str">
        <f t="shared" ca="1" si="17"/>
        <v/>
      </c>
      <c r="L260" s="7" t="str">
        <f t="shared" ref="L260:L323" ca="1" si="19">IF(I260="Completed",0,IF(H260="","",H260-TODAY()))</f>
        <v/>
      </c>
      <c r="M260" s="4" t="str">
        <f>IF($I260="Complete","Green",IF($H260="","Amber",IF($H260&lt;'[2]Read Me'!$B$4,"Red",IF($H260-'[2]Read Me'!$B$4&lt;=21,"Amber","Green"))))</f>
        <v>Amber</v>
      </c>
      <c r="N260" s="3"/>
      <c r="O260" t="str">
        <f>IF($I260&lt;&gt;"Complete",IF(COUNTIFS($A$4:$A259,$A260,$B$4:$B259,$B260,$I$4:$I259,"&lt;&gt;Complete")=0,$A260&amp;"|"&amp;$B260,""),"")</f>
        <v>|</v>
      </c>
      <c r="P260" t="str">
        <f ca="1">IF($K260="Yes",COUNTIFS($K$4:$K260,"Yes"),"")</f>
        <v/>
      </c>
      <c r="Q260">
        <f t="shared" ref="Q260:Q312" ca="1" si="20">IF(OR($I260="In Progress",$K260="Yes"),1,0)</f>
        <v>0</v>
      </c>
      <c r="R260" t="str">
        <f ca="1">IF($Q260=1,SUM($Q$4:$Q260),"")</f>
        <v/>
      </c>
    </row>
    <row r="261" spans="1:18" ht="45" customHeight="1" x14ac:dyDescent="0.3">
      <c r="A261" s="2"/>
      <c r="B261" s="2"/>
      <c r="C261" s="3"/>
      <c r="D261" s="3"/>
      <c r="E261" s="2"/>
      <c r="F261" s="2"/>
      <c r="G261" s="5"/>
      <c r="H261" s="5"/>
      <c r="I261" s="4"/>
      <c r="J261" s="6" t="str">
        <f t="shared" si="18"/>
        <v/>
      </c>
      <c r="K261" s="4" t="str">
        <f t="shared" ref="K261:K264" ca="1" si="21">IF($H261="","",IF($H261&gt;TODAY(),"No","Yes"))</f>
        <v/>
      </c>
      <c r="L261" s="7" t="str">
        <f t="shared" ca="1" si="19"/>
        <v/>
      </c>
      <c r="M261" s="4" t="str">
        <f>IF($I261="Complete","Green",IF($H261="","Amber",IF($H261&lt;'[2]Read Me'!$B$4,"Red",IF($H261-'[2]Read Me'!$B$4&lt;=21,"Amber","Green"))))</f>
        <v>Amber</v>
      </c>
      <c r="N261" s="3"/>
      <c r="O261" t="str">
        <f>IF($I261&lt;&gt;"Complete",IF(COUNTIFS($A$4:$A260,$A261,$B$4:$B260,$B261,$I$4:$I260,"&lt;&gt;Complete")=0,$A261&amp;"|"&amp;$B261,""),"")</f>
        <v>|</v>
      </c>
      <c r="P261" t="str">
        <f ca="1">IF($K261="Yes",COUNTIFS($K$4:$K261,"Yes"),"")</f>
        <v/>
      </c>
      <c r="Q261">
        <f t="shared" ca="1" si="20"/>
        <v>0</v>
      </c>
      <c r="R261" t="str">
        <f ca="1">IF($Q261=1,SUM($Q$4:$Q261),"")</f>
        <v/>
      </c>
    </row>
    <row r="262" spans="1:18" ht="45" customHeight="1" x14ac:dyDescent="0.3">
      <c r="A262" s="2"/>
      <c r="B262" s="2"/>
      <c r="C262" s="3"/>
      <c r="D262" s="3"/>
      <c r="E262" s="2"/>
      <c r="F262" s="2"/>
      <c r="G262" s="5"/>
      <c r="H262" s="5"/>
      <c r="I262" s="4"/>
      <c r="J262" s="6" t="str">
        <f t="shared" si="18"/>
        <v/>
      </c>
      <c r="K262" s="4" t="str">
        <f t="shared" ca="1" si="21"/>
        <v/>
      </c>
      <c r="L262" s="7" t="str">
        <f t="shared" ca="1" si="19"/>
        <v/>
      </c>
      <c r="M262" s="4" t="str">
        <f>IF($I262="Complete","Green",IF($H262="","Amber",IF($H262&lt;'[2]Read Me'!$B$4,"Red",IF($H262-'[2]Read Me'!$B$4&lt;=21,"Amber","Green"))))</f>
        <v>Amber</v>
      </c>
      <c r="N262" s="3"/>
      <c r="O262" t="str">
        <f>IF($I262&lt;&gt;"Complete",IF(COUNTIFS($A$4:$A261,$A262,$B$4:$B261,$B262,$I$4:$I261,"&lt;&gt;Complete")=0,$A262&amp;"|"&amp;$B262,""),"")</f>
        <v>|</v>
      </c>
      <c r="P262" t="str">
        <f ca="1">IF($K262="Yes",COUNTIFS($K$4:$K262,"Yes"),"")</f>
        <v/>
      </c>
      <c r="Q262">
        <f t="shared" ca="1" si="20"/>
        <v>0</v>
      </c>
      <c r="R262" t="str">
        <f ca="1">IF($Q262=1,SUM($Q$4:$Q262),"")</f>
        <v/>
      </c>
    </row>
    <row r="263" spans="1:18" ht="45" customHeight="1" x14ac:dyDescent="0.3">
      <c r="A263" s="2"/>
      <c r="B263" s="2"/>
      <c r="C263" s="3"/>
      <c r="D263" s="3"/>
      <c r="E263" s="2"/>
      <c r="F263" s="2"/>
      <c r="G263" s="5"/>
      <c r="H263" s="5"/>
      <c r="I263" s="4"/>
      <c r="J263" s="6" t="str">
        <f t="shared" si="18"/>
        <v/>
      </c>
      <c r="K263" s="4" t="str">
        <f t="shared" ca="1" si="21"/>
        <v/>
      </c>
      <c r="L263" s="7" t="str">
        <f t="shared" ca="1" si="19"/>
        <v/>
      </c>
      <c r="M263" s="4" t="str">
        <f>IF($I263="Complete","Green",IF($H263="","Amber",IF($H263&lt;'[2]Read Me'!$B$4,"Red",IF($H263-'[2]Read Me'!$B$4&lt;=21,"Amber","Green"))))</f>
        <v>Amber</v>
      </c>
      <c r="N263" s="3"/>
      <c r="O263" t="str">
        <f>IF($I263&lt;&gt;"Complete",IF(COUNTIFS($A$4:$A262,$A263,$B$4:$B262,$B263,$I$4:$I262,"&lt;&gt;Complete")=0,$A263&amp;"|"&amp;$B263,""),"")</f>
        <v>|</v>
      </c>
      <c r="P263" t="str">
        <f ca="1">IF($K263="Yes",COUNTIFS($K$4:$K263,"Yes"),"")</f>
        <v/>
      </c>
      <c r="Q263">
        <f t="shared" ca="1" si="20"/>
        <v>0</v>
      </c>
      <c r="R263" t="str">
        <f ca="1">IF($Q263=1,SUM($Q$4:$Q263),"")</f>
        <v/>
      </c>
    </row>
    <row r="264" spans="1:18" ht="45" customHeight="1" x14ac:dyDescent="0.3">
      <c r="A264" s="2"/>
      <c r="B264" s="2"/>
      <c r="C264" s="3"/>
      <c r="D264" s="3"/>
      <c r="E264" s="2"/>
      <c r="F264" s="2"/>
      <c r="G264" s="5"/>
      <c r="H264" s="5"/>
      <c r="I264" s="4"/>
      <c r="J264" s="6" t="str">
        <f t="shared" si="18"/>
        <v/>
      </c>
      <c r="K264" s="4" t="str">
        <f t="shared" ca="1" si="21"/>
        <v/>
      </c>
      <c r="L264" s="7" t="str">
        <f t="shared" ca="1" si="19"/>
        <v/>
      </c>
      <c r="M264" s="4" t="str">
        <f>IF($I264="Complete","Green",IF($H264="","Amber",IF($H264&lt;'[2]Read Me'!$B$4,"Red",IF($H264-'[2]Read Me'!$B$4&lt;=21,"Amber","Green"))))</f>
        <v>Amber</v>
      </c>
      <c r="N264" s="3"/>
      <c r="O264" t="str">
        <f>IF($I264&lt;&gt;"Complete",IF(COUNTIFS($A$4:$A263,$A264,$B$4:$B263,$B264,$I$4:$I263,"&lt;&gt;Complete")=0,$A264&amp;"|"&amp;$B264,""),"")</f>
        <v>|</v>
      </c>
      <c r="P264" t="str">
        <f ca="1">IF($K264="Yes",COUNTIFS($K$4:$K264,"Yes"),"")</f>
        <v/>
      </c>
      <c r="Q264">
        <f t="shared" ca="1" si="20"/>
        <v>0</v>
      </c>
      <c r="R264" t="str">
        <f ca="1">IF($Q264=1,SUM($Q$4:$Q264),"")</f>
        <v/>
      </c>
    </row>
    <row r="265" spans="1:18" ht="45" customHeight="1" x14ac:dyDescent="0.3">
      <c r="A265" s="2"/>
      <c r="B265" s="2"/>
      <c r="C265" s="3"/>
      <c r="D265" s="3"/>
      <c r="E265" s="2"/>
      <c r="F265" s="2"/>
      <c r="G265" s="5"/>
      <c r="H265" s="5"/>
      <c r="I265" s="4"/>
      <c r="J265" s="6" t="str">
        <f t="shared" si="18"/>
        <v/>
      </c>
      <c r="K265" s="4" t="str">
        <f t="shared" ref="K265:K312" ca="1" si="22">IF($H265="","",IF($H265&lt;TODAY(),"No","Yes"))</f>
        <v/>
      </c>
      <c r="L265" s="7" t="str">
        <f t="shared" ca="1" si="19"/>
        <v/>
      </c>
      <c r="M265" s="4" t="str">
        <f>IF($I265="Complete","Green",IF($H265="","Amber",IF($H265&lt;'[2]Read Me'!$B$4,"Red",IF($H265-'[2]Read Me'!$B$4&lt;=21,"Amber","Green"))))</f>
        <v>Amber</v>
      </c>
      <c r="N265" s="3"/>
      <c r="O265" t="str">
        <f>IF($I265&lt;&gt;"Complete",IF(COUNTIFS($A$4:$A264,$A265,$B$4:$B264,$B265,$I$4:$I264,"&lt;&gt;Complete")=0,$A265&amp;"|"&amp;$B265,""),"")</f>
        <v>|</v>
      </c>
      <c r="P265" t="str">
        <f ca="1">IF($K265="Yes",COUNTIFS($K$4:$K265,"Yes"),"")</f>
        <v/>
      </c>
      <c r="Q265">
        <f t="shared" ca="1" si="20"/>
        <v>0</v>
      </c>
      <c r="R265" t="str">
        <f ca="1">IF($Q265=1,SUM($Q$4:$Q265),"")</f>
        <v/>
      </c>
    </row>
    <row r="266" spans="1:18" ht="45" customHeight="1" x14ac:dyDescent="0.3">
      <c r="A266" s="2"/>
      <c r="B266" s="2"/>
      <c r="C266" s="3"/>
      <c r="D266" s="3"/>
      <c r="E266" s="2"/>
      <c r="F266" s="2"/>
      <c r="G266" s="5"/>
      <c r="H266" s="5"/>
      <c r="I266" s="4"/>
      <c r="J266" s="6" t="str">
        <f t="shared" si="18"/>
        <v/>
      </c>
      <c r="K266" s="4" t="str">
        <f t="shared" ca="1" si="22"/>
        <v/>
      </c>
      <c r="L266" s="7" t="str">
        <f t="shared" ca="1" si="19"/>
        <v/>
      </c>
      <c r="M266" s="4" t="str">
        <f>IF($I266="Complete","Green",IF($H266="","Amber",IF($H266&lt;'[2]Read Me'!$B$4,"Red",IF($H266-'[2]Read Me'!$B$4&lt;=21,"Amber","Green"))))</f>
        <v>Amber</v>
      </c>
      <c r="N266" s="3"/>
      <c r="O266" t="str">
        <f>IF($I266&lt;&gt;"Complete",IF(COUNTIFS($A$4:$A265,$A266,$B$4:$B265,$B266,$I$4:$I265,"&lt;&gt;Complete")=0,$A266&amp;"|"&amp;$B266,""),"")</f>
        <v>|</v>
      </c>
      <c r="P266" t="str">
        <f ca="1">IF($K266="Yes",COUNTIFS($K$4:$K266,"Yes"),"")</f>
        <v/>
      </c>
      <c r="Q266">
        <f t="shared" ca="1" si="20"/>
        <v>0</v>
      </c>
      <c r="R266" t="str">
        <f ca="1">IF($Q266=1,SUM($Q$4:$Q266),"")</f>
        <v/>
      </c>
    </row>
    <row r="267" spans="1:18" ht="45" customHeight="1" x14ac:dyDescent="0.3">
      <c r="A267" s="2"/>
      <c r="B267" s="2"/>
      <c r="C267" s="3"/>
      <c r="D267" s="3"/>
      <c r="E267" s="2"/>
      <c r="F267" s="2"/>
      <c r="G267" s="5"/>
      <c r="H267" s="5"/>
      <c r="I267" s="4"/>
      <c r="J267" s="6" t="str">
        <f t="shared" si="18"/>
        <v/>
      </c>
      <c r="K267" s="4" t="str">
        <f t="shared" ca="1" si="22"/>
        <v/>
      </c>
      <c r="L267" s="7" t="str">
        <f t="shared" ca="1" si="19"/>
        <v/>
      </c>
      <c r="M267" s="4" t="str">
        <f>IF($I267="Complete","Green",IF($H267="","Amber",IF($H267&lt;'[2]Read Me'!$B$4,"Red",IF($H267-'[2]Read Me'!$B$4&lt;=21,"Amber","Green"))))</f>
        <v>Amber</v>
      </c>
      <c r="N267" s="3"/>
      <c r="O267" t="str">
        <f>IF($I267&lt;&gt;"Complete",IF(COUNTIFS($A$4:$A266,$A267,$B$4:$B266,$B267,$I$4:$I266,"&lt;&gt;Complete")=0,$A267&amp;"|"&amp;$B267,""),"")</f>
        <v>|</v>
      </c>
      <c r="P267" t="str">
        <f ca="1">IF($K267="Yes",COUNTIFS($K$4:$K267,"Yes"),"")</f>
        <v/>
      </c>
      <c r="Q267">
        <f t="shared" ca="1" si="20"/>
        <v>0</v>
      </c>
      <c r="R267" t="str">
        <f ca="1">IF($Q267=1,SUM($Q$4:$Q267),"")</f>
        <v/>
      </c>
    </row>
    <row r="268" spans="1:18" ht="14.25" customHeight="1" x14ac:dyDescent="0.3">
      <c r="A268" s="2"/>
      <c r="B268" s="2"/>
      <c r="C268" s="3"/>
      <c r="D268" s="3"/>
      <c r="E268" s="2"/>
      <c r="F268" s="2"/>
      <c r="G268" s="5"/>
      <c r="H268" s="5"/>
      <c r="I268" s="4"/>
      <c r="J268" s="6" t="str">
        <f t="shared" si="18"/>
        <v/>
      </c>
      <c r="K268" s="4" t="str">
        <f t="shared" ca="1" si="22"/>
        <v/>
      </c>
      <c r="L268" s="7" t="str">
        <f t="shared" ca="1" si="19"/>
        <v/>
      </c>
      <c r="M268" s="4" t="str">
        <f>IF($I268="Complete","Green",IF($H268="","Amber",IF($H268&lt;'[2]Read Me'!$B$4,"Red",IF($H268-'[2]Read Me'!$B$4&lt;=21,"Amber","Green"))))</f>
        <v>Amber</v>
      </c>
      <c r="N268" s="3"/>
      <c r="O268" t="str">
        <f>IF($I268&lt;&gt;"Complete",IF(COUNTIFS($A$4:$A267,$A268,$B$4:$B267,$B268,$I$4:$I267,"&lt;&gt;Complete")=0,$A268&amp;"|"&amp;$B268,""),"")</f>
        <v>|</v>
      </c>
      <c r="P268" t="str">
        <f ca="1">IF($K268="Yes",COUNTIFS($K$4:$K268,"Yes"),"")</f>
        <v/>
      </c>
      <c r="Q268">
        <f t="shared" ca="1" si="20"/>
        <v>0</v>
      </c>
      <c r="R268" t="str">
        <f ca="1">IF($Q268=1,SUM($Q$4:$Q268),"")</f>
        <v/>
      </c>
    </row>
    <row r="269" spans="1:18" ht="14.25" customHeight="1" x14ac:dyDescent="0.3">
      <c r="A269" s="2"/>
      <c r="B269" s="2"/>
      <c r="C269" s="3"/>
      <c r="D269" s="3"/>
      <c r="E269" s="2"/>
      <c r="F269" s="2"/>
      <c r="G269" s="5"/>
      <c r="H269" s="5"/>
      <c r="I269" s="4"/>
      <c r="J269" s="6" t="str">
        <f t="shared" si="18"/>
        <v/>
      </c>
      <c r="K269" s="4" t="str">
        <f t="shared" ca="1" si="22"/>
        <v/>
      </c>
      <c r="L269" s="7" t="str">
        <f t="shared" ca="1" si="19"/>
        <v/>
      </c>
      <c r="M269" s="4" t="str">
        <f>IF($I269="Complete","Green",IF($H269="","Amber",IF($H269&lt;'[2]Read Me'!$B$4,"Red",IF($H269-'[2]Read Me'!$B$4&lt;=21,"Amber","Green"))))</f>
        <v>Amber</v>
      </c>
      <c r="N269" s="3"/>
      <c r="O269" t="str">
        <f>IF($I269&lt;&gt;"Complete",IF(COUNTIFS($A$4:$A268,$A269,$B$4:$B268,$B269,$I$4:$I268,"&lt;&gt;Complete")=0,$A269&amp;"|"&amp;$B269,""),"")</f>
        <v>|</v>
      </c>
      <c r="P269" t="str">
        <f ca="1">IF($K269="Yes",COUNTIFS($K$4:$K269,"Yes"),"")</f>
        <v/>
      </c>
      <c r="Q269">
        <f t="shared" ca="1" si="20"/>
        <v>0</v>
      </c>
      <c r="R269" t="str">
        <f ca="1">IF($Q269=1,SUM($Q$4:$Q269),"")</f>
        <v/>
      </c>
    </row>
    <row r="270" spans="1:18" ht="14.25" customHeight="1" x14ac:dyDescent="0.3">
      <c r="A270" s="2"/>
      <c r="B270" s="2"/>
      <c r="C270" s="3"/>
      <c r="D270" s="3"/>
      <c r="E270" s="2"/>
      <c r="F270" s="2"/>
      <c r="G270" s="5"/>
      <c r="H270" s="5"/>
      <c r="I270" s="4"/>
      <c r="J270" s="6" t="str">
        <f t="shared" si="18"/>
        <v/>
      </c>
      <c r="K270" s="4" t="str">
        <f t="shared" ca="1" si="22"/>
        <v/>
      </c>
      <c r="L270" s="7" t="str">
        <f t="shared" ca="1" si="19"/>
        <v/>
      </c>
      <c r="M270" s="4" t="str">
        <f>IF($I270="Complete","Green",IF($H270="","Amber",IF($H270&lt;'[2]Read Me'!$B$4,"Red",IF($H270-'[2]Read Me'!$B$4&lt;=21,"Amber","Green"))))</f>
        <v>Amber</v>
      </c>
      <c r="N270" s="3"/>
      <c r="O270" t="str">
        <f>IF($I270&lt;&gt;"Complete",IF(COUNTIFS($A$4:$A269,$A270,$B$4:$B269,$B270,$I$4:$I269,"&lt;&gt;Complete")=0,$A270&amp;"|"&amp;$B270,""),"")</f>
        <v>|</v>
      </c>
      <c r="P270" t="str">
        <f ca="1">IF($K270="Yes",COUNTIFS($K$4:$K270,"Yes"),"")</f>
        <v/>
      </c>
      <c r="Q270">
        <f t="shared" ca="1" si="20"/>
        <v>0</v>
      </c>
      <c r="R270" t="str">
        <f ca="1">IF($Q270=1,SUM($Q$4:$Q270),"")</f>
        <v/>
      </c>
    </row>
    <row r="271" spans="1:18" ht="14.25" customHeight="1" x14ac:dyDescent="0.3">
      <c r="A271" s="2"/>
      <c r="B271" s="2"/>
      <c r="C271" s="3"/>
      <c r="D271" s="3"/>
      <c r="E271" s="2"/>
      <c r="F271" s="2"/>
      <c r="G271" s="5"/>
      <c r="H271" s="5"/>
      <c r="I271" s="4"/>
      <c r="J271" s="6" t="str">
        <f t="shared" si="18"/>
        <v/>
      </c>
      <c r="K271" s="4" t="str">
        <f t="shared" ca="1" si="22"/>
        <v/>
      </c>
      <c r="L271" s="7" t="str">
        <f t="shared" ca="1" si="19"/>
        <v/>
      </c>
      <c r="M271" s="4" t="str">
        <f>IF($I271="Complete","Green",IF($H271="","Amber",IF($H271&lt;'[2]Read Me'!$B$4,"Red",IF($H271-'[2]Read Me'!$B$4&lt;=21,"Amber","Green"))))</f>
        <v>Amber</v>
      </c>
      <c r="N271" s="3"/>
      <c r="O271" t="str">
        <f>IF($I271&lt;&gt;"Complete",IF(COUNTIFS($A$4:$A270,$A271,$B$4:$B270,$B271,$I$4:$I270,"&lt;&gt;Complete")=0,$A271&amp;"|"&amp;$B271,""),"")</f>
        <v>|</v>
      </c>
      <c r="P271" t="str">
        <f ca="1">IF($K271="Yes",COUNTIFS($K$4:$K271,"Yes"),"")</f>
        <v/>
      </c>
      <c r="Q271">
        <f t="shared" ca="1" si="20"/>
        <v>0</v>
      </c>
      <c r="R271" t="str">
        <f ca="1">IF($Q271=1,SUM($Q$4:$Q271),"")</f>
        <v/>
      </c>
    </row>
    <row r="272" spans="1:18" ht="14.25" customHeight="1" x14ac:dyDescent="0.3">
      <c r="A272" s="2"/>
      <c r="B272" s="2"/>
      <c r="C272" s="3"/>
      <c r="D272" s="3"/>
      <c r="E272" s="2"/>
      <c r="F272" s="2"/>
      <c r="G272" s="5"/>
      <c r="H272" s="5"/>
      <c r="I272" s="4"/>
      <c r="J272" s="6" t="str">
        <f t="shared" si="18"/>
        <v/>
      </c>
      <c r="K272" s="4" t="str">
        <f t="shared" ca="1" si="22"/>
        <v/>
      </c>
      <c r="L272" s="7" t="str">
        <f t="shared" ca="1" si="19"/>
        <v/>
      </c>
      <c r="M272" s="4" t="str">
        <f>IF($I272="Complete","Green",IF($H272="","Amber",IF($H272&lt;'[2]Read Me'!$B$4,"Red",IF($H272-'[2]Read Me'!$B$4&lt;=21,"Amber","Green"))))</f>
        <v>Amber</v>
      </c>
      <c r="N272" s="3"/>
      <c r="O272" t="str">
        <f>IF($I272&lt;&gt;"Complete",IF(COUNTIFS($A$4:$A271,$A272,$B$4:$B271,$B272,$I$4:$I271,"&lt;&gt;Complete")=0,$A272&amp;"|"&amp;$B272,""),"")</f>
        <v>|</v>
      </c>
      <c r="P272" t="str">
        <f ca="1">IF($K272="Yes",COUNTIFS($K$4:$K272,"Yes"),"")</f>
        <v/>
      </c>
      <c r="Q272">
        <f t="shared" ca="1" si="20"/>
        <v>0</v>
      </c>
      <c r="R272" t="str">
        <f ca="1">IF($Q272=1,SUM($Q$4:$Q272),"")</f>
        <v/>
      </c>
    </row>
    <row r="273" spans="1:18" ht="14.25" customHeight="1" x14ac:dyDescent="0.3">
      <c r="A273" s="2"/>
      <c r="B273" s="2"/>
      <c r="C273" s="3"/>
      <c r="D273" s="3"/>
      <c r="E273" s="2"/>
      <c r="F273" s="2"/>
      <c r="G273" s="5"/>
      <c r="H273" s="5"/>
      <c r="I273" s="4"/>
      <c r="J273" s="6" t="str">
        <f t="shared" si="18"/>
        <v/>
      </c>
      <c r="K273" s="4" t="str">
        <f t="shared" ca="1" si="22"/>
        <v/>
      </c>
      <c r="L273" s="7" t="str">
        <f t="shared" ca="1" si="19"/>
        <v/>
      </c>
      <c r="M273" s="4" t="str">
        <f>IF($I273="Complete","Green",IF($H273="","Amber",IF($H273&lt;'[2]Read Me'!$B$4,"Red",IF($H273-'[2]Read Me'!$B$4&lt;=21,"Amber","Green"))))</f>
        <v>Amber</v>
      </c>
      <c r="N273" s="3"/>
      <c r="O273" t="str">
        <f>IF($I273&lt;&gt;"Complete",IF(COUNTIFS($A$4:$A272,$A273,$B$4:$B272,$B273,$I$4:$I272,"&lt;&gt;Complete")=0,$A273&amp;"|"&amp;$B273,""),"")</f>
        <v>|</v>
      </c>
      <c r="P273" t="str">
        <f ca="1">IF($K273="Yes",COUNTIFS($K$4:$K273,"Yes"),"")</f>
        <v/>
      </c>
      <c r="Q273">
        <f t="shared" ca="1" si="20"/>
        <v>0</v>
      </c>
      <c r="R273" t="str">
        <f ca="1">IF($Q273=1,SUM($Q$4:$Q273),"")</f>
        <v/>
      </c>
    </row>
    <row r="274" spans="1:18" ht="14.25" customHeight="1" x14ac:dyDescent="0.3">
      <c r="A274" s="2"/>
      <c r="B274" s="2"/>
      <c r="C274" s="3"/>
      <c r="D274" s="3"/>
      <c r="E274" s="2"/>
      <c r="F274" s="2"/>
      <c r="G274" s="5"/>
      <c r="H274" s="5"/>
      <c r="I274" s="4"/>
      <c r="J274" s="6" t="str">
        <f t="shared" si="18"/>
        <v/>
      </c>
      <c r="K274" s="4" t="str">
        <f t="shared" ca="1" si="22"/>
        <v/>
      </c>
      <c r="L274" s="7" t="str">
        <f t="shared" ca="1" si="19"/>
        <v/>
      </c>
      <c r="M274" s="4" t="str">
        <f>IF($I274="Complete","Green",IF($H274="","Amber",IF($H274&lt;'[2]Read Me'!$B$4,"Red",IF($H274-'[2]Read Me'!$B$4&lt;=21,"Amber","Green"))))</f>
        <v>Amber</v>
      </c>
      <c r="N274" s="3"/>
      <c r="O274" t="str">
        <f>IF($I274&lt;&gt;"Complete",IF(COUNTIFS($A$4:$A273,$A274,$B$4:$B273,$B274,$I$4:$I273,"&lt;&gt;Complete")=0,$A274&amp;"|"&amp;$B274,""),"")</f>
        <v>|</v>
      </c>
      <c r="P274" t="str">
        <f ca="1">IF($K274="Yes",COUNTIFS($K$4:$K274,"Yes"),"")</f>
        <v/>
      </c>
      <c r="Q274">
        <f t="shared" ca="1" si="20"/>
        <v>0</v>
      </c>
      <c r="R274" t="str">
        <f ca="1">IF($Q274=1,SUM($Q$4:$Q274),"")</f>
        <v/>
      </c>
    </row>
    <row r="275" spans="1:18" ht="14.25" customHeight="1" x14ac:dyDescent="0.3">
      <c r="A275" s="2"/>
      <c r="B275" s="2"/>
      <c r="C275" s="3"/>
      <c r="D275" s="3"/>
      <c r="E275" s="2"/>
      <c r="F275" s="2"/>
      <c r="G275" s="5"/>
      <c r="H275" s="5"/>
      <c r="I275" s="4"/>
      <c r="J275" s="6" t="str">
        <f t="shared" si="18"/>
        <v/>
      </c>
      <c r="K275" s="4" t="str">
        <f t="shared" ca="1" si="22"/>
        <v/>
      </c>
      <c r="L275" s="7" t="str">
        <f t="shared" ca="1" si="19"/>
        <v/>
      </c>
      <c r="M275" s="4" t="str">
        <f>IF($I275="Complete","Green",IF($H275="","Amber",IF($H275&lt;'[2]Read Me'!$B$4,"Red",IF($H275-'[2]Read Me'!$B$4&lt;=21,"Amber","Green"))))</f>
        <v>Amber</v>
      </c>
      <c r="N275" s="3"/>
      <c r="O275" t="str">
        <f>IF($I275&lt;&gt;"Complete",IF(COUNTIFS($A$4:$A274,$A275,$B$4:$B274,$B275,$I$4:$I274,"&lt;&gt;Complete")=0,$A275&amp;"|"&amp;$B275,""),"")</f>
        <v>|</v>
      </c>
      <c r="P275" t="str">
        <f ca="1">IF($K275="Yes",COUNTIFS($K$4:$K275,"Yes"),"")</f>
        <v/>
      </c>
      <c r="Q275">
        <f t="shared" ca="1" si="20"/>
        <v>0</v>
      </c>
      <c r="R275" t="str">
        <f ca="1">IF($Q275=1,SUM($Q$4:$Q275),"")</f>
        <v/>
      </c>
    </row>
    <row r="276" spans="1:18" ht="14.25" customHeight="1" x14ac:dyDescent="0.3">
      <c r="A276" s="2"/>
      <c r="B276" s="2"/>
      <c r="C276" s="3"/>
      <c r="D276" s="3"/>
      <c r="E276" s="2"/>
      <c r="F276" s="2"/>
      <c r="G276" s="5"/>
      <c r="H276" s="5"/>
      <c r="I276" s="4"/>
      <c r="J276" s="6" t="str">
        <f t="shared" si="18"/>
        <v/>
      </c>
      <c r="K276" s="4" t="str">
        <f t="shared" ca="1" si="22"/>
        <v/>
      </c>
      <c r="L276" s="7" t="str">
        <f t="shared" ca="1" si="19"/>
        <v/>
      </c>
      <c r="M276" s="4" t="str">
        <f>IF($I276="Complete","Green",IF($H276="","Amber",IF($H276&lt;'[2]Read Me'!$B$4,"Red",IF($H276-'[2]Read Me'!$B$4&lt;=21,"Amber","Green"))))</f>
        <v>Amber</v>
      </c>
      <c r="N276" s="3"/>
      <c r="O276" t="str">
        <f>IF($I276&lt;&gt;"Complete",IF(COUNTIFS($A$4:$A275,$A276,$B$4:$B275,$B276,$I$4:$I275,"&lt;&gt;Complete")=0,$A276&amp;"|"&amp;$B276,""),"")</f>
        <v>|</v>
      </c>
      <c r="P276" t="str">
        <f ca="1">IF($K276="Yes",COUNTIFS($K$4:$K276,"Yes"),"")</f>
        <v/>
      </c>
      <c r="Q276">
        <f t="shared" ca="1" si="20"/>
        <v>0</v>
      </c>
      <c r="R276" t="str">
        <f ca="1">IF($Q276=1,SUM($Q$4:$Q276),"")</f>
        <v/>
      </c>
    </row>
    <row r="277" spans="1:18" ht="14.25" customHeight="1" x14ac:dyDescent="0.3">
      <c r="A277" s="2"/>
      <c r="B277" s="2"/>
      <c r="C277" s="3"/>
      <c r="D277" s="3"/>
      <c r="E277" s="2"/>
      <c r="F277" s="2"/>
      <c r="G277" s="5"/>
      <c r="H277" s="5"/>
      <c r="I277" s="4"/>
      <c r="J277" s="6" t="str">
        <f t="shared" si="18"/>
        <v/>
      </c>
      <c r="K277" s="4" t="str">
        <f t="shared" ca="1" si="22"/>
        <v/>
      </c>
      <c r="L277" s="7" t="str">
        <f t="shared" ca="1" si="19"/>
        <v/>
      </c>
      <c r="M277" s="4" t="str">
        <f>IF($I277="Complete","Green",IF($H277="","Amber",IF($H277&lt;'[2]Read Me'!$B$4,"Red",IF($H277-'[2]Read Me'!$B$4&lt;=21,"Amber","Green"))))</f>
        <v>Amber</v>
      </c>
      <c r="N277" s="3"/>
      <c r="O277" t="str">
        <f>IF($I277&lt;&gt;"Complete",IF(COUNTIFS($A$4:$A276,$A277,$B$4:$B276,$B277,$I$4:$I276,"&lt;&gt;Complete")=0,$A277&amp;"|"&amp;$B277,""),"")</f>
        <v>|</v>
      </c>
      <c r="P277" t="str">
        <f ca="1">IF($K277="Yes",COUNTIFS($K$4:$K277,"Yes"),"")</f>
        <v/>
      </c>
      <c r="Q277">
        <f t="shared" ca="1" si="20"/>
        <v>0</v>
      </c>
      <c r="R277" t="str">
        <f ca="1">IF($Q277=1,SUM($Q$4:$Q277),"")</f>
        <v/>
      </c>
    </row>
    <row r="278" spans="1:18" ht="14.25" customHeight="1" x14ac:dyDescent="0.3">
      <c r="A278" s="2"/>
      <c r="B278" s="2"/>
      <c r="C278" s="3"/>
      <c r="D278" s="3"/>
      <c r="E278" s="2"/>
      <c r="F278" s="2"/>
      <c r="G278" s="5"/>
      <c r="H278" s="5"/>
      <c r="I278" s="4"/>
      <c r="J278" s="6" t="str">
        <f t="shared" si="18"/>
        <v/>
      </c>
      <c r="K278" s="4" t="str">
        <f t="shared" ca="1" si="22"/>
        <v/>
      </c>
      <c r="L278" s="7" t="str">
        <f t="shared" ca="1" si="19"/>
        <v/>
      </c>
      <c r="M278" s="4" t="str">
        <f>IF($I278="Complete","Green",IF($H278="","Amber",IF($H278&lt;'[2]Read Me'!$B$4,"Red",IF($H278-'[2]Read Me'!$B$4&lt;=21,"Amber","Green"))))</f>
        <v>Amber</v>
      </c>
      <c r="N278" s="3"/>
      <c r="O278" t="str">
        <f>IF($I278&lt;&gt;"Complete",IF(COUNTIFS($A$4:$A277,$A278,$B$4:$B277,$B278,$I$4:$I277,"&lt;&gt;Complete")=0,$A278&amp;"|"&amp;$B278,""),"")</f>
        <v>|</v>
      </c>
      <c r="P278" t="str">
        <f ca="1">IF($K278="Yes",COUNTIFS($K$4:$K278,"Yes"),"")</f>
        <v/>
      </c>
      <c r="Q278">
        <f t="shared" ca="1" si="20"/>
        <v>0</v>
      </c>
      <c r="R278" t="str">
        <f ca="1">IF($Q278=1,SUM($Q$4:$Q278),"")</f>
        <v/>
      </c>
    </row>
    <row r="279" spans="1:18" ht="14.25" customHeight="1" x14ac:dyDescent="0.3">
      <c r="A279" s="2"/>
      <c r="B279" s="2"/>
      <c r="C279" s="3"/>
      <c r="D279" s="3"/>
      <c r="E279" s="2"/>
      <c r="F279" s="2"/>
      <c r="G279" s="5"/>
      <c r="H279" s="5"/>
      <c r="I279" s="4"/>
      <c r="J279" s="6" t="str">
        <f t="shared" si="18"/>
        <v/>
      </c>
      <c r="K279" s="4" t="str">
        <f t="shared" ca="1" si="22"/>
        <v/>
      </c>
      <c r="L279" s="7" t="str">
        <f t="shared" ca="1" si="19"/>
        <v/>
      </c>
      <c r="M279" s="4" t="str">
        <f>IF($I279="Complete","Green",IF($H279="","Amber",IF($H279&lt;'[2]Read Me'!$B$4,"Red",IF($H279-'[2]Read Me'!$B$4&lt;=21,"Amber","Green"))))</f>
        <v>Amber</v>
      </c>
      <c r="N279" s="3"/>
      <c r="O279" t="str">
        <f>IF($I279&lt;&gt;"Complete",IF(COUNTIFS($A$4:$A278,$A279,$B$4:$B278,$B279,$I$4:$I278,"&lt;&gt;Complete")=0,$A279&amp;"|"&amp;$B279,""),"")</f>
        <v>|</v>
      </c>
      <c r="P279" t="str">
        <f ca="1">IF($K279="Yes",COUNTIFS($K$4:$K279,"Yes"),"")</f>
        <v/>
      </c>
      <c r="Q279">
        <f t="shared" ca="1" si="20"/>
        <v>0</v>
      </c>
      <c r="R279" t="str">
        <f ca="1">IF($Q279=1,SUM($Q$4:$Q279),"")</f>
        <v/>
      </c>
    </row>
    <row r="280" spans="1:18" ht="14.25" customHeight="1" x14ac:dyDescent="0.3">
      <c r="A280" s="2"/>
      <c r="B280" s="2"/>
      <c r="C280" s="3"/>
      <c r="D280" s="3"/>
      <c r="E280" s="2"/>
      <c r="F280" s="2"/>
      <c r="G280" s="5"/>
      <c r="H280" s="5"/>
      <c r="I280" s="4"/>
      <c r="J280" s="6" t="str">
        <f t="shared" si="18"/>
        <v/>
      </c>
      <c r="K280" s="4" t="str">
        <f t="shared" ca="1" si="22"/>
        <v/>
      </c>
      <c r="L280" s="7" t="str">
        <f t="shared" ca="1" si="19"/>
        <v/>
      </c>
      <c r="M280" s="4" t="str">
        <f>IF($I280="Complete","Green",IF($H280="","Amber",IF($H280&lt;'[2]Read Me'!$B$4,"Red",IF($H280-'[2]Read Me'!$B$4&lt;=21,"Amber","Green"))))</f>
        <v>Amber</v>
      </c>
      <c r="N280" s="3"/>
      <c r="O280" t="str">
        <f>IF($I280&lt;&gt;"Complete",IF(COUNTIFS($A$4:$A279,$A280,$B$4:$B279,$B280,$I$4:$I279,"&lt;&gt;Complete")=0,$A280&amp;"|"&amp;$B280,""),"")</f>
        <v>|</v>
      </c>
      <c r="P280" t="str">
        <f ca="1">IF($K280="Yes",COUNTIFS($K$4:$K280,"Yes"),"")</f>
        <v/>
      </c>
      <c r="Q280">
        <f t="shared" ca="1" si="20"/>
        <v>0</v>
      </c>
      <c r="R280" t="str">
        <f ca="1">IF($Q280=1,SUM($Q$4:$Q280),"")</f>
        <v/>
      </c>
    </row>
    <row r="281" spans="1:18" ht="14.25" customHeight="1" x14ac:dyDescent="0.3">
      <c r="A281" s="2"/>
      <c r="B281" s="2"/>
      <c r="C281" s="3"/>
      <c r="D281" s="3"/>
      <c r="E281" s="2"/>
      <c r="F281" s="2"/>
      <c r="G281" s="5"/>
      <c r="H281" s="5"/>
      <c r="I281" s="4"/>
      <c r="J281" s="6" t="str">
        <f t="shared" si="18"/>
        <v/>
      </c>
      <c r="K281" s="4" t="str">
        <f t="shared" ca="1" si="22"/>
        <v/>
      </c>
      <c r="L281" s="7" t="str">
        <f t="shared" ca="1" si="19"/>
        <v/>
      </c>
      <c r="M281" s="4" t="str">
        <f>IF($I281="Complete","Green",IF($H281="","Amber",IF($H281&lt;'[2]Read Me'!$B$4,"Red",IF($H281-'[2]Read Me'!$B$4&lt;=21,"Amber","Green"))))</f>
        <v>Amber</v>
      </c>
      <c r="N281" s="3"/>
      <c r="O281" t="str">
        <f>IF($I281&lt;&gt;"Complete",IF(COUNTIFS($A$4:$A280,$A281,$B$4:$B280,$B281,$I$4:$I280,"&lt;&gt;Complete")=0,$A281&amp;"|"&amp;$B281,""),"")</f>
        <v>|</v>
      </c>
      <c r="P281" t="str">
        <f ca="1">IF($K281="Yes",COUNTIFS($K$4:$K281,"Yes"),"")</f>
        <v/>
      </c>
      <c r="Q281">
        <f t="shared" ca="1" si="20"/>
        <v>0</v>
      </c>
      <c r="R281" t="str">
        <f ca="1">IF($Q281=1,SUM($Q$4:$Q281),"")</f>
        <v/>
      </c>
    </row>
    <row r="282" spans="1:18" ht="14.25" customHeight="1" x14ac:dyDescent="0.3">
      <c r="A282" s="2"/>
      <c r="B282" s="2"/>
      <c r="C282" s="3"/>
      <c r="D282" s="3"/>
      <c r="E282" s="2"/>
      <c r="F282" s="2"/>
      <c r="G282" s="5"/>
      <c r="H282" s="5"/>
      <c r="I282" s="4"/>
      <c r="J282" s="6" t="str">
        <f t="shared" si="18"/>
        <v/>
      </c>
      <c r="K282" s="4" t="str">
        <f t="shared" ca="1" si="22"/>
        <v/>
      </c>
      <c r="L282" s="7" t="str">
        <f t="shared" ca="1" si="19"/>
        <v/>
      </c>
      <c r="M282" s="4" t="str">
        <f>IF($I282="Complete","Green",IF($H282="","Amber",IF($H282&lt;'[2]Read Me'!$B$4,"Red",IF($H282-'[2]Read Me'!$B$4&lt;=21,"Amber","Green"))))</f>
        <v>Amber</v>
      </c>
      <c r="N282" s="3"/>
      <c r="O282" t="str">
        <f>IF($I282&lt;&gt;"Complete",IF(COUNTIFS($A$4:$A281,$A282,$B$4:$B281,$B282,$I$4:$I281,"&lt;&gt;Complete")=0,$A282&amp;"|"&amp;$B282,""),"")</f>
        <v>|</v>
      </c>
      <c r="P282" t="str">
        <f ca="1">IF($K282="Yes",COUNTIFS($K$4:$K282,"Yes"),"")</f>
        <v/>
      </c>
      <c r="Q282">
        <f t="shared" ca="1" si="20"/>
        <v>0</v>
      </c>
      <c r="R282" t="str">
        <f ca="1">IF($Q282=1,SUM($Q$4:$Q282),"")</f>
        <v/>
      </c>
    </row>
    <row r="283" spans="1:18" ht="14.25" customHeight="1" x14ac:dyDescent="0.3">
      <c r="A283" s="2"/>
      <c r="B283" s="2"/>
      <c r="C283" s="3"/>
      <c r="D283" s="3"/>
      <c r="E283" s="2"/>
      <c r="F283" s="2"/>
      <c r="G283" s="5"/>
      <c r="H283" s="5"/>
      <c r="I283" s="4"/>
      <c r="J283" s="6" t="str">
        <f t="shared" si="18"/>
        <v/>
      </c>
      <c r="K283" s="4" t="str">
        <f t="shared" ca="1" si="22"/>
        <v/>
      </c>
      <c r="L283" s="7" t="str">
        <f t="shared" ca="1" si="19"/>
        <v/>
      </c>
      <c r="M283" s="4" t="str">
        <f>IF($I283="Complete","Green",IF($H283="","Amber",IF($H283&lt;'[2]Read Me'!$B$4,"Red",IF($H283-'[2]Read Me'!$B$4&lt;=21,"Amber","Green"))))</f>
        <v>Amber</v>
      </c>
      <c r="N283" s="3"/>
      <c r="O283" t="str">
        <f>IF($I283&lt;&gt;"Complete",IF(COUNTIFS($A$4:$A282,$A283,$B$4:$B282,$B283,$I$4:$I282,"&lt;&gt;Complete")=0,$A283&amp;"|"&amp;$B283,""),"")</f>
        <v>|</v>
      </c>
      <c r="P283" t="str">
        <f ca="1">IF($K283="Yes",COUNTIFS($K$4:$K283,"Yes"),"")</f>
        <v/>
      </c>
      <c r="Q283">
        <f t="shared" ca="1" si="20"/>
        <v>0</v>
      </c>
      <c r="R283" t="str">
        <f ca="1">IF($Q283=1,SUM($Q$4:$Q283),"")</f>
        <v/>
      </c>
    </row>
    <row r="284" spans="1:18" ht="14.25" customHeight="1" x14ac:dyDescent="0.3">
      <c r="A284" s="2"/>
      <c r="B284" s="2"/>
      <c r="C284" s="3"/>
      <c r="D284" s="3"/>
      <c r="E284" s="2"/>
      <c r="F284" s="2"/>
      <c r="G284" s="5"/>
      <c r="H284" s="5"/>
      <c r="I284" s="4"/>
      <c r="J284" s="6" t="str">
        <f t="shared" si="18"/>
        <v/>
      </c>
      <c r="K284" s="4" t="str">
        <f t="shared" ca="1" si="22"/>
        <v/>
      </c>
      <c r="L284" s="7" t="str">
        <f t="shared" ca="1" si="19"/>
        <v/>
      </c>
      <c r="M284" s="4" t="str">
        <f>IF($I284="Complete","Green",IF($H284="","Amber",IF($H284&lt;'[2]Read Me'!$B$4,"Red",IF($H284-'[2]Read Me'!$B$4&lt;=21,"Amber","Green"))))</f>
        <v>Amber</v>
      </c>
      <c r="N284" s="3"/>
      <c r="O284" t="str">
        <f>IF($I284&lt;&gt;"Complete",IF(COUNTIFS($A$4:$A283,$A284,$B$4:$B283,$B284,$I$4:$I283,"&lt;&gt;Complete")=0,$A284&amp;"|"&amp;$B284,""),"")</f>
        <v>|</v>
      </c>
      <c r="P284" t="str">
        <f ca="1">IF($K284="Yes",COUNTIFS($K$4:$K284,"Yes"),"")</f>
        <v/>
      </c>
      <c r="Q284">
        <f t="shared" ca="1" si="20"/>
        <v>0</v>
      </c>
      <c r="R284" t="str">
        <f ca="1">IF($Q284=1,SUM($Q$4:$Q284),"")</f>
        <v/>
      </c>
    </row>
    <row r="285" spans="1:18" ht="14.25" customHeight="1" x14ac:dyDescent="0.3">
      <c r="A285" s="2"/>
      <c r="B285" s="2"/>
      <c r="C285" s="3"/>
      <c r="D285" s="3"/>
      <c r="E285" s="2"/>
      <c r="F285" s="2"/>
      <c r="G285" s="5"/>
      <c r="H285" s="5"/>
      <c r="I285" s="4"/>
      <c r="J285" s="6" t="str">
        <f t="shared" si="18"/>
        <v/>
      </c>
      <c r="K285" s="4" t="str">
        <f t="shared" ca="1" si="22"/>
        <v/>
      </c>
      <c r="L285" s="7" t="str">
        <f t="shared" ca="1" si="19"/>
        <v/>
      </c>
      <c r="M285" s="4" t="str">
        <f>IF($I285="Complete","Green",IF($H285="","Amber",IF($H285&lt;'[2]Read Me'!$B$4,"Red",IF($H285-'[2]Read Me'!$B$4&lt;=21,"Amber","Green"))))</f>
        <v>Amber</v>
      </c>
      <c r="N285" s="3"/>
      <c r="O285" t="str">
        <f>IF($I285&lt;&gt;"Complete",IF(COUNTIFS($A$4:$A284,$A285,$B$4:$B284,$B285,$I$4:$I284,"&lt;&gt;Complete")=0,$A285&amp;"|"&amp;$B285,""),"")</f>
        <v>|</v>
      </c>
      <c r="P285" t="str">
        <f ca="1">IF($K285="Yes",COUNTIFS($K$4:$K285,"Yes"),"")</f>
        <v/>
      </c>
      <c r="Q285">
        <f t="shared" ca="1" si="20"/>
        <v>0</v>
      </c>
      <c r="R285" t="str">
        <f ca="1">IF($Q285=1,SUM($Q$4:$Q285),"")</f>
        <v/>
      </c>
    </row>
    <row r="286" spans="1:18" ht="14.25" customHeight="1" x14ac:dyDescent="0.3">
      <c r="A286" s="2"/>
      <c r="B286" s="2"/>
      <c r="C286" s="3"/>
      <c r="D286" s="3"/>
      <c r="E286" s="2"/>
      <c r="F286" s="2"/>
      <c r="G286" s="5"/>
      <c r="H286" s="5"/>
      <c r="I286" s="4"/>
      <c r="J286" s="6" t="str">
        <f t="shared" si="18"/>
        <v/>
      </c>
      <c r="K286" s="4" t="str">
        <f t="shared" ca="1" si="22"/>
        <v/>
      </c>
      <c r="L286" s="7" t="str">
        <f t="shared" ca="1" si="19"/>
        <v/>
      </c>
      <c r="M286" s="4" t="str">
        <f>IF($I286="Complete","Green",IF($H286="","Amber",IF($H286&lt;'[2]Read Me'!$B$4,"Red",IF($H286-'[2]Read Me'!$B$4&lt;=21,"Amber","Green"))))</f>
        <v>Amber</v>
      </c>
      <c r="N286" s="3"/>
      <c r="O286" t="str">
        <f>IF($I286&lt;&gt;"Complete",IF(COUNTIFS($A$4:$A285,$A286,$B$4:$B285,$B286,$I$4:$I285,"&lt;&gt;Complete")=0,$A286&amp;"|"&amp;$B286,""),"")</f>
        <v>|</v>
      </c>
      <c r="P286" t="str">
        <f ca="1">IF($K286="Yes",COUNTIFS($K$4:$K286,"Yes"),"")</f>
        <v/>
      </c>
      <c r="Q286">
        <f t="shared" ca="1" si="20"/>
        <v>0</v>
      </c>
      <c r="R286" t="str">
        <f ca="1">IF($Q286=1,SUM($Q$4:$Q286),"")</f>
        <v/>
      </c>
    </row>
    <row r="287" spans="1:18" ht="14.25" customHeight="1" x14ac:dyDescent="0.3">
      <c r="A287" s="2"/>
      <c r="B287" s="2"/>
      <c r="C287" s="3"/>
      <c r="D287" s="3"/>
      <c r="E287" s="2"/>
      <c r="F287" s="2"/>
      <c r="G287" s="5"/>
      <c r="H287" s="5"/>
      <c r="I287" s="4"/>
      <c r="J287" s="6" t="str">
        <f t="shared" si="18"/>
        <v/>
      </c>
      <c r="K287" s="4" t="str">
        <f t="shared" ca="1" si="22"/>
        <v/>
      </c>
      <c r="L287" s="7" t="str">
        <f t="shared" ca="1" si="19"/>
        <v/>
      </c>
      <c r="M287" s="4" t="str">
        <f>IF($I287="Complete","Green",IF($H287="","Amber",IF($H287&lt;'[2]Read Me'!$B$4,"Red",IF($H287-'[2]Read Me'!$B$4&lt;=21,"Amber","Green"))))</f>
        <v>Amber</v>
      </c>
      <c r="N287" s="3"/>
      <c r="O287" t="str">
        <f>IF($I287&lt;&gt;"Complete",IF(COUNTIFS($A$4:$A286,$A287,$B$4:$B286,$B287,$I$4:$I286,"&lt;&gt;Complete")=0,$A287&amp;"|"&amp;$B287,""),"")</f>
        <v>|</v>
      </c>
      <c r="P287" t="str">
        <f ca="1">IF($K287="Yes",COUNTIFS($K$4:$K287,"Yes"),"")</f>
        <v/>
      </c>
      <c r="Q287">
        <f t="shared" ca="1" si="20"/>
        <v>0</v>
      </c>
      <c r="R287" t="str">
        <f ca="1">IF($Q287=1,SUM($Q$4:$Q287),"")</f>
        <v/>
      </c>
    </row>
    <row r="288" spans="1:18" ht="14.25" customHeight="1" x14ac:dyDescent="0.3">
      <c r="A288" s="2"/>
      <c r="B288" s="2"/>
      <c r="C288" s="3"/>
      <c r="D288" s="3"/>
      <c r="E288" s="2"/>
      <c r="F288" s="2"/>
      <c r="G288" s="5"/>
      <c r="H288" s="5"/>
      <c r="I288" s="4"/>
      <c r="J288" s="6" t="str">
        <f t="shared" si="18"/>
        <v/>
      </c>
      <c r="K288" s="4" t="str">
        <f t="shared" ca="1" si="22"/>
        <v/>
      </c>
      <c r="L288" s="7" t="str">
        <f t="shared" ca="1" si="19"/>
        <v/>
      </c>
      <c r="M288" s="4" t="str">
        <f>IF($I288="Complete","Green",IF($H288="","Amber",IF($H288&lt;'[2]Read Me'!$B$4,"Red",IF($H288-'[2]Read Me'!$B$4&lt;=21,"Amber","Green"))))</f>
        <v>Amber</v>
      </c>
      <c r="N288" s="3"/>
      <c r="O288" t="str">
        <f>IF($I288&lt;&gt;"Complete",IF(COUNTIFS($A$4:$A287,$A288,$B$4:$B287,$B288,$I$4:$I287,"&lt;&gt;Complete")=0,$A288&amp;"|"&amp;$B288,""),"")</f>
        <v>|</v>
      </c>
      <c r="P288" t="str">
        <f ca="1">IF($K288="Yes",COUNTIFS($K$4:$K288,"Yes"),"")</f>
        <v/>
      </c>
      <c r="Q288">
        <f t="shared" ca="1" si="20"/>
        <v>0</v>
      </c>
      <c r="R288" t="str">
        <f ca="1">IF($Q288=1,SUM($Q$4:$Q288),"")</f>
        <v/>
      </c>
    </row>
    <row r="289" spans="1:18" ht="14.25" customHeight="1" x14ac:dyDescent="0.3">
      <c r="A289" s="2"/>
      <c r="B289" s="2"/>
      <c r="C289" s="3"/>
      <c r="D289" s="3"/>
      <c r="E289" s="2"/>
      <c r="F289" s="2"/>
      <c r="G289" s="5"/>
      <c r="H289" s="5"/>
      <c r="I289" s="4"/>
      <c r="J289" s="6" t="str">
        <f t="shared" si="18"/>
        <v/>
      </c>
      <c r="K289" s="4" t="str">
        <f t="shared" ca="1" si="22"/>
        <v/>
      </c>
      <c r="L289" s="7" t="str">
        <f t="shared" ca="1" si="19"/>
        <v/>
      </c>
      <c r="M289" s="4" t="str">
        <f>IF($I289="Complete","Green",IF($H289="","Amber",IF($H289&lt;'[2]Read Me'!$B$4,"Red",IF($H289-'[2]Read Me'!$B$4&lt;=21,"Amber","Green"))))</f>
        <v>Amber</v>
      </c>
      <c r="N289" s="3"/>
      <c r="O289" t="str">
        <f>IF($I289&lt;&gt;"Complete",IF(COUNTIFS($A$4:$A288,$A289,$B$4:$B288,$B289,$I$4:$I288,"&lt;&gt;Complete")=0,$A289&amp;"|"&amp;$B289,""),"")</f>
        <v>|</v>
      </c>
      <c r="P289" t="str">
        <f ca="1">IF($K289="Yes",COUNTIFS($K$4:$K289,"Yes"),"")</f>
        <v/>
      </c>
      <c r="Q289">
        <f t="shared" ca="1" si="20"/>
        <v>0</v>
      </c>
      <c r="R289" t="str">
        <f ca="1">IF($Q289=1,SUM($Q$4:$Q289),"")</f>
        <v/>
      </c>
    </row>
    <row r="290" spans="1:18" ht="14.25" customHeight="1" x14ac:dyDescent="0.3">
      <c r="A290" s="2"/>
      <c r="B290" s="2"/>
      <c r="C290" s="3"/>
      <c r="D290" s="3"/>
      <c r="E290" s="2"/>
      <c r="F290" s="2"/>
      <c r="G290" s="5"/>
      <c r="H290" s="5"/>
      <c r="I290" s="4"/>
      <c r="J290" s="6" t="str">
        <f t="shared" si="18"/>
        <v/>
      </c>
      <c r="K290" s="4" t="str">
        <f t="shared" ca="1" si="22"/>
        <v/>
      </c>
      <c r="L290" s="7" t="str">
        <f t="shared" ca="1" si="19"/>
        <v/>
      </c>
      <c r="M290" s="4" t="str">
        <f>IF($I290="Complete","Green",IF($H290="","Amber",IF($H290&lt;'[2]Read Me'!$B$4,"Red",IF($H290-'[2]Read Me'!$B$4&lt;=21,"Amber","Green"))))</f>
        <v>Amber</v>
      </c>
      <c r="N290" s="3"/>
      <c r="O290" t="str">
        <f>IF($I290&lt;&gt;"Complete",IF(COUNTIFS($A$4:$A289,$A290,$B$4:$B289,$B290,$I$4:$I289,"&lt;&gt;Complete")=0,$A290&amp;"|"&amp;$B290,""),"")</f>
        <v>|</v>
      </c>
      <c r="P290" t="str">
        <f ca="1">IF($K290="Yes",COUNTIFS($K$4:$K290,"Yes"),"")</f>
        <v/>
      </c>
      <c r="Q290">
        <f t="shared" ca="1" si="20"/>
        <v>0</v>
      </c>
      <c r="R290" t="str">
        <f ca="1">IF($Q290=1,SUM($Q$4:$Q290),"")</f>
        <v/>
      </c>
    </row>
    <row r="291" spans="1:18" ht="14.25" customHeight="1" x14ac:dyDescent="0.3">
      <c r="A291" s="2"/>
      <c r="B291" s="2"/>
      <c r="C291" s="3"/>
      <c r="D291" s="3"/>
      <c r="E291" s="2"/>
      <c r="F291" s="2"/>
      <c r="G291" s="5"/>
      <c r="H291" s="5"/>
      <c r="I291" s="4"/>
      <c r="J291" s="6" t="str">
        <f t="shared" si="18"/>
        <v/>
      </c>
      <c r="K291" s="4" t="str">
        <f t="shared" ca="1" si="22"/>
        <v/>
      </c>
      <c r="L291" s="7" t="str">
        <f t="shared" ca="1" si="19"/>
        <v/>
      </c>
      <c r="M291" s="4" t="str">
        <f>IF($I291="Complete","Green",IF($H291="","Amber",IF($H291&lt;'[2]Read Me'!$B$4,"Red",IF($H291-'[2]Read Me'!$B$4&lt;=21,"Amber","Green"))))</f>
        <v>Amber</v>
      </c>
      <c r="N291" s="3"/>
      <c r="O291" t="str">
        <f>IF($I291&lt;&gt;"Complete",IF(COUNTIFS($A$4:$A290,$A291,$B$4:$B290,$B291,$I$4:$I290,"&lt;&gt;Complete")=0,$A291&amp;"|"&amp;$B291,""),"")</f>
        <v>|</v>
      </c>
      <c r="P291" t="str">
        <f ca="1">IF($K291="Yes",COUNTIFS($K$4:$K291,"Yes"),"")</f>
        <v/>
      </c>
      <c r="Q291">
        <f t="shared" ca="1" si="20"/>
        <v>0</v>
      </c>
      <c r="R291" t="str">
        <f ca="1">IF($Q291=1,SUM($Q$4:$Q291),"")</f>
        <v/>
      </c>
    </row>
    <row r="292" spans="1:18" ht="14.25" customHeight="1" x14ac:dyDescent="0.3">
      <c r="A292" s="2"/>
      <c r="B292" s="2"/>
      <c r="C292" s="3"/>
      <c r="D292" s="3"/>
      <c r="E292" s="2"/>
      <c r="F292" s="2"/>
      <c r="G292" s="5"/>
      <c r="H292" s="5"/>
      <c r="I292" s="4"/>
      <c r="J292" s="6" t="str">
        <f t="shared" si="18"/>
        <v/>
      </c>
      <c r="K292" s="4" t="str">
        <f t="shared" ca="1" si="22"/>
        <v/>
      </c>
      <c r="L292" s="7" t="str">
        <f t="shared" ca="1" si="19"/>
        <v/>
      </c>
      <c r="M292" s="4" t="str">
        <f>IF($I292="Complete","Green",IF($H292="","Amber",IF($H292&lt;'[2]Read Me'!$B$4,"Red",IF($H292-'[2]Read Me'!$B$4&lt;=21,"Amber","Green"))))</f>
        <v>Amber</v>
      </c>
      <c r="N292" s="3"/>
      <c r="O292" t="str">
        <f>IF($I292&lt;&gt;"Complete",IF(COUNTIFS($A$4:$A291,$A292,$B$4:$B291,$B292,$I$4:$I291,"&lt;&gt;Complete")=0,$A292&amp;"|"&amp;$B292,""),"")</f>
        <v>|</v>
      </c>
      <c r="P292" t="str">
        <f ca="1">IF($K292="Yes",COUNTIFS($K$4:$K292,"Yes"),"")</f>
        <v/>
      </c>
      <c r="Q292">
        <f t="shared" ca="1" si="20"/>
        <v>0</v>
      </c>
      <c r="R292" t="str">
        <f ca="1">IF($Q292=1,SUM($Q$4:$Q292),"")</f>
        <v/>
      </c>
    </row>
    <row r="293" spans="1:18" ht="22.5" customHeight="1" x14ac:dyDescent="0.3">
      <c r="A293" s="2"/>
      <c r="B293" s="2"/>
      <c r="C293" s="3"/>
      <c r="D293" s="3"/>
      <c r="E293" s="2"/>
      <c r="F293" s="2"/>
      <c r="G293" s="5"/>
      <c r="H293" s="5"/>
      <c r="I293" s="4"/>
      <c r="J293" s="6" t="str">
        <f t="shared" si="18"/>
        <v/>
      </c>
      <c r="K293" s="4" t="str">
        <f t="shared" ca="1" si="22"/>
        <v/>
      </c>
      <c r="L293" s="7" t="str">
        <f t="shared" ca="1" si="19"/>
        <v/>
      </c>
      <c r="M293" s="4" t="str">
        <f>IF($I293="Complete","Green",IF($H293="","Amber",IF($H293&lt;'[2]Read Me'!$B$4,"Red",IF($H293-'[2]Read Me'!$B$4&lt;=21,"Amber","Green"))))</f>
        <v>Amber</v>
      </c>
      <c r="N293" s="3"/>
      <c r="O293" t="str">
        <f>IF($I293&lt;&gt;"Complete",IF(COUNTIFS($A$4:$A292,$A293,$B$4:$B292,$B293,$I$4:$I292,"&lt;&gt;Complete")=0,$A293&amp;"|"&amp;$B293,""),"")</f>
        <v>|</v>
      </c>
      <c r="P293" t="str">
        <f ca="1">IF($K293="Yes",COUNTIFS($K$4:$K293,"Yes"),"")</f>
        <v/>
      </c>
      <c r="Q293">
        <f t="shared" ca="1" si="20"/>
        <v>0</v>
      </c>
      <c r="R293" t="str">
        <f ca="1">IF($Q293=1,SUM($Q$4:$Q293),"")</f>
        <v/>
      </c>
    </row>
    <row r="294" spans="1:18" ht="22.5" customHeight="1" x14ac:dyDescent="0.3">
      <c r="A294" s="2"/>
      <c r="B294" s="2"/>
      <c r="C294" s="3"/>
      <c r="D294" s="3"/>
      <c r="E294" s="2"/>
      <c r="F294" s="2"/>
      <c r="G294" s="5"/>
      <c r="H294" s="5"/>
      <c r="I294" s="4"/>
      <c r="J294" s="6" t="str">
        <f t="shared" si="18"/>
        <v/>
      </c>
      <c r="K294" s="4" t="str">
        <f t="shared" ca="1" si="22"/>
        <v/>
      </c>
      <c r="L294" s="7" t="str">
        <f t="shared" ca="1" si="19"/>
        <v/>
      </c>
      <c r="M294" s="4" t="str">
        <f>IF($I294="Complete","Green",IF($H294="","Amber",IF($H294&lt;'[2]Read Me'!$B$4,"Red",IF($H294-'[2]Read Me'!$B$4&lt;=21,"Amber","Green"))))</f>
        <v>Amber</v>
      </c>
      <c r="N294" s="3"/>
      <c r="O294" t="str">
        <f>IF($I294&lt;&gt;"Complete",IF(COUNTIFS($A$4:$A293,$A294,$B$4:$B293,$B294,$I$4:$I293,"&lt;&gt;Complete")=0,$A294&amp;"|"&amp;$B294,""),"")</f>
        <v>|</v>
      </c>
      <c r="P294" t="str">
        <f ca="1">IF($K294="Yes",COUNTIFS($K$4:$K294,"Yes"),"")</f>
        <v/>
      </c>
      <c r="Q294">
        <f t="shared" ca="1" si="20"/>
        <v>0</v>
      </c>
      <c r="R294" t="str">
        <f ca="1">IF($Q294=1,SUM($Q$4:$Q294),"")</f>
        <v/>
      </c>
    </row>
    <row r="295" spans="1:18" ht="22.5" customHeight="1" x14ac:dyDescent="0.3">
      <c r="A295" s="2"/>
      <c r="B295" s="2"/>
      <c r="C295" s="3"/>
      <c r="D295" s="3"/>
      <c r="E295" s="2"/>
      <c r="F295" s="2"/>
      <c r="G295" s="5"/>
      <c r="H295" s="5"/>
      <c r="I295" s="4"/>
      <c r="J295" s="6" t="str">
        <f t="shared" si="18"/>
        <v/>
      </c>
      <c r="K295" s="4" t="str">
        <f t="shared" ca="1" si="22"/>
        <v/>
      </c>
      <c r="L295" s="7" t="str">
        <f t="shared" ca="1" si="19"/>
        <v/>
      </c>
      <c r="M295" s="4" t="str">
        <f>IF($I295="Complete","Green",IF($H295="","Amber",IF($H295&lt;'[2]Read Me'!$B$4,"Red",IF($H295-'[2]Read Me'!$B$4&lt;=21,"Amber","Green"))))</f>
        <v>Amber</v>
      </c>
      <c r="N295" s="3"/>
      <c r="O295" t="str">
        <f>IF($I295&lt;&gt;"Complete",IF(COUNTIFS($A$4:$A294,$A295,$B$4:$B294,$B295,$I$4:$I294,"&lt;&gt;Complete")=0,$A295&amp;"|"&amp;$B295,""),"")</f>
        <v>|</v>
      </c>
      <c r="P295" t="str">
        <f ca="1">IF($K295="Yes",COUNTIFS($K$4:$K295,"Yes"),"")</f>
        <v/>
      </c>
      <c r="Q295">
        <f t="shared" ca="1" si="20"/>
        <v>0</v>
      </c>
      <c r="R295" t="str">
        <f ca="1">IF($Q295=1,SUM($Q$4:$Q295),"")</f>
        <v/>
      </c>
    </row>
    <row r="296" spans="1:18" ht="22.5" customHeight="1" x14ac:dyDescent="0.3">
      <c r="A296" s="2"/>
      <c r="B296" s="2"/>
      <c r="C296" s="3"/>
      <c r="D296" s="3"/>
      <c r="E296" s="2"/>
      <c r="F296" s="2"/>
      <c r="G296" s="5"/>
      <c r="H296" s="5"/>
      <c r="I296" s="4"/>
      <c r="J296" s="6" t="str">
        <f t="shared" si="18"/>
        <v/>
      </c>
      <c r="K296" s="4" t="str">
        <f t="shared" ca="1" si="22"/>
        <v/>
      </c>
      <c r="L296" s="7" t="str">
        <f t="shared" ca="1" si="19"/>
        <v/>
      </c>
      <c r="M296" s="4" t="str">
        <f>IF($I296="Complete","Green",IF($H296="","Amber",IF($H296&lt;'[2]Read Me'!$B$4,"Red",IF($H296-'[2]Read Me'!$B$4&lt;=21,"Amber","Green"))))</f>
        <v>Amber</v>
      </c>
      <c r="N296" s="3"/>
      <c r="O296" t="str">
        <f>IF($I296&lt;&gt;"Complete",IF(COUNTIFS($A$4:$A295,$A296,$B$4:$B295,$B296,$I$4:$I295,"&lt;&gt;Complete")=0,$A296&amp;"|"&amp;$B296,""),"")</f>
        <v>|</v>
      </c>
      <c r="P296" t="str">
        <f ca="1">IF($K296="Yes",COUNTIFS($K$4:$K296,"Yes"),"")</f>
        <v/>
      </c>
      <c r="Q296">
        <f t="shared" ca="1" si="20"/>
        <v>0</v>
      </c>
      <c r="R296" t="str">
        <f ca="1">IF($Q296=1,SUM($Q$4:$Q296),"")</f>
        <v/>
      </c>
    </row>
    <row r="297" spans="1:18" ht="22.5" customHeight="1" x14ac:dyDescent="0.3">
      <c r="A297" s="2"/>
      <c r="B297" s="2"/>
      <c r="C297" s="3"/>
      <c r="D297" s="3"/>
      <c r="E297" s="2"/>
      <c r="F297" s="2"/>
      <c r="G297" s="5"/>
      <c r="H297" s="5"/>
      <c r="I297" s="4"/>
      <c r="J297" s="6" t="str">
        <f t="shared" si="18"/>
        <v/>
      </c>
      <c r="K297" s="4" t="str">
        <f t="shared" ca="1" si="22"/>
        <v/>
      </c>
      <c r="L297" s="7" t="str">
        <f t="shared" ca="1" si="19"/>
        <v/>
      </c>
      <c r="M297" s="4" t="str">
        <f>IF($I297="Complete","Green",IF($H297="","Amber",IF($H297&lt;'[2]Read Me'!$B$4,"Red",IF($H297-'[2]Read Me'!$B$4&lt;=21,"Amber","Green"))))</f>
        <v>Amber</v>
      </c>
      <c r="N297" s="3"/>
      <c r="O297" t="str">
        <f>IF($I297&lt;&gt;"Complete",IF(COUNTIFS($A$4:$A296,$A297,$B$4:$B296,$B297,$I$4:$I296,"&lt;&gt;Complete")=0,$A297&amp;"|"&amp;$B297,""),"")</f>
        <v>|</v>
      </c>
      <c r="P297" t="str">
        <f ca="1">IF($K297="Yes",COUNTIFS($K$4:$K297,"Yes"),"")</f>
        <v/>
      </c>
      <c r="Q297">
        <f t="shared" ca="1" si="20"/>
        <v>0</v>
      </c>
      <c r="R297" t="str">
        <f ca="1">IF($Q297=1,SUM($Q$4:$Q297),"")</f>
        <v/>
      </c>
    </row>
    <row r="298" spans="1:18" ht="22.5" customHeight="1" x14ac:dyDescent="0.3">
      <c r="A298" s="2"/>
      <c r="B298" s="2"/>
      <c r="C298" s="3"/>
      <c r="D298" s="3"/>
      <c r="E298" s="2"/>
      <c r="F298" s="2"/>
      <c r="G298" s="5"/>
      <c r="H298" s="5"/>
      <c r="I298" s="4"/>
      <c r="J298" s="6" t="str">
        <f t="shared" si="18"/>
        <v/>
      </c>
      <c r="K298" s="4" t="str">
        <f t="shared" ca="1" si="22"/>
        <v/>
      </c>
      <c r="L298" s="7" t="str">
        <f t="shared" ca="1" si="19"/>
        <v/>
      </c>
      <c r="M298" s="4" t="str">
        <f>IF($I298="Complete","Green",IF($H298="","Amber",IF($H298&lt;'[2]Read Me'!$B$4,"Red",IF($H298-'[2]Read Me'!$B$4&lt;=21,"Amber","Green"))))</f>
        <v>Amber</v>
      </c>
      <c r="N298" s="3"/>
      <c r="O298" t="str">
        <f>IF($I298&lt;&gt;"Complete",IF(COUNTIFS($A$4:$A297,$A298,$B$4:$B297,$B298,$I$4:$I297,"&lt;&gt;Complete")=0,$A298&amp;"|"&amp;$B298,""),"")</f>
        <v>|</v>
      </c>
      <c r="P298" t="str">
        <f ca="1">IF($K298="Yes",COUNTIFS($K$4:$K298,"Yes"),"")</f>
        <v/>
      </c>
      <c r="Q298">
        <f t="shared" ca="1" si="20"/>
        <v>0</v>
      </c>
      <c r="R298" t="str">
        <f ca="1">IF($Q298=1,SUM($Q$4:$Q298),"")</f>
        <v/>
      </c>
    </row>
    <row r="299" spans="1:18" ht="22.5" customHeight="1" x14ac:dyDescent="0.3">
      <c r="A299" s="2"/>
      <c r="B299" s="2"/>
      <c r="C299" s="3"/>
      <c r="D299" s="3"/>
      <c r="E299" s="2"/>
      <c r="F299" s="2"/>
      <c r="G299" s="5"/>
      <c r="H299" s="5"/>
      <c r="I299" s="4"/>
      <c r="J299" s="6" t="str">
        <f t="shared" si="18"/>
        <v/>
      </c>
      <c r="K299" s="4" t="str">
        <f t="shared" ca="1" si="22"/>
        <v/>
      </c>
      <c r="L299" s="7" t="str">
        <f t="shared" ca="1" si="19"/>
        <v/>
      </c>
      <c r="M299" s="4" t="str">
        <f>IF($I299="Complete","Green",IF($H299="","Amber",IF($H299&lt;'[2]Read Me'!$B$4,"Red",IF($H299-'[2]Read Me'!$B$4&lt;=21,"Amber","Green"))))</f>
        <v>Amber</v>
      </c>
      <c r="N299" s="3"/>
      <c r="O299" t="str">
        <f>IF($I299&lt;&gt;"Complete",IF(COUNTIFS($A$4:$A298,$A299,$B$4:$B298,$B299,$I$4:$I298,"&lt;&gt;Complete")=0,$A299&amp;"|"&amp;$B299,""),"")</f>
        <v>|</v>
      </c>
      <c r="P299" t="str">
        <f ca="1">IF($K299="Yes",COUNTIFS($K$4:$K299,"Yes"),"")</f>
        <v/>
      </c>
      <c r="Q299">
        <f t="shared" ca="1" si="20"/>
        <v>0</v>
      </c>
      <c r="R299" t="str">
        <f ca="1">IF($Q299=1,SUM($Q$4:$Q299),"")</f>
        <v/>
      </c>
    </row>
    <row r="300" spans="1:18" ht="22.5" customHeight="1" x14ac:dyDescent="0.3">
      <c r="A300" s="2"/>
      <c r="B300" s="2"/>
      <c r="C300" s="3"/>
      <c r="D300" s="3"/>
      <c r="E300" s="2"/>
      <c r="F300" s="2"/>
      <c r="G300" s="5"/>
      <c r="H300" s="5"/>
      <c r="I300" s="4"/>
      <c r="J300" s="6" t="str">
        <f t="shared" si="18"/>
        <v/>
      </c>
      <c r="K300" s="4" t="str">
        <f t="shared" ca="1" si="22"/>
        <v/>
      </c>
      <c r="L300" s="7" t="str">
        <f t="shared" ca="1" si="19"/>
        <v/>
      </c>
      <c r="M300" s="4" t="str">
        <f>IF($I300="Complete","Green",IF($H300="","Amber",IF($H300&lt;'[2]Read Me'!$B$4,"Red",IF($H300-'[2]Read Me'!$B$4&lt;=21,"Amber","Green"))))</f>
        <v>Amber</v>
      </c>
      <c r="N300" s="3"/>
      <c r="O300" t="str">
        <f>IF($I300&lt;&gt;"Complete",IF(COUNTIFS($A$4:$A299,$A300,$B$4:$B299,$B300,$I$4:$I299,"&lt;&gt;Complete")=0,$A300&amp;"|"&amp;$B300,""),"")</f>
        <v>|</v>
      </c>
      <c r="P300" t="str">
        <f ca="1">IF($K300="Yes",COUNTIFS($K$4:$K300,"Yes"),"")</f>
        <v/>
      </c>
      <c r="Q300">
        <f t="shared" ca="1" si="20"/>
        <v>0</v>
      </c>
      <c r="R300" t="str">
        <f ca="1">IF($Q300=1,SUM($Q$4:$Q300),"")</f>
        <v/>
      </c>
    </row>
    <row r="301" spans="1:18" ht="22.5" customHeight="1" x14ac:dyDescent="0.3">
      <c r="A301" s="2"/>
      <c r="B301" s="2"/>
      <c r="C301" s="3"/>
      <c r="D301" s="3"/>
      <c r="E301" s="2"/>
      <c r="F301" s="2"/>
      <c r="G301" s="5"/>
      <c r="H301" s="5"/>
      <c r="I301" s="4"/>
      <c r="J301" s="6" t="str">
        <f t="shared" si="18"/>
        <v/>
      </c>
      <c r="K301" s="4" t="str">
        <f t="shared" ca="1" si="22"/>
        <v/>
      </c>
      <c r="L301" s="7" t="str">
        <f t="shared" ca="1" si="19"/>
        <v/>
      </c>
      <c r="M301" s="4" t="str">
        <f>IF($I301="Complete","Green",IF($H301="","Amber",IF($H301&lt;'[2]Read Me'!$B$4,"Red",IF($H301-'[2]Read Me'!$B$4&lt;=21,"Amber","Green"))))</f>
        <v>Amber</v>
      </c>
      <c r="N301" s="3"/>
      <c r="O301" t="str">
        <f>IF($I301&lt;&gt;"Complete",IF(COUNTIFS($A$4:$A300,$A301,$B$4:$B300,$B301,$I$4:$I300,"&lt;&gt;Complete")=0,$A301&amp;"|"&amp;$B301,""),"")</f>
        <v>|</v>
      </c>
      <c r="P301" t="str">
        <f ca="1">IF($K301="Yes",COUNTIFS($K$4:$K301,"Yes"),"")</f>
        <v/>
      </c>
      <c r="Q301">
        <f t="shared" ca="1" si="20"/>
        <v>0</v>
      </c>
      <c r="R301" t="str">
        <f ca="1">IF($Q301=1,SUM($Q$4:$Q301),"")</f>
        <v/>
      </c>
    </row>
    <row r="302" spans="1:18" ht="22.5" customHeight="1" x14ac:dyDescent="0.3">
      <c r="A302" s="2"/>
      <c r="B302" s="2"/>
      <c r="C302" s="3"/>
      <c r="D302" s="3"/>
      <c r="E302" s="2"/>
      <c r="F302" s="2"/>
      <c r="G302" s="5"/>
      <c r="H302" s="5"/>
      <c r="I302" s="4"/>
      <c r="J302" s="6" t="str">
        <f t="shared" si="18"/>
        <v/>
      </c>
      <c r="K302" s="4" t="str">
        <f t="shared" ca="1" si="22"/>
        <v/>
      </c>
      <c r="L302" s="7" t="str">
        <f t="shared" ca="1" si="19"/>
        <v/>
      </c>
      <c r="M302" s="4" t="str">
        <f>IF($I302="Complete","Green",IF($H302="","Amber",IF($H302&lt;'[2]Read Me'!$B$4,"Red",IF($H302-'[2]Read Me'!$B$4&lt;=21,"Amber","Green"))))</f>
        <v>Amber</v>
      </c>
      <c r="N302" s="3"/>
      <c r="O302" t="str">
        <f>IF($I302&lt;&gt;"Complete",IF(COUNTIFS($A$4:$A301,$A302,$B$4:$B301,$B302,$I$4:$I301,"&lt;&gt;Complete")=0,$A302&amp;"|"&amp;$B302,""),"")</f>
        <v>|</v>
      </c>
      <c r="P302" t="str">
        <f ca="1">IF($K302="Yes",COUNTIFS($K$4:$K302,"Yes"),"")</f>
        <v/>
      </c>
      <c r="Q302">
        <f t="shared" ca="1" si="20"/>
        <v>0</v>
      </c>
      <c r="R302" t="str">
        <f ca="1">IF($Q302=1,SUM($Q$4:$Q302),"")</f>
        <v/>
      </c>
    </row>
    <row r="303" spans="1:18" ht="22.5" customHeight="1" x14ac:dyDescent="0.3">
      <c r="A303" s="2"/>
      <c r="B303" s="2"/>
      <c r="C303" s="3"/>
      <c r="D303" s="3"/>
      <c r="E303" s="2"/>
      <c r="F303" s="2"/>
      <c r="G303" s="5"/>
      <c r="H303" s="5"/>
      <c r="I303" s="4"/>
      <c r="J303" s="6" t="str">
        <f t="shared" si="18"/>
        <v/>
      </c>
      <c r="K303" s="4" t="str">
        <f t="shared" ca="1" si="22"/>
        <v/>
      </c>
      <c r="L303" s="7" t="str">
        <f t="shared" ca="1" si="19"/>
        <v/>
      </c>
      <c r="M303" s="4" t="str">
        <f>IF($I303="Complete","Green",IF($H303="","Amber",IF($H303&lt;'[2]Read Me'!$B$4,"Red",IF($H303-'[2]Read Me'!$B$4&lt;=21,"Amber","Green"))))</f>
        <v>Amber</v>
      </c>
      <c r="N303" s="3"/>
      <c r="O303" t="str">
        <f>IF($I303&lt;&gt;"Complete",IF(COUNTIFS($A$4:$A302,$A303,$B$4:$B302,$B303,$I$4:$I302,"&lt;&gt;Complete")=0,$A303&amp;"|"&amp;$B303,""),"")</f>
        <v>|</v>
      </c>
      <c r="P303" t="str">
        <f ca="1">IF($K303="Yes",COUNTIFS($K$4:$K303,"Yes"),"")</f>
        <v/>
      </c>
      <c r="Q303">
        <f t="shared" ca="1" si="20"/>
        <v>0</v>
      </c>
      <c r="R303" t="str">
        <f ca="1">IF($Q303=1,SUM($Q$4:$Q303),"")</f>
        <v/>
      </c>
    </row>
    <row r="304" spans="1:18" ht="22.5" customHeight="1" x14ac:dyDescent="0.3">
      <c r="A304" s="2"/>
      <c r="B304" s="2"/>
      <c r="C304" s="3"/>
      <c r="D304" s="3"/>
      <c r="E304" s="2"/>
      <c r="F304" s="2"/>
      <c r="G304" s="5"/>
      <c r="H304" s="5"/>
      <c r="I304" s="4"/>
      <c r="J304" s="6" t="str">
        <f t="shared" si="18"/>
        <v/>
      </c>
      <c r="K304" s="4" t="str">
        <f t="shared" ca="1" si="22"/>
        <v/>
      </c>
      <c r="L304" s="7" t="str">
        <f t="shared" ca="1" si="19"/>
        <v/>
      </c>
      <c r="M304" s="4" t="str">
        <f>IF($I304="Complete","Green",IF($H304="","Amber",IF($H304&lt;'[2]Read Me'!$B$4,"Red",IF($H304-'[2]Read Me'!$B$4&lt;=21,"Amber","Green"))))</f>
        <v>Amber</v>
      </c>
      <c r="N304" s="3"/>
      <c r="O304" t="str">
        <f>IF($I304&lt;&gt;"Complete",IF(COUNTIFS($A$4:$A303,$A304,$B$4:$B303,$B304,$I$4:$I303,"&lt;&gt;Complete")=0,$A304&amp;"|"&amp;$B304,""),"")</f>
        <v>|</v>
      </c>
      <c r="P304" t="str">
        <f ca="1">IF($K304="Yes",COUNTIFS($K$4:$K304,"Yes"),"")</f>
        <v/>
      </c>
      <c r="Q304">
        <f t="shared" ca="1" si="20"/>
        <v>0</v>
      </c>
      <c r="R304" t="str">
        <f ca="1">IF($Q304=1,SUM($Q$4:$Q304),"")</f>
        <v/>
      </c>
    </row>
    <row r="305" spans="1:18" ht="22.5" customHeight="1" x14ac:dyDescent="0.3">
      <c r="A305" s="2"/>
      <c r="B305" s="2"/>
      <c r="C305" s="3"/>
      <c r="D305" s="3"/>
      <c r="E305" s="2"/>
      <c r="F305" s="2"/>
      <c r="G305" s="5"/>
      <c r="H305" s="5"/>
      <c r="I305" s="4"/>
      <c r="J305" s="6" t="str">
        <f t="shared" si="18"/>
        <v/>
      </c>
      <c r="K305" s="4" t="str">
        <f t="shared" ca="1" si="22"/>
        <v/>
      </c>
      <c r="L305" s="7" t="str">
        <f t="shared" ca="1" si="19"/>
        <v/>
      </c>
      <c r="M305" s="4" t="str">
        <f>IF($I305="Complete","Green",IF($H305="","Amber",IF($H305&lt;'[2]Read Me'!$B$4,"Red",IF($H305-'[2]Read Me'!$B$4&lt;=21,"Amber","Green"))))</f>
        <v>Amber</v>
      </c>
      <c r="N305" s="3"/>
      <c r="O305" t="str">
        <f>IF($I305&lt;&gt;"Complete",IF(COUNTIFS($A$4:$A304,$A305,$B$4:$B304,$B305,$I$4:$I304,"&lt;&gt;Complete")=0,$A305&amp;"|"&amp;$B305,""),"")</f>
        <v>|</v>
      </c>
      <c r="P305" t="str">
        <f ca="1">IF($K305="Yes",COUNTIFS($K$4:$K305,"Yes"),"")</f>
        <v/>
      </c>
      <c r="Q305">
        <f t="shared" ca="1" si="20"/>
        <v>0</v>
      </c>
      <c r="R305" t="str">
        <f ca="1">IF($Q305=1,SUM($Q$4:$Q305),"")</f>
        <v/>
      </c>
    </row>
    <row r="306" spans="1:18" ht="22.5" customHeight="1" x14ac:dyDescent="0.3">
      <c r="A306" s="2"/>
      <c r="B306" s="2"/>
      <c r="C306" s="3"/>
      <c r="D306" s="3"/>
      <c r="E306" s="2"/>
      <c r="F306" s="2"/>
      <c r="G306" s="5"/>
      <c r="H306" s="5"/>
      <c r="I306" s="4"/>
      <c r="J306" s="6" t="str">
        <f t="shared" si="18"/>
        <v/>
      </c>
      <c r="K306" s="4" t="str">
        <f t="shared" ca="1" si="22"/>
        <v/>
      </c>
      <c r="L306" s="7" t="str">
        <f t="shared" ca="1" si="19"/>
        <v/>
      </c>
      <c r="M306" s="4" t="str">
        <f>IF($I306="Complete","Green",IF($H306="","Amber",IF($H306&lt;'[2]Read Me'!$B$4,"Red",IF($H306-'[2]Read Me'!$B$4&lt;=21,"Amber","Green"))))</f>
        <v>Amber</v>
      </c>
      <c r="N306" s="3"/>
      <c r="O306" t="str">
        <f>IF($I306&lt;&gt;"Complete",IF(COUNTIFS($A$4:$A305,$A306,$B$4:$B305,$B306,$I$4:$I305,"&lt;&gt;Complete")=0,$A306&amp;"|"&amp;$B306,""),"")</f>
        <v>|</v>
      </c>
      <c r="P306" t="str">
        <f ca="1">IF($K306="Yes",COUNTIFS($K$4:$K306,"Yes"),"")</f>
        <v/>
      </c>
      <c r="Q306">
        <f t="shared" ca="1" si="20"/>
        <v>0</v>
      </c>
      <c r="R306" t="str">
        <f ca="1">IF($Q306=1,SUM($Q$4:$Q306),"")</f>
        <v/>
      </c>
    </row>
    <row r="307" spans="1:18" ht="22.5" customHeight="1" x14ac:dyDescent="0.3">
      <c r="A307" s="2"/>
      <c r="B307" s="2"/>
      <c r="C307" s="3"/>
      <c r="D307" s="3"/>
      <c r="E307" s="2"/>
      <c r="F307" s="2"/>
      <c r="G307" s="5"/>
      <c r="H307" s="5"/>
      <c r="I307" s="4"/>
      <c r="J307" s="6" t="str">
        <f t="shared" si="18"/>
        <v/>
      </c>
      <c r="K307" s="4" t="str">
        <f t="shared" ca="1" si="22"/>
        <v/>
      </c>
      <c r="L307" s="7" t="str">
        <f t="shared" ca="1" si="19"/>
        <v/>
      </c>
      <c r="M307" s="4" t="str">
        <f>IF($I307="Complete","Green",IF($H307="","Amber",IF($H307&lt;'[2]Read Me'!$B$4,"Red",IF($H307-'[2]Read Me'!$B$4&lt;=21,"Amber","Green"))))</f>
        <v>Amber</v>
      </c>
      <c r="N307" s="3"/>
      <c r="O307" t="str">
        <f>IF($I307&lt;&gt;"Complete",IF(COUNTIFS($A$4:$A306,$A307,$B$4:$B306,$B307,$I$4:$I306,"&lt;&gt;Complete")=0,$A307&amp;"|"&amp;$B307,""),"")</f>
        <v>|</v>
      </c>
      <c r="P307" t="str">
        <f ca="1">IF($K307="Yes",COUNTIFS($K$4:$K307,"Yes"),"")</f>
        <v/>
      </c>
      <c r="Q307">
        <f t="shared" ca="1" si="20"/>
        <v>0</v>
      </c>
      <c r="R307" t="str">
        <f ca="1">IF($Q307=1,SUM($Q$4:$Q307),"")</f>
        <v/>
      </c>
    </row>
    <row r="308" spans="1:18" ht="22.5" customHeight="1" x14ac:dyDescent="0.3">
      <c r="A308" s="2"/>
      <c r="B308" s="2"/>
      <c r="C308" s="3"/>
      <c r="D308" s="3"/>
      <c r="E308" s="2"/>
      <c r="F308" s="2"/>
      <c r="G308" s="5"/>
      <c r="H308" s="5"/>
      <c r="I308" s="4"/>
      <c r="J308" s="6" t="str">
        <f t="shared" si="18"/>
        <v/>
      </c>
      <c r="K308" s="4" t="str">
        <f t="shared" ca="1" si="22"/>
        <v/>
      </c>
      <c r="L308" s="7" t="str">
        <f t="shared" ca="1" si="19"/>
        <v/>
      </c>
      <c r="M308" s="4" t="str">
        <f>IF($I308="Complete","Green",IF($H308="","Amber",IF($H308&lt;'[2]Read Me'!$B$4,"Red",IF($H308-'[2]Read Me'!$B$4&lt;=21,"Amber","Green"))))</f>
        <v>Amber</v>
      </c>
      <c r="N308" s="3"/>
      <c r="O308" t="str">
        <f>IF($I308&lt;&gt;"Complete",IF(COUNTIFS($A$4:$A307,$A308,$B$4:$B307,$B308,$I$4:$I307,"&lt;&gt;Complete")=0,$A308&amp;"|"&amp;$B308,""),"")</f>
        <v>|</v>
      </c>
      <c r="P308" t="str">
        <f ca="1">IF($K308="Yes",COUNTIFS($K$4:$K308,"Yes"),"")</f>
        <v/>
      </c>
      <c r="Q308">
        <f t="shared" ca="1" si="20"/>
        <v>0</v>
      </c>
      <c r="R308" t="str">
        <f ca="1">IF($Q308=1,SUM($Q$4:$Q308),"")</f>
        <v/>
      </c>
    </row>
    <row r="309" spans="1:18" ht="22.5" customHeight="1" x14ac:dyDescent="0.3">
      <c r="A309" s="2"/>
      <c r="B309" s="2"/>
      <c r="C309" s="3"/>
      <c r="D309" s="3"/>
      <c r="E309" s="2"/>
      <c r="F309" s="2"/>
      <c r="G309" s="5"/>
      <c r="H309" s="5"/>
      <c r="I309" s="4"/>
      <c r="J309" s="6" t="str">
        <f t="shared" si="18"/>
        <v/>
      </c>
      <c r="K309" s="4" t="str">
        <f t="shared" ca="1" si="22"/>
        <v/>
      </c>
      <c r="L309" s="7" t="str">
        <f t="shared" ca="1" si="19"/>
        <v/>
      </c>
      <c r="M309" s="4" t="str">
        <f>IF($I309="Complete","Green",IF($H309="","Amber",IF($H309&lt;'[2]Read Me'!$B$4,"Red",IF($H309-'[2]Read Me'!$B$4&lt;=21,"Amber","Green"))))</f>
        <v>Amber</v>
      </c>
      <c r="N309" s="3"/>
      <c r="O309" t="str">
        <f>IF($I309&lt;&gt;"Complete",IF(COUNTIFS($A$4:$A308,$A309,$B$4:$B308,$B309,$I$4:$I308,"&lt;&gt;Complete")=0,$A309&amp;"|"&amp;$B309,""),"")</f>
        <v>|</v>
      </c>
      <c r="P309" t="str">
        <f ca="1">IF($K309="Yes",COUNTIFS($K$4:$K309,"Yes"),"")</f>
        <v/>
      </c>
      <c r="Q309">
        <f t="shared" ca="1" si="20"/>
        <v>0</v>
      </c>
      <c r="R309" t="str">
        <f ca="1">IF($Q309=1,SUM($Q$4:$Q309),"")</f>
        <v/>
      </c>
    </row>
    <row r="310" spans="1:18" ht="14.25" customHeight="1" x14ac:dyDescent="0.3">
      <c r="A310" s="2"/>
      <c r="B310" s="2"/>
      <c r="C310" s="3"/>
      <c r="D310" s="3"/>
      <c r="E310" s="2"/>
      <c r="F310" s="2"/>
      <c r="G310" s="5"/>
      <c r="H310" s="5"/>
      <c r="I310" s="4"/>
      <c r="J310" s="6" t="str">
        <f t="shared" si="18"/>
        <v/>
      </c>
      <c r="K310" s="4" t="str">
        <f t="shared" ca="1" si="22"/>
        <v/>
      </c>
      <c r="L310" s="7" t="str">
        <f t="shared" ca="1" si="19"/>
        <v/>
      </c>
      <c r="M310" s="4" t="str">
        <f>IF($I310="Complete","Green",IF($H310="","Amber",IF($H310&lt;'[2]Read Me'!$B$4,"Red",IF($H310-'[2]Read Me'!$B$4&lt;=21,"Amber","Green"))))</f>
        <v>Amber</v>
      </c>
      <c r="N310" s="3"/>
      <c r="O310" t="str">
        <f>IF($I310&lt;&gt;"Complete",IF(COUNTIFS($A$4:$A309,$A310,$B$4:$B309,$B310,$I$4:$I309,"&lt;&gt;Complete")=0,$A310&amp;"|"&amp;$B310,""),"")</f>
        <v>|</v>
      </c>
      <c r="P310" t="str">
        <f ca="1">IF($K310="Yes",COUNTIFS($K$4:$K310,"Yes"),"")</f>
        <v/>
      </c>
      <c r="Q310">
        <f t="shared" ca="1" si="20"/>
        <v>0</v>
      </c>
      <c r="R310" t="str">
        <f ca="1">IF($Q310=1,SUM($Q$4:$Q310),"")</f>
        <v/>
      </c>
    </row>
    <row r="311" spans="1:18" ht="14.25" customHeight="1" x14ac:dyDescent="0.3">
      <c r="A311" s="2"/>
      <c r="B311" s="2"/>
      <c r="C311" s="3"/>
      <c r="D311" s="3"/>
      <c r="E311" s="2"/>
      <c r="F311" s="2"/>
      <c r="G311" s="5"/>
      <c r="H311" s="5"/>
      <c r="I311" s="4"/>
      <c r="J311" s="6" t="str">
        <f t="shared" si="18"/>
        <v/>
      </c>
      <c r="K311" s="4" t="str">
        <f t="shared" ca="1" si="22"/>
        <v/>
      </c>
      <c r="L311" s="7" t="str">
        <f t="shared" ca="1" si="19"/>
        <v/>
      </c>
      <c r="M311" s="4" t="str">
        <f>IF($I311="Complete","Green",IF($H311="","Amber",IF($H311&lt;'[2]Read Me'!$B$4,"Red",IF($H311-'[2]Read Me'!$B$4&lt;=21,"Amber","Green"))))</f>
        <v>Amber</v>
      </c>
      <c r="N311" s="3"/>
      <c r="O311" t="str">
        <f>IF($I311&lt;&gt;"Complete",IF(COUNTIFS($A$4:$A310,$A311,$B$4:$B310,$B311,$I$4:$I310,"&lt;&gt;Complete")=0,$A311&amp;"|"&amp;$B311,""),"")</f>
        <v>|</v>
      </c>
      <c r="P311" t="str">
        <f ca="1">IF($K311="Yes",COUNTIFS($K$4:$K311,"Yes"),"")</f>
        <v/>
      </c>
      <c r="Q311">
        <f t="shared" ca="1" si="20"/>
        <v>0</v>
      </c>
      <c r="R311" t="str">
        <f ca="1">IF($Q311=1,SUM($Q$4:$Q311),"")</f>
        <v/>
      </c>
    </row>
    <row r="312" spans="1:18" ht="14.25" customHeight="1" x14ac:dyDescent="0.3">
      <c r="A312" s="2"/>
      <c r="B312" s="2"/>
      <c r="C312" s="3"/>
      <c r="D312" s="3"/>
      <c r="E312" s="2"/>
      <c r="F312" s="2"/>
      <c r="G312" s="5"/>
      <c r="H312" s="5"/>
      <c r="I312" s="4"/>
      <c r="J312" s="6" t="str">
        <f t="shared" si="18"/>
        <v/>
      </c>
      <c r="K312" s="4" t="str">
        <f t="shared" ca="1" si="22"/>
        <v/>
      </c>
      <c r="L312" s="7" t="str">
        <f t="shared" ca="1" si="19"/>
        <v/>
      </c>
      <c r="M312" s="4" t="str">
        <f>IF($I312="Complete","Green",IF($H312="","Amber",IF($H312&lt;'[2]Read Me'!$B$4,"Red",IF($H312-'[2]Read Me'!$B$4&lt;=21,"Amber","Green"))))</f>
        <v>Amber</v>
      </c>
      <c r="N312" s="3"/>
      <c r="O312" t="str">
        <f>IF($I312&lt;&gt;"Complete",IF(COUNTIFS($A$4:$A311,$A312,$B$4:$B311,$B312,$I$4:$I311,"&lt;&gt;Complete")=0,$A312&amp;"|"&amp;$B312,""),"")</f>
        <v>|</v>
      </c>
      <c r="P312" t="str">
        <f ca="1">IF($K312="Yes",COUNTIFS($K$4:$K312,"Yes"),"")</f>
        <v/>
      </c>
      <c r="Q312">
        <f t="shared" ca="1" si="20"/>
        <v>0</v>
      </c>
      <c r="R312" t="str">
        <f ca="1">IF($Q312=1,SUM($Q$4:$Q312),"")</f>
        <v/>
      </c>
    </row>
    <row r="313" spans="1:18" x14ac:dyDescent="0.3">
      <c r="L313" s="7" t="str">
        <f t="shared" ca="1" si="19"/>
        <v/>
      </c>
    </row>
    <row r="314" spans="1:18" x14ac:dyDescent="0.3">
      <c r="L314" s="7" t="str">
        <f t="shared" ca="1" si="19"/>
        <v/>
      </c>
    </row>
    <row r="315" spans="1:18" x14ac:dyDescent="0.3">
      <c r="L315" s="7" t="str">
        <f t="shared" ca="1" si="19"/>
        <v/>
      </c>
    </row>
    <row r="316" spans="1:18" x14ac:dyDescent="0.3">
      <c r="L316" s="7" t="str">
        <f t="shared" ca="1" si="19"/>
        <v/>
      </c>
    </row>
    <row r="317" spans="1:18" x14ac:dyDescent="0.3">
      <c r="L317" s="7" t="str">
        <f t="shared" ca="1" si="19"/>
        <v/>
      </c>
    </row>
    <row r="318" spans="1:18" x14ac:dyDescent="0.3">
      <c r="L318" s="7" t="str">
        <f t="shared" ca="1" si="19"/>
        <v/>
      </c>
    </row>
    <row r="319" spans="1:18" x14ac:dyDescent="0.3">
      <c r="L319" s="7" t="str">
        <f t="shared" ca="1" si="19"/>
        <v/>
      </c>
    </row>
    <row r="320" spans="1:18" x14ac:dyDescent="0.3">
      <c r="L320" s="7" t="str">
        <f t="shared" ca="1" si="19"/>
        <v/>
      </c>
    </row>
    <row r="321" spans="12:12" x14ac:dyDescent="0.3">
      <c r="L321" s="7" t="str">
        <f t="shared" ca="1" si="19"/>
        <v/>
      </c>
    </row>
    <row r="322" spans="12:12" x14ac:dyDescent="0.3">
      <c r="L322" s="7" t="str">
        <f t="shared" ca="1" si="19"/>
        <v/>
      </c>
    </row>
    <row r="323" spans="12:12" x14ac:dyDescent="0.3">
      <c r="L323" s="7" t="str">
        <f t="shared" ca="1" si="19"/>
        <v/>
      </c>
    </row>
    <row r="324" spans="12:12" x14ac:dyDescent="0.3">
      <c r="L324" s="7" t="str">
        <f t="shared" ref="L324:L387" ca="1" si="23">IF(I324="Completed",0,IF(H324="","",H324-TODAY()))</f>
        <v/>
      </c>
    </row>
    <row r="325" spans="12:12" x14ac:dyDescent="0.3">
      <c r="L325" s="7" t="str">
        <f t="shared" ca="1" si="23"/>
        <v/>
      </c>
    </row>
    <row r="326" spans="12:12" x14ac:dyDescent="0.3">
      <c r="L326" s="7" t="str">
        <f t="shared" ca="1" si="23"/>
        <v/>
      </c>
    </row>
    <row r="327" spans="12:12" x14ac:dyDescent="0.3">
      <c r="L327" s="7" t="str">
        <f t="shared" ca="1" si="23"/>
        <v/>
      </c>
    </row>
    <row r="328" spans="12:12" x14ac:dyDescent="0.3">
      <c r="L328" s="7" t="str">
        <f t="shared" ca="1" si="23"/>
        <v/>
      </c>
    </row>
    <row r="329" spans="12:12" x14ac:dyDescent="0.3">
      <c r="L329" s="7" t="str">
        <f t="shared" ca="1" si="23"/>
        <v/>
      </c>
    </row>
    <row r="330" spans="12:12" x14ac:dyDescent="0.3">
      <c r="L330" s="7" t="str">
        <f t="shared" ca="1" si="23"/>
        <v/>
      </c>
    </row>
    <row r="331" spans="12:12" x14ac:dyDescent="0.3">
      <c r="L331" s="7" t="str">
        <f t="shared" ca="1" si="23"/>
        <v/>
      </c>
    </row>
    <row r="332" spans="12:12" x14ac:dyDescent="0.3">
      <c r="L332" s="7" t="str">
        <f t="shared" ca="1" si="23"/>
        <v/>
      </c>
    </row>
    <row r="333" spans="12:12" x14ac:dyDescent="0.3">
      <c r="L333" s="7" t="str">
        <f t="shared" ca="1" si="23"/>
        <v/>
      </c>
    </row>
    <row r="334" spans="12:12" x14ac:dyDescent="0.3">
      <c r="L334" s="7" t="str">
        <f t="shared" ca="1" si="23"/>
        <v/>
      </c>
    </row>
    <row r="335" spans="12:12" x14ac:dyDescent="0.3">
      <c r="L335" s="7" t="str">
        <f t="shared" ca="1" si="23"/>
        <v/>
      </c>
    </row>
    <row r="336" spans="12:12" x14ac:dyDescent="0.3">
      <c r="L336" s="7" t="str">
        <f t="shared" ca="1" si="23"/>
        <v/>
      </c>
    </row>
    <row r="337" spans="12:12" x14ac:dyDescent="0.3">
      <c r="L337" s="7" t="str">
        <f t="shared" ca="1" si="23"/>
        <v/>
      </c>
    </row>
    <row r="338" spans="12:12" x14ac:dyDescent="0.3">
      <c r="L338" s="7" t="str">
        <f t="shared" ca="1" si="23"/>
        <v/>
      </c>
    </row>
    <row r="339" spans="12:12" x14ac:dyDescent="0.3">
      <c r="L339" s="7" t="str">
        <f t="shared" ca="1" si="23"/>
        <v/>
      </c>
    </row>
    <row r="340" spans="12:12" x14ac:dyDescent="0.3">
      <c r="L340" s="7" t="str">
        <f t="shared" ca="1" si="23"/>
        <v/>
      </c>
    </row>
    <row r="341" spans="12:12" x14ac:dyDescent="0.3">
      <c r="L341" s="7" t="str">
        <f t="shared" ca="1" si="23"/>
        <v/>
      </c>
    </row>
    <row r="342" spans="12:12" x14ac:dyDescent="0.3">
      <c r="L342" s="7" t="str">
        <f t="shared" ca="1" si="23"/>
        <v/>
      </c>
    </row>
    <row r="343" spans="12:12" x14ac:dyDescent="0.3">
      <c r="L343" s="7" t="str">
        <f t="shared" ca="1" si="23"/>
        <v/>
      </c>
    </row>
    <row r="344" spans="12:12" x14ac:dyDescent="0.3">
      <c r="L344" s="7" t="str">
        <f t="shared" ca="1" si="23"/>
        <v/>
      </c>
    </row>
    <row r="345" spans="12:12" x14ac:dyDescent="0.3">
      <c r="L345" s="7" t="str">
        <f t="shared" ca="1" si="23"/>
        <v/>
      </c>
    </row>
    <row r="346" spans="12:12" x14ac:dyDescent="0.3">
      <c r="L346" s="7" t="str">
        <f t="shared" ca="1" si="23"/>
        <v/>
      </c>
    </row>
    <row r="347" spans="12:12" x14ac:dyDescent="0.3">
      <c r="L347" s="7" t="str">
        <f t="shared" ca="1" si="23"/>
        <v/>
      </c>
    </row>
    <row r="348" spans="12:12" x14ac:dyDescent="0.3">
      <c r="L348" s="7" t="str">
        <f t="shared" ca="1" si="23"/>
        <v/>
      </c>
    </row>
    <row r="349" spans="12:12" x14ac:dyDescent="0.3">
      <c r="L349" s="7" t="str">
        <f t="shared" ca="1" si="23"/>
        <v/>
      </c>
    </row>
    <row r="350" spans="12:12" x14ac:dyDescent="0.3">
      <c r="L350" s="7" t="str">
        <f t="shared" ca="1" si="23"/>
        <v/>
      </c>
    </row>
    <row r="351" spans="12:12" x14ac:dyDescent="0.3">
      <c r="L351" s="7" t="str">
        <f t="shared" ca="1" si="23"/>
        <v/>
      </c>
    </row>
    <row r="352" spans="12:12" x14ac:dyDescent="0.3">
      <c r="L352" s="7" t="str">
        <f t="shared" ca="1" si="23"/>
        <v/>
      </c>
    </row>
    <row r="353" spans="12:12" x14ac:dyDescent="0.3">
      <c r="L353" s="7" t="str">
        <f t="shared" ca="1" si="23"/>
        <v/>
      </c>
    </row>
    <row r="354" spans="12:12" x14ac:dyDescent="0.3">
      <c r="L354" s="7" t="str">
        <f t="shared" ca="1" si="23"/>
        <v/>
      </c>
    </row>
    <row r="355" spans="12:12" x14ac:dyDescent="0.3">
      <c r="L355" s="7" t="str">
        <f t="shared" ca="1" si="23"/>
        <v/>
      </c>
    </row>
    <row r="356" spans="12:12" x14ac:dyDescent="0.3">
      <c r="L356" s="7" t="str">
        <f t="shared" ca="1" si="23"/>
        <v/>
      </c>
    </row>
    <row r="357" spans="12:12" x14ac:dyDescent="0.3">
      <c r="L357" s="7" t="str">
        <f t="shared" ca="1" si="23"/>
        <v/>
      </c>
    </row>
    <row r="358" spans="12:12" x14ac:dyDescent="0.3">
      <c r="L358" s="7" t="str">
        <f t="shared" ca="1" si="23"/>
        <v/>
      </c>
    </row>
    <row r="359" spans="12:12" x14ac:dyDescent="0.3">
      <c r="L359" s="7" t="str">
        <f t="shared" ca="1" si="23"/>
        <v/>
      </c>
    </row>
    <row r="360" spans="12:12" x14ac:dyDescent="0.3">
      <c r="L360" s="7" t="str">
        <f t="shared" ca="1" si="23"/>
        <v/>
      </c>
    </row>
    <row r="361" spans="12:12" x14ac:dyDescent="0.3">
      <c r="L361" s="7" t="str">
        <f t="shared" ca="1" si="23"/>
        <v/>
      </c>
    </row>
    <row r="362" spans="12:12" x14ac:dyDescent="0.3">
      <c r="L362" s="7" t="str">
        <f t="shared" ca="1" si="23"/>
        <v/>
      </c>
    </row>
    <row r="363" spans="12:12" x14ac:dyDescent="0.3">
      <c r="L363" s="7" t="str">
        <f t="shared" ca="1" si="23"/>
        <v/>
      </c>
    </row>
    <row r="364" spans="12:12" x14ac:dyDescent="0.3">
      <c r="L364" s="7" t="str">
        <f t="shared" ca="1" si="23"/>
        <v/>
      </c>
    </row>
    <row r="365" spans="12:12" x14ac:dyDescent="0.3">
      <c r="L365" s="7" t="str">
        <f t="shared" ca="1" si="23"/>
        <v/>
      </c>
    </row>
    <row r="366" spans="12:12" x14ac:dyDescent="0.3">
      <c r="L366" s="7" t="str">
        <f t="shared" ca="1" si="23"/>
        <v/>
      </c>
    </row>
    <row r="367" spans="12:12" x14ac:dyDescent="0.3">
      <c r="L367" s="7" t="str">
        <f t="shared" ca="1" si="23"/>
        <v/>
      </c>
    </row>
    <row r="368" spans="12:12" x14ac:dyDescent="0.3">
      <c r="L368" s="7" t="str">
        <f t="shared" ca="1" si="23"/>
        <v/>
      </c>
    </row>
    <row r="369" spans="12:12" x14ac:dyDescent="0.3">
      <c r="L369" s="7" t="str">
        <f t="shared" ca="1" si="23"/>
        <v/>
      </c>
    </row>
    <row r="370" spans="12:12" x14ac:dyDescent="0.3">
      <c r="L370" s="7" t="str">
        <f t="shared" ca="1" si="23"/>
        <v/>
      </c>
    </row>
    <row r="371" spans="12:12" x14ac:dyDescent="0.3">
      <c r="L371" s="7" t="str">
        <f t="shared" ca="1" si="23"/>
        <v/>
      </c>
    </row>
    <row r="372" spans="12:12" x14ac:dyDescent="0.3">
      <c r="L372" s="7" t="str">
        <f t="shared" ca="1" si="23"/>
        <v/>
      </c>
    </row>
    <row r="373" spans="12:12" x14ac:dyDescent="0.3">
      <c r="L373" s="7" t="str">
        <f t="shared" ca="1" si="23"/>
        <v/>
      </c>
    </row>
    <row r="374" spans="12:12" x14ac:dyDescent="0.3">
      <c r="L374" s="7" t="str">
        <f t="shared" ca="1" si="23"/>
        <v/>
      </c>
    </row>
    <row r="375" spans="12:12" x14ac:dyDescent="0.3">
      <c r="L375" s="7" t="str">
        <f t="shared" ca="1" si="23"/>
        <v/>
      </c>
    </row>
    <row r="376" spans="12:12" x14ac:dyDescent="0.3">
      <c r="L376" s="7" t="str">
        <f t="shared" ca="1" si="23"/>
        <v/>
      </c>
    </row>
    <row r="377" spans="12:12" x14ac:dyDescent="0.3">
      <c r="L377" s="7" t="str">
        <f t="shared" ca="1" si="23"/>
        <v/>
      </c>
    </row>
    <row r="378" spans="12:12" x14ac:dyDescent="0.3">
      <c r="L378" s="7" t="str">
        <f t="shared" ca="1" si="23"/>
        <v/>
      </c>
    </row>
    <row r="379" spans="12:12" x14ac:dyDescent="0.3">
      <c r="L379" s="7" t="str">
        <f t="shared" ca="1" si="23"/>
        <v/>
      </c>
    </row>
    <row r="380" spans="12:12" x14ac:dyDescent="0.3">
      <c r="L380" s="7" t="str">
        <f t="shared" ca="1" si="23"/>
        <v/>
      </c>
    </row>
    <row r="381" spans="12:12" x14ac:dyDescent="0.3">
      <c r="L381" s="7" t="str">
        <f t="shared" ca="1" si="23"/>
        <v/>
      </c>
    </row>
    <row r="382" spans="12:12" x14ac:dyDescent="0.3">
      <c r="L382" s="7" t="str">
        <f t="shared" ca="1" si="23"/>
        <v/>
      </c>
    </row>
    <row r="383" spans="12:12" x14ac:dyDescent="0.3">
      <c r="L383" s="7" t="str">
        <f t="shared" ca="1" si="23"/>
        <v/>
      </c>
    </row>
    <row r="384" spans="12:12" x14ac:dyDescent="0.3">
      <c r="L384" s="7" t="str">
        <f t="shared" ca="1" si="23"/>
        <v/>
      </c>
    </row>
    <row r="385" spans="12:12" x14ac:dyDescent="0.3">
      <c r="L385" s="7" t="str">
        <f t="shared" ca="1" si="23"/>
        <v/>
      </c>
    </row>
    <row r="386" spans="12:12" x14ac:dyDescent="0.3">
      <c r="L386" s="7" t="str">
        <f t="shared" ca="1" si="23"/>
        <v/>
      </c>
    </row>
    <row r="387" spans="12:12" x14ac:dyDescent="0.3">
      <c r="L387" s="7" t="str">
        <f t="shared" ca="1" si="23"/>
        <v/>
      </c>
    </row>
    <row r="388" spans="12:12" x14ac:dyDescent="0.3">
      <c r="L388" s="7" t="str">
        <f t="shared" ref="L388:L451" ca="1" si="24">IF(I388="Completed",0,IF(H388="","",H388-TODAY()))</f>
        <v/>
      </c>
    </row>
    <row r="389" spans="12:12" x14ac:dyDescent="0.3">
      <c r="L389" s="7" t="str">
        <f t="shared" ca="1" si="24"/>
        <v/>
      </c>
    </row>
    <row r="390" spans="12:12" x14ac:dyDescent="0.3">
      <c r="L390" s="7" t="str">
        <f t="shared" ca="1" si="24"/>
        <v/>
      </c>
    </row>
    <row r="391" spans="12:12" x14ac:dyDescent="0.3">
      <c r="L391" s="7" t="str">
        <f t="shared" ca="1" si="24"/>
        <v/>
      </c>
    </row>
    <row r="392" spans="12:12" x14ac:dyDescent="0.3">
      <c r="L392" s="7" t="str">
        <f t="shared" ca="1" si="24"/>
        <v/>
      </c>
    </row>
    <row r="393" spans="12:12" x14ac:dyDescent="0.3">
      <c r="L393" s="7" t="str">
        <f t="shared" ca="1" si="24"/>
        <v/>
      </c>
    </row>
    <row r="394" spans="12:12" x14ac:dyDescent="0.3">
      <c r="L394" s="7" t="str">
        <f t="shared" ca="1" si="24"/>
        <v/>
      </c>
    </row>
    <row r="395" spans="12:12" x14ac:dyDescent="0.3">
      <c r="L395" s="7" t="str">
        <f t="shared" ca="1" si="24"/>
        <v/>
      </c>
    </row>
    <row r="396" spans="12:12" x14ac:dyDescent="0.3">
      <c r="L396" s="7" t="str">
        <f t="shared" ca="1" si="24"/>
        <v/>
      </c>
    </row>
    <row r="397" spans="12:12" x14ac:dyDescent="0.3">
      <c r="L397" s="7" t="str">
        <f t="shared" ca="1" si="24"/>
        <v/>
      </c>
    </row>
    <row r="398" spans="12:12" x14ac:dyDescent="0.3">
      <c r="L398" s="7" t="str">
        <f t="shared" ca="1" si="24"/>
        <v/>
      </c>
    </row>
    <row r="399" spans="12:12" x14ac:dyDescent="0.3">
      <c r="L399" s="7" t="str">
        <f t="shared" ca="1" si="24"/>
        <v/>
      </c>
    </row>
    <row r="400" spans="12:12" x14ac:dyDescent="0.3">
      <c r="L400" s="7" t="str">
        <f t="shared" ca="1" si="24"/>
        <v/>
      </c>
    </row>
    <row r="401" spans="12:12" x14ac:dyDescent="0.3">
      <c r="L401" s="7" t="str">
        <f t="shared" ca="1" si="24"/>
        <v/>
      </c>
    </row>
    <row r="402" spans="12:12" x14ac:dyDescent="0.3">
      <c r="L402" s="7" t="str">
        <f t="shared" ca="1" si="24"/>
        <v/>
      </c>
    </row>
    <row r="403" spans="12:12" x14ac:dyDescent="0.3">
      <c r="L403" s="7" t="str">
        <f t="shared" ca="1" si="24"/>
        <v/>
      </c>
    </row>
    <row r="404" spans="12:12" x14ac:dyDescent="0.3">
      <c r="L404" s="7" t="str">
        <f t="shared" ca="1" si="24"/>
        <v/>
      </c>
    </row>
    <row r="405" spans="12:12" x14ac:dyDescent="0.3">
      <c r="L405" s="7" t="str">
        <f t="shared" ca="1" si="24"/>
        <v/>
      </c>
    </row>
    <row r="406" spans="12:12" x14ac:dyDescent="0.3">
      <c r="L406" s="7" t="str">
        <f t="shared" ca="1" si="24"/>
        <v/>
      </c>
    </row>
    <row r="407" spans="12:12" x14ac:dyDescent="0.3">
      <c r="L407" s="7" t="str">
        <f t="shared" ca="1" si="24"/>
        <v/>
      </c>
    </row>
    <row r="408" spans="12:12" x14ac:dyDescent="0.3">
      <c r="L408" s="7" t="str">
        <f t="shared" ca="1" si="24"/>
        <v/>
      </c>
    </row>
    <row r="409" spans="12:12" x14ac:dyDescent="0.3">
      <c r="L409" s="7" t="str">
        <f t="shared" ca="1" si="24"/>
        <v/>
      </c>
    </row>
    <row r="410" spans="12:12" x14ac:dyDescent="0.3">
      <c r="L410" s="7" t="str">
        <f t="shared" ca="1" si="24"/>
        <v/>
      </c>
    </row>
    <row r="411" spans="12:12" x14ac:dyDescent="0.3">
      <c r="L411" s="7" t="str">
        <f t="shared" ca="1" si="24"/>
        <v/>
      </c>
    </row>
    <row r="412" spans="12:12" x14ac:dyDescent="0.3">
      <c r="L412" s="7" t="str">
        <f t="shared" ca="1" si="24"/>
        <v/>
      </c>
    </row>
    <row r="413" spans="12:12" x14ac:dyDescent="0.3">
      <c r="L413" s="7" t="str">
        <f t="shared" ca="1" si="24"/>
        <v/>
      </c>
    </row>
    <row r="414" spans="12:12" x14ac:dyDescent="0.3">
      <c r="L414" s="7" t="str">
        <f t="shared" ca="1" si="24"/>
        <v/>
      </c>
    </row>
    <row r="415" spans="12:12" x14ac:dyDescent="0.3">
      <c r="L415" s="7" t="str">
        <f t="shared" ca="1" si="24"/>
        <v/>
      </c>
    </row>
    <row r="416" spans="12:12" x14ac:dyDescent="0.3">
      <c r="L416" s="7" t="str">
        <f t="shared" ca="1" si="24"/>
        <v/>
      </c>
    </row>
    <row r="417" spans="12:12" x14ac:dyDescent="0.3">
      <c r="L417" s="7" t="str">
        <f t="shared" ca="1" si="24"/>
        <v/>
      </c>
    </row>
    <row r="418" spans="12:12" x14ac:dyDescent="0.3">
      <c r="L418" s="7" t="str">
        <f t="shared" ca="1" si="24"/>
        <v/>
      </c>
    </row>
    <row r="419" spans="12:12" x14ac:dyDescent="0.3">
      <c r="L419" s="7" t="str">
        <f t="shared" ca="1" si="24"/>
        <v/>
      </c>
    </row>
    <row r="420" spans="12:12" x14ac:dyDescent="0.3">
      <c r="L420" s="7" t="str">
        <f t="shared" ca="1" si="24"/>
        <v/>
      </c>
    </row>
    <row r="421" spans="12:12" x14ac:dyDescent="0.3">
      <c r="L421" s="7" t="str">
        <f t="shared" ca="1" si="24"/>
        <v/>
      </c>
    </row>
    <row r="422" spans="12:12" x14ac:dyDescent="0.3">
      <c r="L422" s="7" t="str">
        <f t="shared" ca="1" si="24"/>
        <v/>
      </c>
    </row>
    <row r="423" spans="12:12" x14ac:dyDescent="0.3">
      <c r="L423" s="7" t="str">
        <f t="shared" ca="1" si="24"/>
        <v/>
      </c>
    </row>
    <row r="424" spans="12:12" x14ac:dyDescent="0.3">
      <c r="L424" s="7" t="str">
        <f t="shared" ca="1" si="24"/>
        <v/>
      </c>
    </row>
    <row r="425" spans="12:12" x14ac:dyDescent="0.3">
      <c r="L425" s="7" t="str">
        <f t="shared" ca="1" si="24"/>
        <v/>
      </c>
    </row>
    <row r="426" spans="12:12" x14ac:dyDescent="0.3">
      <c r="L426" s="7" t="str">
        <f t="shared" ca="1" si="24"/>
        <v/>
      </c>
    </row>
    <row r="427" spans="12:12" x14ac:dyDescent="0.3">
      <c r="L427" s="7" t="str">
        <f t="shared" ca="1" si="24"/>
        <v/>
      </c>
    </row>
    <row r="428" spans="12:12" x14ac:dyDescent="0.3">
      <c r="L428" s="7" t="str">
        <f t="shared" ca="1" si="24"/>
        <v/>
      </c>
    </row>
    <row r="429" spans="12:12" x14ac:dyDescent="0.3">
      <c r="L429" s="7" t="str">
        <f t="shared" ca="1" si="24"/>
        <v/>
      </c>
    </row>
    <row r="430" spans="12:12" x14ac:dyDescent="0.3">
      <c r="L430" s="7" t="str">
        <f t="shared" ca="1" si="24"/>
        <v/>
      </c>
    </row>
    <row r="431" spans="12:12" x14ac:dyDescent="0.3">
      <c r="L431" s="7" t="str">
        <f t="shared" ca="1" si="24"/>
        <v/>
      </c>
    </row>
    <row r="432" spans="12:12" x14ac:dyDescent="0.3">
      <c r="L432" s="7" t="str">
        <f t="shared" ca="1" si="24"/>
        <v/>
      </c>
    </row>
    <row r="433" spans="12:12" x14ac:dyDescent="0.3">
      <c r="L433" s="7" t="str">
        <f t="shared" ca="1" si="24"/>
        <v/>
      </c>
    </row>
    <row r="434" spans="12:12" x14ac:dyDescent="0.3">
      <c r="L434" s="7" t="str">
        <f t="shared" ca="1" si="24"/>
        <v/>
      </c>
    </row>
    <row r="435" spans="12:12" x14ac:dyDescent="0.3">
      <c r="L435" s="7" t="str">
        <f t="shared" ca="1" si="24"/>
        <v/>
      </c>
    </row>
    <row r="436" spans="12:12" x14ac:dyDescent="0.3">
      <c r="L436" s="7" t="str">
        <f t="shared" ca="1" si="24"/>
        <v/>
      </c>
    </row>
    <row r="437" spans="12:12" x14ac:dyDescent="0.3">
      <c r="L437" s="7" t="str">
        <f t="shared" ca="1" si="24"/>
        <v/>
      </c>
    </row>
    <row r="438" spans="12:12" x14ac:dyDescent="0.3">
      <c r="L438" s="7" t="str">
        <f t="shared" ca="1" si="24"/>
        <v/>
      </c>
    </row>
    <row r="439" spans="12:12" x14ac:dyDescent="0.3">
      <c r="L439" s="7" t="str">
        <f t="shared" ca="1" si="24"/>
        <v/>
      </c>
    </row>
    <row r="440" spans="12:12" x14ac:dyDescent="0.3">
      <c r="L440" s="7" t="str">
        <f t="shared" ca="1" si="24"/>
        <v/>
      </c>
    </row>
    <row r="441" spans="12:12" x14ac:dyDescent="0.3">
      <c r="L441" s="7" t="str">
        <f t="shared" ca="1" si="24"/>
        <v/>
      </c>
    </row>
    <row r="442" spans="12:12" x14ac:dyDescent="0.3">
      <c r="L442" s="7" t="str">
        <f t="shared" ca="1" si="24"/>
        <v/>
      </c>
    </row>
    <row r="443" spans="12:12" x14ac:dyDescent="0.3">
      <c r="L443" s="7" t="str">
        <f t="shared" ca="1" si="24"/>
        <v/>
      </c>
    </row>
    <row r="444" spans="12:12" x14ac:dyDescent="0.3">
      <c r="L444" s="7" t="str">
        <f t="shared" ca="1" si="24"/>
        <v/>
      </c>
    </row>
    <row r="445" spans="12:12" x14ac:dyDescent="0.3">
      <c r="L445" s="7" t="str">
        <f t="shared" ca="1" si="24"/>
        <v/>
      </c>
    </row>
    <row r="446" spans="12:12" x14ac:dyDescent="0.3">
      <c r="L446" s="7" t="str">
        <f t="shared" ca="1" si="24"/>
        <v/>
      </c>
    </row>
    <row r="447" spans="12:12" x14ac:dyDescent="0.3">
      <c r="L447" s="7" t="str">
        <f t="shared" ca="1" si="24"/>
        <v/>
      </c>
    </row>
    <row r="448" spans="12:12" x14ac:dyDescent="0.3">
      <c r="L448" s="7" t="str">
        <f t="shared" ca="1" si="24"/>
        <v/>
      </c>
    </row>
    <row r="449" spans="12:12" x14ac:dyDescent="0.3">
      <c r="L449" s="7" t="str">
        <f t="shared" ca="1" si="24"/>
        <v/>
      </c>
    </row>
    <row r="450" spans="12:12" x14ac:dyDescent="0.3">
      <c r="L450" s="7" t="str">
        <f t="shared" ca="1" si="24"/>
        <v/>
      </c>
    </row>
    <row r="451" spans="12:12" x14ac:dyDescent="0.3">
      <c r="L451" s="7" t="str">
        <f t="shared" ca="1" si="24"/>
        <v/>
      </c>
    </row>
    <row r="452" spans="12:12" x14ac:dyDescent="0.3">
      <c r="L452" s="7" t="str">
        <f t="shared" ref="L452:L515" ca="1" si="25">IF(I452="Completed",0,IF(H452="","",H452-TODAY()))</f>
        <v/>
      </c>
    </row>
    <row r="453" spans="12:12" x14ac:dyDescent="0.3">
      <c r="L453" s="7" t="str">
        <f t="shared" ca="1" si="25"/>
        <v/>
      </c>
    </row>
    <row r="454" spans="12:12" x14ac:dyDescent="0.3">
      <c r="L454" s="7" t="str">
        <f t="shared" ca="1" si="25"/>
        <v/>
      </c>
    </row>
    <row r="455" spans="12:12" x14ac:dyDescent="0.3">
      <c r="L455" s="7" t="str">
        <f t="shared" ca="1" si="25"/>
        <v/>
      </c>
    </row>
    <row r="456" spans="12:12" x14ac:dyDescent="0.3">
      <c r="L456" s="7" t="str">
        <f t="shared" ca="1" si="25"/>
        <v/>
      </c>
    </row>
    <row r="457" spans="12:12" x14ac:dyDescent="0.3">
      <c r="L457" s="7" t="str">
        <f t="shared" ca="1" si="25"/>
        <v/>
      </c>
    </row>
    <row r="458" spans="12:12" x14ac:dyDescent="0.3">
      <c r="L458" s="7" t="str">
        <f t="shared" ca="1" si="25"/>
        <v/>
      </c>
    </row>
    <row r="459" spans="12:12" x14ac:dyDescent="0.3">
      <c r="L459" s="7" t="str">
        <f t="shared" ca="1" si="25"/>
        <v/>
      </c>
    </row>
    <row r="460" spans="12:12" x14ac:dyDescent="0.3">
      <c r="L460" s="7" t="str">
        <f t="shared" ca="1" si="25"/>
        <v/>
      </c>
    </row>
    <row r="461" spans="12:12" x14ac:dyDescent="0.3">
      <c r="L461" s="7" t="str">
        <f t="shared" ca="1" si="25"/>
        <v/>
      </c>
    </row>
    <row r="462" spans="12:12" x14ac:dyDescent="0.3">
      <c r="L462" s="7" t="str">
        <f t="shared" ca="1" si="25"/>
        <v/>
      </c>
    </row>
    <row r="463" spans="12:12" x14ac:dyDescent="0.3">
      <c r="L463" s="7" t="str">
        <f t="shared" ca="1" si="25"/>
        <v/>
      </c>
    </row>
    <row r="464" spans="12:12" x14ac:dyDescent="0.3">
      <c r="L464" s="7" t="str">
        <f t="shared" ca="1" si="25"/>
        <v/>
      </c>
    </row>
    <row r="465" spans="12:12" x14ac:dyDescent="0.3">
      <c r="L465" s="7" t="str">
        <f t="shared" ca="1" si="25"/>
        <v/>
      </c>
    </row>
    <row r="466" spans="12:12" x14ac:dyDescent="0.3">
      <c r="L466" s="7" t="str">
        <f t="shared" ca="1" si="25"/>
        <v/>
      </c>
    </row>
    <row r="467" spans="12:12" x14ac:dyDescent="0.3">
      <c r="L467" s="7" t="str">
        <f t="shared" ca="1" si="25"/>
        <v/>
      </c>
    </row>
    <row r="468" spans="12:12" x14ac:dyDescent="0.3">
      <c r="L468" s="7" t="str">
        <f t="shared" ca="1" si="25"/>
        <v/>
      </c>
    </row>
    <row r="469" spans="12:12" x14ac:dyDescent="0.3">
      <c r="L469" s="7" t="str">
        <f t="shared" ca="1" si="25"/>
        <v/>
      </c>
    </row>
    <row r="470" spans="12:12" x14ac:dyDescent="0.3">
      <c r="L470" s="7" t="str">
        <f t="shared" ca="1" si="25"/>
        <v/>
      </c>
    </row>
    <row r="471" spans="12:12" x14ac:dyDescent="0.3">
      <c r="L471" s="7" t="str">
        <f t="shared" ca="1" si="25"/>
        <v/>
      </c>
    </row>
    <row r="472" spans="12:12" x14ac:dyDescent="0.3">
      <c r="L472" s="7" t="str">
        <f t="shared" ca="1" si="25"/>
        <v/>
      </c>
    </row>
    <row r="473" spans="12:12" x14ac:dyDescent="0.3">
      <c r="L473" s="7" t="str">
        <f t="shared" ca="1" si="25"/>
        <v/>
      </c>
    </row>
    <row r="474" spans="12:12" x14ac:dyDescent="0.3">
      <c r="L474" s="7" t="str">
        <f t="shared" ca="1" si="25"/>
        <v/>
      </c>
    </row>
    <row r="475" spans="12:12" x14ac:dyDescent="0.3">
      <c r="L475" s="7" t="str">
        <f t="shared" ca="1" si="25"/>
        <v/>
      </c>
    </row>
    <row r="476" spans="12:12" x14ac:dyDescent="0.3">
      <c r="L476" s="7" t="str">
        <f t="shared" ca="1" si="25"/>
        <v/>
      </c>
    </row>
    <row r="477" spans="12:12" x14ac:dyDescent="0.3">
      <c r="L477" s="7" t="str">
        <f t="shared" ca="1" si="25"/>
        <v/>
      </c>
    </row>
    <row r="478" spans="12:12" x14ac:dyDescent="0.3">
      <c r="L478" s="7" t="str">
        <f t="shared" ca="1" si="25"/>
        <v/>
      </c>
    </row>
    <row r="479" spans="12:12" x14ac:dyDescent="0.3">
      <c r="L479" s="7" t="str">
        <f t="shared" ca="1" si="25"/>
        <v/>
      </c>
    </row>
    <row r="480" spans="12:12" x14ac:dyDescent="0.3">
      <c r="L480" s="7" t="str">
        <f t="shared" ca="1" si="25"/>
        <v/>
      </c>
    </row>
    <row r="481" spans="12:12" x14ac:dyDescent="0.3">
      <c r="L481" s="7" t="str">
        <f t="shared" ca="1" si="25"/>
        <v/>
      </c>
    </row>
    <row r="482" spans="12:12" x14ac:dyDescent="0.3">
      <c r="L482" s="7" t="str">
        <f t="shared" ca="1" si="25"/>
        <v/>
      </c>
    </row>
    <row r="483" spans="12:12" x14ac:dyDescent="0.3">
      <c r="L483" s="7" t="str">
        <f t="shared" ca="1" si="25"/>
        <v/>
      </c>
    </row>
    <row r="484" spans="12:12" x14ac:dyDescent="0.3">
      <c r="L484" s="7" t="str">
        <f t="shared" ca="1" si="25"/>
        <v/>
      </c>
    </row>
    <row r="485" spans="12:12" x14ac:dyDescent="0.3">
      <c r="L485" s="7" t="str">
        <f t="shared" ca="1" si="25"/>
        <v/>
      </c>
    </row>
    <row r="486" spans="12:12" x14ac:dyDescent="0.3">
      <c r="L486" s="7" t="str">
        <f t="shared" ca="1" si="25"/>
        <v/>
      </c>
    </row>
    <row r="487" spans="12:12" x14ac:dyDescent="0.3">
      <c r="L487" s="7" t="str">
        <f t="shared" ca="1" si="25"/>
        <v/>
      </c>
    </row>
    <row r="488" spans="12:12" x14ac:dyDescent="0.3">
      <c r="L488" s="7" t="str">
        <f t="shared" ca="1" si="25"/>
        <v/>
      </c>
    </row>
    <row r="489" spans="12:12" x14ac:dyDescent="0.3">
      <c r="L489" s="7" t="str">
        <f t="shared" ca="1" si="25"/>
        <v/>
      </c>
    </row>
    <row r="490" spans="12:12" x14ac:dyDescent="0.3">
      <c r="L490" s="7" t="str">
        <f t="shared" ca="1" si="25"/>
        <v/>
      </c>
    </row>
    <row r="491" spans="12:12" x14ac:dyDescent="0.3">
      <c r="L491" s="7" t="str">
        <f t="shared" ca="1" si="25"/>
        <v/>
      </c>
    </row>
    <row r="492" spans="12:12" x14ac:dyDescent="0.3">
      <c r="L492" s="7" t="str">
        <f t="shared" ca="1" si="25"/>
        <v/>
      </c>
    </row>
    <row r="493" spans="12:12" x14ac:dyDescent="0.3">
      <c r="L493" s="7" t="str">
        <f t="shared" ca="1" si="25"/>
        <v/>
      </c>
    </row>
    <row r="494" spans="12:12" x14ac:dyDescent="0.3">
      <c r="L494" s="7" t="str">
        <f t="shared" ca="1" si="25"/>
        <v/>
      </c>
    </row>
    <row r="495" spans="12:12" x14ac:dyDescent="0.3">
      <c r="L495" s="7" t="str">
        <f t="shared" ca="1" si="25"/>
        <v/>
      </c>
    </row>
    <row r="496" spans="12:12" x14ac:dyDescent="0.3">
      <c r="L496" s="7" t="str">
        <f t="shared" ca="1" si="25"/>
        <v/>
      </c>
    </row>
    <row r="497" spans="12:12" x14ac:dyDescent="0.3">
      <c r="L497" s="7" t="str">
        <f t="shared" ca="1" si="25"/>
        <v/>
      </c>
    </row>
    <row r="498" spans="12:12" x14ac:dyDescent="0.3">
      <c r="L498" s="7" t="str">
        <f t="shared" ca="1" si="25"/>
        <v/>
      </c>
    </row>
    <row r="499" spans="12:12" x14ac:dyDescent="0.3">
      <c r="L499" s="7" t="str">
        <f t="shared" ca="1" si="25"/>
        <v/>
      </c>
    </row>
    <row r="500" spans="12:12" x14ac:dyDescent="0.3">
      <c r="L500" s="7" t="str">
        <f t="shared" ca="1" si="25"/>
        <v/>
      </c>
    </row>
    <row r="501" spans="12:12" x14ac:dyDescent="0.3">
      <c r="L501" s="7" t="str">
        <f t="shared" ca="1" si="25"/>
        <v/>
      </c>
    </row>
    <row r="502" spans="12:12" x14ac:dyDescent="0.3">
      <c r="L502" s="7" t="str">
        <f t="shared" ca="1" si="25"/>
        <v/>
      </c>
    </row>
    <row r="503" spans="12:12" x14ac:dyDescent="0.3">
      <c r="L503" s="7" t="str">
        <f t="shared" ca="1" si="25"/>
        <v/>
      </c>
    </row>
    <row r="504" spans="12:12" x14ac:dyDescent="0.3">
      <c r="L504" s="7" t="str">
        <f t="shared" ca="1" si="25"/>
        <v/>
      </c>
    </row>
    <row r="505" spans="12:12" x14ac:dyDescent="0.3">
      <c r="L505" s="7" t="str">
        <f t="shared" ca="1" si="25"/>
        <v/>
      </c>
    </row>
    <row r="506" spans="12:12" x14ac:dyDescent="0.3">
      <c r="L506" s="7" t="str">
        <f t="shared" ca="1" si="25"/>
        <v/>
      </c>
    </row>
    <row r="507" spans="12:12" x14ac:dyDescent="0.3">
      <c r="L507" s="7" t="str">
        <f t="shared" ca="1" si="25"/>
        <v/>
      </c>
    </row>
    <row r="508" spans="12:12" x14ac:dyDescent="0.3">
      <c r="L508" s="7" t="str">
        <f t="shared" ca="1" si="25"/>
        <v/>
      </c>
    </row>
    <row r="509" spans="12:12" x14ac:dyDescent="0.3">
      <c r="L509" s="7" t="str">
        <f t="shared" ca="1" si="25"/>
        <v/>
      </c>
    </row>
    <row r="510" spans="12:12" x14ac:dyDescent="0.3">
      <c r="L510" s="7" t="str">
        <f t="shared" ca="1" si="25"/>
        <v/>
      </c>
    </row>
    <row r="511" spans="12:12" x14ac:dyDescent="0.3">
      <c r="L511" s="7" t="str">
        <f t="shared" ca="1" si="25"/>
        <v/>
      </c>
    </row>
    <row r="512" spans="12:12" x14ac:dyDescent="0.3">
      <c r="L512" s="7" t="str">
        <f t="shared" ca="1" si="25"/>
        <v/>
      </c>
    </row>
    <row r="513" spans="12:12" x14ac:dyDescent="0.3">
      <c r="L513" s="7" t="str">
        <f t="shared" ca="1" si="25"/>
        <v/>
      </c>
    </row>
    <row r="514" spans="12:12" x14ac:dyDescent="0.3">
      <c r="L514" s="7" t="str">
        <f t="shared" ca="1" si="25"/>
        <v/>
      </c>
    </row>
    <row r="515" spans="12:12" x14ac:dyDescent="0.3">
      <c r="L515" s="7" t="str">
        <f t="shared" ca="1" si="25"/>
        <v/>
      </c>
    </row>
    <row r="516" spans="12:12" x14ac:dyDescent="0.3">
      <c r="L516" s="7" t="str">
        <f t="shared" ref="L516:L579" ca="1" si="26">IF(I516="Completed",0,IF(H516="","",H516-TODAY()))</f>
        <v/>
      </c>
    </row>
    <row r="517" spans="12:12" x14ac:dyDescent="0.3">
      <c r="L517" s="7" t="str">
        <f t="shared" ca="1" si="26"/>
        <v/>
      </c>
    </row>
    <row r="518" spans="12:12" x14ac:dyDescent="0.3">
      <c r="L518" s="7" t="str">
        <f t="shared" ca="1" si="26"/>
        <v/>
      </c>
    </row>
    <row r="519" spans="12:12" x14ac:dyDescent="0.3">
      <c r="L519" s="7" t="str">
        <f t="shared" ca="1" si="26"/>
        <v/>
      </c>
    </row>
    <row r="520" spans="12:12" x14ac:dyDescent="0.3">
      <c r="L520" s="7" t="str">
        <f t="shared" ca="1" si="26"/>
        <v/>
      </c>
    </row>
    <row r="521" spans="12:12" x14ac:dyDescent="0.3">
      <c r="L521" s="7" t="str">
        <f t="shared" ca="1" si="26"/>
        <v/>
      </c>
    </row>
    <row r="522" spans="12:12" x14ac:dyDescent="0.3">
      <c r="L522" s="7" t="str">
        <f t="shared" ca="1" si="26"/>
        <v/>
      </c>
    </row>
    <row r="523" spans="12:12" x14ac:dyDescent="0.3">
      <c r="L523" s="7" t="str">
        <f t="shared" ca="1" si="26"/>
        <v/>
      </c>
    </row>
    <row r="524" spans="12:12" x14ac:dyDescent="0.3">
      <c r="L524" s="7" t="str">
        <f t="shared" ca="1" si="26"/>
        <v/>
      </c>
    </row>
    <row r="525" spans="12:12" x14ac:dyDescent="0.3">
      <c r="L525" s="7" t="str">
        <f t="shared" ca="1" si="26"/>
        <v/>
      </c>
    </row>
    <row r="526" spans="12:12" x14ac:dyDescent="0.3">
      <c r="L526" s="7" t="str">
        <f t="shared" ca="1" si="26"/>
        <v/>
      </c>
    </row>
    <row r="527" spans="12:12" x14ac:dyDescent="0.3">
      <c r="L527" s="7" t="str">
        <f t="shared" ca="1" si="26"/>
        <v/>
      </c>
    </row>
    <row r="528" spans="12:12" x14ac:dyDescent="0.3">
      <c r="L528" s="7" t="str">
        <f t="shared" ca="1" si="26"/>
        <v/>
      </c>
    </row>
    <row r="529" spans="12:12" x14ac:dyDescent="0.3">
      <c r="L529" s="7" t="str">
        <f t="shared" ca="1" si="26"/>
        <v/>
      </c>
    </row>
    <row r="530" spans="12:12" x14ac:dyDescent="0.3">
      <c r="L530" s="7" t="str">
        <f t="shared" ca="1" si="26"/>
        <v/>
      </c>
    </row>
    <row r="531" spans="12:12" x14ac:dyDescent="0.3">
      <c r="L531" s="7" t="str">
        <f t="shared" ca="1" si="26"/>
        <v/>
      </c>
    </row>
    <row r="532" spans="12:12" x14ac:dyDescent="0.3">
      <c r="L532" s="7" t="str">
        <f t="shared" ca="1" si="26"/>
        <v/>
      </c>
    </row>
    <row r="533" spans="12:12" x14ac:dyDescent="0.3">
      <c r="L533" s="7" t="str">
        <f t="shared" ca="1" si="26"/>
        <v/>
      </c>
    </row>
    <row r="534" spans="12:12" x14ac:dyDescent="0.3">
      <c r="L534" s="7" t="str">
        <f t="shared" ca="1" si="26"/>
        <v/>
      </c>
    </row>
    <row r="535" spans="12:12" x14ac:dyDescent="0.3">
      <c r="L535" s="7" t="str">
        <f t="shared" ca="1" si="26"/>
        <v/>
      </c>
    </row>
    <row r="536" spans="12:12" x14ac:dyDescent="0.3">
      <c r="L536" s="7" t="str">
        <f t="shared" ca="1" si="26"/>
        <v/>
      </c>
    </row>
    <row r="537" spans="12:12" x14ac:dyDescent="0.3">
      <c r="L537" s="7" t="str">
        <f t="shared" ca="1" si="26"/>
        <v/>
      </c>
    </row>
    <row r="538" spans="12:12" x14ac:dyDescent="0.3">
      <c r="L538" s="7" t="str">
        <f t="shared" ca="1" si="26"/>
        <v/>
      </c>
    </row>
    <row r="539" spans="12:12" x14ac:dyDescent="0.3">
      <c r="L539" s="7" t="str">
        <f t="shared" ca="1" si="26"/>
        <v/>
      </c>
    </row>
    <row r="540" spans="12:12" x14ac:dyDescent="0.3">
      <c r="L540" s="7" t="str">
        <f t="shared" ca="1" si="26"/>
        <v/>
      </c>
    </row>
    <row r="541" spans="12:12" x14ac:dyDescent="0.3">
      <c r="L541" s="7" t="str">
        <f t="shared" ca="1" si="26"/>
        <v/>
      </c>
    </row>
    <row r="542" spans="12:12" x14ac:dyDescent="0.3">
      <c r="L542" s="7" t="str">
        <f t="shared" ca="1" si="26"/>
        <v/>
      </c>
    </row>
    <row r="543" spans="12:12" x14ac:dyDescent="0.3">
      <c r="L543" s="7" t="str">
        <f t="shared" ca="1" si="26"/>
        <v/>
      </c>
    </row>
    <row r="544" spans="12:12" x14ac:dyDescent="0.3">
      <c r="L544" s="7" t="str">
        <f t="shared" ca="1" si="26"/>
        <v/>
      </c>
    </row>
    <row r="545" spans="12:12" x14ac:dyDescent="0.3">
      <c r="L545" s="7" t="str">
        <f t="shared" ca="1" si="26"/>
        <v/>
      </c>
    </row>
    <row r="546" spans="12:12" x14ac:dyDescent="0.3">
      <c r="L546" s="7" t="str">
        <f t="shared" ca="1" si="26"/>
        <v/>
      </c>
    </row>
    <row r="547" spans="12:12" x14ac:dyDescent="0.3">
      <c r="L547" s="7" t="str">
        <f t="shared" ca="1" si="26"/>
        <v/>
      </c>
    </row>
    <row r="548" spans="12:12" x14ac:dyDescent="0.3">
      <c r="L548" s="7" t="str">
        <f t="shared" ca="1" si="26"/>
        <v/>
      </c>
    </row>
    <row r="549" spans="12:12" x14ac:dyDescent="0.3">
      <c r="L549" s="7" t="str">
        <f t="shared" ca="1" si="26"/>
        <v/>
      </c>
    </row>
    <row r="550" spans="12:12" x14ac:dyDescent="0.3">
      <c r="L550" s="7" t="str">
        <f t="shared" ca="1" si="26"/>
        <v/>
      </c>
    </row>
    <row r="551" spans="12:12" x14ac:dyDescent="0.3">
      <c r="L551" s="7" t="str">
        <f t="shared" ca="1" si="26"/>
        <v/>
      </c>
    </row>
    <row r="552" spans="12:12" x14ac:dyDescent="0.3">
      <c r="L552" s="7" t="str">
        <f t="shared" ca="1" si="26"/>
        <v/>
      </c>
    </row>
    <row r="553" spans="12:12" x14ac:dyDescent="0.3">
      <c r="L553" s="7" t="str">
        <f t="shared" ca="1" si="26"/>
        <v/>
      </c>
    </row>
    <row r="554" spans="12:12" x14ac:dyDescent="0.3">
      <c r="L554" s="7" t="str">
        <f t="shared" ca="1" si="26"/>
        <v/>
      </c>
    </row>
    <row r="555" spans="12:12" x14ac:dyDescent="0.3">
      <c r="L555" s="7" t="str">
        <f t="shared" ca="1" si="26"/>
        <v/>
      </c>
    </row>
    <row r="556" spans="12:12" x14ac:dyDescent="0.3">
      <c r="L556" s="7" t="str">
        <f t="shared" ca="1" si="26"/>
        <v/>
      </c>
    </row>
    <row r="557" spans="12:12" x14ac:dyDescent="0.3">
      <c r="L557" s="7" t="str">
        <f t="shared" ca="1" si="26"/>
        <v/>
      </c>
    </row>
    <row r="558" spans="12:12" x14ac:dyDescent="0.3">
      <c r="L558" s="7" t="str">
        <f t="shared" ca="1" si="26"/>
        <v/>
      </c>
    </row>
    <row r="559" spans="12:12" x14ac:dyDescent="0.3">
      <c r="L559" s="7" t="str">
        <f t="shared" ca="1" si="26"/>
        <v/>
      </c>
    </row>
    <row r="560" spans="12:12" x14ac:dyDescent="0.3">
      <c r="L560" s="7" t="str">
        <f t="shared" ca="1" si="26"/>
        <v/>
      </c>
    </row>
    <row r="561" spans="12:12" x14ac:dyDescent="0.3">
      <c r="L561" s="7" t="str">
        <f t="shared" ca="1" si="26"/>
        <v/>
      </c>
    </row>
    <row r="562" spans="12:12" x14ac:dyDescent="0.3">
      <c r="L562" s="7" t="str">
        <f t="shared" ca="1" si="26"/>
        <v/>
      </c>
    </row>
    <row r="563" spans="12:12" x14ac:dyDescent="0.3">
      <c r="L563" s="7" t="str">
        <f t="shared" ca="1" si="26"/>
        <v/>
      </c>
    </row>
    <row r="564" spans="12:12" x14ac:dyDescent="0.3">
      <c r="L564" s="7" t="str">
        <f t="shared" ca="1" si="26"/>
        <v/>
      </c>
    </row>
    <row r="565" spans="12:12" x14ac:dyDescent="0.3">
      <c r="L565" s="7" t="str">
        <f t="shared" ca="1" si="26"/>
        <v/>
      </c>
    </row>
    <row r="566" spans="12:12" x14ac:dyDescent="0.3">
      <c r="L566" s="7" t="str">
        <f t="shared" ca="1" si="26"/>
        <v/>
      </c>
    </row>
    <row r="567" spans="12:12" x14ac:dyDescent="0.3">
      <c r="L567" s="7" t="str">
        <f t="shared" ca="1" si="26"/>
        <v/>
      </c>
    </row>
    <row r="568" spans="12:12" x14ac:dyDescent="0.3">
      <c r="L568" s="7" t="str">
        <f t="shared" ca="1" si="26"/>
        <v/>
      </c>
    </row>
    <row r="569" spans="12:12" x14ac:dyDescent="0.3">
      <c r="L569" s="7" t="str">
        <f t="shared" ca="1" si="26"/>
        <v/>
      </c>
    </row>
    <row r="570" spans="12:12" x14ac:dyDescent="0.3">
      <c r="L570" s="7" t="str">
        <f t="shared" ca="1" si="26"/>
        <v/>
      </c>
    </row>
    <row r="571" spans="12:12" x14ac:dyDescent="0.3">
      <c r="L571" s="7" t="str">
        <f t="shared" ca="1" si="26"/>
        <v/>
      </c>
    </row>
    <row r="572" spans="12:12" x14ac:dyDescent="0.3">
      <c r="L572" s="7" t="str">
        <f t="shared" ca="1" si="26"/>
        <v/>
      </c>
    </row>
    <row r="573" spans="12:12" x14ac:dyDescent="0.3">
      <c r="L573" s="7" t="str">
        <f t="shared" ca="1" si="26"/>
        <v/>
      </c>
    </row>
    <row r="574" spans="12:12" x14ac:dyDescent="0.3">
      <c r="L574" s="7" t="str">
        <f t="shared" ca="1" si="26"/>
        <v/>
      </c>
    </row>
    <row r="575" spans="12:12" x14ac:dyDescent="0.3">
      <c r="L575" s="7" t="str">
        <f t="shared" ca="1" si="26"/>
        <v/>
      </c>
    </row>
    <row r="576" spans="12:12" x14ac:dyDescent="0.3">
      <c r="L576" s="7" t="str">
        <f t="shared" ca="1" si="26"/>
        <v/>
      </c>
    </row>
    <row r="577" spans="12:12" x14ac:dyDescent="0.3">
      <c r="L577" s="7" t="str">
        <f t="shared" ca="1" si="26"/>
        <v/>
      </c>
    </row>
    <row r="578" spans="12:12" x14ac:dyDescent="0.3">
      <c r="L578" s="7" t="str">
        <f t="shared" ca="1" si="26"/>
        <v/>
      </c>
    </row>
    <row r="579" spans="12:12" x14ac:dyDescent="0.3">
      <c r="L579" s="7" t="str">
        <f t="shared" ca="1" si="26"/>
        <v/>
      </c>
    </row>
    <row r="580" spans="12:12" x14ac:dyDescent="0.3">
      <c r="L580" s="7" t="str">
        <f t="shared" ref="L580:L643" ca="1" si="27">IF(I580="Completed",0,IF(H580="","",H580-TODAY()))</f>
        <v/>
      </c>
    </row>
    <row r="581" spans="12:12" x14ac:dyDescent="0.3">
      <c r="L581" s="7" t="str">
        <f t="shared" ca="1" si="27"/>
        <v/>
      </c>
    </row>
    <row r="582" spans="12:12" x14ac:dyDescent="0.3">
      <c r="L582" s="7" t="str">
        <f t="shared" ca="1" si="27"/>
        <v/>
      </c>
    </row>
    <row r="583" spans="12:12" x14ac:dyDescent="0.3">
      <c r="L583" s="7" t="str">
        <f t="shared" ca="1" si="27"/>
        <v/>
      </c>
    </row>
    <row r="584" spans="12:12" x14ac:dyDescent="0.3">
      <c r="L584" s="7" t="str">
        <f t="shared" ca="1" si="27"/>
        <v/>
      </c>
    </row>
    <row r="585" spans="12:12" x14ac:dyDescent="0.3">
      <c r="L585" s="7" t="str">
        <f t="shared" ca="1" si="27"/>
        <v/>
      </c>
    </row>
    <row r="586" spans="12:12" x14ac:dyDescent="0.3">
      <c r="L586" s="7" t="str">
        <f t="shared" ca="1" si="27"/>
        <v/>
      </c>
    </row>
    <row r="587" spans="12:12" x14ac:dyDescent="0.3">
      <c r="L587" s="7" t="str">
        <f t="shared" ca="1" si="27"/>
        <v/>
      </c>
    </row>
    <row r="588" spans="12:12" x14ac:dyDescent="0.3">
      <c r="L588" s="7" t="str">
        <f t="shared" ca="1" si="27"/>
        <v/>
      </c>
    </row>
    <row r="589" spans="12:12" x14ac:dyDescent="0.3">
      <c r="L589" s="7" t="str">
        <f t="shared" ca="1" si="27"/>
        <v/>
      </c>
    </row>
    <row r="590" spans="12:12" x14ac:dyDescent="0.3">
      <c r="L590" s="7" t="str">
        <f t="shared" ca="1" si="27"/>
        <v/>
      </c>
    </row>
    <row r="591" spans="12:12" x14ac:dyDescent="0.3">
      <c r="L591" s="7" t="str">
        <f t="shared" ca="1" si="27"/>
        <v/>
      </c>
    </row>
    <row r="592" spans="12:12" x14ac:dyDescent="0.3">
      <c r="L592" s="7" t="str">
        <f t="shared" ca="1" si="27"/>
        <v/>
      </c>
    </row>
    <row r="593" spans="12:12" x14ac:dyDescent="0.3">
      <c r="L593" s="7" t="str">
        <f t="shared" ca="1" si="27"/>
        <v/>
      </c>
    </row>
    <row r="594" spans="12:12" x14ac:dyDescent="0.3">
      <c r="L594" s="7" t="str">
        <f t="shared" ca="1" si="27"/>
        <v/>
      </c>
    </row>
    <row r="595" spans="12:12" x14ac:dyDescent="0.3">
      <c r="L595" s="7" t="str">
        <f t="shared" ca="1" si="27"/>
        <v/>
      </c>
    </row>
    <row r="596" spans="12:12" x14ac:dyDescent="0.3">
      <c r="L596" s="7" t="str">
        <f t="shared" ca="1" si="27"/>
        <v/>
      </c>
    </row>
    <row r="597" spans="12:12" x14ac:dyDescent="0.3">
      <c r="L597" s="7" t="str">
        <f t="shared" ca="1" si="27"/>
        <v/>
      </c>
    </row>
    <row r="598" spans="12:12" x14ac:dyDescent="0.3">
      <c r="L598" s="7" t="str">
        <f t="shared" ca="1" si="27"/>
        <v/>
      </c>
    </row>
    <row r="599" spans="12:12" x14ac:dyDescent="0.3">
      <c r="L599" s="7" t="str">
        <f t="shared" ca="1" si="27"/>
        <v/>
      </c>
    </row>
    <row r="600" spans="12:12" x14ac:dyDescent="0.3">
      <c r="L600" s="7" t="str">
        <f t="shared" ca="1" si="27"/>
        <v/>
      </c>
    </row>
    <row r="601" spans="12:12" x14ac:dyDescent="0.3">
      <c r="L601" s="7" t="str">
        <f t="shared" ca="1" si="27"/>
        <v/>
      </c>
    </row>
    <row r="602" spans="12:12" x14ac:dyDescent="0.3">
      <c r="L602" s="7" t="str">
        <f t="shared" ca="1" si="27"/>
        <v/>
      </c>
    </row>
    <row r="603" spans="12:12" x14ac:dyDescent="0.3">
      <c r="L603" s="7" t="str">
        <f t="shared" ca="1" si="27"/>
        <v/>
      </c>
    </row>
    <row r="604" spans="12:12" x14ac:dyDescent="0.3">
      <c r="L604" s="7" t="str">
        <f t="shared" ca="1" si="27"/>
        <v/>
      </c>
    </row>
    <row r="605" spans="12:12" x14ac:dyDescent="0.3">
      <c r="L605" s="7" t="str">
        <f t="shared" ca="1" si="27"/>
        <v/>
      </c>
    </row>
    <row r="606" spans="12:12" x14ac:dyDescent="0.3">
      <c r="L606" s="7" t="str">
        <f t="shared" ca="1" si="27"/>
        <v/>
      </c>
    </row>
    <row r="607" spans="12:12" x14ac:dyDescent="0.3">
      <c r="L607" s="7" t="str">
        <f t="shared" ca="1" si="27"/>
        <v/>
      </c>
    </row>
    <row r="608" spans="12:12" x14ac:dyDescent="0.3">
      <c r="L608" s="7" t="str">
        <f t="shared" ca="1" si="27"/>
        <v/>
      </c>
    </row>
    <row r="609" spans="12:12" x14ac:dyDescent="0.3">
      <c r="L609" s="7" t="str">
        <f t="shared" ca="1" si="27"/>
        <v/>
      </c>
    </row>
    <row r="610" spans="12:12" x14ac:dyDescent="0.3">
      <c r="L610" s="7" t="str">
        <f t="shared" ca="1" si="27"/>
        <v/>
      </c>
    </row>
    <row r="611" spans="12:12" x14ac:dyDescent="0.3">
      <c r="L611" s="7" t="str">
        <f t="shared" ca="1" si="27"/>
        <v/>
      </c>
    </row>
    <row r="612" spans="12:12" x14ac:dyDescent="0.3">
      <c r="L612" s="7" t="str">
        <f t="shared" ca="1" si="27"/>
        <v/>
      </c>
    </row>
    <row r="613" spans="12:12" x14ac:dyDescent="0.3">
      <c r="L613" s="7" t="str">
        <f t="shared" ca="1" si="27"/>
        <v/>
      </c>
    </row>
    <row r="614" spans="12:12" x14ac:dyDescent="0.3">
      <c r="L614" s="7" t="str">
        <f t="shared" ca="1" si="27"/>
        <v/>
      </c>
    </row>
    <row r="615" spans="12:12" x14ac:dyDescent="0.3">
      <c r="L615" s="7" t="str">
        <f t="shared" ca="1" si="27"/>
        <v/>
      </c>
    </row>
    <row r="616" spans="12:12" x14ac:dyDescent="0.3">
      <c r="L616" s="7" t="str">
        <f t="shared" ca="1" si="27"/>
        <v/>
      </c>
    </row>
    <row r="617" spans="12:12" x14ac:dyDescent="0.3">
      <c r="L617" s="7" t="str">
        <f t="shared" ca="1" si="27"/>
        <v/>
      </c>
    </row>
    <row r="618" spans="12:12" x14ac:dyDescent="0.3">
      <c r="L618" s="7" t="str">
        <f t="shared" ca="1" si="27"/>
        <v/>
      </c>
    </row>
    <row r="619" spans="12:12" x14ac:dyDescent="0.3">
      <c r="L619" s="7" t="str">
        <f t="shared" ca="1" si="27"/>
        <v/>
      </c>
    </row>
    <row r="620" spans="12:12" x14ac:dyDescent="0.3">
      <c r="L620" s="7" t="str">
        <f t="shared" ca="1" si="27"/>
        <v/>
      </c>
    </row>
    <row r="621" spans="12:12" x14ac:dyDescent="0.3">
      <c r="L621" s="7" t="str">
        <f t="shared" ca="1" si="27"/>
        <v/>
      </c>
    </row>
    <row r="622" spans="12:12" x14ac:dyDescent="0.3">
      <c r="L622" s="7" t="str">
        <f t="shared" ca="1" si="27"/>
        <v/>
      </c>
    </row>
    <row r="623" spans="12:12" x14ac:dyDescent="0.3">
      <c r="L623" s="7" t="str">
        <f t="shared" ca="1" si="27"/>
        <v/>
      </c>
    </row>
    <row r="624" spans="12:12" x14ac:dyDescent="0.3">
      <c r="L624" s="7" t="str">
        <f t="shared" ca="1" si="27"/>
        <v/>
      </c>
    </row>
    <row r="625" spans="12:12" x14ac:dyDescent="0.3">
      <c r="L625" s="7" t="str">
        <f t="shared" ca="1" si="27"/>
        <v/>
      </c>
    </row>
    <row r="626" spans="12:12" x14ac:dyDescent="0.3">
      <c r="L626" s="7" t="str">
        <f t="shared" ca="1" si="27"/>
        <v/>
      </c>
    </row>
    <row r="627" spans="12:12" x14ac:dyDescent="0.3">
      <c r="L627" s="7" t="str">
        <f t="shared" ca="1" si="27"/>
        <v/>
      </c>
    </row>
    <row r="628" spans="12:12" x14ac:dyDescent="0.3">
      <c r="L628" s="7" t="str">
        <f t="shared" ca="1" si="27"/>
        <v/>
      </c>
    </row>
    <row r="629" spans="12:12" x14ac:dyDescent="0.3">
      <c r="L629" s="7" t="str">
        <f t="shared" ca="1" si="27"/>
        <v/>
      </c>
    </row>
    <row r="630" spans="12:12" x14ac:dyDescent="0.3">
      <c r="L630" s="7" t="str">
        <f t="shared" ca="1" si="27"/>
        <v/>
      </c>
    </row>
    <row r="631" spans="12:12" x14ac:dyDescent="0.3">
      <c r="L631" s="7" t="str">
        <f t="shared" ca="1" si="27"/>
        <v/>
      </c>
    </row>
    <row r="632" spans="12:12" x14ac:dyDescent="0.3">
      <c r="L632" s="7" t="str">
        <f t="shared" ca="1" si="27"/>
        <v/>
      </c>
    </row>
    <row r="633" spans="12:12" x14ac:dyDescent="0.3">
      <c r="L633" s="7" t="str">
        <f t="shared" ca="1" si="27"/>
        <v/>
      </c>
    </row>
    <row r="634" spans="12:12" x14ac:dyDescent="0.3">
      <c r="L634" s="7" t="str">
        <f t="shared" ca="1" si="27"/>
        <v/>
      </c>
    </row>
    <row r="635" spans="12:12" x14ac:dyDescent="0.3">
      <c r="L635" s="7" t="str">
        <f t="shared" ca="1" si="27"/>
        <v/>
      </c>
    </row>
    <row r="636" spans="12:12" x14ac:dyDescent="0.3">
      <c r="L636" s="7" t="str">
        <f t="shared" ca="1" si="27"/>
        <v/>
      </c>
    </row>
    <row r="637" spans="12:12" x14ac:dyDescent="0.3">
      <c r="L637" s="7" t="str">
        <f t="shared" ca="1" si="27"/>
        <v/>
      </c>
    </row>
    <row r="638" spans="12:12" x14ac:dyDescent="0.3">
      <c r="L638" s="7" t="str">
        <f t="shared" ca="1" si="27"/>
        <v/>
      </c>
    </row>
    <row r="639" spans="12:12" x14ac:dyDescent="0.3">
      <c r="L639" s="7" t="str">
        <f t="shared" ca="1" si="27"/>
        <v/>
      </c>
    </row>
    <row r="640" spans="12:12" x14ac:dyDescent="0.3">
      <c r="L640" s="7" t="str">
        <f t="shared" ca="1" si="27"/>
        <v/>
      </c>
    </row>
    <row r="641" spans="12:12" x14ac:dyDescent="0.3">
      <c r="L641" s="7" t="str">
        <f t="shared" ca="1" si="27"/>
        <v/>
      </c>
    </row>
    <row r="642" spans="12:12" x14ac:dyDescent="0.3">
      <c r="L642" s="7" t="str">
        <f t="shared" ca="1" si="27"/>
        <v/>
      </c>
    </row>
    <row r="643" spans="12:12" x14ac:dyDescent="0.3">
      <c r="L643" s="7" t="str">
        <f t="shared" ca="1" si="27"/>
        <v/>
      </c>
    </row>
    <row r="644" spans="12:12" x14ac:dyDescent="0.3">
      <c r="L644" s="7" t="str">
        <f t="shared" ref="L644:L707" ca="1" si="28">IF(I644="Completed",0,IF(H644="","",H644-TODAY()))</f>
        <v/>
      </c>
    </row>
    <row r="645" spans="12:12" x14ac:dyDescent="0.3">
      <c r="L645" s="7" t="str">
        <f t="shared" ca="1" si="28"/>
        <v/>
      </c>
    </row>
    <row r="646" spans="12:12" x14ac:dyDescent="0.3">
      <c r="L646" s="7" t="str">
        <f t="shared" ca="1" si="28"/>
        <v/>
      </c>
    </row>
    <row r="647" spans="12:12" x14ac:dyDescent="0.3">
      <c r="L647" s="7" t="str">
        <f t="shared" ca="1" si="28"/>
        <v/>
      </c>
    </row>
    <row r="648" spans="12:12" x14ac:dyDescent="0.3">
      <c r="L648" s="7" t="str">
        <f t="shared" ca="1" si="28"/>
        <v/>
      </c>
    </row>
    <row r="649" spans="12:12" x14ac:dyDescent="0.3">
      <c r="L649" s="7" t="str">
        <f t="shared" ca="1" si="28"/>
        <v/>
      </c>
    </row>
    <row r="650" spans="12:12" x14ac:dyDescent="0.3">
      <c r="L650" s="7" t="str">
        <f t="shared" ca="1" si="28"/>
        <v/>
      </c>
    </row>
    <row r="651" spans="12:12" x14ac:dyDescent="0.3">
      <c r="L651" s="7" t="str">
        <f t="shared" ca="1" si="28"/>
        <v/>
      </c>
    </row>
    <row r="652" spans="12:12" x14ac:dyDescent="0.3">
      <c r="L652" s="7" t="str">
        <f t="shared" ca="1" si="28"/>
        <v/>
      </c>
    </row>
    <row r="653" spans="12:12" x14ac:dyDescent="0.3">
      <c r="L653" s="7" t="str">
        <f t="shared" ca="1" si="28"/>
        <v/>
      </c>
    </row>
    <row r="654" spans="12:12" x14ac:dyDescent="0.3">
      <c r="L654" s="7" t="str">
        <f t="shared" ca="1" si="28"/>
        <v/>
      </c>
    </row>
    <row r="655" spans="12:12" x14ac:dyDescent="0.3">
      <c r="L655" s="7" t="str">
        <f t="shared" ca="1" si="28"/>
        <v/>
      </c>
    </row>
    <row r="656" spans="12:12" x14ac:dyDescent="0.3">
      <c r="L656" s="7" t="str">
        <f t="shared" ca="1" si="28"/>
        <v/>
      </c>
    </row>
    <row r="657" spans="12:12" x14ac:dyDescent="0.3">
      <c r="L657" s="7" t="str">
        <f t="shared" ca="1" si="28"/>
        <v/>
      </c>
    </row>
    <row r="658" spans="12:12" x14ac:dyDescent="0.3">
      <c r="L658" s="7" t="str">
        <f t="shared" ca="1" si="28"/>
        <v/>
      </c>
    </row>
    <row r="659" spans="12:12" x14ac:dyDescent="0.3">
      <c r="L659" s="7" t="str">
        <f t="shared" ca="1" si="28"/>
        <v/>
      </c>
    </row>
    <row r="660" spans="12:12" x14ac:dyDescent="0.3">
      <c r="L660" s="7" t="str">
        <f t="shared" ca="1" si="28"/>
        <v/>
      </c>
    </row>
    <row r="661" spans="12:12" x14ac:dyDescent="0.3">
      <c r="L661" s="7" t="str">
        <f t="shared" ca="1" si="28"/>
        <v/>
      </c>
    </row>
    <row r="662" spans="12:12" x14ac:dyDescent="0.3">
      <c r="L662" s="7" t="str">
        <f t="shared" ca="1" si="28"/>
        <v/>
      </c>
    </row>
    <row r="663" spans="12:12" x14ac:dyDescent="0.3">
      <c r="L663" s="7" t="str">
        <f t="shared" ca="1" si="28"/>
        <v/>
      </c>
    </row>
    <row r="664" spans="12:12" x14ac:dyDescent="0.3">
      <c r="L664" s="7" t="str">
        <f t="shared" ca="1" si="28"/>
        <v/>
      </c>
    </row>
    <row r="665" spans="12:12" x14ac:dyDescent="0.3">
      <c r="L665" s="7" t="str">
        <f t="shared" ca="1" si="28"/>
        <v/>
      </c>
    </row>
    <row r="666" spans="12:12" x14ac:dyDescent="0.3">
      <c r="L666" s="7" t="str">
        <f t="shared" ca="1" si="28"/>
        <v/>
      </c>
    </row>
    <row r="667" spans="12:12" x14ac:dyDescent="0.3">
      <c r="L667" s="7" t="str">
        <f t="shared" ca="1" si="28"/>
        <v/>
      </c>
    </row>
    <row r="668" spans="12:12" x14ac:dyDescent="0.3">
      <c r="L668" s="7" t="str">
        <f t="shared" ca="1" si="28"/>
        <v/>
      </c>
    </row>
    <row r="669" spans="12:12" x14ac:dyDescent="0.3">
      <c r="L669" s="7" t="str">
        <f t="shared" ca="1" si="28"/>
        <v/>
      </c>
    </row>
    <row r="670" spans="12:12" x14ac:dyDescent="0.3">
      <c r="L670" s="7" t="str">
        <f t="shared" ca="1" si="28"/>
        <v/>
      </c>
    </row>
    <row r="671" spans="12:12" x14ac:dyDescent="0.3">
      <c r="L671" s="7" t="str">
        <f t="shared" ca="1" si="28"/>
        <v/>
      </c>
    </row>
    <row r="672" spans="12:12" x14ac:dyDescent="0.3">
      <c r="L672" s="7" t="str">
        <f t="shared" ca="1" si="28"/>
        <v/>
      </c>
    </row>
    <row r="673" spans="12:12" x14ac:dyDescent="0.3">
      <c r="L673" s="7" t="str">
        <f t="shared" ca="1" si="28"/>
        <v/>
      </c>
    </row>
    <row r="674" spans="12:12" x14ac:dyDescent="0.3">
      <c r="L674" s="7" t="str">
        <f t="shared" ca="1" si="28"/>
        <v/>
      </c>
    </row>
    <row r="675" spans="12:12" x14ac:dyDescent="0.3">
      <c r="L675" s="7" t="str">
        <f t="shared" ca="1" si="28"/>
        <v/>
      </c>
    </row>
    <row r="676" spans="12:12" x14ac:dyDescent="0.3">
      <c r="L676" s="7" t="str">
        <f t="shared" ca="1" si="28"/>
        <v/>
      </c>
    </row>
    <row r="677" spans="12:12" x14ac:dyDescent="0.3">
      <c r="L677" s="7" t="str">
        <f t="shared" ca="1" si="28"/>
        <v/>
      </c>
    </row>
    <row r="678" spans="12:12" x14ac:dyDescent="0.3">
      <c r="L678" s="7" t="str">
        <f t="shared" ca="1" si="28"/>
        <v/>
      </c>
    </row>
    <row r="679" spans="12:12" x14ac:dyDescent="0.3">
      <c r="L679" s="7" t="str">
        <f t="shared" ca="1" si="28"/>
        <v/>
      </c>
    </row>
    <row r="680" spans="12:12" x14ac:dyDescent="0.3">
      <c r="L680" s="7" t="str">
        <f t="shared" ca="1" si="28"/>
        <v/>
      </c>
    </row>
    <row r="681" spans="12:12" x14ac:dyDescent="0.3">
      <c r="L681" s="7" t="str">
        <f t="shared" ca="1" si="28"/>
        <v/>
      </c>
    </row>
    <row r="682" spans="12:12" x14ac:dyDescent="0.3">
      <c r="L682" s="7" t="str">
        <f t="shared" ca="1" si="28"/>
        <v/>
      </c>
    </row>
    <row r="683" spans="12:12" x14ac:dyDescent="0.3">
      <c r="L683" s="7" t="str">
        <f t="shared" ca="1" si="28"/>
        <v/>
      </c>
    </row>
    <row r="684" spans="12:12" x14ac:dyDescent="0.3">
      <c r="L684" s="7" t="str">
        <f t="shared" ca="1" si="28"/>
        <v/>
      </c>
    </row>
    <row r="685" spans="12:12" x14ac:dyDescent="0.3">
      <c r="L685" s="7" t="str">
        <f t="shared" ca="1" si="28"/>
        <v/>
      </c>
    </row>
    <row r="686" spans="12:12" x14ac:dyDescent="0.3">
      <c r="L686" s="7" t="str">
        <f t="shared" ca="1" si="28"/>
        <v/>
      </c>
    </row>
    <row r="687" spans="12:12" x14ac:dyDescent="0.3">
      <c r="L687" s="7" t="str">
        <f t="shared" ca="1" si="28"/>
        <v/>
      </c>
    </row>
    <row r="688" spans="12:12" x14ac:dyDescent="0.3">
      <c r="L688" s="7" t="str">
        <f t="shared" ca="1" si="28"/>
        <v/>
      </c>
    </row>
    <row r="689" spans="12:12" x14ac:dyDescent="0.3">
      <c r="L689" s="7" t="str">
        <f t="shared" ca="1" si="28"/>
        <v/>
      </c>
    </row>
    <row r="690" spans="12:12" x14ac:dyDescent="0.3">
      <c r="L690" s="7" t="str">
        <f t="shared" ca="1" si="28"/>
        <v/>
      </c>
    </row>
    <row r="691" spans="12:12" x14ac:dyDescent="0.3">
      <c r="L691" s="7" t="str">
        <f t="shared" ca="1" si="28"/>
        <v/>
      </c>
    </row>
    <row r="692" spans="12:12" x14ac:dyDescent="0.3">
      <c r="L692" s="7" t="str">
        <f t="shared" ca="1" si="28"/>
        <v/>
      </c>
    </row>
    <row r="693" spans="12:12" x14ac:dyDescent="0.3">
      <c r="L693" s="7" t="str">
        <f t="shared" ca="1" si="28"/>
        <v/>
      </c>
    </row>
    <row r="694" spans="12:12" x14ac:dyDescent="0.3">
      <c r="L694" s="7" t="str">
        <f t="shared" ca="1" si="28"/>
        <v/>
      </c>
    </row>
    <row r="695" spans="12:12" x14ac:dyDescent="0.3">
      <c r="L695" s="7" t="str">
        <f t="shared" ca="1" si="28"/>
        <v/>
      </c>
    </row>
    <row r="696" spans="12:12" x14ac:dyDescent="0.3">
      <c r="L696" s="7" t="str">
        <f t="shared" ca="1" si="28"/>
        <v/>
      </c>
    </row>
    <row r="697" spans="12:12" x14ac:dyDescent="0.3">
      <c r="L697" s="7" t="str">
        <f t="shared" ca="1" si="28"/>
        <v/>
      </c>
    </row>
    <row r="698" spans="12:12" x14ac:dyDescent="0.3">
      <c r="L698" s="7" t="str">
        <f t="shared" ca="1" si="28"/>
        <v/>
      </c>
    </row>
    <row r="699" spans="12:12" x14ac:dyDescent="0.3">
      <c r="L699" s="7" t="str">
        <f t="shared" ca="1" si="28"/>
        <v/>
      </c>
    </row>
    <row r="700" spans="12:12" x14ac:dyDescent="0.3">
      <c r="L700" s="7" t="str">
        <f t="shared" ca="1" si="28"/>
        <v/>
      </c>
    </row>
    <row r="701" spans="12:12" x14ac:dyDescent="0.3">
      <c r="L701" s="7" t="str">
        <f t="shared" ca="1" si="28"/>
        <v/>
      </c>
    </row>
    <row r="702" spans="12:12" x14ac:dyDescent="0.3">
      <c r="L702" s="7" t="str">
        <f t="shared" ca="1" si="28"/>
        <v/>
      </c>
    </row>
    <row r="703" spans="12:12" x14ac:dyDescent="0.3">
      <c r="L703" s="7" t="str">
        <f t="shared" ca="1" si="28"/>
        <v/>
      </c>
    </row>
    <row r="704" spans="12:12" x14ac:dyDescent="0.3">
      <c r="L704" s="7" t="str">
        <f t="shared" ca="1" si="28"/>
        <v/>
      </c>
    </row>
    <row r="705" spans="12:12" x14ac:dyDescent="0.3">
      <c r="L705" s="7" t="str">
        <f t="shared" ca="1" si="28"/>
        <v/>
      </c>
    </row>
    <row r="706" spans="12:12" x14ac:dyDescent="0.3">
      <c r="L706" s="7" t="str">
        <f t="shared" ca="1" si="28"/>
        <v/>
      </c>
    </row>
    <row r="707" spans="12:12" x14ac:dyDescent="0.3">
      <c r="L707" s="7" t="str">
        <f t="shared" ca="1" si="28"/>
        <v/>
      </c>
    </row>
    <row r="708" spans="12:12" x14ac:dyDescent="0.3">
      <c r="L708" s="7" t="str">
        <f t="shared" ref="L708:L771" ca="1" si="29">IF(I708="Completed",0,IF(H708="","",H708-TODAY()))</f>
        <v/>
      </c>
    </row>
    <row r="709" spans="12:12" x14ac:dyDescent="0.3">
      <c r="L709" s="7" t="str">
        <f t="shared" ca="1" si="29"/>
        <v/>
      </c>
    </row>
    <row r="710" spans="12:12" x14ac:dyDescent="0.3">
      <c r="L710" s="7" t="str">
        <f t="shared" ca="1" si="29"/>
        <v/>
      </c>
    </row>
    <row r="711" spans="12:12" x14ac:dyDescent="0.3">
      <c r="L711" s="7" t="str">
        <f t="shared" ca="1" si="29"/>
        <v/>
      </c>
    </row>
    <row r="712" spans="12:12" x14ac:dyDescent="0.3">
      <c r="L712" s="7" t="str">
        <f t="shared" ca="1" si="29"/>
        <v/>
      </c>
    </row>
    <row r="713" spans="12:12" x14ac:dyDescent="0.3">
      <c r="L713" s="7" t="str">
        <f t="shared" ca="1" si="29"/>
        <v/>
      </c>
    </row>
    <row r="714" spans="12:12" x14ac:dyDescent="0.3">
      <c r="L714" s="7" t="str">
        <f t="shared" ca="1" si="29"/>
        <v/>
      </c>
    </row>
    <row r="715" spans="12:12" x14ac:dyDescent="0.3">
      <c r="L715" s="7" t="str">
        <f t="shared" ca="1" si="29"/>
        <v/>
      </c>
    </row>
    <row r="716" spans="12:12" x14ac:dyDescent="0.3">
      <c r="L716" s="7" t="str">
        <f t="shared" ca="1" si="29"/>
        <v/>
      </c>
    </row>
    <row r="717" spans="12:12" x14ac:dyDescent="0.3">
      <c r="L717" s="7" t="str">
        <f t="shared" ca="1" si="29"/>
        <v/>
      </c>
    </row>
    <row r="718" spans="12:12" x14ac:dyDescent="0.3">
      <c r="L718" s="7" t="str">
        <f t="shared" ca="1" si="29"/>
        <v/>
      </c>
    </row>
    <row r="719" spans="12:12" x14ac:dyDescent="0.3">
      <c r="L719" s="7" t="str">
        <f t="shared" ca="1" si="29"/>
        <v/>
      </c>
    </row>
    <row r="720" spans="12:12" x14ac:dyDescent="0.3">
      <c r="L720" s="7" t="str">
        <f t="shared" ca="1" si="29"/>
        <v/>
      </c>
    </row>
    <row r="721" spans="12:12" x14ac:dyDescent="0.3">
      <c r="L721" s="7" t="str">
        <f t="shared" ca="1" si="29"/>
        <v/>
      </c>
    </row>
    <row r="722" spans="12:12" x14ac:dyDescent="0.3">
      <c r="L722" s="7" t="str">
        <f t="shared" ca="1" si="29"/>
        <v/>
      </c>
    </row>
    <row r="723" spans="12:12" x14ac:dyDescent="0.3">
      <c r="L723" s="7" t="str">
        <f t="shared" ca="1" si="29"/>
        <v/>
      </c>
    </row>
    <row r="724" spans="12:12" x14ac:dyDescent="0.3">
      <c r="L724" s="7" t="str">
        <f t="shared" ca="1" si="29"/>
        <v/>
      </c>
    </row>
    <row r="725" spans="12:12" x14ac:dyDescent="0.3">
      <c r="L725" s="7" t="str">
        <f t="shared" ca="1" si="29"/>
        <v/>
      </c>
    </row>
    <row r="726" spans="12:12" x14ac:dyDescent="0.3">
      <c r="L726" s="7" t="str">
        <f t="shared" ca="1" si="29"/>
        <v/>
      </c>
    </row>
    <row r="727" spans="12:12" x14ac:dyDescent="0.3">
      <c r="L727" s="7" t="str">
        <f t="shared" ca="1" si="29"/>
        <v/>
      </c>
    </row>
    <row r="728" spans="12:12" x14ac:dyDescent="0.3">
      <c r="L728" s="7" t="str">
        <f t="shared" ca="1" si="29"/>
        <v/>
      </c>
    </row>
    <row r="729" spans="12:12" x14ac:dyDescent="0.3">
      <c r="L729" s="7" t="str">
        <f t="shared" ca="1" si="29"/>
        <v/>
      </c>
    </row>
    <row r="730" spans="12:12" x14ac:dyDescent="0.3">
      <c r="L730" s="7" t="str">
        <f t="shared" ca="1" si="29"/>
        <v/>
      </c>
    </row>
    <row r="731" spans="12:12" x14ac:dyDescent="0.3">
      <c r="L731" s="7" t="str">
        <f t="shared" ca="1" si="29"/>
        <v/>
      </c>
    </row>
    <row r="732" spans="12:12" x14ac:dyDescent="0.3">
      <c r="L732" s="7" t="str">
        <f t="shared" ca="1" si="29"/>
        <v/>
      </c>
    </row>
    <row r="733" spans="12:12" x14ac:dyDescent="0.3">
      <c r="L733" s="7" t="str">
        <f t="shared" ca="1" si="29"/>
        <v/>
      </c>
    </row>
    <row r="734" spans="12:12" x14ac:dyDescent="0.3">
      <c r="L734" s="7" t="str">
        <f t="shared" ca="1" si="29"/>
        <v/>
      </c>
    </row>
    <row r="735" spans="12:12" x14ac:dyDescent="0.3">
      <c r="L735" s="7" t="str">
        <f t="shared" ca="1" si="29"/>
        <v/>
      </c>
    </row>
    <row r="736" spans="12:12" x14ac:dyDescent="0.3">
      <c r="L736" s="7" t="str">
        <f t="shared" ca="1" si="29"/>
        <v/>
      </c>
    </row>
    <row r="737" spans="12:12" x14ac:dyDescent="0.3">
      <c r="L737" s="7" t="str">
        <f t="shared" ca="1" si="29"/>
        <v/>
      </c>
    </row>
    <row r="738" spans="12:12" x14ac:dyDescent="0.3">
      <c r="L738" s="7" t="str">
        <f t="shared" ca="1" si="29"/>
        <v/>
      </c>
    </row>
    <row r="739" spans="12:12" x14ac:dyDescent="0.3">
      <c r="L739" s="7" t="str">
        <f t="shared" ca="1" si="29"/>
        <v/>
      </c>
    </row>
    <row r="740" spans="12:12" x14ac:dyDescent="0.3">
      <c r="L740" s="7" t="str">
        <f t="shared" ca="1" si="29"/>
        <v/>
      </c>
    </row>
    <row r="741" spans="12:12" x14ac:dyDescent="0.3">
      <c r="L741" s="7" t="str">
        <f t="shared" ca="1" si="29"/>
        <v/>
      </c>
    </row>
    <row r="742" spans="12:12" x14ac:dyDescent="0.3">
      <c r="L742" s="7" t="str">
        <f t="shared" ca="1" si="29"/>
        <v/>
      </c>
    </row>
    <row r="743" spans="12:12" x14ac:dyDescent="0.3">
      <c r="L743" s="7" t="str">
        <f t="shared" ca="1" si="29"/>
        <v/>
      </c>
    </row>
    <row r="744" spans="12:12" x14ac:dyDescent="0.3">
      <c r="L744" s="7" t="str">
        <f t="shared" ca="1" si="29"/>
        <v/>
      </c>
    </row>
    <row r="745" spans="12:12" x14ac:dyDescent="0.3">
      <c r="L745" s="7" t="str">
        <f t="shared" ca="1" si="29"/>
        <v/>
      </c>
    </row>
    <row r="746" spans="12:12" x14ac:dyDescent="0.3">
      <c r="L746" s="7" t="str">
        <f t="shared" ca="1" si="29"/>
        <v/>
      </c>
    </row>
    <row r="747" spans="12:12" x14ac:dyDescent="0.3">
      <c r="L747" s="7" t="str">
        <f t="shared" ca="1" si="29"/>
        <v/>
      </c>
    </row>
    <row r="748" spans="12:12" x14ac:dyDescent="0.3">
      <c r="L748" s="7" t="str">
        <f t="shared" ca="1" si="29"/>
        <v/>
      </c>
    </row>
    <row r="749" spans="12:12" x14ac:dyDescent="0.3">
      <c r="L749" s="7" t="str">
        <f t="shared" ca="1" si="29"/>
        <v/>
      </c>
    </row>
    <row r="750" spans="12:12" x14ac:dyDescent="0.3">
      <c r="L750" s="7" t="str">
        <f t="shared" ca="1" si="29"/>
        <v/>
      </c>
    </row>
    <row r="751" spans="12:12" x14ac:dyDescent="0.3">
      <c r="L751" s="7" t="str">
        <f t="shared" ca="1" si="29"/>
        <v/>
      </c>
    </row>
    <row r="752" spans="12:12" x14ac:dyDescent="0.3">
      <c r="L752" s="7" t="str">
        <f t="shared" ca="1" si="29"/>
        <v/>
      </c>
    </row>
    <row r="753" spans="12:12" x14ac:dyDescent="0.3">
      <c r="L753" s="7" t="str">
        <f t="shared" ca="1" si="29"/>
        <v/>
      </c>
    </row>
    <row r="754" spans="12:12" x14ac:dyDescent="0.3">
      <c r="L754" s="7" t="str">
        <f t="shared" ca="1" si="29"/>
        <v/>
      </c>
    </row>
    <row r="755" spans="12:12" x14ac:dyDescent="0.3">
      <c r="L755" s="7" t="str">
        <f t="shared" ca="1" si="29"/>
        <v/>
      </c>
    </row>
    <row r="756" spans="12:12" x14ac:dyDescent="0.3">
      <c r="L756" s="7" t="str">
        <f t="shared" ca="1" si="29"/>
        <v/>
      </c>
    </row>
    <row r="757" spans="12:12" x14ac:dyDescent="0.3">
      <c r="L757" s="7" t="str">
        <f t="shared" ca="1" si="29"/>
        <v/>
      </c>
    </row>
    <row r="758" spans="12:12" x14ac:dyDescent="0.3">
      <c r="L758" s="7" t="str">
        <f t="shared" ca="1" si="29"/>
        <v/>
      </c>
    </row>
    <row r="759" spans="12:12" x14ac:dyDescent="0.3">
      <c r="L759" s="7" t="str">
        <f t="shared" ca="1" si="29"/>
        <v/>
      </c>
    </row>
    <row r="760" spans="12:12" x14ac:dyDescent="0.3">
      <c r="L760" s="7" t="str">
        <f t="shared" ca="1" si="29"/>
        <v/>
      </c>
    </row>
    <row r="761" spans="12:12" x14ac:dyDescent="0.3">
      <c r="L761" s="7" t="str">
        <f t="shared" ca="1" si="29"/>
        <v/>
      </c>
    </row>
    <row r="762" spans="12:12" x14ac:dyDescent="0.3">
      <c r="L762" s="7" t="str">
        <f t="shared" ca="1" si="29"/>
        <v/>
      </c>
    </row>
    <row r="763" spans="12:12" x14ac:dyDescent="0.3">
      <c r="L763" s="7" t="str">
        <f t="shared" ca="1" si="29"/>
        <v/>
      </c>
    </row>
    <row r="764" spans="12:12" x14ac:dyDescent="0.3">
      <c r="L764" s="7" t="str">
        <f t="shared" ca="1" si="29"/>
        <v/>
      </c>
    </row>
    <row r="765" spans="12:12" x14ac:dyDescent="0.3">
      <c r="L765" s="7" t="str">
        <f t="shared" ca="1" si="29"/>
        <v/>
      </c>
    </row>
    <row r="766" spans="12:12" x14ac:dyDescent="0.3">
      <c r="L766" s="7" t="str">
        <f t="shared" ca="1" si="29"/>
        <v/>
      </c>
    </row>
    <row r="767" spans="12:12" x14ac:dyDescent="0.3">
      <c r="L767" s="7" t="str">
        <f t="shared" ca="1" si="29"/>
        <v/>
      </c>
    </row>
    <row r="768" spans="12:12" x14ac:dyDescent="0.3">
      <c r="L768" s="7" t="str">
        <f t="shared" ca="1" si="29"/>
        <v/>
      </c>
    </row>
    <row r="769" spans="12:12" x14ac:dyDescent="0.3">
      <c r="L769" s="7" t="str">
        <f t="shared" ca="1" si="29"/>
        <v/>
      </c>
    </row>
    <row r="770" spans="12:12" x14ac:dyDescent="0.3">
      <c r="L770" s="7" t="str">
        <f t="shared" ca="1" si="29"/>
        <v/>
      </c>
    </row>
    <row r="771" spans="12:12" x14ac:dyDescent="0.3">
      <c r="L771" s="7" t="str">
        <f t="shared" ca="1" si="29"/>
        <v/>
      </c>
    </row>
    <row r="772" spans="12:12" x14ac:dyDescent="0.3">
      <c r="L772" s="7" t="str">
        <f t="shared" ref="L772:L835" ca="1" si="30">IF(I772="Completed",0,IF(H772="","",H772-TODAY()))</f>
        <v/>
      </c>
    </row>
    <row r="773" spans="12:12" x14ac:dyDescent="0.3">
      <c r="L773" s="7" t="str">
        <f t="shared" ca="1" si="30"/>
        <v/>
      </c>
    </row>
    <row r="774" spans="12:12" x14ac:dyDescent="0.3">
      <c r="L774" s="7" t="str">
        <f t="shared" ca="1" si="30"/>
        <v/>
      </c>
    </row>
    <row r="775" spans="12:12" x14ac:dyDescent="0.3">
      <c r="L775" s="7" t="str">
        <f t="shared" ca="1" si="30"/>
        <v/>
      </c>
    </row>
    <row r="776" spans="12:12" x14ac:dyDescent="0.3">
      <c r="L776" s="7" t="str">
        <f t="shared" ca="1" si="30"/>
        <v/>
      </c>
    </row>
    <row r="777" spans="12:12" x14ac:dyDescent="0.3">
      <c r="L777" s="7" t="str">
        <f t="shared" ca="1" si="30"/>
        <v/>
      </c>
    </row>
    <row r="778" spans="12:12" x14ac:dyDescent="0.3">
      <c r="L778" s="7" t="str">
        <f t="shared" ca="1" si="30"/>
        <v/>
      </c>
    </row>
    <row r="779" spans="12:12" x14ac:dyDescent="0.3">
      <c r="L779" s="7" t="str">
        <f t="shared" ca="1" si="30"/>
        <v/>
      </c>
    </row>
    <row r="780" spans="12:12" x14ac:dyDescent="0.3">
      <c r="L780" s="7" t="str">
        <f t="shared" ca="1" si="30"/>
        <v/>
      </c>
    </row>
    <row r="781" spans="12:12" x14ac:dyDescent="0.3">
      <c r="L781" s="7" t="str">
        <f t="shared" ca="1" si="30"/>
        <v/>
      </c>
    </row>
    <row r="782" spans="12:12" x14ac:dyDescent="0.3">
      <c r="L782" s="7" t="str">
        <f t="shared" ca="1" si="30"/>
        <v/>
      </c>
    </row>
    <row r="783" spans="12:12" x14ac:dyDescent="0.3">
      <c r="L783" s="7" t="str">
        <f t="shared" ca="1" si="30"/>
        <v/>
      </c>
    </row>
    <row r="784" spans="12:12" x14ac:dyDescent="0.3">
      <c r="L784" s="7" t="str">
        <f t="shared" ca="1" si="30"/>
        <v/>
      </c>
    </row>
    <row r="785" spans="12:12" x14ac:dyDescent="0.3">
      <c r="L785" s="7" t="str">
        <f t="shared" ca="1" si="30"/>
        <v/>
      </c>
    </row>
    <row r="786" spans="12:12" x14ac:dyDescent="0.3">
      <c r="L786" s="7" t="str">
        <f t="shared" ca="1" si="30"/>
        <v/>
      </c>
    </row>
    <row r="787" spans="12:12" x14ac:dyDescent="0.3">
      <c r="L787" s="7" t="str">
        <f t="shared" ca="1" si="30"/>
        <v/>
      </c>
    </row>
    <row r="788" spans="12:12" x14ac:dyDescent="0.3">
      <c r="L788" s="7" t="str">
        <f t="shared" ca="1" si="30"/>
        <v/>
      </c>
    </row>
    <row r="789" spans="12:12" x14ac:dyDescent="0.3">
      <c r="L789" s="7" t="str">
        <f t="shared" ca="1" si="30"/>
        <v/>
      </c>
    </row>
    <row r="790" spans="12:12" x14ac:dyDescent="0.3">
      <c r="L790" s="7" t="str">
        <f t="shared" ca="1" si="30"/>
        <v/>
      </c>
    </row>
    <row r="791" spans="12:12" x14ac:dyDescent="0.3">
      <c r="L791" s="7" t="str">
        <f t="shared" ca="1" si="30"/>
        <v/>
      </c>
    </row>
    <row r="792" spans="12:12" x14ac:dyDescent="0.3">
      <c r="L792" s="7" t="str">
        <f t="shared" ca="1" si="30"/>
        <v/>
      </c>
    </row>
    <row r="793" spans="12:12" x14ac:dyDescent="0.3">
      <c r="L793" s="7" t="str">
        <f t="shared" ca="1" si="30"/>
        <v/>
      </c>
    </row>
    <row r="794" spans="12:12" x14ac:dyDescent="0.3">
      <c r="L794" s="7" t="str">
        <f t="shared" ca="1" si="30"/>
        <v/>
      </c>
    </row>
    <row r="795" spans="12:12" x14ac:dyDescent="0.3">
      <c r="L795" s="7" t="str">
        <f t="shared" ca="1" si="30"/>
        <v/>
      </c>
    </row>
    <row r="796" spans="12:12" x14ac:dyDescent="0.3">
      <c r="L796" s="7" t="str">
        <f t="shared" ca="1" si="30"/>
        <v/>
      </c>
    </row>
    <row r="797" spans="12:12" x14ac:dyDescent="0.3">
      <c r="L797" s="7" t="str">
        <f t="shared" ca="1" si="30"/>
        <v/>
      </c>
    </row>
    <row r="798" spans="12:12" x14ac:dyDescent="0.3">
      <c r="L798" s="7" t="str">
        <f t="shared" ca="1" si="30"/>
        <v/>
      </c>
    </row>
    <row r="799" spans="12:12" x14ac:dyDescent="0.3">
      <c r="L799" s="7" t="str">
        <f t="shared" ca="1" si="30"/>
        <v/>
      </c>
    </row>
    <row r="800" spans="12:12" x14ac:dyDescent="0.3">
      <c r="L800" s="7" t="str">
        <f t="shared" ca="1" si="30"/>
        <v/>
      </c>
    </row>
    <row r="801" spans="12:12" x14ac:dyDescent="0.3">
      <c r="L801" s="7" t="str">
        <f t="shared" ca="1" si="30"/>
        <v/>
      </c>
    </row>
    <row r="802" spans="12:12" x14ac:dyDescent="0.3">
      <c r="L802" s="7" t="str">
        <f t="shared" ca="1" si="30"/>
        <v/>
      </c>
    </row>
    <row r="803" spans="12:12" x14ac:dyDescent="0.3">
      <c r="L803" s="7" t="str">
        <f t="shared" ca="1" si="30"/>
        <v/>
      </c>
    </row>
    <row r="804" spans="12:12" x14ac:dyDescent="0.3">
      <c r="L804" s="7" t="str">
        <f t="shared" ca="1" si="30"/>
        <v/>
      </c>
    </row>
    <row r="805" spans="12:12" x14ac:dyDescent="0.3">
      <c r="L805" s="7" t="str">
        <f t="shared" ca="1" si="30"/>
        <v/>
      </c>
    </row>
    <row r="806" spans="12:12" x14ac:dyDescent="0.3">
      <c r="L806" s="7" t="str">
        <f t="shared" ca="1" si="30"/>
        <v/>
      </c>
    </row>
    <row r="807" spans="12:12" x14ac:dyDescent="0.3">
      <c r="L807" s="7" t="str">
        <f t="shared" ca="1" si="30"/>
        <v/>
      </c>
    </row>
    <row r="808" spans="12:12" x14ac:dyDescent="0.3">
      <c r="L808" s="7" t="str">
        <f t="shared" ca="1" si="30"/>
        <v/>
      </c>
    </row>
    <row r="809" spans="12:12" x14ac:dyDescent="0.3">
      <c r="L809" s="7" t="str">
        <f t="shared" ca="1" si="30"/>
        <v/>
      </c>
    </row>
    <row r="810" spans="12:12" x14ac:dyDescent="0.3">
      <c r="L810" s="7" t="str">
        <f t="shared" ca="1" si="30"/>
        <v/>
      </c>
    </row>
    <row r="811" spans="12:12" x14ac:dyDescent="0.3">
      <c r="L811" s="7" t="str">
        <f t="shared" ca="1" si="30"/>
        <v/>
      </c>
    </row>
    <row r="812" spans="12:12" x14ac:dyDescent="0.3">
      <c r="L812" s="7" t="str">
        <f t="shared" ca="1" si="30"/>
        <v/>
      </c>
    </row>
    <row r="813" spans="12:12" x14ac:dyDescent="0.3">
      <c r="L813" s="7" t="str">
        <f t="shared" ca="1" si="30"/>
        <v/>
      </c>
    </row>
    <row r="814" spans="12:12" x14ac:dyDescent="0.3">
      <c r="L814" s="7" t="str">
        <f t="shared" ca="1" si="30"/>
        <v/>
      </c>
    </row>
    <row r="815" spans="12:12" x14ac:dyDescent="0.3">
      <c r="L815" s="7" t="str">
        <f t="shared" ca="1" si="30"/>
        <v/>
      </c>
    </row>
    <row r="816" spans="12:12" x14ac:dyDescent="0.3">
      <c r="L816" s="7" t="str">
        <f t="shared" ca="1" si="30"/>
        <v/>
      </c>
    </row>
    <row r="817" spans="12:12" x14ac:dyDescent="0.3">
      <c r="L817" s="7" t="str">
        <f t="shared" ca="1" si="30"/>
        <v/>
      </c>
    </row>
    <row r="818" spans="12:12" x14ac:dyDescent="0.3">
      <c r="L818" s="7" t="str">
        <f t="shared" ca="1" si="30"/>
        <v/>
      </c>
    </row>
    <row r="819" spans="12:12" x14ac:dyDescent="0.3">
      <c r="L819" s="7" t="str">
        <f t="shared" ca="1" si="30"/>
        <v/>
      </c>
    </row>
    <row r="820" spans="12:12" x14ac:dyDescent="0.3">
      <c r="L820" s="7" t="str">
        <f t="shared" ca="1" si="30"/>
        <v/>
      </c>
    </row>
    <row r="821" spans="12:12" x14ac:dyDescent="0.3">
      <c r="L821" s="7" t="str">
        <f t="shared" ca="1" si="30"/>
        <v/>
      </c>
    </row>
    <row r="822" spans="12:12" x14ac:dyDescent="0.3">
      <c r="L822" s="7" t="str">
        <f t="shared" ca="1" si="30"/>
        <v/>
      </c>
    </row>
    <row r="823" spans="12:12" x14ac:dyDescent="0.3">
      <c r="L823" s="7" t="str">
        <f t="shared" ca="1" si="30"/>
        <v/>
      </c>
    </row>
    <row r="824" spans="12:12" x14ac:dyDescent="0.3">
      <c r="L824" s="7" t="str">
        <f t="shared" ca="1" si="30"/>
        <v/>
      </c>
    </row>
    <row r="825" spans="12:12" x14ac:dyDescent="0.3">
      <c r="L825" s="7" t="str">
        <f t="shared" ca="1" si="30"/>
        <v/>
      </c>
    </row>
    <row r="826" spans="12:12" x14ac:dyDescent="0.3">
      <c r="L826" s="7" t="str">
        <f t="shared" ca="1" si="30"/>
        <v/>
      </c>
    </row>
    <row r="827" spans="12:12" x14ac:dyDescent="0.3">
      <c r="L827" s="7" t="str">
        <f t="shared" ca="1" si="30"/>
        <v/>
      </c>
    </row>
    <row r="828" spans="12:12" x14ac:dyDescent="0.3">
      <c r="L828" s="7" t="str">
        <f t="shared" ca="1" si="30"/>
        <v/>
      </c>
    </row>
    <row r="829" spans="12:12" x14ac:dyDescent="0.3">
      <c r="L829" s="7" t="str">
        <f t="shared" ca="1" si="30"/>
        <v/>
      </c>
    </row>
    <row r="830" spans="12:12" x14ac:dyDescent="0.3">
      <c r="L830" s="7" t="str">
        <f t="shared" ca="1" si="30"/>
        <v/>
      </c>
    </row>
    <row r="831" spans="12:12" x14ac:dyDescent="0.3">
      <c r="L831" s="7" t="str">
        <f t="shared" ca="1" si="30"/>
        <v/>
      </c>
    </row>
    <row r="832" spans="12:12" x14ac:dyDescent="0.3">
      <c r="L832" s="7" t="str">
        <f t="shared" ca="1" si="30"/>
        <v/>
      </c>
    </row>
    <row r="833" spans="12:12" x14ac:dyDescent="0.3">
      <c r="L833" s="7" t="str">
        <f t="shared" ca="1" si="30"/>
        <v/>
      </c>
    </row>
    <row r="834" spans="12:12" x14ac:dyDescent="0.3">
      <c r="L834" s="7" t="str">
        <f t="shared" ca="1" si="30"/>
        <v/>
      </c>
    </row>
    <row r="835" spans="12:12" x14ac:dyDescent="0.3">
      <c r="L835" s="7" t="str">
        <f t="shared" ca="1" si="30"/>
        <v/>
      </c>
    </row>
    <row r="836" spans="12:12" x14ac:dyDescent="0.3">
      <c r="L836" s="7" t="str">
        <f t="shared" ref="L836:L899" ca="1" si="31">IF(I836="Completed",0,IF(H836="","",H836-TODAY()))</f>
        <v/>
      </c>
    </row>
    <row r="837" spans="12:12" x14ac:dyDescent="0.3">
      <c r="L837" s="7" t="str">
        <f t="shared" ca="1" si="31"/>
        <v/>
      </c>
    </row>
    <row r="838" spans="12:12" x14ac:dyDescent="0.3">
      <c r="L838" s="7" t="str">
        <f t="shared" ca="1" si="31"/>
        <v/>
      </c>
    </row>
    <row r="839" spans="12:12" x14ac:dyDescent="0.3">
      <c r="L839" s="7" t="str">
        <f t="shared" ca="1" si="31"/>
        <v/>
      </c>
    </row>
    <row r="840" spans="12:12" x14ac:dyDescent="0.3">
      <c r="L840" s="7" t="str">
        <f t="shared" ca="1" si="31"/>
        <v/>
      </c>
    </row>
    <row r="841" spans="12:12" x14ac:dyDescent="0.3">
      <c r="L841" s="7" t="str">
        <f t="shared" ca="1" si="31"/>
        <v/>
      </c>
    </row>
    <row r="842" spans="12:12" x14ac:dyDescent="0.3">
      <c r="L842" s="7" t="str">
        <f t="shared" ca="1" si="31"/>
        <v/>
      </c>
    </row>
    <row r="843" spans="12:12" x14ac:dyDescent="0.3">
      <c r="L843" s="7" t="str">
        <f t="shared" ca="1" si="31"/>
        <v/>
      </c>
    </row>
    <row r="844" spans="12:12" x14ac:dyDescent="0.3">
      <c r="L844" s="7" t="str">
        <f t="shared" ca="1" si="31"/>
        <v/>
      </c>
    </row>
    <row r="845" spans="12:12" x14ac:dyDescent="0.3">
      <c r="L845" s="7" t="str">
        <f t="shared" ca="1" si="31"/>
        <v/>
      </c>
    </row>
    <row r="846" spans="12:12" x14ac:dyDescent="0.3">
      <c r="L846" s="7" t="str">
        <f t="shared" ca="1" si="31"/>
        <v/>
      </c>
    </row>
    <row r="847" spans="12:12" x14ac:dyDescent="0.3">
      <c r="L847" s="7" t="str">
        <f t="shared" ca="1" si="31"/>
        <v/>
      </c>
    </row>
    <row r="848" spans="12:12" x14ac:dyDescent="0.3">
      <c r="L848" s="7" t="str">
        <f t="shared" ca="1" si="31"/>
        <v/>
      </c>
    </row>
    <row r="849" spans="12:12" x14ac:dyDescent="0.3">
      <c r="L849" s="7" t="str">
        <f t="shared" ca="1" si="31"/>
        <v/>
      </c>
    </row>
    <row r="850" spans="12:12" x14ac:dyDescent="0.3">
      <c r="L850" s="7" t="str">
        <f t="shared" ca="1" si="31"/>
        <v/>
      </c>
    </row>
    <row r="851" spans="12:12" x14ac:dyDescent="0.3">
      <c r="L851" s="7" t="str">
        <f t="shared" ca="1" si="31"/>
        <v/>
      </c>
    </row>
    <row r="852" spans="12:12" x14ac:dyDescent="0.3">
      <c r="L852" s="7" t="str">
        <f t="shared" ca="1" si="31"/>
        <v/>
      </c>
    </row>
    <row r="853" spans="12:12" x14ac:dyDescent="0.3">
      <c r="L853" s="7" t="str">
        <f t="shared" ca="1" si="31"/>
        <v/>
      </c>
    </row>
    <row r="854" spans="12:12" x14ac:dyDescent="0.3">
      <c r="L854" s="7" t="str">
        <f t="shared" ca="1" si="31"/>
        <v/>
      </c>
    </row>
    <row r="855" spans="12:12" x14ac:dyDescent="0.3">
      <c r="L855" s="7" t="str">
        <f t="shared" ca="1" si="31"/>
        <v/>
      </c>
    </row>
    <row r="856" spans="12:12" x14ac:dyDescent="0.3">
      <c r="L856" s="7" t="str">
        <f t="shared" ca="1" si="31"/>
        <v/>
      </c>
    </row>
    <row r="857" spans="12:12" x14ac:dyDescent="0.3">
      <c r="L857" s="7" t="str">
        <f t="shared" ca="1" si="31"/>
        <v/>
      </c>
    </row>
    <row r="858" spans="12:12" x14ac:dyDescent="0.3">
      <c r="L858" s="7" t="str">
        <f t="shared" ca="1" si="31"/>
        <v/>
      </c>
    </row>
    <row r="859" spans="12:12" x14ac:dyDescent="0.3">
      <c r="L859" s="7" t="str">
        <f t="shared" ca="1" si="31"/>
        <v/>
      </c>
    </row>
    <row r="860" spans="12:12" x14ac:dyDescent="0.3">
      <c r="L860" s="7" t="str">
        <f t="shared" ca="1" si="31"/>
        <v/>
      </c>
    </row>
    <row r="861" spans="12:12" x14ac:dyDescent="0.3">
      <c r="L861" s="7" t="str">
        <f t="shared" ca="1" si="31"/>
        <v/>
      </c>
    </row>
    <row r="862" spans="12:12" x14ac:dyDescent="0.3">
      <c r="L862" s="7" t="str">
        <f t="shared" ca="1" si="31"/>
        <v/>
      </c>
    </row>
    <row r="863" spans="12:12" x14ac:dyDescent="0.3">
      <c r="L863" s="7" t="str">
        <f t="shared" ca="1" si="31"/>
        <v/>
      </c>
    </row>
    <row r="864" spans="12:12" x14ac:dyDescent="0.3">
      <c r="L864" s="7" t="str">
        <f t="shared" ca="1" si="31"/>
        <v/>
      </c>
    </row>
    <row r="865" spans="12:12" x14ac:dyDescent="0.3">
      <c r="L865" s="7" t="str">
        <f t="shared" ca="1" si="31"/>
        <v/>
      </c>
    </row>
    <row r="866" spans="12:12" x14ac:dyDescent="0.3">
      <c r="L866" s="7" t="str">
        <f t="shared" ca="1" si="31"/>
        <v/>
      </c>
    </row>
    <row r="867" spans="12:12" x14ac:dyDescent="0.3">
      <c r="L867" s="7" t="str">
        <f t="shared" ca="1" si="31"/>
        <v/>
      </c>
    </row>
    <row r="868" spans="12:12" x14ac:dyDescent="0.3">
      <c r="L868" s="7" t="str">
        <f t="shared" ca="1" si="31"/>
        <v/>
      </c>
    </row>
    <row r="869" spans="12:12" x14ac:dyDescent="0.3">
      <c r="L869" s="7" t="str">
        <f t="shared" ca="1" si="31"/>
        <v/>
      </c>
    </row>
    <row r="870" spans="12:12" x14ac:dyDescent="0.3">
      <c r="L870" s="7" t="str">
        <f t="shared" ca="1" si="31"/>
        <v/>
      </c>
    </row>
    <row r="871" spans="12:12" x14ac:dyDescent="0.3">
      <c r="L871" s="7" t="str">
        <f t="shared" ca="1" si="31"/>
        <v/>
      </c>
    </row>
    <row r="872" spans="12:12" x14ac:dyDescent="0.3">
      <c r="L872" s="7" t="str">
        <f t="shared" ca="1" si="31"/>
        <v/>
      </c>
    </row>
    <row r="873" spans="12:12" x14ac:dyDescent="0.3">
      <c r="L873" s="7" t="str">
        <f t="shared" ca="1" si="31"/>
        <v/>
      </c>
    </row>
    <row r="874" spans="12:12" x14ac:dyDescent="0.3">
      <c r="L874" s="7" t="str">
        <f t="shared" ca="1" si="31"/>
        <v/>
      </c>
    </row>
    <row r="875" spans="12:12" x14ac:dyDescent="0.3">
      <c r="L875" s="7" t="str">
        <f t="shared" ca="1" si="31"/>
        <v/>
      </c>
    </row>
    <row r="876" spans="12:12" x14ac:dyDescent="0.3">
      <c r="L876" s="7" t="str">
        <f t="shared" ca="1" si="31"/>
        <v/>
      </c>
    </row>
    <row r="877" spans="12:12" x14ac:dyDescent="0.3">
      <c r="L877" s="7" t="str">
        <f t="shared" ca="1" si="31"/>
        <v/>
      </c>
    </row>
    <row r="878" spans="12:12" x14ac:dyDescent="0.3">
      <c r="L878" s="7" t="str">
        <f t="shared" ca="1" si="31"/>
        <v/>
      </c>
    </row>
    <row r="879" spans="12:12" x14ac:dyDescent="0.3">
      <c r="L879" s="7" t="str">
        <f t="shared" ca="1" si="31"/>
        <v/>
      </c>
    </row>
    <row r="880" spans="12:12" x14ac:dyDescent="0.3">
      <c r="L880" s="7" t="str">
        <f t="shared" ca="1" si="31"/>
        <v/>
      </c>
    </row>
    <row r="881" spans="12:12" x14ac:dyDescent="0.3">
      <c r="L881" s="7" t="str">
        <f t="shared" ca="1" si="31"/>
        <v/>
      </c>
    </row>
    <row r="882" spans="12:12" x14ac:dyDescent="0.3">
      <c r="L882" s="7" t="str">
        <f t="shared" ca="1" si="31"/>
        <v/>
      </c>
    </row>
    <row r="883" spans="12:12" x14ac:dyDescent="0.3">
      <c r="L883" s="7" t="str">
        <f t="shared" ca="1" si="31"/>
        <v/>
      </c>
    </row>
    <row r="884" spans="12:12" x14ac:dyDescent="0.3">
      <c r="L884" s="7" t="str">
        <f t="shared" ca="1" si="31"/>
        <v/>
      </c>
    </row>
    <row r="885" spans="12:12" x14ac:dyDescent="0.3">
      <c r="L885" s="7" t="str">
        <f t="shared" ca="1" si="31"/>
        <v/>
      </c>
    </row>
    <row r="886" spans="12:12" x14ac:dyDescent="0.3">
      <c r="L886" s="7" t="str">
        <f t="shared" ca="1" si="31"/>
        <v/>
      </c>
    </row>
    <row r="887" spans="12:12" x14ac:dyDescent="0.3">
      <c r="L887" s="7" t="str">
        <f t="shared" ca="1" si="31"/>
        <v/>
      </c>
    </row>
    <row r="888" spans="12:12" x14ac:dyDescent="0.3">
      <c r="L888" s="7" t="str">
        <f t="shared" ca="1" si="31"/>
        <v/>
      </c>
    </row>
    <row r="889" spans="12:12" x14ac:dyDescent="0.3">
      <c r="L889" s="7" t="str">
        <f t="shared" ca="1" si="31"/>
        <v/>
      </c>
    </row>
    <row r="890" spans="12:12" x14ac:dyDescent="0.3">
      <c r="L890" s="7" t="str">
        <f t="shared" ca="1" si="31"/>
        <v/>
      </c>
    </row>
    <row r="891" spans="12:12" x14ac:dyDescent="0.3">
      <c r="L891" s="7" t="str">
        <f t="shared" ca="1" si="31"/>
        <v/>
      </c>
    </row>
    <row r="892" spans="12:12" x14ac:dyDescent="0.3">
      <c r="L892" s="7" t="str">
        <f t="shared" ca="1" si="31"/>
        <v/>
      </c>
    </row>
    <row r="893" spans="12:12" x14ac:dyDescent="0.3">
      <c r="L893" s="7" t="str">
        <f t="shared" ca="1" si="31"/>
        <v/>
      </c>
    </row>
    <row r="894" spans="12:12" x14ac:dyDescent="0.3">
      <c r="L894" s="7" t="str">
        <f t="shared" ca="1" si="31"/>
        <v/>
      </c>
    </row>
    <row r="895" spans="12:12" x14ac:dyDescent="0.3">
      <c r="L895" s="7" t="str">
        <f t="shared" ca="1" si="31"/>
        <v/>
      </c>
    </row>
    <row r="896" spans="12:12" x14ac:dyDescent="0.3">
      <c r="L896" s="7" t="str">
        <f t="shared" ca="1" si="31"/>
        <v/>
      </c>
    </row>
    <row r="897" spans="12:12" x14ac:dyDescent="0.3">
      <c r="L897" s="7" t="str">
        <f t="shared" ca="1" si="31"/>
        <v/>
      </c>
    </row>
    <row r="898" spans="12:12" x14ac:dyDescent="0.3">
      <c r="L898" s="7" t="str">
        <f t="shared" ca="1" si="31"/>
        <v/>
      </c>
    </row>
    <row r="899" spans="12:12" x14ac:dyDescent="0.3">
      <c r="L899" s="7" t="str">
        <f t="shared" ca="1" si="31"/>
        <v/>
      </c>
    </row>
    <row r="900" spans="12:12" x14ac:dyDescent="0.3">
      <c r="L900" s="7" t="str">
        <f t="shared" ref="L900:L963" ca="1" si="32">IF(I900="Completed",0,IF(H900="","",H900-TODAY()))</f>
        <v/>
      </c>
    </row>
    <row r="901" spans="12:12" x14ac:dyDescent="0.3">
      <c r="L901" s="7" t="str">
        <f t="shared" ca="1" si="32"/>
        <v/>
      </c>
    </row>
    <row r="902" spans="12:12" x14ac:dyDescent="0.3">
      <c r="L902" s="7" t="str">
        <f t="shared" ca="1" si="32"/>
        <v/>
      </c>
    </row>
    <row r="903" spans="12:12" x14ac:dyDescent="0.3">
      <c r="L903" s="7" t="str">
        <f t="shared" ca="1" si="32"/>
        <v/>
      </c>
    </row>
    <row r="904" spans="12:12" x14ac:dyDescent="0.3">
      <c r="L904" s="7" t="str">
        <f t="shared" ca="1" si="32"/>
        <v/>
      </c>
    </row>
    <row r="905" spans="12:12" x14ac:dyDescent="0.3">
      <c r="L905" s="7" t="str">
        <f t="shared" ca="1" si="32"/>
        <v/>
      </c>
    </row>
    <row r="906" spans="12:12" x14ac:dyDescent="0.3">
      <c r="L906" s="7" t="str">
        <f t="shared" ca="1" si="32"/>
        <v/>
      </c>
    </row>
    <row r="907" spans="12:12" x14ac:dyDescent="0.3">
      <c r="L907" s="7" t="str">
        <f t="shared" ca="1" si="32"/>
        <v/>
      </c>
    </row>
    <row r="908" spans="12:12" x14ac:dyDescent="0.3">
      <c r="L908" s="7" t="str">
        <f t="shared" ca="1" si="32"/>
        <v/>
      </c>
    </row>
    <row r="909" spans="12:12" x14ac:dyDescent="0.3">
      <c r="L909" s="7" t="str">
        <f t="shared" ca="1" si="32"/>
        <v/>
      </c>
    </row>
    <row r="910" spans="12:12" x14ac:dyDescent="0.3">
      <c r="L910" s="7" t="str">
        <f t="shared" ca="1" si="32"/>
        <v/>
      </c>
    </row>
    <row r="911" spans="12:12" x14ac:dyDescent="0.3">
      <c r="L911" s="7" t="str">
        <f t="shared" ca="1" si="32"/>
        <v/>
      </c>
    </row>
    <row r="912" spans="12:12" x14ac:dyDescent="0.3">
      <c r="L912" s="7" t="str">
        <f t="shared" ca="1" si="32"/>
        <v/>
      </c>
    </row>
    <row r="913" spans="12:12" x14ac:dyDescent="0.3">
      <c r="L913" s="7" t="str">
        <f t="shared" ca="1" si="32"/>
        <v/>
      </c>
    </row>
    <row r="914" spans="12:12" x14ac:dyDescent="0.3">
      <c r="L914" s="7" t="str">
        <f t="shared" ca="1" si="32"/>
        <v/>
      </c>
    </row>
    <row r="915" spans="12:12" x14ac:dyDescent="0.3">
      <c r="L915" s="7" t="str">
        <f t="shared" ca="1" si="32"/>
        <v/>
      </c>
    </row>
    <row r="916" spans="12:12" x14ac:dyDescent="0.3">
      <c r="L916" s="7" t="str">
        <f t="shared" ca="1" si="32"/>
        <v/>
      </c>
    </row>
    <row r="917" spans="12:12" x14ac:dyDescent="0.3">
      <c r="L917" s="7" t="str">
        <f t="shared" ca="1" si="32"/>
        <v/>
      </c>
    </row>
    <row r="918" spans="12:12" x14ac:dyDescent="0.3">
      <c r="L918" s="7" t="str">
        <f t="shared" ca="1" si="32"/>
        <v/>
      </c>
    </row>
    <row r="919" spans="12:12" x14ac:dyDescent="0.3">
      <c r="L919" s="7" t="str">
        <f t="shared" ca="1" si="32"/>
        <v/>
      </c>
    </row>
    <row r="920" spans="12:12" x14ac:dyDescent="0.3">
      <c r="L920" s="7" t="str">
        <f t="shared" ca="1" si="32"/>
        <v/>
      </c>
    </row>
    <row r="921" spans="12:12" x14ac:dyDescent="0.3">
      <c r="L921" s="7" t="str">
        <f t="shared" ca="1" si="32"/>
        <v/>
      </c>
    </row>
    <row r="922" spans="12:12" x14ac:dyDescent="0.3">
      <c r="L922" s="7" t="str">
        <f t="shared" ca="1" si="32"/>
        <v/>
      </c>
    </row>
    <row r="923" spans="12:12" x14ac:dyDescent="0.3">
      <c r="L923" s="7" t="str">
        <f t="shared" ca="1" si="32"/>
        <v/>
      </c>
    </row>
    <row r="924" spans="12:12" x14ac:dyDescent="0.3">
      <c r="L924" s="7" t="str">
        <f t="shared" ca="1" si="32"/>
        <v/>
      </c>
    </row>
    <row r="925" spans="12:12" x14ac:dyDescent="0.3">
      <c r="L925" s="7" t="str">
        <f t="shared" ca="1" si="32"/>
        <v/>
      </c>
    </row>
    <row r="926" spans="12:12" x14ac:dyDescent="0.3">
      <c r="L926" s="7" t="str">
        <f t="shared" ca="1" si="32"/>
        <v/>
      </c>
    </row>
    <row r="927" spans="12:12" x14ac:dyDescent="0.3">
      <c r="L927" s="7" t="str">
        <f t="shared" ca="1" si="32"/>
        <v/>
      </c>
    </row>
    <row r="928" spans="12:12" x14ac:dyDescent="0.3">
      <c r="L928" s="7" t="str">
        <f t="shared" ca="1" si="32"/>
        <v/>
      </c>
    </row>
    <row r="929" spans="12:12" x14ac:dyDescent="0.3">
      <c r="L929" s="7" t="str">
        <f t="shared" ca="1" si="32"/>
        <v/>
      </c>
    </row>
    <row r="930" spans="12:12" x14ac:dyDescent="0.3">
      <c r="L930" s="7" t="str">
        <f t="shared" ca="1" si="32"/>
        <v/>
      </c>
    </row>
    <row r="931" spans="12:12" x14ac:dyDescent="0.3">
      <c r="L931" s="7" t="str">
        <f t="shared" ca="1" si="32"/>
        <v/>
      </c>
    </row>
    <row r="932" spans="12:12" x14ac:dyDescent="0.3">
      <c r="L932" s="7" t="str">
        <f t="shared" ca="1" si="32"/>
        <v/>
      </c>
    </row>
    <row r="933" spans="12:12" x14ac:dyDescent="0.3">
      <c r="L933" s="7" t="str">
        <f t="shared" ca="1" si="32"/>
        <v/>
      </c>
    </row>
    <row r="934" spans="12:12" x14ac:dyDescent="0.3">
      <c r="L934" s="7" t="str">
        <f t="shared" ca="1" si="32"/>
        <v/>
      </c>
    </row>
    <row r="935" spans="12:12" x14ac:dyDescent="0.3">
      <c r="L935" s="7" t="str">
        <f t="shared" ca="1" si="32"/>
        <v/>
      </c>
    </row>
    <row r="936" spans="12:12" x14ac:dyDescent="0.3">
      <c r="L936" s="7" t="str">
        <f t="shared" ca="1" si="32"/>
        <v/>
      </c>
    </row>
    <row r="937" spans="12:12" x14ac:dyDescent="0.3">
      <c r="L937" s="7" t="str">
        <f t="shared" ca="1" si="32"/>
        <v/>
      </c>
    </row>
    <row r="938" spans="12:12" x14ac:dyDescent="0.3">
      <c r="L938" s="7" t="str">
        <f t="shared" ca="1" si="32"/>
        <v/>
      </c>
    </row>
    <row r="939" spans="12:12" x14ac:dyDescent="0.3">
      <c r="L939" s="7" t="str">
        <f t="shared" ca="1" si="32"/>
        <v/>
      </c>
    </row>
    <row r="940" spans="12:12" x14ac:dyDescent="0.3">
      <c r="L940" s="7" t="str">
        <f t="shared" ca="1" si="32"/>
        <v/>
      </c>
    </row>
    <row r="941" spans="12:12" x14ac:dyDescent="0.3">
      <c r="L941" s="7" t="str">
        <f t="shared" ca="1" si="32"/>
        <v/>
      </c>
    </row>
    <row r="942" spans="12:12" x14ac:dyDescent="0.3">
      <c r="L942" s="7" t="str">
        <f t="shared" ca="1" si="32"/>
        <v/>
      </c>
    </row>
    <row r="943" spans="12:12" x14ac:dyDescent="0.3">
      <c r="L943" s="7" t="str">
        <f t="shared" ca="1" si="32"/>
        <v/>
      </c>
    </row>
    <row r="944" spans="12:12" x14ac:dyDescent="0.3">
      <c r="L944" s="7" t="str">
        <f t="shared" ca="1" si="32"/>
        <v/>
      </c>
    </row>
    <row r="945" spans="12:12" x14ac:dyDescent="0.3">
      <c r="L945" s="7" t="str">
        <f t="shared" ca="1" si="32"/>
        <v/>
      </c>
    </row>
    <row r="946" spans="12:12" x14ac:dyDescent="0.3">
      <c r="L946" s="7" t="str">
        <f t="shared" ca="1" si="32"/>
        <v/>
      </c>
    </row>
    <row r="947" spans="12:12" x14ac:dyDescent="0.3">
      <c r="L947" s="7" t="str">
        <f t="shared" ca="1" si="32"/>
        <v/>
      </c>
    </row>
    <row r="948" spans="12:12" x14ac:dyDescent="0.3">
      <c r="L948" s="7" t="str">
        <f t="shared" ca="1" si="32"/>
        <v/>
      </c>
    </row>
    <row r="949" spans="12:12" x14ac:dyDescent="0.3">
      <c r="L949" s="7" t="str">
        <f t="shared" ca="1" si="32"/>
        <v/>
      </c>
    </row>
    <row r="950" spans="12:12" x14ac:dyDescent="0.3">
      <c r="L950" s="7" t="str">
        <f t="shared" ca="1" si="32"/>
        <v/>
      </c>
    </row>
    <row r="951" spans="12:12" x14ac:dyDescent="0.3">
      <c r="L951" s="7" t="str">
        <f t="shared" ca="1" si="32"/>
        <v/>
      </c>
    </row>
    <row r="952" spans="12:12" x14ac:dyDescent="0.3">
      <c r="L952" s="7" t="str">
        <f t="shared" ca="1" si="32"/>
        <v/>
      </c>
    </row>
    <row r="953" spans="12:12" x14ac:dyDescent="0.3">
      <c r="L953" s="7" t="str">
        <f t="shared" ca="1" si="32"/>
        <v/>
      </c>
    </row>
    <row r="954" spans="12:12" x14ac:dyDescent="0.3">
      <c r="L954" s="7" t="str">
        <f t="shared" ca="1" si="32"/>
        <v/>
      </c>
    </row>
    <row r="955" spans="12:12" x14ac:dyDescent="0.3">
      <c r="L955" s="7" t="str">
        <f t="shared" ca="1" si="32"/>
        <v/>
      </c>
    </row>
    <row r="956" spans="12:12" x14ac:dyDescent="0.3">
      <c r="L956" s="7" t="str">
        <f t="shared" ca="1" si="32"/>
        <v/>
      </c>
    </row>
    <row r="957" spans="12:12" x14ac:dyDescent="0.3">
      <c r="L957" s="7" t="str">
        <f t="shared" ca="1" si="32"/>
        <v/>
      </c>
    </row>
    <row r="958" spans="12:12" x14ac:dyDescent="0.3">
      <c r="L958" s="7" t="str">
        <f t="shared" ca="1" si="32"/>
        <v/>
      </c>
    </row>
    <row r="959" spans="12:12" x14ac:dyDescent="0.3">
      <c r="L959" s="7" t="str">
        <f t="shared" ca="1" si="32"/>
        <v/>
      </c>
    </row>
    <row r="960" spans="12:12" x14ac:dyDescent="0.3">
      <c r="L960" s="7" t="str">
        <f t="shared" ca="1" si="32"/>
        <v/>
      </c>
    </row>
    <row r="961" spans="12:12" x14ac:dyDescent="0.3">
      <c r="L961" s="7" t="str">
        <f t="shared" ca="1" si="32"/>
        <v/>
      </c>
    </row>
    <row r="962" spans="12:12" x14ac:dyDescent="0.3">
      <c r="L962" s="7" t="str">
        <f t="shared" ca="1" si="32"/>
        <v/>
      </c>
    </row>
    <row r="963" spans="12:12" x14ac:dyDescent="0.3">
      <c r="L963" s="7" t="str">
        <f t="shared" ca="1" si="32"/>
        <v/>
      </c>
    </row>
    <row r="964" spans="12:12" x14ac:dyDescent="0.3">
      <c r="L964" s="7" t="str">
        <f t="shared" ref="L964:L1027" ca="1" si="33">IF(I964="Completed",0,IF(H964="","",H964-TODAY()))</f>
        <v/>
      </c>
    </row>
    <row r="965" spans="12:12" x14ac:dyDescent="0.3">
      <c r="L965" s="7" t="str">
        <f t="shared" ca="1" si="33"/>
        <v/>
      </c>
    </row>
    <row r="966" spans="12:12" x14ac:dyDescent="0.3">
      <c r="L966" s="7" t="str">
        <f t="shared" ca="1" si="33"/>
        <v/>
      </c>
    </row>
    <row r="967" spans="12:12" x14ac:dyDescent="0.3">
      <c r="L967" s="7" t="str">
        <f t="shared" ca="1" si="33"/>
        <v/>
      </c>
    </row>
    <row r="968" spans="12:12" x14ac:dyDescent="0.3">
      <c r="L968" s="7" t="str">
        <f t="shared" ca="1" si="33"/>
        <v/>
      </c>
    </row>
    <row r="969" spans="12:12" x14ac:dyDescent="0.3">
      <c r="L969" s="7" t="str">
        <f t="shared" ca="1" si="33"/>
        <v/>
      </c>
    </row>
    <row r="970" spans="12:12" x14ac:dyDescent="0.3">
      <c r="L970" s="7" t="str">
        <f t="shared" ca="1" si="33"/>
        <v/>
      </c>
    </row>
    <row r="971" spans="12:12" x14ac:dyDescent="0.3">
      <c r="L971" s="7" t="str">
        <f t="shared" ca="1" si="33"/>
        <v/>
      </c>
    </row>
    <row r="972" spans="12:12" x14ac:dyDescent="0.3">
      <c r="L972" s="7" t="str">
        <f t="shared" ca="1" si="33"/>
        <v/>
      </c>
    </row>
    <row r="973" spans="12:12" x14ac:dyDescent="0.3">
      <c r="L973" s="7" t="str">
        <f t="shared" ca="1" si="33"/>
        <v/>
      </c>
    </row>
    <row r="974" spans="12:12" x14ac:dyDescent="0.3">
      <c r="L974" s="7" t="str">
        <f t="shared" ca="1" si="33"/>
        <v/>
      </c>
    </row>
    <row r="975" spans="12:12" x14ac:dyDescent="0.3">
      <c r="L975" s="7" t="str">
        <f t="shared" ca="1" si="33"/>
        <v/>
      </c>
    </row>
    <row r="976" spans="12:12" x14ac:dyDescent="0.3">
      <c r="L976" s="7" t="str">
        <f t="shared" ca="1" si="33"/>
        <v/>
      </c>
    </row>
    <row r="977" spans="12:12" x14ac:dyDescent="0.3">
      <c r="L977" s="7" t="str">
        <f t="shared" ca="1" si="33"/>
        <v/>
      </c>
    </row>
    <row r="978" spans="12:12" x14ac:dyDescent="0.3">
      <c r="L978" s="7" t="str">
        <f t="shared" ca="1" si="33"/>
        <v/>
      </c>
    </row>
    <row r="979" spans="12:12" x14ac:dyDescent="0.3">
      <c r="L979" s="7" t="str">
        <f t="shared" ca="1" si="33"/>
        <v/>
      </c>
    </row>
    <row r="980" spans="12:12" x14ac:dyDescent="0.3">
      <c r="L980" s="7" t="str">
        <f t="shared" ca="1" si="33"/>
        <v/>
      </c>
    </row>
    <row r="981" spans="12:12" x14ac:dyDescent="0.3">
      <c r="L981" s="7" t="str">
        <f t="shared" ca="1" si="33"/>
        <v/>
      </c>
    </row>
    <row r="982" spans="12:12" x14ac:dyDescent="0.3">
      <c r="L982" s="7" t="str">
        <f t="shared" ca="1" si="33"/>
        <v/>
      </c>
    </row>
    <row r="983" spans="12:12" x14ac:dyDescent="0.3">
      <c r="L983" s="7" t="str">
        <f t="shared" ca="1" si="33"/>
        <v/>
      </c>
    </row>
    <row r="984" spans="12:12" x14ac:dyDescent="0.3">
      <c r="L984" s="7" t="str">
        <f t="shared" ca="1" si="33"/>
        <v/>
      </c>
    </row>
    <row r="985" spans="12:12" x14ac:dyDescent="0.3">
      <c r="L985" s="7" t="str">
        <f t="shared" ca="1" si="33"/>
        <v/>
      </c>
    </row>
    <row r="986" spans="12:12" x14ac:dyDescent="0.3">
      <c r="L986" s="7" t="str">
        <f t="shared" ca="1" si="33"/>
        <v/>
      </c>
    </row>
    <row r="987" spans="12:12" x14ac:dyDescent="0.3">
      <c r="L987" s="7" t="str">
        <f t="shared" ca="1" si="33"/>
        <v/>
      </c>
    </row>
    <row r="988" spans="12:12" x14ac:dyDescent="0.3">
      <c r="L988" s="7" t="str">
        <f t="shared" ca="1" si="33"/>
        <v/>
      </c>
    </row>
    <row r="989" spans="12:12" x14ac:dyDescent="0.3">
      <c r="L989" s="7" t="str">
        <f t="shared" ca="1" si="33"/>
        <v/>
      </c>
    </row>
    <row r="990" spans="12:12" x14ac:dyDescent="0.3">
      <c r="L990" s="7" t="str">
        <f t="shared" ca="1" si="33"/>
        <v/>
      </c>
    </row>
    <row r="991" spans="12:12" x14ac:dyDescent="0.3">
      <c r="L991" s="7" t="str">
        <f t="shared" ca="1" si="33"/>
        <v/>
      </c>
    </row>
    <row r="992" spans="12:12" x14ac:dyDescent="0.3">
      <c r="L992" s="7" t="str">
        <f t="shared" ca="1" si="33"/>
        <v/>
      </c>
    </row>
    <row r="993" spans="12:12" x14ac:dyDescent="0.3">
      <c r="L993" s="7" t="str">
        <f t="shared" ca="1" si="33"/>
        <v/>
      </c>
    </row>
    <row r="994" spans="12:12" x14ac:dyDescent="0.3">
      <c r="L994" s="7" t="str">
        <f t="shared" ca="1" si="33"/>
        <v/>
      </c>
    </row>
    <row r="995" spans="12:12" x14ac:dyDescent="0.3">
      <c r="L995" s="7" t="str">
        <f t="shared" ca="1" si="33"/>
        <v/>
      </c>
    </row>
    <row r="996" spans="12:12" x14ac:dyDescent="0.3">
      <c r="L996" s="7" t="str">
        <f t="shared" ca="1" si="33"/>
        <v/>
      </c>
    </row>
    <row r="997" spans="12:12" x14ac:dyDescent="0.3">
      <c r="L997" s="7" t="str">
        <f t="shared" ca="1" si="33"/>
        <v/>
      </c>
    </row>
    <row r="998" spans="12:12" x14ac:dyDescent="0.3">
      <c r="L998" s="7" t="str">
        <f t="shared" ca="1" si="33"/>
        <v/>
      </c>
    </row>
    <row r="999" spans="12:12" x14ac:dyDescent="0.3">
      <c r="L999" s="7" t="str">
        <f t="shared" ca="1" si="33"/>
        <v/>
      </c>
    </row>
    <row r="1000" spans="12:12" x14ac:dyDescent="0.3">
      <c r="L1000" s="7" t="str">
        <f t="shared" ca="1" si="33"/>
        <v/>
      </c>
    </row>
    <row r="1001" spans="12:12" x14ac:dyDescent="0.3">
      <c r="L1001" s="7" t="str">
        <f t="shared" ca="1" si="33"/>
        <v/>
      </c>
    </row>
    <row r="1002" spans="12:12" x14ac:dyDescent="0.3">
      <c r="L1002" s="7" t="str">
        <f t="shared" ca="1" si="33"/>
        <v/>
      </c>
    </row>
    <row r="1003" spans="12:12" x14ac:dyDescent="0.3">
      <c r="L1003" s="7" t="str">
        <f t="shared" ca="1" si="33"/>
        <v/>
      </c>
    </row>
    <row r="1004" spans="12:12" x14ac:dyDescent="0.3">
      <c r="L1004" s="7" t="str">
        <f t="shared" ca="1" si="33"/>
        <v/>
      </c>
    </row>
    <row r="1005" spans="12:12" x14ac:dyDescent="0.3">
      <c r="L1005" s="7" t="str">
        <f t="shared" ca="1" si="33"/>
        <v/>
      </c>
    </row>
    <row r="1006" spans="12:12" x14ac:dyDescent="0.3">
      <c r="L1006" s="7" t="str">
        <f t="shared" ca="1" si="33"/>
        <v/>
      </c>
    </row>
    <row r="1007" spans="12:12" x14ac:dyDescent="0.3">
      <c r="L1007" s="7" t="str">
        <f t="shared" ca="1" si="33"/>
        <v/>
      </c>
    </row>
    <row r="1008" spans="12:12" x14ac:dyDescent="0.3">
      <c r="L1008" s="7" t="str">
        <f t="shared" ca="1" si="33"/>
        <v/>
      </c>
    </row>
    <row r="1009" spans="12:12" x14ac:dyDescent="0.3">
      <c r="L1009" s="7" t="str">
        <f t="shared" ca="1" si="33"/>
        <v/>
      </c>
    </row>
    <row r="1010" spans="12:12" x14ac:dyDescent="0.3">
      <c r="L1010" s="7" t="str">
        <f t="shared" ca="1" si="33"/>
        <v/>
      </c>
    </row>
    <row r="1011" spans="12:12" x14ac:dyDescent="0.3">
      <c r="L1011" s="7" t="str">
        <f t="shared" ca="1" si="33"/>
        <v/>
      </c>
    </row>
    <row r="1012" spans="12:12" x14ac:dyDescent="0.3">
      <c r="L1012" s="7" t="str">
        <f t="shared" ca="1" si="33"/>
        <v/>
      </c>
    </row>
    <row r="1013" spans="12:12" x14ac:dyDescent="0.3">
      <c r="L1013" s="7" t="str">
        <f t="shared" ca="1" si="33"/>
        <v/>
      </c>
    </row>
    <row r="1014" spans="12:12" x14ac:dyDescent="0.3">
      <c r="L1014" s="7" t="str">
        <f t="shared" ca="1" si="33"/>
        <v/>
      </c>
    </row>
    <row r="1015" spans="12:12" x14ac:dyDescent="0.3">
      <c r="L1015" s="7" t="str">
        <f t="shared" ca="1" si="33"/>
        <v/>
      </c>
    </row>
    <row r="1016" spans="12:12" x14ac:dyDescent="0.3">
      <c r="L1016" s="7" t="str">
        <f t="shared" ca="1" si="33"/>
        <v/>
      </c>
    </row>
    <row r="1017" spans="12:12" x14ac:dyDescent="0.3">
      <c r="L1017" s="7" t="str">
        <f t="shared" ca="1" si="33"/>
        <v/>
      </c>
    </row>
    <row r="1018" spans="12:12" x14ac:dyDescent="0.3">
      <c r="L1018" s="7" t="str">
        <f t="shared" ca="1" si="33"/>
        <v/>
      </c>
    </row>
    <row r="1019" spans="12:12" x14ac:dyDescent="0.3">
      <c r="L1019" s="7" t="str">
        <f t="shared" ca="1" si="33"/>
        <v/>
      </c>
    </row>
    <row r="1020" spans="12:12" x14ac:dyDescent="0.3">
      <c r="L1020" s="7" t="str">
        <f t="shared" ca="1" si="33"/>
        <v/>
      </c>
    </row>
    <row r="1021" spans="12:12" x14ac:dyDescent="0.3">
      <c r="L1021" s="7" t="str">
        <f t="shared" ca="1" si="33"/>
        <v/>
      </c>
    </row>
    <row r="1022" spans="12:12" x14ac:dyDescent="0.3">
      <c r="L1022" s="7" t="str">
        <f t="shared" ca="1" si="33"/>
        <v/>
      </c>
    </row>
    <row r="1023" spans="12:12" x14ac:dyDescent="0.3">
      <c r="L1023" s="7" t="str">
        <f t="shared" ca="1" si="33"/>
        <v/>
      </c>
    </row>
    <row r="1024" spans="12:12" x14ac:dyDescent="0.3">
      <c r="L1024" s="7" t="str">
        <f t="shared" ca="1" si="33"/>
        <v/>
      </c>
    </row>
    <row r="1025" spans="12:12" x14ac:dyDescent="0.3">
      <c r="L1025" s="7" t="str">
        <f t="shared" ca="1" si="33"/>
        <v/>
      </c>
    </row>
    <row r="1026" spans="12:12" x14ac:dyDescent="0.3">
      <c r="L1026" s="7" t="str">
        <f t="shared" ca="1" si="33"/>
        <v/>
      </c>
    </row>
    <row r="1027" spans="12:12" x14ac:dyDescent="0.3">
      <c r="L1027" s="7" t="str">
        <f t="shared" ca="1" si="33"/>
        <v/>
      </c>
    </row>
    <row r="1028" spans="12:12" x14ac:dyDescent="0.3">
      <c r="L1028" s="7" t="str">
        <f t="shared" ref="L1028:L1091" ca="1" si="34">IF(I1028="Completed",0,IF(H1028="","",H1028-TODAY()))</f>
        <v/>
      </c>
    </row>
    <row r="1029" spans="12:12" x14ac:dyDescent="0.3">
      <c r="L1029" s="7" t="str">
        <f t="shared" ca="1" si="34"/>
        <v/>
      </c>
    </row>
    <row r="1030" spans="12:12" x14ac:dyDescent="0.3">
      <c r="L1030" s="7" t="str">
        <f t="shared" ca="1" si="34"/>
        <v/>
      </c>
    </row>
    <row r="1031" spans="12:12" x14ac:dyDescent="0.3">
      <c r="L1031" s="7" t="str">
        <f t="shared" ca="1" si="34"/>
        <v/>
      </c>
    </row>
    <row r="1032" spans="12:12" x14ac:dyDescent="0.3">
      <c r="L1032" s="7" t="str">
        <f t="shared" ca="1" si="34"/>
        <v/>
      </c>
    </row>
    <row r="1033" spans="12:12" x14ac:dyDescent="0.3">
      <c r="L1033" s="7" t="str">
        <f t="shared" ca="1" si="34"/>
        <v/>
      </c>
    </row>
    <row r="1034" spans="12:12" x14ac:dyDescent="0.3">
      <c r="L1034" s="7" t="str">
        <f t="shared" ca="1" si="34"/>
        <v/>
      </c>
    </row>
    <row r="1035" spans="12:12" x14ac:dyDescent="0.3">
      <c r="L1035" s="7" t="str">
        <f t="shared" ca="1" si="34"/>
        <v/>
      </c>
    </row>
    <row r="1036" spans="12:12" x14ac:dyDescent="0.3">
      <c r="L1036" s="7" t="str">
        <f t="shared" ca="1" si="34"/>
        <v/>
      </c>
    </row>
    <row r="1037" spans="12:12" x14ac:dyDescent="0.3">
      <c r="L1037" s="7" t="str">
        <f t="shared" ca="1" si="34"/>
        <v/>
      </c>
    </row>
    <row r="1038" spans="12:12" x14ac:dyDescent="0.3">
      <c r="L1038" s="7" t="str">
        <f t="shared" ca="1" si="34"/>
        <v/>
      </c>
    </row>
    <row r="1039" spans="12:12" x14ac:dyDescent="0.3">
      <c r="L1039" s="7" t="str">
        <f t="shared" ca="1" si="34"/>
        <v/>
      </c>
    </row>
    <row r="1040" spans="12:12" x14ac:dyDescent="0.3">
      <c r="L1040" s="7" t="str">
        <f t="shared" ca="1" si="34"/>
        <v/>
      </c>
    </row>
    <row r="1041" spans="12:12" x14ac:dyDescent="0.3">
      <c r="L1041" s="7" t="str">
        <f t="shared" ca="1" si="34"/>
        <v/>
      </c>
    </row>
    <row r="1042" spans="12:12" x14ac:dyDescent="0.3">
      <c r="L1042" s="7" t="str">
        <f t="shared" ca="1" si="34"/>
        <v/>
      </c>
    </row>
    <row r="1043" spans="12:12" x14ac:dyDescent="0.3">
      <c r="L1043" s="7" t="str">
        <f t="shared" ca="1" si="34"/>
        <v/>
      </c>
    </row>
    <row r="1044" spans="12:12" x14ac:dyDescent="0.3">
      <c r="L1044" s="7" t="str">
        <f t="shared" ca="1" si="34"/>
        <v/>
      </c>
    </row>
    <row r="1045" spans="12:12" x14ac:dyDescent="0.3">
      <c r="L1045" s="7" t="str">
        <f t="shared" ca="1" si="34"/>
        <v/>
      </c>
    </row>
    <row r="1046" spans="12:12" x14ac:dyDescent="0.3">
      <c r="L1046" s="7" t="str">
        <f t="shared" ca="1" si="34"/>
        <v/>
      </c>
    </row>
    <row r="1047" spans="12:12" x14ac:dyDescent="0.3">
      <c r="L1047" s="7" t="str">
        <f t="shared" ca="1" si="34"/>
        <v/>
      </c>
    </row>
    <row r="1048" spans="12:12" x14ac:dyDescent="0.3">
      <c r="L1048" s="7" t="str">
        <f t="shared" ca="1" si="34"/>
        <v/>
      </c>
    </row>
    <row r="1049" spans="12:12" x14ac:dyDescent="0.3">
      <c r="L1049" s="7" t="str">
        <f t="shared" ca="1" si="34"/>
        <v/>
      </c>
    </row>
    <row r="1050" spans="12:12" x14ac:dyDescent="0.3">
      <c r="L1050" s="7" t="str">
        <f t="shared" ca="1" si="34"/>
        <v/>
      </c>
    </row>
    <row r="1051" spans="12:12" x14ac:dyDescent="0.3">
      <c r="L1051" s="7" t="str">
        <f t="shared" ca="1" si="34"/>
        <v/>
      </c>
    </row>
    <row r="1052" spans="12:12" x14ac:dyDescent="0.3">
      <c r="L1052" s="7" t="str">
        <f t="shared" ca="1" si="34"/>
        <v/>
      </c>
    </row>
    <row r="1053" spans="12:12" x14ac:dyDescent="0.3">
      <c r="L1053" s="7" t="str">
        <f t="shared" ca="1" si="34"/>
        <v/>
      </c>
    </row>
    <row r="1054" spans="12:12" x14ac:dyDescent="0.3">
      <c r="L1054" s="7" t="str">
        <f t="shared" ca="1" si="34"/>
        <v/>
      </c>
    </row>
    <row r="1055" spans="12:12" x14ac:dyDescent="0.3">
      <c r="L1055" s="7" t="str">
        <f t="shared" ca="1" si="34"/>
        <v/>
      </c>
    </row>
    <row r="1056" spans="12:12" x14ac:dyDescent="0.3">
      <c r="L1056" s="7" t="str">
        <f t="shared" ca="1" si="34"/>
        <v/>
      </c>
    </row>
    <row r="1057" spans="12:12" x14ac:dyDescent="0.3">
      <c r="L1057" s="7" t="str">
        <f t="shared" ca="1" si="34"/>
        <v/>
      </c>
    </row>
    <row r="1058" spans="12:12" x14ac:dyDescent="0.3">
      <c r="L1058" s="7" t="str">
        <f t="shared" ca="1" si="34"/>
        <v/>
      </c>
    </row>
    <row r="1059" spans="12:12" x14ac:dyDescent="0.3">
      <c r="L1059" s="7" t="str">
        <f t="shared" ca="1" si="34"/>
        <v/>
      </c>
    </row>
    <row r="1060" spans="12:12" x14ac:dyDescent="0.3">
      <c r="L1060" s="7" t="str">
        <f t="shared" ca="1" si="34"/>
        <v/>
      </c>
    </row>
    <row r="1061" spans="12:12" x14ac:dyDescent="0.3">
      <c r="L1061" s="7" t="str">
        <f t="shared" ca="1" si="34"/>
        <v/>
      </c>
    </row>
    <row r="1062" spans="12:12" x14ac:dyDescent="0.3">
      <c r="L1062" s="7" t="str">
        <f t="shared" ca="1" si="34"/>
        <v/>
      </c>
    </row>
    <row r="1063" spans="12:12" x14ac:dyDescent="0.3">
      <c r="L1063" s="7" t="str">
        <f t="shared" ca="1" si="34"/>
        <v/>
      </c>
    </row>
    <row r="1064" spans="12:12" x14ac:dyDescent="0.3">
      <c r="L1064" s="7" t="str">
        <f t="shared" ca="1" si="34"/>
        <v/>
      </c>
    </row>
    <row r="1065" spans="12:12" x14ac:dyDescent="0.3">
      <c r="L1065" s="7" t="str">
        <f t="shared" ca="1" si="34"/>
        <v/>
      </c>
    </row>
    <row r="1066" spans="12:12" x14ac:dyDescent="0.3">
      <c r="L1066" s="7" t="str">
        <f t="shared" ca="1" si="34"/>
        <v/>
      </c>
    </row>
    <row r="1067" spans="12:12" x14ac:dyDescent="0.3">
      <c r="L1067" s="7" t="str">
        <f t="shared" ca="1" si="34"/>
        <v/>
      </c>
    </row>
    <row r="1068" spans="12:12" x14ac:dyDescent="0.3">
      <c r="L1068" s="7" t="str">
        <f t="shared" ca="1" si="34"/>
        <v/>
      </c>
    </row>
    <row r="1069" spans="12:12" x14ac:dyDescent="0.3">
      <c r="L1069" s="7" t="str">
        <f t="shared" ca="1" si="34"/>
        <v/>
      </c>
    </row>
    <row r="1070" spans="12:12" x14ac:dyDescent="0.3">
      <c r="L1070" s="7" t="str">
        <f t="shared" ca="1" si="34"/>
        <v/>
      </c>
    </row>
    <row r="1071" spans="12:12" x14ac:dyDescent="0.3">
      <c r="L1071" s="7" t="str">
        <f t="shared" ca="1" si="34"/>
        <v/>
      </c>
    </row>
    <row r="1072" spans="12:12" x14ac:dyDescent="0.3">
      <c r="L1072" s="7" t="str">
        <f t="shared" ca="1" si="34"/>
        <v/>
      </c>
    </row>
    <row r="1073" spans="12:12" x14ac:dyDescent="0.3">
      <c r="L1073" s="7" t="str">
        <f t="shared" ca="1" si="34"/>
        <v/>
      </c>
    </row>
    <row r="1074" spans="12:12" x14ac:dyDescent="0.3">
      <c r="L1074" s="7" t="str">
        <f t="shared" ca="1" si="34"/>
        <v/>
      </c>
    </row>
    <row r="1075" spans="12:12" x14ac:dyDescent="0.3">
      <c r="L1075" s="7" t="str">
        <f t="shared" ca="1" si="34"/>
        <v/>
      </c>
    </row>
    <row r="1076" spans="12:12" x14ac:dyDescent="0.3">
      <c r="L1076" s="7" t="str">
        <f t="shared" ca="1" si="34"/>
        <v/>
      </c>
    </row>
    <row r="1077" spans="12:12" x14ac:dyDescent="0.3">
      <c r="L1077" s="7" t="str">
        <f t="shared" ca="1" si="34"/>
        <v/>
      </c>
    </row>
    <row r="1078" spans="12:12" x14ac:dyDescent="0.3">
      <c r="L1078" s="7" t="str">
        <f t="shared" ca="1" si="34"/>
        <v/>
      </c>
    </row>
    <row r="1079" spans="12:12" x14ac:dyDescent="0.3">
      <c r="L1079" s="7" t="str">
        <f t="shared" ca="1" si="34"/>
        <v/>
      </c>
    </row>
    <row r="1080" spans="12:12" x14ac:dyDescent="0.3">
      <c r="L1080" s="7" t="str">
        <f t="shared" ca="1" si="34"/>
        <v/>
      </c>
    </row>
    <row r="1081" spans="12:12" x14ac:dyDescent="0.3">
      <c r="L1081" s="7" t="str">
        <f t="shared" ca="1" si="34"/>
        <v/>
      </c>
    </row>
    <row r="1082" spans="12:12" x14ac:dyDescent="0.3">
      <c r="L1082" s="7" t="str">
        <f t="shared" ca="1" si="34"/>
        <v/>
      </c>
    </row>
    <row r="1083" spans="12:12" x14ac:dyDescent="0.3">
      <c r="L1083" s="7" t="str">
        <f t="shared" ca="1" si="34"/>
        <v/>
      </c>
    </row>
    <row r="1084" spans="12:12" x14ac:dyDescent="0.3">
      <c r="L1084" s="7" t="str">
        <f t="shared" ca="1" si="34"/>
        <v/>
      </c>
    </row>
    <row r="1085" spans="12:12" x14ac:dyDescent="0.3">
      <c r="L1085" s="7" t="str">
        <f t="shared" ca="1" si="34"/>
        <v/>
      </c>
    </row>
    <row r="1086" spans="12:12" x14ac:dyDescent="0.3">
      <c r="L1086" s="7" t="str">
        <f t="shared" ca="1" si="34"/>
        <v/>
      </c>
    </row>
    <row r="1087" spans="12:12" x14ac:dyDescent="0.3">
      <c r="L1087" s="7" t="str">
        <f t="shared" ca="1" si="34"/>
        <v/>
      </c>
    </row>
    <row r="1088" spans="12:12" x14ac:dyDescent="0.3">
      <c r="L1088" s="7" t="str">
        <f t="shared" ca="1" si="34"/>
        <v/>
      </c>
    </row>
    <row r="1089" spans="12:12" x14ac:dyDescent="0.3">
      <c r="L1089" s="7" t="str">
        <f t="shared" ca="1" si="34"/>
        <v/>
      </c>
    </row>
    <row r="1090" spans="12:12" x14ac:dyDescent="0.3">
      <c r="L1090" s="7" t="str">
        <f t="shared" ca="1" si="34"/>
        <v/>
      </c>
    </row>
    <row r="1091" spans="12:12" x14ac:dyDescent="0.3">
      <c r="L1091" s="7" t="str">
        <f t="shared" ca="1" si="34"/>
        <v/>
      </c>
    </row>
    <row r="1092" spans="12:12" x14ac:dyDescent="0.3">
      <c r="L1092" s="7" t="str">
        <f t="shared" ref="L1092:L1155" ca="1" si="35">IF(I1092="Completed",0,IF(H1092="","",H1092-TODAY()))</f>
        <v/>
      </c>
    </row>
    <row r="1093" spans="12:12" x14ac:dyDescent="0.3">
      <c r="L1093" s="7" t="str">
        <f t="shared" ca="1" si="35"/>
        <v/>
      </c>
    </row>
    <row r="1094" spans="12:12" x14ac:dyDescent="0.3">
      <c r="L1094" s="7" t="str">
        <f t="shared" ca="1" si="35"/>
        <v/>
      </c>
    </row>
    <row r="1095" spans="12:12" x14ac:dyDescent="0.3">
      <c r="L1095" s="7" t="str">
        <f t="shared" ca="1" si="35"/>
        <v/>
      </c>
    </row>
    <row r="1096" spans="12:12" x14ac:dyDescent="0.3">
      <c r="L1096" s="7" t="str">
        <f t="shared" ca="1" si="35"/>
        <v/>
      </c>
    </row>
    <row r="1097" spans="12:12" x14ac:dyDescent="0.3">
      <c r="L1097" s="7" t="str">
        <f t="shared" ca="1" si="35"/>
        <v/>
      </c>
    </row>
    <row r="1098" spans="12:12" x14ac:dyDescent="0.3">
      <c r="L1098" s="7" t="str">
        <f t="shared" ca="1" si="35"/>
        <v/>
      </c>
    </row>
    <row r="1099" spans="12:12" x14ac:dyDescent="0.3">
      <c r="L1099" s="7" t="str">
        <f t="shared" ca="1" si="35"/>
        <v/>
      </c>
    </row>
    <row r="1100" spans="12:12" x14ac:dyDescent="0.3">
      <c r="L1100" s="7" t="str">
        <f t="shared" ca="1" si="35"/>
        <v/>
      </c>
    </row>
    <row r="1101" spans="12:12" x14ac:dyDescent="0.3">
      <c r="L1101" s="7" t="str">
        <f t="shared" ca="1" si="35"/>
        <v/>
      </c>
    </row>
    <row r="1102" spans="12:12" x14ac:dyDescent="0.3">
      <c r="L1102" s="7" t="str">
        <f t="shared" ca="1" si="35"/>
        <v/>
      </c>
    </row>
    <row r="1103" spans="12:12" x14ac:dyDescent="0.3">
      <c r="L1103" s="7" t="str">
        <f t="shared" ca="1" si="35"/>
        <v/>
      </c>
    </row>
    <row r="1104" spans="12:12" x14ac:dyDescent="0.3">
      <c r="L1104" s="7" t="str">
        <f t="shared" ca="1" si="35"/>
        <v/>
      </c>
    </row>
    <row r="1105" spans="12:12" x14ac:dyDescent="0.3">
      <c r="L1105" s="7" t="str">
        <f t="shared" ca="1" si="35"/>
        <v/>
      </c>
    </row>
    <row r="1106" spans="12:12" x14ac:dyDescent="0.3">
      <c r="L1106" s="7" t="str">
        <f t="shared" ca="1" si="35"/>
        <v/>
      </c>
    </row>
    <row r="1107" spans="12:12" x14ac:dyDescent="0.3">
      <c r="L1107" s="7" t="str">
        <f t="shared" ca="1" si="35"/>
        <v/>
      </c>
    </row>
    <row r="1108" spans="12:12" x14ac:dyDescent="0.3">
      <c r="L1108" s="7" t="str">
        <f t="shared" ca="1" si="35"/>
        <v/>
      </c>
    </row>
    <row r="1109" spans="12:12" x14ac:dyDescent="0.3">
      <c r="L1109" s="7" t="str">
        <f t="shared" ca="1" si="35"/>
        <v/>
      </c>
    </row>
    <row r="1110" spans="12:12" x14ac:dyDescent="0.3">
      <c r="L1110" s="7" t="str">
        <f t="shared" ca="1" si="35"/>
        <v/>
      </c>
    </row>
    <row r="1111" spans="12:12" x14ac:dyDescent="0.3">
      <c r="L1111" s="7" t="str">
        <f t="shared" ca="1" si="35"/>
        <v/>
      </c>
    </row>
    <row r="1112" spans="12:12" x14ac:dyDescent="0.3">
      <c r="L1112" s="7" t="str">
        <f t="shared" ca="1" si="35"/>
        <v/>
      </c>
    </row>
    <row r="1113" spans="12:12" x14ac:dyDescent="0.3">
      <c r="L1113" s="7" t="str">
        <f t="shared" ca="1" si="35"/>
        <v/>
      </c>
    </row>
    <row r="1114" spans="12:12" x14ac:dyDescent="0.3">
      <c r="L1114" s="7" t="str">
        <f t="shared" ca="1" si="35"/>
        <v/>
      </c>
    </row>
    <row r="1115" spans="12:12" x14ac:dyDescent="0.3">
      <c r="L1115" s="7" t="str">
        <f t="shared" ca="1" si="35"/>
        <v/>
      </c>
    </row>
    <row r="1116" spans="12:12" x14ac:dyDescent="0.3">
      <c r="L1116" s="7" t="str">
        <f t="shared" ca="1" si="35"/>
        <v/>
      </c>
    </row>
    <row r="1117" spans="12:12" x14ac:dyDescent="0.3">
      <c r="L1117" s="7" t="str">
        <f t="shared" ca="1" si="35"/>
        <v/>
      </c>
    </row>
    <row r="1118" spans="12:12" x14ac:dyDescent="0.3">
      <c r="L1118" s="7" t="str">
        <f t="shared" ca="1" si="35"/>
        <v/>
      </c>
    </row>
    <row r="1119" spans="12:12" x14ac:dyDescent="0.3">
      <c r="L1119" s="7" t="str">
        <f t="shared" ca="1" si="35"/>
        <v/>
      </c>
    </row>
    <row r="1120" spans="12:12" x14ac:dyDescent="0.3">
      <c r="L1120" s="7" t="str">
        <f t="shared" ca="1" si="35"/>
        <v/>
      </c>
    </row>
    <row r="1121" spans="12:12" x14ac:dyDescent="0.3">
      <c r="L1121" s="7" t="str">
        <f t="shared" ca="1" si="35"/>
        <v/>
      </c>
    </row>
    <row r="1122" spans="12:12" x14ac:dyDescent="0.3">
      <c r="L1122" s="7" t="str">
        <f t="shared" ca="1" si="35"/>
        <v/>
      </c>
    </row>
    <row r="1123" spans="12:12" x14ac:dyDescent="0.3">
      <c r="L1123" s="7" t="str">
        <f t="shared" ca="1" si="35"/>
        <v/>
      </c>
    </row>
    <row r="1124" spans="12:12" x14ac:dyDescent="0.3">
      <c r="L1124" s="7" t="str">
        <f t="shared" ca="1" si="35"/>
        <v/>
      </c>
    </row>
    <row r="1125" spans="12:12" x14ac:dyDescent="0.3">
      <c r="L1125" s="7" t="str">
        <f t="shared" ca="1" si="35"/>
        <v/>
      </c>
    </row>
    <row r="1126" spans="12:12" x14ac:dyDescent="0.3">
      <c r="L1126" s="7" t="str">
        <f t="shared" ca="1" si="35"/>
        <v/>
      </c>
    </row>
    <row r="1127" spans="12:12" x14ac:dyDescent="0.3">
      <c r="L1127" s="7" t="str">
        <f t="shared" ca="1" si="35"/>
        <v/>
      </c>
    </row>
    <row r="1128" spans="12:12" x14ac:dyDescent="0.3">
      <c r="L1128" s="7" t="str">
        <f t="shared" ca="1" si="35"/>
        <v/>
      </c>
    </row>
    <row r="1129" spans="12:12" x14ac:dyDescent="0.3">
      <c r="L1129" s="7" t="str">
        <f t="shared" ca="1" si="35"/>
        <v/>
      </c>
    </row>
    <row r="1130" spans="12:12" x14ac:dyDescent="0.3">
      <c r="L1130" s="7" t="str">
        <f t="shared" ca="1" si="35"/>
        <v/>
      </c>
    </row>
    <row r="1131" spans="12:12" x14ac:dyDescent="0.3">
      <c r="L1131" s="7" t="str">
        <f t="shared" ca="1" si="35"/>
        <v/>
      </c>
    </row>
    <row r="1132" spans="12:12" x14ac:dyDescent="0.3">
      <c r="L1132" s="7" t="str">
        <f t="shared" ca="1" si="35"/>
        <v/>
      </c>
    </row>
    <row r="1133" spans="12:12" x14ac:dyDescent="0.3">
      <c r="L1133" s="7" t="str">
        <f t="shared" ca="1" si="35"/>
        <v/>
      </c>
    </row>
    <row r="1134" spans="12:12" x14ac:dyDescent="0.3">
      <c r="L1134" s="7" t="str">
        <f t="shared" ca="1" si="35"/>
        <v/>
      </c>
    </row>
    <row r="1135" spans="12:12" x14ac:dyDescent="0.3">
      <c r="L1135" s="7" t="str">
        <f t="shared" ca="1" si="35"/>
        <v/>
      </c>
    </row>
    <row r="1136" spans="12:12" x14ac:dyDescent="0.3">
      <c r="L1136" s="7" t="str">
        <f t="shared" ca="1" si="35"/>
        <v/>
      </c>
    </row>
    <row r="1137" spans="12:12" x14ac:dyDescent="0.3">
      <c r="L1137" s="7" t="str">
        <f t="shared" ca="1" si="35"/>
        <v/>
      </c>
    </row>
    <row r="1138" spans="12:12" x14ac:dyDescent="0.3">
      <c r="L1138" s="7" t="str">
        <f t="shared" ca="1" si="35"/>
        <v/>
      </c>
    </row>
    <row r="1139" spans="12:12" x14ac:dyDescent="0.3">
      <c r="L1139" s="7" t="str">
        <f t="shared" ca="1" si="35"/>
        <v/>
      </c>
    </row>
    <row r="1140" spans="12:12" x14ac:dyDescent="0.3">
      <c r="L1140" s="7" t="str">
        <f t="shared" ca="1" si="35"/>
        <v/>
      </c>
    </row>
    <row r="1141" spans="12:12" x14ac:dyDescent="0.3">
      <c r="L1141" s="7" t="str">
        <f t="shared" ca="1" si="35"/>
        <v/>
      </c>
    </row>
    <row r="1142" spans="12:12" x14ac:dyDescent="0.3">
      <c r="L1142" s="7" t="str">
        <f t="shared" ca="1" si="35"/>
        <v/>
      </c>
    </row>
    <row r="1143" spans="12:12" x14ac:dyDescent="0.3">
      <c r="L1143" s="7" t="str">
        <f t="shared" ca="1" si="35"/>
        <v/>
      </c>
    </row>
    <row r="1144" spans="12:12" x14ac:dyDescent="0.3">
      <c r="L1144" s="7" t="str">
        <f t="shared" ca="1" si="35"/>
        <v/>
      </c>
    </row>
    <row r="1145" spans="12:12" x14ac:dyDescent="0.3">
      <c r="L1145" s="7" t="str">
        <f t="shared" ca="1" si="35"/>
        <v/>
      </c>
    </row>
    <row r="1146" spans="12:12" x14ac:dyDescent="0.3">
      <c r="L1146" s="7" t="str">
        <f t="shared" ca="1" si="35"/>
        <v/>
      </c>
    </row>
    <row r="1147" spans="12:12" x14ac:dyDescent="0.3">
      <c r="L1147" s="7" t="str">
        <f t="shared" ca="1" si="35"/>
        <v/>
      </c>
    </row>
    <row r="1148" spans="12:12" x14ac:dyDescent="0.3">
      <c r="L1148" s="7" t="str">
        <f t="shared" ca="1" si="35"/>
        <v/>
      </c>
    </row>
    <row r="1149" spans="12:12" x14ac:dyDescent="0.3">
      <c r="L1149" s="7" t="str">
        <f t="shared" ca="1" si="35"/>
        <v/>
      </c>
    </row>
    <row r="1150" spans="12:12" x14ac:dyDescent="0.3">
      <c r="L1150" s="7" t="str">
        <f t="shared" ca="1" si="35"/>
        <v/>
      </c>
    </row>
    <row r="1151" spans="12:12" x14ac:dyDescent="0.3">
      <c r="L1151" s="7" t="str">
        <f t="shared" ca="1" si="35"/>
        <v/>
      </c>
    </row>
    <row r="1152" spans="12:12" x14ac:dyDescent="0.3">
      <c r="L1152" s="7" t="str">
        <f t="shared" ca="1" si="35"/>
        <v/>
      </c>
    </row>
    <row r="1153" spans="12:12" x14ac:dyDescent="0.3">
      <c r="L1153" s="7" t="str">
        <f t="shared" ca="1" si="35"/>
        <v/>
      </c>
    </row>
    <row r="1154" spans="12:12" x14ac:dyDescent="0.3">
      <c r="L1154" s="7" t="str">
        <f t="shared" ca="1" si="35"/>
        <v/>
      </c>
    </row>
    <row r="1155" spans="12:12" x14ac:dyDescent="0.3">
      <c r="L1155" s="7" t="str">
        <f t="shared" ca="1" si="35"/>
        <v/>
      </c>
    </row>
    <row r="1156" spans="12:12" x14ac:dyDescent="0.3">
      <c r="L1156" s="7" t="str">
        <f t="shared" ref="L1156:L1219" ca="1" si="36">IF(I1156="Completed",0,IF(H1156="","",H1156-TODAY()))</f>
        <v/>
      </c>
    </row>
    <row r="1157" spans="12:12" x14ac:dyDescent="0.3">
      <c r="L1157" s="7" t="str">
        <f t="shared" ca="1" si="36"/>
        <v/>
      </c>
    </row>
    <row r="1158" spans="12:12" x14ac:dyDescent="0.3">
      <c r="L1158" s="7" t="str">
        <f t="shared" ca="1" si="36"/>
        <v/>
      </c>
    </row>
    <row r="1159" spans="12:12" x14ac:dyDescent="0.3">
      <c r="L1159" s="7" t="str">
        <f t="shared" ca="1" si="36"/>
        <v/>
      </c>
    </row>
    <row r="1160" spans="12:12" x14ac:dyDescent="0.3">
      <c r="L1160" s="7" t="str">
        <f t="shared" ca="1" si="36"/>
        <v/>
      </c>
    </row>
    <row r="1161" spans="12:12" x14ac:dyDescent="0.3">
      <c r="L1161" s="7" t="str">
        <f t="shared" ca="1" si="36"/>
        <v/>
      </c>
    </row>
    <row r="1162" spans="12:12" x14ac:dyDescent="0.3">
      <c r="L1162" s="7" t="str">
        <f t="shared" ca="1" si="36"/>
        <v/>
      </c>
    </row>
    <row r="1163" spans="12:12" x14ac:dyDescent="0.3">
      <c r="L1163" s="7" t="str">
        <f t="shared" ca="1" si="36"/>
        <v/>
      </c>
    </row>
    <row r="1164" spans="12:12" x14ac:dyDescent="0.3">
      <c r="L1164" s="7" t="str">
        <f t="shared" ca="1" si="36"/>
        <v/>
      </c>
    </row>
    <row r="1165" spans="12:12" x14ac:dyDescent="0.3">
      <c r="L1165" s="7" t="str">
        <f t="shared" ca="1" si="36"/>
        <v/>
      </c>
    </row>
    <row r="1166" spans="12:12" x14ac:dyDescent="0.3">
      <c r="L1166" s="7" t="str">
        <f t="shared" ca="1" si="36"/>
        <v/>
      </c>
    </row>
    <row r="1167" spans="12:12" x14ac:dyDescent="0.3">
      <c r="L1167" s="7" t="str">
        <f t="shared" ca="1" si="36"/>
        <v/>
      </c>
    </row>
    <row r="1168" spans="12:12" x14ac:dyDescent="0.3">
      <c r="L1168" s="7" t="str">
        <f t="shared" ca="1" si="36"/>
        <v/>
      </c>
    </row>
    <row r="1169" spans="12:12" x14ac:dyDescent="0.3">
      <c r="L1169" s="7" t="str">
        <f t="shared" ca="1" si="36"/>
        <v/>
      </c>
    </row>
    <row r="1170" spans="12:12" x14ac:dyDescent="0.3">
      <c r="L1170" s="7" t="str">
        <f t="shared" ca="1" si="36"/>
        <v/>
      </c>
    </row>
    <row r="1171" spans="12:12" x14ac:dyDescent="0.3">
      <c r="L1171" s="7" t="str">
        <f t="shared" ca="1" si="36"/>
        <v/>
      </c>
    </row>
    <row r="1172" spans="12:12" x14ac:dyDescent="0.3">
      <c r="L1172" s="7" t="str">
        <f t="shared" ca="1" si="36"/>
        <v/>
      </c>
    </row>
    <row r="1173" spans="12:12" x14ac:dyDescent="0.3">
      <c r="L1173" s="7" t="str">
        <f t="shared" ca="1" si="36"/>
        <v/>
      </c>
    </row>
    <row r="1174" spans="12:12" x14ac:dyDescent="0.3">
      <c r="L1174" s="7" t="str">
        <f t="shared" ca="1" si="36"/>
        <v/>
      </c>
    </row>
    <row r="1175" spans="12:12" x14ac:dyDescent="0.3">
      <c r="L1175" s="7" t="str">
        <f t="shared" ca="1" si="36"/>
        <v/>
      </c>
    </row>
    <row r="1176" spans="12:12" x14ac:dyDescent="0.3">
      <c r="L1176" s="7" t="str">
        <f t="shared" ca="1" si="36"/>
        <v/>
      </c>
    </row>
    <row r="1177" spans="12:12" x14ac:dyDescent="0.3">
      <c r="L1177" s="7" t="str">
        <f t="shared" ca="1" si="36"/>
        <v/>
      </c>
    </row>
    <row r="1178" spans="12:12" x14ac:dyDescent="0.3">
      <c r="L1178" s="7" t="str">
        <f t="shared" ca="1" si="36"/>
        <v/>
      </c>
    </row>
    <row r="1179" spans="12:12" x14ac:dyDescent="0.3">
      <c r="L1179" s="7" t="str">
        <f t="shared" ca="1" si="36"/>
        <v/>
      </c>
    </row>
    <row r="1180" spans="12:12" x14ac:dyDescent="0.3">
      <c r="L1180" s="7" t="str">
        <f t="shared" ca="1" si="36"/>
        <v/>
      </c>
    </row>
    <row r="1181" spans="12:12" x14ac:dyDescent="0.3">
      <c r="L1181" s="7" t="str">
        <f t="shared" ca="1" si="36"/>
        <v/>
      </c>
    </row>
    <row r="1182" spans="12:12" x14ac:dyDescent="0.3">
      <c r="L1182" s="7" t="str">
        <f t="shared" ca="1" si="36"/>
        <v/>
      </c>
    </row>
    <row r="1183" spans="12:12" x14ac:dyDescent="0.3">
      <c r="L1183" s="7" t="str">
        <f t="shared" ca="1" si="36"/>
        <v/>
      </c>
    </row>
    <row r="1184" spans="12:12" x14ac:dyDescent="0.3">
      <c r="L1184" s="7" t="str">
        <f t="shared" ca="1" si="36"/>
        <v/>
      </c>
    </row>
    <row r="1185" spans="12:12" x14ac:dyDescent="0.3">
      <c r="L1185" s="7" t="str">
        <f t="shared" ca="1" si="36"/>
        <v/>
      </c>
    </row>
    <row r="1186" spans="12:12" x14ac:dyDescent="0.3">
      <c r="L1186" s="7" t="str">
        <f t="shared" ca="1" si="36"/>
        <v/>
      </c>
    </row>
    <row r="1187" spans="12:12" x14ac:dyDescent="0.3">
      <c r="L1187" s="7" t="str">
        <f t="shared" ca="1" si="36"/>
        <v/>
      </c>
    </row>
    <row r="1188" spans="12:12" x14ac:dyDescent="0.3">
      <c r="L1188" s="7" t="str">
        <f t="shared" ca="1" si="36"/>
        <v/>
      </c>
    </row>
    <row r="1189" spans="12:12" x14ac:dyDescent="0.3">
      <c r="L1189" s="7" t="str">
        <f t="shared" ca="1" si="36"/>
        <v/>
      </c>
    </row>
    <row r="1190" spans="12:12" x14ac:dyDescent="0.3">
      <c r="L1190" s="7" t="str">
        <f t="shared" ca="1" si="36"/>
        <v/>
      </c>
    </row>
    <row r="1191" spans="12:12" x14ac:dyDescent="0.3">
      <c r="L1191" s="7" t="str">
        <f t="shared" ca="1" si="36"/>
        <v/>
      </c>
    </row>
    <row r="1192" spans="12:12" x14ac:dyDescent="0.3">
      <c r="L1192" s="7" t="str">
        <f t="shared" ca="1" si="36"/>
        <v/>
      </c>
    </row>
    <row r="1193" spans="12:12" x14ac:dyDescent="0.3">
      <c r="L1193" s="7" t="str">
        <f t="shared" ca="1" si="36"/>
        <v/>
      </c>
    </row>
    <row r="1194" spans="12:12" x14ac:dyDescent="0.3">
      <c r="L1194" s="7" t="str">
        <f t="shared" ca="1" si="36"/>
        <v/>
      </c>
    </row>
    <row r="1195" spans="12:12" x14ac:dyDescent="0.3">
      <c r="L1195" s="7" t="str">
        <f t="shared" ca="1" si="36"/>
        <v/>
      </c>
    </row>
    <row r="1196" spans="12:12" x14ac:dyDescent="0.3">
      <c r="L1196" s="7" t="str">
        <f t="shared" ca="1" si="36"/>
        <v/>
      </c>
    </row>
    <row r="1197" spans="12:12" x14ac:dyDescent="0.3">
      <c r="L1197" s="7" t="str">
        <f t="shared" ca="1" si="36"/>
        <v/>
      </c>
    </row>
    <row r="1198" spans="12:12" x14ac:dyDescent="0.3">
      <c r="L1198" s="7" t="str">
        <f t="shared" ca="1" si="36"/>
        <v/>
      </c>
    </row>
    <row r="1199" spans="12:12" x14ac:dyDescent="0.3">
      <c r="L1199" s="7" t="str">
        <f t="shared" ca="1" si="36"/>
        <v/>
      </c>
    </row>
    <row r="1200" spans="12:12" x14ac:dyDescent="0.3">
      <c r="L1200" s="7" t="str">
        <f t="shared" ca="1" si="36"/>
        <v/>
      </c>
    </row>
    <row r="1201" spans="12:12" x14ac:dyDescent="0.3">
      <c r="L1201" s="7" t="str">
        <f t="shared" ca="1" si="36"/>
        <v/>
      </c>
    </row>
    <row r="1202" spans="12:12" x14ac:dyDescent="0.3">
      <c r="L1202" s="7" t="str">
        <f t="shared" ca="1" si="36"/>
        <v/>
      </c>
    </row>
    <row r="1203" spans="12:12" x14ac:dyDescent="0.3">
      <c r="L1203" s="7" t="str">
        <f t="shared" ca="1" si="36"/>
        <v/>
      </c>
    </row>
    <row r="1204" spans="12:12" x14ac:dyDescent="0.3">
      <c r="L1204" s="7" t="str">
        <f t="shared" ca="1" si="36"/>
        <v/>
      </c>
    </row>
    <row r="1205" spans="12:12" x14ac:dyDescent="0.3">
      <c r="L1205" s="7" t="str">
        <f t="shared" ca="1" si="36"/>
        <v/>
      </c>
    </row>
    <row r="1206" spans="12:12" x14ac:dyDescent="0.3">
      <c r="L1206" s="7" t="str">
        <f t="shared" ca="1" si="36"/>
        <v/>
      </c>
    </row>
    <row r="1207" spans="12:12" x14ac:dyDescent="0.3">
      <c r="L1207" s="7" t="str">
        <f t="shared" ca="1" si="36"/>
        <v/>
      </c>
    </row>
    <row r="1208" spans="12:12" x14ac:dyDescent="0.3">
      <c r="L1208" s="7" t="str">
        <f t="shared" ca="1" si="36"/>
        <v/>
      </c>
    </row>
    <row r="1209" spans="12:12" x14ac:dyDescent="0.3">
      <c r="L1209" s="7" t="str">
        <f t="shared" ca="1" si="36"/>
        <v/>
      </c>
    </row>
    <row r="1210" spans="12:12" x14ac:dyDescent="0.3">
      <c r="L1210" s="7" t="str">
        <f t="shared" ca="1" si="36"/>
        <v/>
      </c>
    </row>
    <row r="1211" spans="12:12" x14ac:dyDescent="0.3">
      <c r="L1211" s="7" t="str">
        <f t="shared" ca="1" si="36"/>
        <v/>
      </c>
    </row>
    <row r="1212" spans="12:12" x14ac:dyDescent="0.3">
      <c r="L1212" s="7" t="str">
        <f t="shared" ca="1" si="36"/>
        <v/>
      </c>
    </row>
    <row r="1213" spans="12:12" x14ac:dyDescent="0.3">
      <c r="L1213" s="7" t="str">
        <f t="shared" ca="1" si="36"/>
        <v/>
      </c>
    </row>
    <row r="1214" spans="12:12" x14ac:dyDescent="0.3">
      <c r="L1214" s="7" t="str">
        <f t="shared" ca="1" si="36"/>
        <v/>
      </c>
    </row>
    <row r="1215" spans="12:12" x14ac:dyDescent="0.3">
      <c r="L1215" s="7" t="str">
        <f t="shared" ca="1" si="36"/>
        <v/>
      </c>
    </row>
    <row r="1216" spans="12:12" x14ac:dyDescent="0.3">
      <c r="L1216" s="7" t="str">
        <f t="shared" ca="1" si="36"/>
        <v/>
      </c>
    </row>
    <row r="1217" spans="12:12" x14ac:dyDescent="0.3">
      <c r="L1217" s="7" t="str">
        <f t="shared" ca="1" si="36"/>
        <v/>
      </c>
    </row>
    <row r="1218" spans="12:12" x14ac:dyDescent="0.3">
      <c r="L1218" s="7" t="str">
        <f t="shared" ca="1" si="36"/>
        <v/>
      </c>
    </row>
    <row r="1219" spans="12:12" x14ac:dyDescent="0.3">
      <c r="L1219" s="7" t="str">
        <f t="shared" ca="1" si="36"/>
        <v/>
      </c>
    </row>
    <row r="1220" spans="12:12" x14ac:dyDescent="0.3">
      <c r="L1220" s="7" t="str">
        <f t="shared" ref="L1220:L1283" ca="1" si="37">IF(I1220="Completed",0,IF(H1220="","",H1220-TODAY()))</f>
        <v/>
      </c>
    </row>
    <row r="1221" spans="12:12" x14ac:dyDescent="0.3">
      <c r="L1221" s="7" t="str">
        <f t="shared" ca="1" si="37"/>
        <v/>
      </c>
    </row>
    <row r="1222" spans="12:12" x14ac:dyDescent="0.3">
      <c r="L1222" s="7" t="str">
        <f t="shared" ca="1" si="37"/>
        <v/>
      </c>
    </row>
    <row r="1223" spans="12:12" x14ac:dyDescent="0.3">
      <c r="L1223" s="7" t="str">
        <f t="shared" ca="1" si="37"/>
        <v/>
      </c>
    </row>
    <row r="1224" spans="12:12" x14ac:dyDescent="0.3">
      <c r="L1224" s="7" t="str">
        <f t="shared" ca="1" si="37"/>
        <v/>
      </c>
    </row>
    <row r="1225" spans="12:12" x14ac:dyDescent="0.3">
      <c r="L1225" s="7" t="str">
        <f t="shared" ca="1" si="37"/>
        <v/>
      </c>
    </row>
    <row r="1226" spans="12:12" x14ac:dyDescent="0.3">
      <c r="L1226" s="7" t="str">
        <f t="shared" ca="1" si="37"/>
        <v/>
      </c>
    </row>
    <row r="1227" spans="12:12" x14ac:dyDescent="0.3">
      <c r="L1227" s="7" t="str">
        <f t="shared" ca="1" si="37"/>
        <v/>
      </c>
    </row>
    <row r="1228" spans="12:12" x14ac:dyDescent="0.3">
      <c r="L1228" s="7" t="str">
        <f t="shared" ca="1" si="37"/>
        <v/>
      </c>
    </row>
    <row r="1229" spans="12:12" x14ac:dyDescent="0.3">
      <c r="L1229" s="7" t="str">
        <f t="shared" ca="1" si="37"/>
        <v/>
      </c>
    </row>
    <row r="1230" spans="12:12" x14ac:dyDescent="0.3">
      <c r="L1230" s="7" t="str">
        <f t="shared" ca="1" si="37"/>
        <v/>
      </c>
    </row>
    <row r="1231" spans="12:12" x14ac:dyDescent="0.3">
      <c r="L1231" s="7" t="str">
        <f t="shared" ca="1" si="37"/>
        <v/>
      </c>
    </row>
    <row r="1232" spans="12:12" x14ac:dyDescent="0.3">
      <c r="L1232" s="7" t="str">
        <f t="shared" ca="1" si="37"/>
        <v/>
      </c>
    </row>
    <row r="1233" spans="12:12" x14ac:dyDescent="0.3">
      <c r="L1233" s="7" t="str">
        <f t="shared" ca="1" si="37"/>
        <v/>
      </c>
    </row>
    <row r="1234" spans="12:12" x14ac:dyDescent="0.3">
      <c r="L1234" s="7" t="str">
        <f t="shared" ca="1" si="37"/>
        <v/>
      </c>
    </row>
    <row r="1235" spans="12:12" x14ac:dyDescent="0.3">
      <c r="L1235" s="7" t="str">
        <f t="shared" ca="1" si="37"/>
        <v/>
      </c>
    </row>
    <row r="1236" spans="12:12" x14ac:dyDescent="0.3">
      <c r="L1236" s="7" t="str">
        <f t="shared" ca="1" si="37"/>
        <v/>
      </c>
    </row>
    <row r="1237" spans="12:12" x14ac:dyDescent="0.3">
      <c r="L1237" s="7" t="str">
        <f t="shared" ca="1" si="37"/>
        <v/>
      </c>
    </row>
    <row r="1238" spans="12:12" x14ac:dyDescent="0.3">
      <c r="L1238" s="7" t="str">
        <f t="shared" ca="1" si="37"/>
        <v/>
      </c>
    </row>
    <row r="1239" spans="12:12" x14ac:dyDescent="0.3">
      <c r="L1239" s="7" t="str">
        <f t="shared" ca="1" si="37"/>
        <v/>
      </c>
    </row>
    <row r="1240" spans="12:12" x14ac:dyDescent="0.3">
      <c r="L1240" s="7" t="str">
        <f t="shared" ca="1" si="37"/>
        <v/>
      </c>
    </row>
    <row r="1241" spans="12:12" x14ac:dyDescent="0.3">
      <c r="L1241" s="7" t="str">
        <f t="shared" ca="1" si="37"/>
        <v/>
      </c>
    </row>
    <row r="1242" spans="12:12" x14ac:dyDescent="0.3">
      <c r="L1242" s="7" t="str">
        <f t="shared" ca="1" si="37"/>
        <v/>
      </c>
    </row>
    <row r="1243" spans="12:12" x14ac:dyDescent="0.3">
      <c r="L1243" s="7" t="str">
        <f t="shared" ca="1" si="37"/>
        <v/>
      </c>
    </row>
    <row r="1244" spans="12:12" x14ac:dyDescent="0.3">
      <c r="L1244" s="7" t="str">
        <f t="shared" ca="1" si="37"/>
        <v/>
      </c>
    </row>
    <row r="1245" spans="12:12" x14ac:dyDescent="0.3">
      <c r="L1245" s="7" t="str">
        <f t="shared" ca="1" si="37"/>
        <v/>
      </c>
    </row>
    <row r="1246" spans="12:12" x14ac:dyDescent="0.3">
      <c r="L1246" s="7" t="str">
        <f t="shared" ca="1" si="37"/>
        <v/>
      </c>
    </row>
    <row r="1247" spans="12:12" x14ac:dyDescent="0.3">
      <c r="L1247" s="7" t="str">
        <f t="shared" ca="1" si="37"/>
        <v/>
      </c>
    </row>
    <row r="1248" spans="12:12" x14ac:dyDescent="0.3">
      <c r="L1248" s="7" t="str">
        <f t="shared" ca="1" si="37"/>
        <v/>
      </c>
    </row>
    <row r="1249" spans="12:12" x14ac:dyDescent="0.3">
      <c r="L1249" s="7" t="str">
        <f t="shared" ca="1" si="37"/>
        <v/>
      </c>
    </row>
    <row r="1250" spans="12:12" x14ac:dyDescent="0.3">
      <c r="L1250" s="7" t="str">
        <f t="shared" ca="1" si="37"/>
        <v/>
      </c>
    </row>
    <row r="1251" spans="12:12" x14ac:dyDescent="0.3">
      <c r="L1251" s="7" t="str">
        <f t="shared" ca="1" si="37"/>
        <v/>
      </c>
    </row>
    <row r="1252" spans="12:12" x14ac:dyDescent="0.3">
      <c r="L1252" s="7" t="str">
        <f t="shared" ca="1" si="37"/>
        <v/>
      </c>
    </row>
    <row r="1253" spans="12:12" x14ac:dyDescent="0.3">
      <c r="L1253" s="7" t="str">
        <f t="shared" ca="1" si="37"/>
        <v/>
      </c>
    </row>
    <row r="1254" spans="12:12" x14ac:dyDescent="0.3">
      <c r="L1254" s="7" t="str">
        <f t="shared" ca="1" si="37"/>
        <v/>
      </c>
    </row>
    <row r="1255" spans="12:12" x14ac:dyDescent="0.3">
      <c r="L1255" s="7" t="str">
        <f t="shared" ca="1" si="37"/>
        <v/>
      </c>
    </row>
    <row r="1256" spans="12:12" x14ac:dyDescent="0.3">
      <c r="L1256" s="7" t="str">
        <f t="shared" ca="1" si="37"/>
        <v/>
      </c>
    </row>
    <row r="1257" spans="12:12" x14ac:dyDescent="0.3">
      <c r="L1257" s="7" t="str">
        <f t="shared" ca="1" si="37"/>
        <v/>
      </c>
    </row>
    <row r="1258" spans="12:12" x14ac:dyDescent="0.3">
      <c r="L1258" s="7" t="str">
        <f t="shared" ca="1" si="37"/>
        <v/>
      </c>
    </row>
    <row r="1259" spans="12:12" x14ac:dyDescent="0.3">
      <c r="L1259" s="7" t="str">
        <f t="shared" ca="1" si="37"/>
        <v/>
      </c>
    </row>
    <row r="1260" spans="12:12" x14ac:dyDescent="0.3">
      <c r="L1260" s="7" t="str">
        <f t="shared" ca="1" si="37"/>
        <v/>
      </c>
    </row>
    <row r="1261" spans="12:12" x14ac:dyDescent="0.3">
      <c r="L1261" s="7" t="str">
        <f t="shared" ca="1" si="37"/>
        <v/>
      </c>
    </row>
    <row r="1262" spans="12:12" x14ac:dyDescent="0.3">
      <c r="L1262" s="7" t="str">
        <f t="shared" ca="1" si="37"/>
        <v/>
      </c>
    </row>
    <row r="1263" spans="12:12" x14ac:dyDescent="0.3">
      <c r="L1263" s="7" t="str">
        <f t="shared" ca="1" si="37"/>
        <v/>
      </c>
    </row>
    <row r="1264" spans="12:12" x14ac:dyDescent="0.3">
      <c r="L1264" s="7" t="str">
        <f t="shared" ca="1" si="37"/>
        <v/>
      </c>
    </row>
    <row r="1265" spans="12:12" x14ac:dyDescent="0.3">
      <c r="L1265" s="7" t="str">
        <f t="shared" ca="1" si="37"/>
        <v/>
      </c>
    </row>
    <row r="1266" spans="12:12" x14ac:dyDescent="0.3">
      <c r="L1266" s="7" t="str">
        <f t="shared" ca="1" si="37"/>
        <v/>
      </c>
    </row>
    <row r="1267" spans="12:12" x14ac:dyDescent="0.3">
      <c r="L1267" s="7" t="str">
        <f t="shared" ca="1" si="37"/>
        <v/>
      </c>
    </row>
    <row r="1268" spans="12:12" x14ac:dyDescent="0.3">
      <c r="L1268" s="7" t="str">
        <f t="shared" ca="1" si="37"/>
        <v/>
      </c>
    </row>
    <row r="1269" spans="12:12" x14ac:dyDescent="0.3">
      <c r="L1269" s="7" t="str">
        <f t="shared" ca="1" si="37"/>
        <v/>
      </c>
    </row>
    <row r="1270" spans="12:12" x14ac:dyDescent="0.3">
      <c r="L1270" s="7" t="str">
        <f t="shared" ca="1" si="37"/>
        <v/>
      </c>
    </row>
    <row r="1271" spans="12:12" x14ac:dyDescent="0.3">
      <c r="L1271" s="7" t="str">
        <f t="shared" ca="1" si="37"/>
        <v/>
      </c>
    </row>
    <row r="1272" spans="12:12" x14ac:dyDescent="0.3">
      <c r="L1272" s="7" t="str">
        <f t="shared" ca="1" si="37"/>
        <v/>
      </c>
    </row>
    <row r="1273" spans="12:12" x14ac:dyDescent="0.3">
      <c r="L1273" s="7" t="str">
        <f t="shared" ca="1" si="37"/>
        <v/>
      </c>
    </row>
    <row r="1274" spans="12:12" x14ac:dyDescent="0.3">
      <c r="L1274" s="7" t="str">
        <f t="shared" ca="1" si="37"/>
        <v/>
      </c>
    </row>
    <row r="1275" spans="12:12" x14ac:dyDescent="0.3">
      <c r="L1275" s="7" t="str">
        <f t="shared" ca="1" si="37"/>
        <v/>
      </c>
    </row>
    <row r="1276" spans="12:12" x14ac:dyDescent="0.3">
      <c r="L1276" s="7" t="str">
        <f t="shared" ca="1" si="37"/>
        <v/>
      </c>
    </row>
    <row r="1277" spans="12:12" x14ac:dyDescent="0.3">
      <c r="L1277" s="7" t="str">
        <f t="shared" ca="1" si="37"/>
        <v/>
      </c>
    </row>
    <row r="1278" spans="12:12" x14ac:dyDescent="0.3">
      <c r="L1278" s="7" t="str">
        <f t="shared" ca="1" si="37"/>
        <v/>
      </c>
    </row>
    <row r="1279" spans="12:12" x14ac:dyDescent="0.3">
      <c r="L1279" s="7" t="str">
        <f t="shared" ca="1" si="37"/>
        <v/>
      </c>
    </row>
    <row r="1280" spans="12:12" x14ac:dyDescent="0.3">
      <c r="L1280" s="7" t="str">
        <f t="shared" ca="1" si="37"/>
        <v/>
      </c>
    </row>
    <row r="1281" spans="12:12" x14ac:dyDescent="0.3">
      <c r="L1281" s="7" t="str">
        <f t="shared" ca="1" si="37"/>
        <v/>
      </c>
    </row>
    <row r="1282" spans="12:12" x14ac:dyDescent="0.3">
      <c r="L1282" s="7" t="str">
        <f t="shared" ca="1" si="37"/>
        <v/>
      </c>
    </row>
    <row r="1283" spans="12:12" x14ac:dyDescent="0.3">
      <c r="L1283" s="7" t="str">
        <f t="shared" ca="1" si="37"/>
        <v/>
      </c>
    </row>
    <row r="1284" spans="12:12" x14ac:dyDescent="0.3">
      <c r="L1284" s="7" t="str">
        <f t="shared" ref="L1284:L1347" ca="1" si="38">IF(I1284="Completed",0,IF(H1284="","",H1284-TODAY()))</f>
        <v/>
      </c>
    </row>
    <row r="1285" spans="12:12" x14ac:dyDescent="0.3">
      <c r="L1285" s="7" t="str">
        <f t="shared" ca="1" si="38"/>
        <v/>
      </c>
    </row>
    <row r="1286" spans="12:12" x14ac:dyDescent="0.3">
      <c r="L1286" s="7" t="str">
        <f t="shared" ca="1" si="38"/>
        <v/>
      </c>
    </row>
    <row r="1287" spans="12:12" x14ac:dyDescent="0.3">
      <c r="L1287" s="7" t="str">
        <f t="shared" ca="1" si="38"/>
        <v/>
      </c>
    </row>
    <row r="1288" spans="12:12" x14ac:dyDescent="0.3">
      <c r="L1288" s="7" t="str">
        <f t="shared" ca="1" si="38"/>
        <v/>
      </c>
    </row>
    <row r="1289" spans="12:12" x14ac:dyDescent="0.3">
      <c r="L1289" s="7" t="str">
        <f t="shared" ca="1" si="38"/>
        <v/>
      </c>
    </row>
    <row r="1290" spans="12:12" x14ac:dyDescent="0.3">
      <c r="L1290" s="7" t="str">
        <f t="shared" ca="1" si="38"/>
        <v/>
      </c>
    </row>
    <row r="1291" spans="12:12" x14ac:dyDescent="0.3">
      <c r="L1291" s="7" t="str">
        <f t="shared" ca="1" si="38"/>
        <v/>
      </c>
    </row>
    <row r="1292" spans="12:12" x14ac:dyDescent="0.3">
      <c r="L1292" s="7" t="str">
        <f t="shared" ca="1" si="38"/>
        <v/>
      </c>
    </row>
    <row r="1293" spans="12:12" x14ac:dyDescent="0.3">
      <c r="L1293" s="7" t="str">
        <f t="shared" ca="1" si="38"/>
        <v/>
      </c>
    </row>
    <row r="1294" spans="12:12" x14ac:dyDescent="0.3">
      <c r="L1294" s="7" t="str">
        <f t="shared" ca="1" si="38"/>
        <v/>
      </c>
    </row>
    <row r="1295" spans="12:12" x14ac:dyDescent="0.3">
      <c r="L1295" s="7" t="str">
        <f t="shared" ca="1" si="38"/>
        <v/>
      </c>
    </row>
    <row r="1296" spans="12:12" x14ac:dyDescent="0.3">
      <c r="L1296" s="7" t="str">
        <f t="shared" ca="1" si="38"/>
        <v/>
      </c>
    </row>
    <row r="1297" spans="12:12" x14ac:dyDescent="0.3">
      <c r="L1297" s="7" t="str">
        <f t="shared" ca="1" si="38"/>
        <v/>
      </c>
    </row>
    <row r="1298" spans="12:12" x14ac:dyDescent="0.3">
      <c r="L1298" s="7" t="str">
        <f t="shared" ca="1" si="38"/>
        <v/>
      </c>
    </row>
    <row r="1299" spans="12:12" x14ac:dyDescent="0.3">
      <c r="L1299" s="7" t="str">
        <f t="shared" ca="1" si="38"/>
        <v/>
      </c>
    </row>
    <row r="1300" spans="12:12" x14ac:dyDescent="0.3">
      <c r="L1300" s="7" t="str">
        <f t="shared" ca="1" si="38"/>
        <v/>
      </c>
    </row>
    <row r="1301" spans="12:12" x14ac:dyDescent="0.3">
      <c r="L1301" s="7" t="str">
        <f t="shared" ca="1" si="38"/>
        <v/>
      </c>
    </row>
    <row r="1302" spans="12:12" x14ac:dyDescent="0.3">
      <c r="L1302" s="7" t="str">
        <f t="shared" ca="1" si="38"/>
        <v/>
      </c>
    </row>
    <row r="1303" spans="12:12" x14ac:dyDescent="0.3">
      <c r="L1303" s="7" t="str">
        <f t="shared" ca="1" si="38"/>
        <v/>
      </c>
    </row>
    <row r="1304" spans="12:12" x14ac:dyDescent="0.3">
      <c r="L1304" s="7" t="str">
        <f t="shared" ca="1" si="38"/>
        <v/>
      </c>
    </row>
    <row r="1305" spans="12:12" x14ac:dyDescent="0.3">
      <c r="L1305" s="7" t="str">
        <f t="shared" ca="1" si="38"/>
        <v/>
      </c>
    </row>
    <row r="1306" spans="12:12" x14ac:dyDescent="0.3">
      <c r="L1306" s="7" t="str">
        <f t="shared" ca="1" si="38"/>
        <v/>
      </c>
    </row>
    <row r="1307" spans="12:12" x14ac:dyDescent="0.3">
      <c r="L1307" s="7" t="str">
        <f t="shared" ca="1" si="38"/>
        <v/>
      </c>
    </row>
    <row r="1308" spans="12:12" x14ac:dyDescent="0.3">
      <c r="L1308" s="7" t="str">
        <f t="shared" ca="1" si="38"/>
        <v/>
      </c>
    </row>
    <row r="1309" spans="12:12" x14ac:dyDescent="0.3">
      <c r="L1309" s="7" t="str">
        <f t="shared" ca="1" si="38"/>
        <v/>
      </c>
    </row>
    <row r="1310" spans="12:12" x14ac:dyDescent="0.3">
      <c r="L1310" s="7" t="str">
        <f t="shared" ca="1" si="38"/>
        <v/>
      </c>
    </row>
    <row r="1311" spans="12:12" x14ac:dyDescent="0.3">
      <c r="L1311" s="7" t="str">
        <f t="shared" ca="1" si="38"/>
        <v/>
      </c>
    </row>
    <row r="1312" spans="12:12" x14ac:dyDescent="0.3">
      <c r="L1312" s="7" t="str">
        <f t="shared" ca="1" si="38"/>
        <v/>
      </c>
    </row>
    <row r="1313" spans="12:12" x14ac:dyDescent="0.3">
      <c r="L1313" s="7" t="str">
        <f t="shared" ca="1" si="38"/>
        <v/>
      </c>
    </row>
    <row r="1314" spans="12:12" x14ac:dyDescent="0.3">
      <c r="L1314" s="7" t="str">
        <f t="shared" ca="1" si="38"/>
        <v/>
      </c>
    </row>
    <row r="1315" spans="12:12" x14ac:dyDescent="0.3">
      <c r="L1315" s="7" t="str">
        <f t="shared" ca="1" si="38"/>
        <v/>
      </c>
    </row>
    <row r="1316" spans="12:12" x14ac:dyDescent="0.3">
      <c r="L1316" s="7" t="str">
        <f t="shared" ca="1" si="38"/>
        <v/>
      </c>
    </row>
    <row r="1317" spans="12:12" x14ac:dyDescent="0.3">
      <c r="L1317" s="7" t="str">
        <f t="shared" ca="1" si="38"/>
        <v/>
      </c>
    </row>
    <row r="1318" spans="12:12" x14ac:dyDescent="0.3">
      <c r="L1318" s="7" t="str">
        <f t="shared" ca="1" si="38"/>
        <v/>
      </c>
    </row>
    <row r="1319" spans="12:12" x14ac:dyDescent="0.3">
      <c r="L1319" s="7" t="str">
        <f t="shared" ca="1" si="38"/>
        <v/>
      </c>
    </row>
    <row r="1320" spans="12:12" x14ac:dyDescent="0.3">
      <c r="L1320" s="7" t="str">
        <f t="shared" ca="1" si="38"/>
        <v/>
      </c>
    </row>
    <row r="1321" spans="12:12" x14ac:dyDescent="0.3">
      <c r="L1321" s="7" t="str">
        <f t="shared" ca="1" si="38"/>
        <v/>
      </c>
    </row>
    <row r="1322" spans="12:12" x14ac:dyDescent="0.3">
      <c r="L1322" s="7" t="str">
        <f t="shared" ca="1" si="38"/>
        <v/>
      </c>
    </row>
    <row r="1323" spans="12:12" x14ac:dyDescent="0.3">
      <c r="L1323" s="7" t="str">
        <f t="shared" ca="1" si="38"/>
        <v/>
      </c>
    </row>
    <row r="1324" spans="12:12" x14ac:dyDescent="0.3">
      <c r="L1324" s="7" t="str">
        <f t="shared" ca="1" si="38"/>
        <v/>
      </c>
    </row>
    <row r="1325" spans="12:12" x14ac:dyDescent="0.3">
      <c r="L1325" s="7" t="str">
        <f t="shared" ca="1" si="38"/>
        <v/>
      </c>
    </row>
    <row r="1326" spans="12:12" x14ac:dyDescent="0.3">
      <c r="L1326" s="7" t="str">
        <f t="shared" ca="1" si="38"/>
        <v/>
      </c>
    </row>
    <row r="1327" spans="12:12" x14ac:dyDescent="0.3">
      <c r="L1327" s="7" t="str">
        <f t="shared" ca="1" si="38"/>
        <v/>
      </c>
    </row>
    <row r="1328" spans="12:12" x14ac:dyDescent="0.3">
      <c r="L1328" s="7" t="str">
        <f t="shared" ca="1" si="38"/>
        <v/>
      </c>
    </row>
    <row r="1329" spans="12:12" x14ac:dyDescent="0.3">
      <c r="L1329" s="7" t="str">
        <f t="shared" ca="1" si="38"/>
        <v/>
      </c>
    </row>
    <row r="1330" spans="12:12" x14ac:dyDescent="0.3">
      <c r="L1330" s="7" t="str">
        <f t="shared" ca="1" si="38"/>
        <v/>
      </c>
    </row>
    <row r="1331" spans="12:12" x14ac:dyDescent="0.3">
      <c r="L1331" s="7" t="str">
        <f t="shared" ca="1" si="38"/>
        <v/>
      </c>
    </row>
    <row r="1332" spans="12:12" x14ac:dyDescent="0.3">
      <c r="L1332" s="7" t="str">
        <f t="shared" ca="1" si="38"/>
        <v/>
      </c>
    </row>
    <row r="1333" spans="12:12" x14ac:dyDescent="0.3">
      <c r="L1333" s="7" t="str">
        <f t="shared" ca="1" si="38"/>
        <v/>
      </c>
    </row>
    <row r="1334" spans="12:12" x14ac:dyDescent="0.3">
      <c r="L1334" s="7" t="str">
        <f t="shared" ca="1" si="38"/>
        <v/>
      </c>
    </row>
    <row r="1335" spans="12:12" x14ac:dyDescent="0.3">
      <c r="L1335" s="7" t="str">
        <f t="shared" ca="1" si="38"/>
        <v/>
      </c>
    </row>
    <row r="1336" spans="12:12" x14ac:dyDescent="0.3">
      <c r="L1336" s="7" t="str">
        <f t="shared" ca="1" si="38"/>
        <v/>
      </c>
    </row>
    <row r="1337" spans="12:12" x14ac:dyDescent="0.3">
      <c r="L1337" s="7" t="str">
        <f t="shared" ca="1" si="38"/>
        <v/>
      </c>
    </row>
    <row r="1338" spans="12:12" x14ac:dyDescent="0.3">
      <c r="L1338" s="7" t="str">
        <f t="shared" ca="1" si="38"/>
        <v/>
      </c>
    </row>
    <row r="1339" spans="12:12" x14ac:dyDescent="0.3">
      <c r="L1339" s="7" t="str">
        <f t="shared" ca="1" si="38"/>
        <v/>
      </c>
    </row>
    <row r="1340" spans="12:12" x14ac:dyDescent="0.3">
      <c r="L1340" s="7" t="str">
        <f t="shared" ca="1" si="38"/>
        <v/>
      </c>
    </row>
    <row r="1341" spans="12:12" x14ac:dyDescent="0.3">
      <c r="L1341" s="7" t="str">
        <f t="shared" ca="1" si="38"/>
        <v/>
      </c>
    </row>
    <row r="1342" spans="12:12" x14ac:dyDescent="0.3">
      <c r="L1342" s="7" t="str">
        <f t="shared" ca="1" si="38"/>
        <v/>
      </c>
    </row>
    <row r="1343" spans="12:12" x14ac:dyDescent="0.3">
      <c r="L1343" s="7" t="str">
        <f t="shared" ca="1" si="38"/>
        <v/>
      </c>
    </row>
    <row r="1344" spans="12:12" x14ac:dyDescent="0.3">
      <c r="L1344" s="7" t="str">
        <f t="shared" ca="1" si="38"/>
        <v/>
      </c>
    </row>
    <row r="1345" spans="12:12" x14ac:dyDescent="0.3">
      <c r="L1345" s="7" t="str">
        <f t="shared" ca="1" si="38"/>
        <v/>
      </c>
    </row>
    <row r="1346" spans="12:12" x14ac:dyDescent="0.3">
      <c r="L1346" s="7" t="str">
        <f t="shared" ca="1" si="38"/>
        <v/>
      </c>
    </row>
    <row r="1347" spans="12:12" x14ac:dyDescent="0.3">
      <c r="L1347" s="7" t="str">
        <f t="shared" ca="1" si="38"/>
        <v/>
      </c>
    </row>
    <row r="1348" spans="12:12" x14ac:dyDescent="0.3">
      <c r="L1348" s="7" t="str">
        <f t="shared" ref="L1348:L1411" ca="1" si="39">IF(I1348="Completed",0,IF(H1348="","",H1348-TODAY()))</f>
        <v/>
      </c>
    </row>
    <row r="1349" spans="12:12" x14ac:dyDescent="0.3">
      <c r="L1349" s="7" t="str">
        <f t="shared" ca="1" si="39"/>
        <v/>
      </c>
    </row>
    <row r="1350" spans="12:12" x14ac:dyDescent="0.3">
      <c r="L1350" s="7" t="str">
        <f t="shared" ca="1" si="39"/>
        <v/>
      </c>
    </row>
    <row r="1351" spans="12:12" x14ac:dyDescent="0.3">
      <c r="L1351" s="7" t="str">
        <f t="shared" ca="1" si="39"/>
        <v/>
      </c>
    </row>
    <row r="1352" spans="12:12" x14ac:dyDescent="0.3">
      <c r="L1352" s="7" t="str">
        <f t="shared" ca="1" si="39"/>
        <v/>
      </c>
    </row>
    <row r="1353" spans="12:12" x14ac:dyDescent="0.3">
      <c r="L1353" s="7" t="str">
        <f t="shared" ca="1" si="39"/>
        <v/>
      </c>
    </row>
    <row r="1354" spans="12:12" x14ac:dyDescent="0.3">
      <c r="L1354" s="7" t="str">
        <f t="shared" ca="1" si="39"/>
        <v/>
      </c>
    </row>
    <row r="1355" spans="12:12" x14ac:dyDescent="0.3">
      <c r="L1355" s="7" t="str">
        <f t="shared" ca="1" si="39"/>
        <v/>
      </c>
    </row>
    <row r="1356" spans="12:12" x14ac:dyDescent="0.3">
      <c r="L1356" s="7" t="str">
        <f t="shared" ca="1" si="39"/>
        <v/>
      </c>
    </row>
    <row r="1357" spans="12:12" x14ac:dyDescent="0.3">
      <c r="L1357" s="7" t="str">
        <f t="shared" ca="1" si="39"/>
        <v/>
      </c>
    </row>
    <row r="1358" spans="12:12" x14ac:dyDescent="0.3">
      <c r="L1358" s="7" t="str">
        <f t="shared" ca="1" si="39"/>
        <v/>
      </c>
    </row>
    <row r="1359" spans="12:12" x14ac:dyDescent="0.3">
      <c r="L1359" s="7" t="str">
        <f t="shared" ca="1" si="39"/>
        <v/>
      </c>
    </row>
    <row r="1360" spans="12:12" x14ac:dyDescent="0.3">
      <c r="L1360" s="7" t="str">
        <f t="shared" ca="1" si="39"/>
        <v/>
      </c>
    </row>
    <row r="1361" spans="12:12" x14ac:dyDescent="0.3">
      <c r="L1361" s="7" t="str">
        <f t="shared" ca="1" si="39"/>
        <v/>
      </c>
    </row>
    <row r="1362" spans="12:12" x14ac:dyDescent="0.3">
      <c r="L1362" s="7" t="str">
        <f t="shared" ca="1" si="39"/>
        <v/>
      </c>
    </row>
    <row r="1363" spans="12:12" x14ac:dyDescent="0.3">
      <c r="L1363" s="7" t="str">
        <f t="shared" ca="1" si="39"/>
        <v/>
      </c>
    </row>
    <row r="1364" spans="12:12" x14ac:dyDescent="0.3">
      <c r="L1364" s="7" t="str">
        <f t="shared" ca="1" si="39"/>
        <v/>
      </c>
    </row>
    <row r="1365" spans="12:12" x14ac:dyDescent="0.3">
      <c r="L1365" s="7" t="str">
        <f t="shared" ca="1" si="39"/>
        <v/>
      </c>
    </row>
    <row r="1366" spans="12:12" x14ac:dyDescent="0.3">
      <c r="L1366" s="7" t="str">
        <f t="shared" ca="1" si="39"/>
        <v/>
      </c>
    </row>
    <row r="1367" spans="12:12" x14ac:dyDescent="0.3">
      <c r="L1367" s="7" t="str">
        <f t="shared" ca="1" si="39"/>
        <v/>
      </c>
    </row>
    <row r="1368" spans="12:12" x14ac:dyDescent="0.3">
      <c r="L1368" s="7" t="str">
        <f t="shared" ca="1" si="39"/>
        <v/>
      </c>
    </row>
    <row r="1369" spans="12:12" x14ac:dyDescent="0.3">
      <c r="L1369" s="7" t="str">
        <f t="shared" ca="1" si="39"/>
        <v/>
      </c>
    </row>
    <row r="1370" spans="12:12" x14ac:dyDescent="0.3">
      <c r="L1370" s="7" t="str">
        <f t="shared" ca="1" si="39"/>
        <v/>
      </c>
    </row>
    <row r="1371" spans="12:12" x14ac:dyDescent="0.3">
      <c r="L1371" s="7" t="str">
        <f t="shared" ca="1" si="39"/>
        <v/>
      </c>
    </row>
    <row r="1372" spans="12:12" x14ac:dyDescent="0.3">
      <c r="L1372" s="7" t="str">
        <f t="shared" ca="1" si="39"/>
        <v/>
      </c>
    </row>
    <row r="1373" spans="12:12" x14ac:dyDescent="0.3">
      <c r="L1373" s="7" t="str">
        <f t="shared" ca="1" si="39"/>
        <v/>
      </c>
    </row>
    <row r="1374" spans="12:12" x14ac:dyDescent="0.3">
      <c r="L1374" s="7" t="str">
        <f t="shared" ca="1" si="39"/>
        <v/>
      </c>
    </row>
    <row r="1375" spans="12:12" x14ac:dyDescent="0.3">
      <c r="L1375" s="7" t="str">
        <f t="shared" ca="1" si="39"/>
        <v/>
      </c>
    </row>
    <row r="1376" spans="12:12" x14ac:dyDescent="0.3">
      <c r="L1376" s="7" t="str">
        <f t="shared" ca="1" si="39"/>
        <v/>
      </c>
    </row>
    <row r="1377" spans="12:12" x14ac:dyDescent="0.3">
      <c r="L1377" s="7" t="str">
        <f t="shared" ca="1" si="39"/>
        <v/>
      </c>
    </row>
    <row r="1378" spans="12:12" x14ac:dyDescent="0.3">
      <c r="L1378" s="7" t="str">
        <f t="shared" ca="1" si="39"/>
        <v/>
      </c>
    </row>
    <row r="1379" spans="12:12" x14ac:dyDescent="0.3">
      <c r="L1379" s="7" t="str">
        <f t="shared" ca="1" si="39"/>
        <v/>
      </c>
    </row>
    <row r="1380" spans="12:12" x14ac:dyDescent="0.3">
      <c r="L1380" s="7" t="str">
        <f t="shared" ca="1" si="39"/>
        <v/>
      </c>
    </row>
    <row r="1381" spans="12:12" x14ac:dyDescent="0.3">
      <c r="L1381" s="7" t="str">
        <f t="shared" ca="1" si="39"/>
        <v/>
      </c>
    </row>
    <row r="1382" spans="12:12" x14ac:dyDescent="0.3">
      <c r="L1382" s="7" t="str">
        <f t="shared" ca="1" si="39"/>
        <v/>
      </c>
    </row>
    <row r="1383" spans="12:12" x14ac:dyDescent="0.3">
      <c r="L1383" s="7" t="str">
        <f t="shared" ca="1" si="39"/>
        <v/>
      </c>
    </row>
    <row r="1384" spans="12:12" x14ac:dyDescent="0.3">
      <c r="L1384" s="7" t="str">
        <f t="shared" ca="1" si="39"/>
        <v/>
      </c>
    </row>
    <row r="1385" spans="12:12" x14ac:dyDescent="0.3">
      <c r="L1385" s="7" t="str">
        <f t="shared" ca="1" si="39"/>
        <v/>
      </c>
    </row>
    <row r="1386" spans="12:12" x14ac:dyDescent="0.3">
      <c r="L1386" s="7" t="str">
        <f t="shared" ca="1" si="39"/>
        <v/>
      </c>
    </row>
    <row r="1387" spans="12:12" x14ac:dyDescent="0.3">
      <c r="L1387" s="7" t="str">
        <f t="shared" ca="1" si="39"/>
        <v/>
      </c>
    </row>
    <row r="1388" spans="12:12" x14ac:dyDescent="0.3">
      <c r="L1388" s="7" t="str">
        <f t="shared" ca="1" si="39"/>
        <v/>
      </c>
    </row>
    <row r="1389" spans="12:12" x14ac:dyDescent="0.3">
      <c r="L1389" s="7" t="str">
        <f t="shared" ca="1" si="39"/>
        <v/>
      </c>
    </row>
    <row r="1390" spans="12:12" x14ac:dyDescent="0.3">
      <c r="L1390" s="7" t="str">
        <f t="shared" ca="1" si="39"/>
        <v/>
      </c>
    </row>
    <row r="1391" spans="12:12" x14ac:dyDescent="0.3">
      <c r="L1391" s="7" t="str">
        <f t="shared" ca="1" si="39"/>
        <v/>
      </c>
    </row>
    <row r="1392" spans="12:12" x14ac:dyDescent="0.3">
      <c r="L1392" s="7" t="str">
        <f t="shared" ca="1" si="39"/>
        <v/>
      </c>
    </row>
    <row r="1393" spans="12:12" x14ac:dyDescent="0.3">
      <c r="L1393" s="7" t="str">
        <f t="shared" ca="1" si="39"/>
        <v/>
      </c>
    </row>
    <row r="1394" spans="12:12" x14ac:dyDescent="0.3">
      <c r="L1394" s="7" t="str">
        <f t="shared" ca="1" si="39"/>
        <v/>
      </c>
    </row>
    <row r="1395" spans="12:12" x14ac:dyDescent="0.3">
      <c r="L1395" s="7" t="str">
        <f t="shared" ca="1" si="39"/>
        <v/>
      </c>
    </row>
    <row r="1396" spans="12:12" x14ac:dyDescent="0.3">
      <c r="L1396" s="7" t="str">
        <f t="shared" ca="1" si="39"/>
        <v/>
      </c>
    </row>
    <row r="1397" spans="12:12" x14ac:dyDescent="0.3">
      <c r="L1397" s="7" t="str">
        <f t="shared" ca="1" si="39"/>
        <v/>
      </c>
    </row>
    <row r="1398" spans="12:12" x14ac:dyDescent="0.3">
      <c r="L1398" s="7" t="str">
        <f t="shared" ca="1" si="39"/>
        <v/>
      </c>
    </row>
    <row r="1399" spans="12:12" x14ac:dyDescent="0.3">
      <c r="L1399" s="7" t="str">
        <f t="shared" ca="1" si="39"/>
        <v/>
      </c>
    </row>
    <row r="1400" spans="12:12" x14ac:dyDescent="0.3">
      <c r="L1400" s="7" t="str">
        <f t="shared" ca="1" si="39"/>
        <v/>
      </c>
    </row>
    <row r="1401" spans="12:12" x14ac:dyDescent="0.3">
      <c r="L1401" s="7" t="str">
        <f t="shared" ca="1" si="39"/>
        <v/>
      </c>
    </row>
    <row r="1402" spans="12:12" x14ac:dyDescent="0.3">
      <c r="L1402" s="7" t="str">
        <f t="shared" ca="1" si="39"/>
        <v/>
      </c>
    </row>
    <row r="1403" spans="12:12" x14ac:dyDescent="0.3">
      <c r="L1403" s="7" t="str">
        <f t="shared" ca="1" si="39"/>
        <v/>
      </c>
    </row>
    <row r="1404" spans="12:12" x14ac:dyDescent="0.3">
      <c r="L1404" s="7" t="str">
        <f t="shared" ca="1" si="39"/>
        <v/>
      </c>
    </row>
    <row r="1405" spans="12:12" x14ac:dyDescent="0.3">
      <c r="L1405" s="7" t="str">
        <f t="shared" ca="1" si="39"/>
        <v/>
      </c>
    </row>
    <row r="1406" spans="12:12" x14ac:dyDescent="0.3">
      <c r="L1406" s="7" t="str">
        <f t="shared" ca="1" si="39"/>
        <v/>
      </c>
    </row>
    <row r="1407" spans="12:12" x14ac:dyDescent="0.3">
      <c r="L1407" s="7" t="str">
        <f t="shared" ca="1" si="39"/>
        <v/>
      </c>
    </row>
    <row r="1408" spans="12:12" x14ac:dyDescent="0.3">
      <c r="L1408" s="7" t="str">
        <f t="shared" ca="1" si="39"/>
        <v/>
      </c>
    </row>
    <row r="1409" spans="12:12" x14ac:dyDescent="0.3">
      <c r="L1409" s="7" t="str">
        <f t="shared" ca="1" si="39"/>
        <v/>
      </c>
    </row>
    <row r="1410" spans="12:12" x14ac:dyDescent="0.3">
      <c r="L1410" s="7" t="str">
        <f t="shared" ca="1" si="39"/>
        <v/>
      </c>
    </row>
    <row r="1411" spans="12:12" x14ac:dyDescent="0.3">
      <c r="L1411" s="7" t="str">
        <f t="shared" ca="1" si="39"/>
        <v/>
      </c>
    </row>
    <row r="1412" spans="12:12" x14ac:dyDescent="0.3">
      <c r="L1412" s="7" t="str">
        <f t="shared" ref="L1412:L1475" ca="1" si="40">IF(I1412="Completed",0,IF(H1412="","",H1412-TODAY()))</f>
        <v/>
      </c>
    </row>
    <row r="1413" spans="12:12" x14ac:dyDescent="0.3">
      <c r="L1413" s="7" t="str">
        <f t="shared" ca="1" si="40"/>
        <v/>
      </c>
    </row>
    <row r="1414" spans="12:12" x14ac:dyDescent="0.3">
      <c r="L1414" s="7" t="str">
        <f t="shared" ca="1" si="40"/>
        <v/>
      </c>
    </row>
    <row r="1415" spans="12:12" x14ac:dyDescent="0.3">
      <c r="L1415" s="7" t="str">
        <f t="shared" ca="1" si="40"/>
        <v/>
      </c>
    </row>
    <row r="1416" spans="12:12" x14ac:dyDescent="0.3">
      <c r="L1416" s="7" t="str">
        <f t="shared" ca="1" si="40"/>
        <v/>
      </c>
    </row>
    <row r="1417" spans="12:12" x14ac:dyDescent="0.3">
      <c r="L1417" s="7" t="str">
        <f t="shared" ca="1" si="40"/>
        <v/>
      </c>
    </row>
    <row r="1418" spans="12:12" x14ac:dyDescent="0.3">
      <c r="L1418" s="7" t="str">
        <f t="shared" ca="1" si="40"/>
        <v/>
      </c>
    </row>
    <row r="1419" spans="12:12" x14ac:dyDescent="0.3">
      <c r="L1419" s="7" t="str">
        <f t="shared" ca="1" si="40"/>
        <v/>
      </c>
    </row>
    <row r="1420" spans="12:12" x14ac:dyDescent="0.3">
      <c r="L1420" s="7" t="str">
        <f t="shared" ca="1" si="40"/>
        <v/>
      </c>
    </row>
    <row r="1421" spans="12:12" x14ac:dyDescent="0.3">
      <c r="L1421" s="7" t="str">
        <f t="shared" ca="1" si="40"/>
        <v/>
      </c>
    </row>
    <row r="1422" spans="12:12" x14ac:dyDescent="0.3">
      <c r="L1422" s="7" t="str">
        <f t="shared" ca="1" si="40"/>
        <v/>
      </c>
    </row>
    <row r="1423" spans="12:12" x14ac:dyDescent="0.3">
      <c r="L1423" s="7" t="str">
        <f t="shared" ca="1" si="40"/>
        <v/>
      </c>
    </row>
    <row r="1424" spans="12:12" x14ac:dyDescent="0.3">
      <c r="L1424" s="7" t="str">
        <f t="shared" ca="1" si="40"/>
        <v/>
      </c>
    </row>
    <row r="1425" spans="12:12" x14ac:dyDescent="0.3">
      <c r="L1425" s="7" t="str">
        <f t="shared" ca="1" si="40"/>
        <v/>
      </c>
    </row>
    <row r="1426" spans="12:12" x14ac:dyDescent="0.3">
      <c r="L1426" s="7" t="str">
        <f t="shared" ca="1" si="40"/>
        <v/>
      </c>
    </row>
    <row r="1427" spans="12:12" x14ac:dyDescent="0.3">
      <c r="L1427" s="7" t="str">
        <f t="shared" ca="1" si="40"/>
        <v/>
      </c>
    </row>
    <row r="1428" spans="12:12" x14ac:dyDescent="0.3">
      <c r="L1428" s="7" t="str">
        <f t="shared" ca="1" si="40"/>
        <v/>
      </c>
    </row>
    <row r="1429" spans="12:12" x14ac:dyDescent="0.3">
      <c r="L1429" s="7" t="str">
        <f t="shared" ca="1" si="40"/>
        <v/>
      </c>
    </row>
    <row r="1430" spans="12:12" x14ac:dyDescent="0.3">
      <c r="L1430" s="7" t="str">
        <f t="shared" ca="1" si="40"/>
        <v/>
      </c>
    </row>
    <row r="1431" spans="12:12" x14ac:dyDescent="0.3">
      <c r="L1431" s="7" t="str">
        <f t="shared" ca="1" si="40"/>
        <v/>
      </c>
    </row>
    <row r="1432" spans="12:12" x14ac:dyDescent="0.3">
      <c r="L1432" s="7" t="str">
        <f t="shared" ca="1" si="40"/>
        <v/>
      </c>
    </row>
    <row r="1433" spans="12:12" x14ac:dyDescent="0.3">
      <c r="L1433" s="7" t="str">
        <f t="shared" ca="1" si="40"/>
        <v/>
      </c>
    </row>
    <row r="1434" spans="12:12" x14ac:dyDescent="0.3">
      <c r="L1434" s="7" t="str">
        <f t="shared" ca="1" si="40"/>
        <v/>
      </c>
    </row>
    <row r="1435" spans="12:12" x14ac:dyDescent="0.3">
      <c r="L1435" s="7" t="str">
        <f t="shared" ca="1" si="40"/>
        <v/>
      </c>
    </row>
    <row r="1436" spans="12:12" x14ac:dyDescent="0.3">
      <c r="L1436" s="7" t="str">
        <f t="shared" ca="1" si="40"/>
        <v/>
      </c>
    </row>
    <row r="1437" spans="12:12" x14ac:dyDescent="0.3">
      <c r="L1437" s="7" t="str">
        <f t="shared" ca="1" si="40"/>
        <v/>
      </c>
    </row>
    <row r="1438" spans="12:12" x14ac:dyDescent="0.3">
      <c r="L1438" s="7" t="str">
        <f t="shared" ca="1" si="40"/>
        <v/>
      </c>
    </row>
    <row r="1439" spans="12:12" x14ac:dyDescent="0.3">
      <c r="L1439" s="7" t="str">
        <f t="shared" ca="1" si="40"/>
        <v/>
      </c>
    </row>
    <row r="1440" spans="12:12" x14ac:dyDescent="0.3">
      <c r="L1440" s="7" t="str">
        <f t="shared" ca="1" si="40"/>
        <v/>
      </c>
    </row>
    <row r="1441" spans="12:12" x14ac:dyDescent="0.3">
      <c r="L1441" s="7" t="str">
        <f t="shared" ca="1" si="40"/>
        <v/>
      </c>
    </row>
    <row r="1442" spans="12:12" x14ac:dyDescent="0.3">
      <c r="L1442" s="7" t="str">
        <f t="shared" ca="1" si="40"/>
        <v/>
      </c>
    </row>
    <row r="1443" spans="12:12" x14ac:dyDescent="0.3">
      <c r="L1443" s="7" t="str">
        <f t="shared" ca="1" si="40"/>
        <v/>
      </c>
    </row>
    <row r="1444" spans="12:12" x14ac:dyDescent="0.3">
      <c r="L1444" s="7" t="str">
        <f t="shared" ca="1" si="40"/>
        <v/>
      </c>
    </row>
    <row r="1445" spans="12:12" x14ac:dyDescent="0.3">
      <c r="L1445" s="7" t="str">
        <f t="shared" ca="1" si="40"/>
        <v/>
      </c>
    </row>
    <row r="1446" spans="12:12" x14ac:dyDescent="0.3">
      <c r="L1446" s="7" t="str">
        <f t="shared" ca="1" si="40"/>
        <v/>
      </c>
    </row>
    <row r="1447" spans="12:12" x14ac:dyDescent="0.3">
      <c r="L1447" s="7" t="str">
        <f t="shared" ca="1" si="40"/>
        <v/>
      </c>
    </row>
    <row r="1448" spans="12:12" x14ac:dyDescent="0.3">
      <c r="L1448" s="7" t="str">
        <f t="shared" ca="1" si="40"/>
        <v/>
      </c>
    </row>
    <row r="1449" spans="12:12" x14ac:dyDescent="0.3">
      <c r="L1449" s="7" t="str">
        <f t="shared" ca="1" si="40"/>
        <v/>
      </c>
    </row>
    <row r="1450" spans="12:12" x14ac:dyDescent="0.3">
      <c r="L1450" s="7" t="str">
        <f t="shared" ca="1" si="40"/>
        <v/>
      </c>
    </row>
    <row r="1451" spans="12:12" x14ac:dyDescent="0.3">
      <c r="L1451" s="7" t="str">
        <f t="shared" ca="1" si="40"/>
        <v/>
      </c>
    </row>
    <row r="1452" spans="12:12" x14ac:dyDescent="0.3">
      <c r="L1452" s="7" t="str">
        <f t="shared" ca="1" si="40"/>
        <v/>
      </c>
    </row>
    <row r="1453" spans="12:12" x14ac:dyDescent="0.3">
      <c r="L1453" s="7" t="str">
        <f t="shared" ca="1" si="40"/>
        <v/>
      </c>
    </row>
    <row r="1454" spans="12:12" x14ac:dyDescent="0.3">
      <c r="L1454" s="7" t="str">
        <f t="shared" ca="1" si="40"/>
        <v/>
      </c>
    </row>
    <row r="1455" spans="12:12" x14ac:dyDescent="0.3">
      <c r="L1455" s="7" t="str">
        <f t="shared" ca="1" si="40"/>
        <v/>
      </c>
    </row>
    <row r="1456" spans="12:12" x14ac:dyDescent="0.3">
      <c r="L1456" s="7" t="str">
        <f t="shared" ca="1" si="40"/>
        <v/>
      </c>
    </row>
    <row r="1457" spans="12:12" x14ac:dyDescent="0.3">
      <c r="L1457" s="7" t="str">
        <f t="shared" ca="1" si="40"/>
        <v/>
      </c>
    </row>
    <row r="1458" spans="12:12" x14ac:dyDescent="0.3">
      <c r="L1458" s="7" t="str">
        <f t="shared" ca="1" si="40"/>
        <v/>
      </c>
    </row>
    <row r="1459" spans="12:12" x14ac:dyDescent="0.3">
      <c r="L1459" s="7" t="str">
        <f t="shared" ca="1" si="40"/>
        <v/>
      </c>
    </row>
    <row r="1460" spans="12:12" x14ac:dyDescent="0.3">
      <c r="L1460" s="7" t="str">
        <f t="shared" ca="1" si="40"/>
        <v/>
      </c>
    </row>
    <row r="1461" spans="12:12" x14ac:dyDescent="0.3">
      <c r="L1461" s="7" t="str">
        <f t="shared" ca="1" si="40"/>
        <v/>
      </c>
    </row>
    <row r="1462" spans="12:12" x14ac:dyDescent="0.3">
      <c r="L1462" s="7" t="str">
        <f t="shared" ca="1" si="40"/>
        <v/>
      </c>
    </row>
    <row r="1463" spans="12:12" x14ac:dyDescent="0.3">
      <c r="L1463" s="7" t="str">
        <f t="shared" ca="1" si="40"/>
        <v/>
      </c>
    </row>
    <row r="1464" spans="12:12" x14ac:dyDescent="0.3">
      <c r="L1464" s="7" t="str">
        <f t="shared" ca="1" si="40"/>
        <v/>
      </c>
    </row>
    <row r="1465" spans="12:12" x14ac:dyDescent="0.3">
      <c r="L1465" s="7" t="str">
        <f t="shared" ca="1" si="40"/>
        <v/>
      </c>
    </row>
    <row r="1466" spans="12:12" x14ac:dyDescent="0.3">
      <c r="L1466" s="7" t="str">
        <f t="shared" ca="1" si="40"/>
        <v/>
      </c>
    </row>
    <row r="1467" spans="12:12" x14ac:dyDescent="0.3">
      <c r="L1467" s="7" t="str">
        <f t="shared" ca="1" si="40"/>
        <v/>
      </c>
    </row>
    <row r="1468" spans="12:12" x14ac:dyDescent="0.3">
      <c r="L1468" s="7" t="str">
        <f t="shared" ca="1" si="40"/>
        <v/>
      </c>
    </row>
    <row r="1469" spans="12:12" x14ac:dyDescent="0.3">
      <c r="L1469" s="7" t="str">
        <f t="shared" ca="1" si="40"/>
        <v/>
      </c>
    </row>
    <row r="1470" spans="12:12" x14ac:dyDescent="0.3">
      <c r="L1470" s="7" t="str">
        <f t="shared" ca="1" si="40"/>
        <v/>
      </c>
    </row>
    <row r="1471" spans="12:12" x14ac:dyDescent="0.3">
      <c r="L1471" s="7" t="str">
        <f t="shared" ca="1" si="40"/>
        <v/>
      </c>
    </row>
    <row r="1472" spans="12:12" x14ac:dyDescent="0.3">
      <c r="L1472" s="7" t="str">
        <f t="shared" ca="1" si="40"/>
        <v/>
      </c>
    </row>
    <row r="1473" spans="12:12" x14ac:dyDescent="0.3">
      <c r="L1473" s="7" t="str">
        <f t="shared" ca="1" si="40"/>
        <v/>
      </c>
    </row>
    <row r="1474" spans="12:12" x14ac:dyDescent="0.3">
      <c r="L1474" s="7" t="str">
        <f t="shared" ca="1" si="40"/>
        <v/>
      </c>
    </row>
    <row r="1475" spans="12:12" x14ac:dyDescent="0.3">
      <c r="L1475" s="7" t="str">
        <f t="shared" ca="1" si="40"/>
        <v/>
      </c>
    </row>
    <row r="1476" spans="12:12" x14ac:dyDescent="0.3">
      <c r="L1476" s="7" t="str">
        <f t="shared" ref="L1476:L1539" ca="1" si="41">IF(I1476="Completed",0,IF(H1476="","",H1476-TODAY()))</f>
        <v/>
      </c>
    </row>
    <row r="1477" spans="12:12" x14ac:dyDescent="0.3">
      <c r="L1477" s="7" t="str">
        <f t="shared" ca="1" si="41"/>
        <v/>
      </c>
    </row>
    <row r="1478" spans="12:12" x14ac:dyDescent="0.3">
      <c r="L1478" s="7" t="str">
        <f t="shared" ca="1" si="41"/>
        <v/>
      </c>
    </row>
    <row r="1479" spans="12:12" x14ac:dyDescent="0.3">
      <c r="L1479" s="7" t="str">
        <f t="shared" ca="1" si="41"/>
        <v/>
      </c>
    </row>
    <row r="1480" spans="12:12" x14ac:dyDescent="0.3">
      <c r="L1480" s="7" t="str">
        <f t="shared" ca="1" si="41"/>
        <v/>
      </c>
    </row>
    <row r="1481" spans="12:12" x14ac:dyDescent="0.3">
      <c r="L1481" s="7" t="str">
        <f t="shared" ca="1" si="41"/>
        <v/>
      </c>
    </row>
    <row r="1482" spans="12:12" x14ac:dyDescent="0.3">
      <c r="L1482" s="7" t="str">
        <f t="shared" ca="1" si="41"/>
        <v/>
      </c>
    </row>
    <row r="1483" spans="12:12" x14ac:dyDescent="0.3">
      <c r="L1483" s="7" t="str">
        <f t="shared" ca="1" si="41"/>
        <v/>
      </c>
    </row>
    <row r="1484" spans="12:12" x14ac:dyDescent="0.3">
      <c r="L1484" s="7" t="str">
        <f t="shared" ca="1" si="41"/>
        <v/>
      </c>
    </row>
    <row r="1485" spans="12:12" x14ac:dyDescent="0.3">
      <c r="L1485" s="7" t="str">
        <f t="shared" ca="1" si="41"/>
        <v/>
      </c>
    </row>
    <row r="1486" spans="12:12" x14ac:dyDescent="0.3">
      <c r="L1486" s="7" t="str">
        <f t="shared" ca="1" si="41"/>
        <v/>
      </c>
    </row>
    <row r="1487" spans="12:12" x14ac:dyDescent="0.3">
      <c r="L1487" s="7" t="str">
        <f t="shared" ca="1" si="41"/>
        <v/>
      </c>
    </row>
    <row r="1488" spans="12:12" x14ac:dyDescent="0.3">
      <c r="L1488" s="7" t="str">
        <f t="shared" ca="1" si="41"/>
        <v/>
      </c>
    </row>
    <row r="1489" spans="12:12" x14ac:dyDescent="0.3">
      <c r="L1489" s="7" t="str">
        <f t="shared" ca="1" si="41"/>
        <v/>
      </c>
    </row>
    <row r="1490" spans="12:12" x14ac:dyDescent="0.3">
      <c r="L1490" s="7" t="str">
        <f t="shared" ca="1" si="41"/>
        <v/>
      </c>
    </row>
    <row r="1491" spans="12:12" x14ac:dyDescent="0.3">
      <c r="L1491" s="7" t="str">
        <f t="shared" ca="1" si="41"/>
        <v/>
      </c>
    </row>
    <row r="1492" spans="12:12" x14ac:dyDescent="0.3">
      <c r="L1492" s="7" t="str">
        <f t="shared" ca="1" si="41"/>
        <v/>
      </c>
    </row>
    <row r="1493" spans="12:12" x14ac:dyDescent="0.3">
      <c r="L1493" s="7" t="str">
        <f t="shared" ca="1" si="41"/>
        <v/>
      </c>
    </row>
    <row r="1494" spans="12:12" x14ac:dyDescent="0.3">
      <c r="L1494" s="7" t="str">
        <f t="shared" ca="1" si="41"/>
        <v/>
      </c>
    </row>
    <row r="1495" spans="12:12" x14ac:dyDescent="0.3">
      <c r="L1495" s="7" t="str">
        <f t="shared" ca="1" si="41"/>
        <v/>
      </c>
    </row>
    <row r="1496" spans="12:12" x14ac:dyDescent="0.3">
      <c r="L1496" s="7" t="str">
        <f t="shared" ca="1" si="41"/>
        <v/>
      </c>
    </row>
    <row r="1497" spans="12:12" x14ac:dyDescent="0.3">
      <c r="L1497" s="7" t="str">
        <f t="shared" ca="1" si="41"/>
        <v/>
      </c>
    </row>
    <row r="1498" spans="12:12" x14ac:dyDescent="0.3">
      <c r="L1498" s="7" t="str">
        <f t="shared" ca="1" si="41"/>
        <v/>
      </c>
    </row>
    <row r="1499" spans="12:12" x14ac:dyDescent="0.3">
      <c r="L1499" s="7" t="str">
        <f t="shared" ca="1" si="41"/>
        <v/>
      </c>
    </row>
    <row r="1500" spans="12:12" x14ac:dyDescent="0.3">
      <c r="L1500" s="7" t="str">
        <f t="shared" ca="1" si="41"/>
        <v/>
      </c>
    </row>
    <row r="1501" spans="12:12" x14ac:dyDescent="0.3">
      <c r="L1501" s="7" t="str">
        <f t="shared" ca="1" si="41"/>
        <v/>
      </c>
    </row>
    <row r="1502" spans="12:12" x14ac:dyDescent="0.3">
      <c r="L1502" s="7" t="str">
        <f t="shared" ca="1" si="41"/>
        <v/>
      </c>
    </row>
    <row r="1503" spans="12:12" x14ac:dyDescent="0.3">
      <c r="L1503" s="7" t="str">
        <f t="shared" ca="1" si="41"/>
        <v/>
      </c>
    </row>
    <row r="1504" spans="12:12" x14ac:dyDescent="0.3">
      <c r="L1504" s="7" t="str">
        <f t="shared" ca="1" si="41"/>
        <v/>
      </c>
    </row>
    <row r="1505" spans="12:12" x14ac:dyDescent="0.3">
      <c r="L1505" s="7" t="str">
        <f t="shared" ca="1" si="41"/>
        <v/>
      </c>
    </row>
    <row r="1506" spans="12:12" x14ac:dyDescent="0.3">
      <c r="L1506" s="7" t="str">
        <f t="shared" ca="1" si="41"/>
        <v/>
      </c>
    </row>
    <row r="1507" spans="12:12" x14ac:dyDescent="0.3">
      <c r="L1507" s="7" t="str">
        <f t="shared" ca="1" si="41"/>
        <v/>
      </c>
    </row>
    <row r="1508" spans="12:12" x14ac:dyDescent="0.3">
      <c r="L1508" s="7" t="str">
        <f t="shared" ca="1" si="41"/>
        <v/>
      </c>
    </row>
    <row r="1509" spans="12:12" x14ac:dyDescent="0.3">
      <c r="L1509" s="7" t="str">
        <f t="shared" ca="1" si="41"/>
        <v/>
      </c>
    </row>
    <row r="1510" spans="12:12" x14ac:dyDescent="0.3">
      <c r="L1510" s="7" t="str">
        <f t="shared" ca="1" si="41"/>
        <v/>
      </c>
    </row>
    <row r="1511" spans="12:12" x14ac:dyDescent="0.3">
      <c r="L1511" s="7" t="str">
        <f t="shared" ca="1" si="41"/>
        <v/>
      </c>
    </row>
    <row r="1512" spans="12:12" x14ac:dyDescent="0.3">
      <c r="L1512" s="7" t="str">
        <f t="shared" ca="1" si="41"/>
        <v/>
      </c>
    </row>
    <row r="1513" spans="12:12" x14ac:dyDescent="0.3">
      <c r="L1513" s="7" t="str">
        <f t="shared" ca="1" si="41"/>
        <v/>
      </c>
    </row>
    <row r="1514" spans="12:12" x14ac:dyDescent="0.3">
      <c r="L1514" s="7" t="str">
        <f t="shared" ca="1" si="41"/>
        <v/>
      </c>
    </row>
    <row r="1515" spans="12:12" x14ac:dyDescent="0.3">
      <c r="L1515" s="7" t="str">
        <f t="shared" ca="1" si="41"/>
        <v/>
      </c>
    </row>
    <row r="1516" spans="12:12" x14ac:dyDescent="0.3">
      <c r="L1516" s="7" t="str">
        <f t="shared" ca="1" si="41"/>
        <v/>
      </c>
    </row>
    <row r="1517" spans="12:12" x14ac:dyDescent="0.3">
      <c r="L1517" s="7" t="str">
        <f t="shared" ca="1" si="41"/>
        <v/>
      </c>
    </row>
    <row r="1518" spans="12:12" x14ac:dyDescent="0.3">
      <c r="L1518" s="7" t="str">
        <f t="shared" ca="1" si="41"/>
        <v/>
      </c>
    </row>
    <row r="1519" spans="12:12" x14ac:dyDescent="0.3">
      <c r="L1519" s="7" t="str">
        <f t="shared" ca="1" si="41"/>
        <v/>
      </c>
    </row>
    <row r="1520" spans="12:12" x14ac:dyDescent="0.3">
      <c r="L1520" s="7" t="str">
        <f t="shared" ca="1" si="41"/>
        <v/>
      </c>
    </row>
    <row r="1521" spans="12:12" x14ac:dyDescent="0.3">
      <c r="L1521" s="7" t="str">
        <f t="shared" ca="1" si="41"/>
        <v/>
      </c>
    </row>
    <row r="1522" spans="12:12" x14ac:dyDescent="0.3">
      <c r="L1522" s="7" t="str">
        <f t="shared" ca="1" si="41"/>
        <v/>
      </c>
    </row>
    <row r="1523" spans="12:12" x14ac:dyDescent="0.3">
      <c r="L1523" s="7" t="str">
        <f t="shared" ca="1" si="41"/>
        <v/>
      </c>
    </row>
    <row r="1524" spans="12:12" x14ac:dyDescent="0.3">
      <c r="L1524" s="7" t="str">
        <f t="shared" ca="1" si="41"/>
        <v/>
      </c>
    </row>
    <row r="1525" spans="12:12" x14ac:dyDescent="0.3">
      <c r="L1525" s="7" t="str">
        <f t="shared" ca="1" si="41"/>
        <v/>
      </c>
    </row>
    <row r="1526" spans="12:12" x14ac:dyDescent="0.3">
      <c r="L1526" s="7" t="str">
        <f t="shared" ca="1" si="41"/>
        <v/>
      </c>
    </row>
    <row r="1527" spans="12:12" x14ac:dyDescent="0.3">
      <c r="L1527" s="7" t="str">
        <f t="shared" ca="1" si="41"/>
        <v/>
      </c>
    </row>
    <row r="1528" spans="12:12" x14ac:dyDescent="0.3">
      <c r="L1528" s="7" t="str">
        <f t="shared" ca="1" si="41"/>
        <v/>
      </c>
    </row>
    <row r="1529" spans="12:12" x14ac:dyDescent="0.3">
      <c r="L1529" s="7" t="str">
        <f t="shared" ca="1" si="41"/>
        <v/>
      </c>
    </row>
    <row r="1530" spans="12:12" x14ac:dyDescent="0.3">
      <c r="L1530" s="7" t="str">
        <f t="shared" ca="1" si="41"/>
        <v/>
      </c>
    </row>
    <row r="1531" spans="12:12" x14ac:dyDescent="0.3">
      <c r="L1531" s="7" t="str">
        <f t="shared" ca="1" si="41"/>
        <v/>
      </c>
    </row>
    <row r="1532" spans="12:12" x14ac:dyDescent="0.3">
      <c r="L1532" s="7" t="str">
        <f t="shared" ca="1" si="41"/>
        <v/>
      </c>
    </row>
    <row r="1533" spans="12:12" x14ac:dyDescent="0.3">
      <c r="L1533" s="7" t="str">
        <f t="shared" ca="1" si="41"/>
        <v/>
      </c>
    </row>
    <row r="1534" spans="12:12" x14ac:dyDescent="0.3">
      <c r="L1534" s="7" t="str">
        <f t="shared" ca="1" si="41"/>
        <v/>
      </c>
    </row>
    <row r="1535" spans="12:12" x14ac:dyDescent="0.3">
      <c r="L1535" s="7" t="str">
        <f t="shared" ca="1" si="41"/>
        <v/>
      </c>
    </row>
    <row r="1536" spans="12:12" x14ac:dyDescent="0.3">
      <c r="L1536" s="7" t="str">
        <f t="shared" ca="1" si="41"/>
        <v/>
      </c>
    </row>
    <row r="1537" spans="12:12" x14ac:dyDescent="0.3">
      <c r="L1537" s="7" t="str">
        <f t="shared" ca="1" si="41"/>
        <v/>
      </c>
    </row>
    <row r="1538" spans="12:12" x14ac:dyDescent="0.3">
      <c r="L1538" s="7" t="str">
        <f t="shared" ca="1" si="41"/>
        <v/>
      </c>
    </row>
    <row r="1539" spans="12:12" x14ac:dyDescent="0.3">
      <c r="L1539" s="7" t="str">
        <f t="shared" ca="1" si="41"/>
        <v/>
      </c>
    </row>
    <row r="1540" spans="12:12" x14ac:dyDescent="0.3">
      <c r="L1540" s="7" t="str">
        <f t="shared" ref="L1540:L1603" ca="1" si="42">IF(I1540="Completed",0,IF(H1540="","",H1540-TODAY()))</f>
        <v/>
      </c>
    </row>
    <row r="1541" spans="12:12" x14ac:dyDescent="0.3">
      <c r="L1541" s="7" t="str">
        <f t="shared" ca="1" si="42"/>
        <v/>
      </c>
    </row>
    <row r="1542" spans="12:12" x14ac:dyDescent="0.3">
      <c r="L1542" s="7" t="str">
        <f t="shared" ca="1" si="42"/>
        <v/>
      </c>
    </row>
    <row r="1543" spans="12:12" x14ac:dyDescent="0.3">
      <c r="L1543" s="7" t="str">
        <f t="shared" ca="1" si="42"/>
        <v/>
      </c>
    </row>
    <row r="1544" spans="12:12" x14ac:dyDescent="0.3">
      <c r="L1544" s="7" t="str">
        <f t="shared" ca="1" si="42"/>
        <v/>
      </c>
    </row>
    <row r="1545" spans="12:12" x14ac:dyDescent="0.3">
      <c r="L1545" s="7" t="str">
        <f t="shared" ca="1" si="42"/>
        <v/>
      </c>
    </row>
    <row r="1546" spans="12:12" x14ac:dyDescent="0.3">
      <c r="L1546" s="7" t="str">
        <f t="shared" ca="1" si="42"/>
        <v/>
      </c>
    </row>
    <row r="1547" spans="12:12" x14ac:dyDescent="0.3">
      <c r="L1547" s="7" t="str">
        <f t="shared" ca="1" si="42"/>
        <v/>
      </c>
    </row>
    <row r="1548" spans="12:12" x14ac:dyDescent="0.3">
      <c r="L1548" s="7" t="str">
        <f t="shared" ca="1" si="42"/>
        <v/>
      </c>
    </row>
    <row r="1549" spans="12:12" x14ac:dyDescent="0.3">
      <c r="L1549" s="7" t="str">
        <f t="shared" ca="1" si="42"/>
        <v/>
      </c>
    </row>
    <row r="1550" spans="12:12" x14ac:dyDescent="0.3">
      <c r="L1550" s="7" t="str">
        <f t="shared" ca="1" si="42"/>
        <v/>
      </c>
    </row>
    <row r="1551" spans="12:12" x14ac:dyDescent="0.3">
      <c r="L1551" s="7" t="str">
        <f t="shared" ca="1" si="42"/>
        <v/>
      </c>
    </row>
    <row r="1552" spans="12:12" x14ac:dyDescent="0.3">
      <c r="L1552" s="7" t="str">
        <f t="shared" ca="1" si="42"/>
        <v/>
      </c>
    </row>
    <row r="1553" spans="12:12" x14ac:dyDescent="0.3">
      <c r="L1553" s="7" t="str">
        <f t="shared" ca="1" si="42"/>
        <v/>
      </c>
    </row>
    <row r="1554" spans="12:12" x14ac:dyDescent="0.3">
      <c r="L1554" s="7" t="str">
        <f t="shared" ca="1" si="42"/>
        <v/>
      </c>
    </row>
    <row r="1555" spans="12:12" x14ac:dyDescent="0.3">
      <c r="L1555" s="7" t="str">
        <f t="shared" ca="1" si="42"/>
        <v/>
      </c>
    </row>
    <row r="1556" spans="12:12" x14ac:dyDescent="0.3">
      <c r="L1556" s="7" t="str">
        <f t="shared" ca="1" si="42"/>
        <v/>
      </c>
    </row>
    <row r="1557" spans="12:12" x14ac:dyDescent="0.3">
      <c r="L1557" s="7" t="str">
        <f t="shared" ca="1" si="42"/>
        <v/>
      </c>
    </row>
    <row r="1558" spans="12:12" x14ac:dyDescent="0.3">
      <c r="L1558" s="7" t="str">
        <f t="shared" ca="1" si="42"/>
        <v/>
      </c>
    </row>
    <row r="1559" spans="12:12" x14ac:dyDescent="0.3">
      <c r="L1559" s="7" t="str">
        <f t="shared" ca="1" si="42"/>
        <v/>
      </c>
    </row>
    <row r="1560" spans="12:12" x14ac:dyDescent="0.3">
      <c r="L1560" s="7" t="str">
        <f t="shared" ca="1" si="42"/>
        <v/>
      </c>
    </row>
    <row r="1561" spans="12:12" x14ac:dyDescent="0.3">
      <c r="L1561" s="7" t="str">
        <f t="shared" ca="1" si="42"/>
        <v/>
      </c>
    </row>
    <row r="1562" spans="12:12" x14ac:dyDescent="0.3">
      <c r="L1562" s="7" t="str">
        <f t="shared" ca="1" si="42"/>
        <v/>
      </c>
    </row>
    <row r="1563" spans="12:12" x14ac:dyDescent="0.3">
      <c r="L1563" s="7" t="str">
        <f t="shared" ca="1" si="42"/>
        <v/>
      </c>
    </row>
    <row r="1564" spans="12:12" x14ac:dyDescent="0.3">
      <c r="L1564" s="7" t="str">
        <f t="shared" ca="1" si="42"/>
        <v/>
      </c>
    </row>
    <row r="1565" spans="12:12" x14ac:dyDescent="0.3">
      <c r="L1565" s="7" t="str">
        <f t="shared" ca="1" si="42"/>
        <v/>
      </c>
    </row>
    <row r="1566" spans="12:12" x14ac:dyDescent="0.3">
      <c r="L1566" s="7" t="str">
        <f t="shared" ca="1" si="42"/>
        <v/>
      </c>
    </row>
    <row r="1567" spans="12:12" x14ac:dyDescent="0.3">
      <c r="L1567" s="7" t="str">
        <f t="shared" ca="1" si="42"/>
        <v/>
      </c>
    </row>
    <row r="1568" spans="12:12" x14ac:dyDescent="0.3">
      <c r="L1568" s="7" t="str">
        <f t="shared" ca="1" si="42"/>
        <v/>
      </c>
    </row>
    <row r="1569" spans="12:12" x14ac:dyDescent="0.3">
      <c r="L1569" s="7" t="str">
        <f t="shared" ca="1" si="42"/>
        <v/>
      </c>
    </row>
    <row r="1570" spans="12:12" x14ac:dyDescent="0.3">
      <c r="L1570" s="7" t="str">
        <f t="shared" ca="1" si="42"/>
        <v/>
      </c>
    </row>
    <row r="1571" spans="12:12" x14ac:dyDescent="0.3">
      <c r="L1571" s="7" t="str">
        <f t="shared" ca="1" si="42"/>
        <v/>
      </c>
    </row>
    <row r="1572" spans="12:12" x14ac:dyDescent="0.3">
      <c r="L1572" s="7" t="str">
        <f t="shared" ca="1" si="42"/>
        <v/>
      </c>
    </row>
    <row r="1573" spans="12:12" x14ac:dyDescent="0.3">
      <c r="L1573" s="7" t="str">
        <f t="shared" ca="1" si="42"/>
        <v/>
      </c>
    </row>
    <row r="1574" spans="12:12" x14ac:dyDescent="0.3">
      <c r="L1574" s="7" t="str">
        <f t="shared" ca="1" si="42"/>
        <v/>
      </c>
    </row>
    <row r="1575" spans="12:12" x14ac:dyDescent="0.3">
      <c r="L1575" s="7" t="str">
        <f t="shared" ca="1" si="42"/>
        <v/>
      </c>
    </row>
    <row r="1576" spans="12:12" x14ac:dyDescent="0.3">
      <c r="L1576" s="7" t="str">
        <f t="shared" ca="1" si="42"/>
        <v/>
      </c>
    </row>
    <row r="1577" spans="12:12" x14ac:dyDescent="0.3">
      <c r="L1577" s="7" t="str">
        <f t="shared" ca="1" si="42"/>
        <v/>
      </c>
    </row>
    <row r="1578" spans="12:12" x14ac:dyDescent="0.3">
      <c r="L1578" s="7" t="str">
        <f t="shared" ca="1" si="42"/>
        <v/>
      </c>
    </row>
    <row r="1579" spans="12:12" x14ac:dyDescent="0.3">
      <c r="L1579" s="7" t="str">
        <f t="shared" ca="1" si="42"/>
        <v/>
      </c>
    </row>
    <row r="1580" spans="12:12" x14ac:dyDescent="0.3">
      <c r="L1580" s="7" t="str">
        <f t="shared" ca="1" si="42"/>
        <v/>
      </c>
    </row>
    <row r="1581" spans="12:12" x14ac:dyDescent="0.3">
      <c r="L1581" s="7" t="str">
        <f t="shared" ca="1" si="42"/>
        <v/>
      </c>
    </row>
    <row r="1582" spans="12:12" x14ac:dyDescent="0.3">
      <c r="L1582" s="7" t="str">
        <f t="shared" ca="1" si="42"/>
        <v/>
      </c>
    </row>
    <row r="1583" spans="12:12" x14ac:dyDescent="0.3">
      <c r="L1583" s="7" t="str">
        <f t="shared" ca="1" si="42"/>
        <v/>
      </c>
    </row>
    <row r="1584" spans="12:12" x14ac:dyDescent="0.3">
      <c r="L1584" s="7" t="str">
        <f t="shared" ca="1" si="42"/>
        <v/>
      </c>
    </row>
    <row r="1585" spans="12:12" x14ac:dyDescent="0.3">
      <c r="L1585" s="7" t="str">
        <f t="shared" ca="1" si="42"/>
        <v/>
      </c>
    </row>
    <row r="1586" spans="12:12" x14ac:dyDescent="0.3">
      <c r="L1586" s="7" t="str">
        <f t="shared" ca="1" si="42"/>
        <v/>
      </c>
    </row>
    <row r="1587" spans="12:12" x14ac:dyDescent="0.3">
      <c r="L1587" s="7" t="str">
        <f t="shared" ca="1" si="42"/>
        <v/>
      </c>
    </row>
    <row r="1588" spans="12:12" x14ac:dyDescent="0.3">
      <c r="L1588" s="7" t="str">
        <f t="shared" ca="1" si="42"/>
        <v/>
      </c>
    </row>
    <row r="1589" spans="12:12" x14ac:dyDescent="0.3">
      <c r="L1589" s="7" t="str">
        <f t="shared" ca="1" si="42"/>
        <v/>
      </c>
    </row>
    <row r="1590" spans="12:12" x14ac:dyDescent="0.3">
      <c r="L1590" s="7" t="str">
        <f t="shared" ca="1" si="42"/>
        <v/>
      </c>
    </row>
    <row r="1591" spans="12:12" x14ac:dyDescent="0.3">
      <c r="L1591" s="7" t="str">
        <f t="shared" ca="1" si="42"/>
        <v/>
      </c>
    </row>
    <row r="1592" spans="12:12" x14ac:dyDescent="0.3">
      <c r="L1592" s="7" t="str">
        <f t="shared" ca="1" si="42"/>
        <v/>
      </c>
    </row>
    <row r="1593" spans="12:12" x14ac:dyDescent="0.3">
      <c r="L1593" s="7" t="str">
        <f t="shared" ca="1" si="42"/>
        <v/>
      </c>
    </row>
    <row r="1594" spans="12:12" x14ac:dyDescent="0.3">
      <c r="L1594" s="7" t="str">
        <f t="shared" ca="1" si="42"/>
        <v/>
      </c>
    </row>
    <row r="1595" spans="12:12" x14ac:dyDescent="0.3">
      <c r="L1595" s="7" t="str">
        <f t="shared" ca="1" si="42"/>
        <v/>
      </c>
    </row>
    <row r="1596" spans="12:12" x14ac:dyDescent="0.3">
      <c r="L1596" s="7" t="str">
        <f t="shared" ca="1" si="42"/>
        <v/>
      </c>
    </row>
    <row r="1597" spans="12:12" x14ac:dyDescent="0.3">
      <c r="L1597" s="7" t="str">
        <f t="shared" ca="1" si="42"/>
        <v/>
      </c>
    </row>
    <row r="1598" spans="12:12" x14ac:dyDescent="0.3">
      <c r="L1598" s="7" t="str">
        <f t="shared" ca="1" si="42"/>
        <v/>
      </c>
    </row>
    <row r="1599" spans="12:12" x14ac:dyDescent="0.3">
      <c r="L1599" s="7" t="str">
        <f t="shared" ca="1" si="42"/>
        <v/>
      </c>
    </row>
    <row r="1600" spans="12:12" x14ac:dyDescent="0.3">
      <c r="L1600" s="7" t="str">
        <f t="shared" ca="1" si="42"/>
        <v/>
      </c>
    </row>
    <row r="1601" spans="12:12" x14ac:dyDescent="0.3">
      <c r="L1601" s="7" t="str">
        <f t="shared" ca="1" si="42"/>
        <v/>
      </c>
    </row>
    <row r="1602" spans="12:12" x14ac:dyDescent="0.3">
      <c r="L1602" s="7" t="str">
        <f t="shared" ca="1" si="42"/>
        <v/>
      </c>
    </row>
    <row r="1603" spans="12:12" x14ac:dyDescent="0.3">
      <c r="L1603" s="7" t="str">
        <f t="shared" ca="1" si="42"/>
        <v/>
      </c>
    </row>
    <row r="1604" spans="12:12" x14ac:dyDescent="0.3">
      <c r="L1604" s="7" t="str">
        <f t="shared" ref="L1604:L1606" ca="1" si="43">IF(I1604="Completed",0,IF(H1604="","",H1604-TODAY()))</f>
        <v/>
      </c>
    </row>
    <row r="1605" spans="12:12" x14ac:dyDescent="0.3">
      <c r="L1605" s="7" t="str">
        <f t="shared" ca="1" si="43"/>
        <v/>
      </c>
    </row>
    <row r="1606" spans="12:12" x14ac:dyDescent="0.3">
      <c r="L1606" s="7" t="str">
        <f t="shared" ca="1" si="43"/>
        <v/>
      </c>
    </row>
  </sheetData>
  <autoFilter ref="A3:N312" xr:uid="{00000000-0001-0000-0700-000000000000}"/>
  <mergeCells count="1">
    <mergeCell ref="A2:N2"/>
  </mergeCells>
  <conditionalFormatting sqref="M4:M312">
    <cfRule type="cellIs" dxfId="73" priority="32" operator="equal">
      <formula>"Green"</formula>
    </cfRule>
    <cfRule type="cellIs" dxfId="72" priority="33" operator="equal">
      <formula>"Amber"</formula>
    </cfRule>
    <cfRule type="cellIs" dxfId="71" priority="34" operator="equal">
      <formula>"Red"</formula>
    </cfRule>
  </conditionalFormatting>
  <conditionalFormatting sqref="I4:I142">
    <cfRule type="expression" dxfId="70" priority="11">
      <formula>EXACT($I4,"Completed")</formula>
    </cfRule>
  </conditionalFormatting>
  <conditionalFormatting sqref="I4:I142">
    <cfRule type="expression" dxfId="69" priority="12">
      <formula>EXACT($I4,"Inprogress")</formula>
    </cfRule>
  </conditionalFormatting>
  <conditionalFormatting sqref="I4:I142">
    <cfRule type="expression" dxfId="68" priority="37">
      <formula>EXACT($I4,"Not Started")</formula>
    </cfRule>
  </conditionalFormatting>
  <conditionalFormatting sqref="I4:I142">
    <cfRule type="expression" dxfId="67" priority="38">
      <formula>EXACT($I4,"Overdue")</formula>
    </cfRule>
  </conditionalFormatting>
  <conditionalFormatting sqref="K4:K243">
    <cfRule type="expression" dxfId="66" priority="7">
      <formula>EXACT($K4,"No")</formula>
    </cfRule>
  </conditionalFormatting>
  <conditionalFormatting sqref="K4:K243">
    <cfRule type="expression" dxfId="65" priority="8">
      <formula>EXACT($K4,"Yes")</formula>
    </cfRule>
  </conditionalFormatting>
  <conditionalFormatting sqref="K4:K243">
    <cfRule type="expression" dxfId="64" priority="41">
      <formula>EXACT($K4,"-")</formula>
    </cfRule>
  </conditionalFormatting>
  <conditionalFormatting sqref="A4:A2000">
    <cfRule type="expression" dxfId="63" priority="27" stopIfTrue="1">
      <formula>A4=""</formula>
    </cfRule>
    <cfRule type="expression" dxfId="62" priority="30">
      <formula>C4=""</formula>
    </cfRule>
  </conditionalFormatting>
  <conditionalFormatting sqref="B4:B2000">
    <cfRule type="expression" dxfId="61" priority="23" stopIfTrue="1">
      <formula>$A4=""</formula>
    </cfRule>
    <cfRule type="expression" dxfId="60" priority="24">
      <formula>$C4=""</formula>
    </cfRule>
  </conditionalFormatting>
  <conditionalFormatting sqref="C4:C2000">
    <cfRule type="expression" dxfId="59" priority="25" stopIfTrue="1">
      <formula>$A4=""</formula>
    </cfRule>
    <cfRule type="expression" dxfId="58" priority="28">
      <formula>$C4=""</formula>
    </cfRule>
  </conditionalFormatting>
  <conditionalFormatting sqref="D4:D2000">
    <cfRule type="expression" dxfId="57" priority="22">
      <formula>$C4=""</formula>
    </cfRule>
    <cfRule type="expression" dxfId="56" priority="21" stopIfTrue="1">
      <formula>$A4=""</formula>
    </cfRule>
  </conditionalFormatting>
  <conditionalFormatting sqref="E4:E2000">
    <cfRule type="expression" dxfId="55" priority="20">
      <formula>$C4=""</formula>
    </cfRule>
    <cfRule type="expression" dxfId="54" priority="19" stopIfTrue="1">
      <formula>$A4=""</formula>
    </cfRule>
  </conditionalFormatting>
  <conditionalFormatting sqref="F4:F2000">
    <cfRule type="expression" dxfId="53" priority="18">
      <formula>$C4=""</formula>
    </cfRule>
    <cfRule type="expression" dxfId="52" priority="17" stopIfTrue="1">
      <formula>$A4=""</formula>
    </cfRule>
  </conditionalFormatting>
  <conditionalFormatting sqref="G4:G23 G26:G2000">
    <cfRule type="expression" dxfId="51" priority="16">
      <formula>$C4=""</formula>
    </cfRule>
    <cfRule type="expression" dxfId="50" priority="15" stopIfTrue="1">
      <formula>$A4=""</formula>
    </cfRule>
  </conditionalFormatting>
  <conditionalFormatting sqref="H4:H2000">
    <cfRule type="expression" dxfId="49" priority="14">
      <formula>$C4=""</formula>
    </cfRule>
    <cfRule type="expression" dxfId="48" priority="13" stopIfTrue="1">
      <formula>$A4=""</formula>
    </cfRule>
  </conditionalFormatting>
  <conditionalFormatting sqref="I4:I2000">
    <cfRule type="expression" dxfId="47" priority="40">
      <formula>$C4=""</formula>
    </cfRule>
    <cfRule type="expression" dxfId="46" priority="39" stopIfTrue="1">
      <formula>$A4=""</formula>
    </cfRule>
  </conditionalFormatting>
  <conditionalFormatting sqref="J4:J2000">
    <cfRule type="expression" dxfId="45" priority="10">
      <formula>$C4=""</formula>
    </cfRule>
    <cfRule type="expression" dxfId="44" priority="9" stopIfTrue="1">
      <formula>$A4=""</formula>
    </cfRule>
  </conditionalFormatting>
  <conditionalFormatting sqref="K4:K2000">
    <cfRule type="expression" dxfId="43" priority="43">
      <formula>$C4=""</formula>
    </cfRule>
    <cfRule type="expression" dxfId="42" priority="42" stopIfTrue="1">
      <formula>$A4=""</formula>
    </cfRule>
  </conditionalFormatting>
  <conditionalFormatting sqref="L1607:L2000">
    <cfRule type="expression" dxfId="41" priority="6">
      <formula>$C1607=""</formula>
    </cfRule>
    <cfRule type="expression" dxfId="40" priority="5" stopIfTrue="1">
      <formula>$A1607=""</formula>
    </cfRule>
  </conditionalFormatting>
  <conditionalFormatting sqref="L4:L1606">
    <cfRule type="expression" dxfId="39" priority="3" stopIfTrue="1">
      <formula>$A4=""</formula>
    </cfRule>
    <cfRule type="expression" dxfId="38" priority="4">
      <formula>$C4=""</formula>
    </cfRule>
  </conditionalFormatting>
  <conditionalFormatting sqref="G24:G25">
    <cfRule type="expression" dxfId="0" priority="1" stopIfTrue="1">
      <formula>$A24=""</formula>
    </cfRule>
    <cfRule type="expression" dxfId="1" priority="2">
      <formula>$C24=""</formula>
    </cfRule>
  </conditionalFormatting>
  <dataValidations count="1">
    <dataValidation type="list" allowBlank="1" sqref="I4:I312" xr:uid="{0B6AFA13-57A6-4896-81EC-8116BCD994EB}">
      <formula1>"Not Started,In Progress,Complete"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D62E6-2227-4F48-BC62-A48DEC708A22}">
  <sheetPr codeName="Sheet9">
    <tabColor rgb="FF777777"/>
  </sheetPr>
  <dimension ref="A1:R1606"/>
  <sheetViews>
    <sheetView showGridLines="0" zoomScaleNormal="100" workbookViewId="0">
      <pane xSplit="3" ySplit="3" topLeftCell="E4" activePane="bottomRight" state="frozen"/>
      <selection pane="topRight" activeCell="D1" sqref="D1"/>
      <selection pane="bottomLeft" activeCell="A4" sqref="A4"/>
      <selection pane="bottomRight" activeCell="L6" sqref="L6"/>
    </sheetView>
  </sheetViews>
  <sheetFormatPr defaultColWidth="8.6640625" defaultRowHeight="14.4" x14ac:dyDescent="0.3"/>
  <cols>
    <col min="1" max="1" width="20" customWidth="1"/>
    <col min="2" max="2" width="17" customWidth="1"/>
    <col min="3" max="3" width="34" customWidth="1"/>
    <col min="4" max="4" width="30" customWidth="1"/>
    <col min="5" max="5" width="12" customWidth="1"/>
    <col min="6" max="6" width="11" customWidth="1"/>
    <col min="7" max="7" width="15.109375" bestFit="1" customWidth="1"/>
    <col min="8" max="8" width="16.77734375" customWidth="1"/>
    <col min="9" max="9" width="12" customWidth="1"/>
    <col min="10" max="11" width="8" customWidth="1"/>
    <col min="12" max="13" width="7" customWidth="1"/>
    <col min="14" max="14" width="26" customWidth="1"/>
    <col min="15" max="18" width="3" hidden="1" customWidth="1"/>
  </cols>
  <sheetData>
    <row r="1" spans="1:18" ht="24" customHeight="1" x14ac:dyDescent="0.3">
      <c r="A1" s="10" t="s">
        <v>463</v>
      </c>
      <c r="B1" s="10"/>
      <c r="C1" s="10"/>
      <c r="D1" s="10"/>
      <c r="E1" s="10"/>
      <c r="F1" s="10"/>
      <c r="G1" s="11">
        <f>+MAX(G4:G2000)</f>
        <v>46443</v>
      </c>
      <c r="H1" s="11">
        <f>+MAX(H4:H2000)</f>
        <v>46447</v>
      </c>
      <c r="I1" s="12">
        <f t="shared" ref="I1" si="0">IF(OR($G1="",$H1=""),"",$H1-$G1)</f>
        <v>4</v>
      </c>
      <c r="J1" s="10"/>
      <c r="K1" s="10"/>
      <c r="L1" s="10"/>
      <c r="M1" s="10"/>
      <c r="N1" s="10"/>
    </row>
    <row r="2" spans="1:18" ht="14.25" customHeight="1" x14ac:dyDescent="0.3">
      <c r="A2" s="17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8" ht="30" customHeight="1" x14ac:dyDescent="0.3">
      <c r="A3" s="1" t="s">
        <v>0</v>
      </c>
      <c r="B3" s="1" t="s">
        <v>24</v>
      </c>
      <c r="C3" s="1" t="s">
        <v>25</v>
      </c>
      <c r="D3" s="1" t="s">
        <v>26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59</v>
      </c>
      <c r="M3" s="1" t="s">
        <v>8</v>
      </c>
      <c r="N3" s="1" t="s">
        <v>9</v>
      </c>
      <c r="O3" s="1" t="s">
        <v>10</v>
      </c>
      <c r="P3" s="1" t="s">
        <v>11</v>
      </c>
      <c r="Q3" s="1" t="s">
        <v>12</v>
      </c>
      <c r="R3" s="1" t="s">
        <v>13</v>
      </c>
    </row>
    <row r="4" spans="1:18" ht="33.75" customHeight="1" x14ac:dyDescent="0.3">
      <c r="A4" s="2" t="s">
        <v>632</v>
      </c>
      <c r="B4" s="2" t="s">
        <v>632</v>
      </c>
      <c r="C4" s="3" t="s">
        <v>633</v>
      </c>
      <c r="D4" s="3" t="s">
        <v>634</v>
      </c>
      <c r="E4" s="2"/>
      <c r="F4" s="2"/>
      <c r="G4" s="5">
        <v>45937</v>
      </c>
      <c r="H4" s="5">
        <v>45937</v>
      </c>
      <c r="I4" s="2" t="s">
        <v>31</v>
      </c>
      <c r="J4" s="6">
        <f t="shared" ref="J4:J67" si="1">IF(OR($G4="",$H4=""),"",$H4-$G4)</f>
        <v>0</v>
      </c>
      <c r="K4" s="4" t="str">
        <f t="shared" ref="K4:K67" ca="1" si="2">IF(C4="","",IF(H4="","",IF($I4="completed","-",IF($H4&gt;TODAY(),"No","Yes"))))</f>
        <v>-</v>
      </c>
      <c r="L4" s="7">
        <f ca="1">IF(I4="Completed",0,IF(H4="","",H4-TODAY()))</f>
        <v>0</v>
      </c>
      <c r="M4" s="4" t="str">
        <f>IF($I4="Complete","Green",IF($H4="","Amber",IF($H4&lt;'[2]Read Me'!$B$4,"Red",IF($H4-'[2]Read Me'!$B$4&lt;=21,"Amber","Green"))))</f>
        <v>Red</v>
      </c>
      <c r="N4" s="3"/>
      <c r="O4" t="e">
        <f>IF($I4&lt;&gt;"Complete",IF(COUNTIFS(#REF!,$A4,#REF!,$B4,#REF!,"&lt;&gt;Complete")=0,$A4&amp;"|"&amp;$B4,""),"")</f>
        <v>#REF!</v>
      </c>
      <c r="P4" t="str">
        <f ca="1">IF($K4="Yes",COUNTIFS($K$4:$K4,"Yes"),"")</f>
        <v/>
      </c>
      <c r="Q4">
        <f t="shared" ref="Q4:Q67" ca="1" si="3">IF(OR($I4="In Progress",$K4="Yes"),1,0)</f>
        <v>0</v>
      </c>
      <c r="R4" t="str">
        <f ca="1">IF($Q4=1,SUM($Q$4:$Q4),"")</f>
        <v/>
      </c>
    </row>
    <row r="5" spans="1:18" ht="33.75" customHeight="1" x14ac:dyDescent="0.3">
      <c r="A5" s="2" t="s">
        <v>632</v>
      </c>
      <c r="B5" s="2" t="s">
        <v>632</v>
      </c>
      <c r="C5" s="3" t="s">
        <v>633</v>
      </c>
      <c r="D5" s="3" t="s">
        <v>635</v>
      </c>
      <c r="E5" s="2"/>
      <c r="F5" s="2"/>
      <c r="G5" s="5">
        <v>45958</v>
      </c>
      <c r="H5" s="5">
        <v>45958</v>
      </c>
      <c r="I5" s="2" t="s">
        <v>31</v>
      </c>
      <c r="J5" s="6">
        <f t="shared" si="1"/>
        <v>0</v>
      </c>
      <c r="K5" s="4" t="str">
        <f t="shared" ca="1" si="2"/>
        <v>-</v>
      </c>
      <c r="L5" s="7">
        <f t="shared" ref="L5:L67" ca="1" si="4">IF(I5="Completed",0,IF(H5="","",H5-TODAY()))</f>
        <v>0</v>
      </c>
      <c r="M5" s="4" t="str">
        <f>IF($I5="Complete","Green",IF($H5="","Amber",IF($H5&lt;'[2]Read Me'!$B$4,"Red",IF($H5-'[2]Read Me'!$B$4&lt;=21,"Amber","Green"))))</f>
        <v>Red</v>
      </c>
      <c r="N5" s="3"/>
      <c r="O5" t="str">
        <f>IF($I5&lt;&gt;"Complete",IF(COUNTIFS($A$4:$A4,$A5,$B$4:$B4,$B5,$I$4:$I4,"&lt;&gt;Complete")=0,$A5&amp;"|"&amp;$B5,""),"")</f>
        <v/>
      </c>
      <c r="P5" t="str">
        <f ca="1">IF($K5="Yes",COUNTIFS($K$4:$K5,"Yes"),"")</f>
        <v/>
      </c>
      <c r="Q5">
        <f t="shared" ca="1" si="3"/>
        <v>0</v>
      </c>
      <c r="R5" t="str">
        <f ca="1">IF($Q5=1,SUM($Q$4:$Q5),"")</f>
        <v/>
      </c>
    </row>
    <row r="6" spans="1:18" ht="33.75" customHeight="1" x14ac:dyDescent="0.3">
      <c r="A6" s="2" t="s">
        <v>632</v>
      </c>
      <c r="B6" s="2" t="s">
        <v>632</v>
      </c>
      <c r="C6" s="3" t="s">
        <v>633</v>
      </c>
      <c r="D6" s="3" t="s">
        <v>636</v>
      </c>
      <c r="E6" s="2"/>
      <c r="F6" s="2"/>
      <c r="G6" s="5">
        <v>45963</v>
      </c>
      <c r="H6" s="5">
        <v>45963</v>
      </c>
      <c r="I6" s="2" t="s">
        <v>31</v>
      </c>
      <c r="J6" s="6">
        <f t="shared" si="1"/>
        <v>0</v>
      </c>
      <c r="K6" s="4" t="str">
        <f t="shared" ca="1" si="2"/>
        <v>-</v>
      </c>
      <c r="L6" s="7">
        <f t="shared" ca="1" si="4"/>
        <v>0</v>
      </c>
      <c r="M6" s="4" t="str">
        <f>IF($I6="Complete","Green",IF($H6="","Amber",IF($H6&lt;'[2]Read Me'!$B$4,"Red",IF($H6-'[2]Read Me'!$B$4&lt;=21,"Amber","Green"))))</f>
        <v>Red</v>
      </c>
      <c r="N6" s="3"/>
      <c r="O6" t="str">
        <f>IF($I6&lt;&gt;"Complete",IF(COUNTIFS($A$4:$A5,$A6,$B$4:$B5,$B6,$I$4:$I5,"&lt;&gt;Complete")=0,$A6&amp;"|"&amp;$B6,""),"")</f>
        <v/>
      </c>
      <c r="P6" t="str">
        <f ca="1">IF($K6="Yes",COUNTIFS($K$4:$K6,"Yes"),"")</f>
        <v/>
      </c>
      <c r="Q6">
        <f t="shared" ca="1" si="3"/>
        <v>0</v>
      </c>
      <c r="R6" t="str">
        <f ca="1">IF($Q6=1,SUM($Q$4:$Q6),"")</f>
        <v/>
      </c>
    </row>
    <row r="7" spans="1:18" ht="33.75" customHeight="1" x14ac:dyDescent="0.3">
      <c r="A7" s="2" t="s">
        <v>632</v>
      </c>
      <c r="B7" s="2" t="s">
        <v>632</v>
      </c>
      <c r="C7" s="3" t="s">
        <v>633</v>
      </c>
      <c r="D7" s="3" t="s">
        <v>637</v>
      </c>
      <c r="E7" s="2"/>
      <c r="F7" s="2"/>
      <c r="G7" s="5">
        <v>45965</v>
      </c>
      <c r="H7" s="5">
        <v>45965</v>
      </c>
      <c r="I7" s="2" t="s">
        <v>31</v>
      </c>
      <c r="J7" s="6">
        <f t="shared" si="1"/>
        <v>0</v>
      </c>
      <c r="K7" s="4" t="str">
        <f t="shared" ca="1" si="2"/>
        <v>-</v>
      </c>
      <c r="L7" s="7">
        <f t="shared" ca="1" si="4"/>
        <v>0</v>
      </c>
      <c r="M7" s="4" t="str">
        <f>IF($I7="Complete","Green",IF($H7="","Amber",IF($H7&lt;'[2]Read Me'!$B$4,"Red",IF($H7-'[2]Read Me'!$B$4&lt;=21,"Amber","Green"))))</f>
        <v>Red</v>
      </c>
      <c r="N7" s="3"/>
      <c r="O7" t="str">
        <f>IF($I7&lt;&gt;"Complete",IF(COUNTIFS($A$4:$A6,$A7,$B$4:$B6,$B7,$I$4:$I6,"&lt;&gt;Complete")=0,$A7&amp;"|"&amp;$B7,""),"")</f>
        <v/>
      </c>
      <c r="P7" t="str">
        <f ca="1">IF($K7="Yes",COUNTIFS($K$4:$K7,"Yes"),"")</f>
        <v/>
      </c>
      <c r="Q7">
        <f t="shared" ca="1" si="3"/>
        <v>0</v>
      </c>
      <c r="R7" t="str">
        <f ca="1">IF($Q7=1,SUM($Q$4:$Q7),"")</f>
        <v/>
      </c>
    </row>
    <row r="8" spans="1:18" ht="33.75" customHeight="1" x14ac:dyDescent="0.3">
      <c r="A8" s="2" t="s">
        <v>638</v>
      </c>
      <c r="B8" s="2" t="s">
        <v>62</v>
      </c>
      <c r="C8" s="3"/>
      <c r="D8" s="3"/>
      <c r="E8" s="2"/>
      <c r="F8" s="2"/>
      <c r="G8" s="5">
        <v>46117</v>
      </c>
      <c r="H8" s="5">
        <v>46195</v>
      </c>
      <c r="I8" s="2"/>
      <c r="J8" s="6">
        <f t="shared" si="1"/>
        <v>78</v>
      </c>
      <c r="K8" s="4" t="str">
        <f t="shared" ca="1" si="2"/>
        <v/>
      </c>
      <c r="L8" s="7">
        <f t="shared" ca="1" si="4"/>
        <v>-13</v>
      </c>
      <c r="M8" s="4" t="str">
        <f>IF($I8="Complete","Green",IF($H8="","Amber",IF($H8&lt;'[2]Read Me'!$B$4,"Red",IF($H8-'[2]Read Me'!$B$4&lt;=21,"Amber","Green"))))</f>
        <v>Amber</v>
      </c>
      <c r="N8" s="3"/>
      <c r="O8" t="str">
        <f>IF($I8&lt;&gt;"Complete",IF(COUNTIFS($A$4:$A7,$A8,$B$4:$B7,$B8,$I$4:$I7,"&lt;&gt;Complete")=0,$A8&amp;"|"&amp;$B8,""),"")</f>
        <v>Two types (B1&amp;B2)|Buildings</v>
      </c>
      <c r="P8" t="str">
        <f ca="1">IF($K8="Yes",COUNTIFS($K$4:$K8,"Yes"),"")</f>
        <v/>
      </c>
      <c r="Q8">
        <f t="shared" ca="1" si="3"/>
        <v>0</v>
      </c>
      <c r="R8" t="str">
        <f ca="1">IF($Q8=1,SUM($Q$4:$Q8),"")</f>
        <v/>
      </c>
    </row>
    <row r="9" spans="1:18" ht="33.75" customHeight="1" x14ac:dyDescent="0.3">
      <c r="A9" s="2" t="s">
        <v>638</v>
      </c>
      <c r="B9" s="2" t="s">
        <v>62</v>
      </c>
      <c r="C9" s="3" t="s">
        <v>638</v>
      </c>
      <c r="D9" s="3" t="s">
        <v>639</v>
      </c>
      <c r="E9" s="2"/>
      <c r="F9" s="2" t="s">
        <v>30</v>
      </c>
      <c r="G9" s="5">
        <v>45953</v>
      </c>
      <c r="H9" s="5">
        <v>45953</v>
      </c>
      <c r="I9" s="2" t="s">
        <v>31</v>
      </c>
      <c r="J9" s="6">
        <f t="shared" si="1"/>
        <v>0</v>
      </c>
      <c r="K9" s="4" t="str">
        <f t="shared" ca="1" si="2"/>
        <v>-</v>
      </c>
      <c r="L9" s="7">
        <f t="shared" ca="1" si="4"/>
        <v>0</v>
      </c>
      <c r="M9" s="4" t="str">
        <f>IF($I9="Complete","Green",IF($H9="","Amber",IF($H9&lt;'[2]Read Me'!$B$4,"Red",IF($H9-'[2]Read Me'!$B$4&lt;=21,"Amber","Green"))))</f>
        <v>Red</v>
      </c>
      <c r="N9" s="3"/>
      <c r="O9" t="str">
        <f>IF($I9&lt;&gt;"Complete",IF(COUNTIFS($A$4:$A8,$A9,$B$4:$B8,$B9,$I$4:$I8,"&lt;&gt;Complete")=0,$A9&amp;"|"&amp;$B9,""),"")</f>
        <v/>
      </c>
      <c r="P9" t="str">
        <f ca="1">IF($K9="Yes",COUNTIFS($K$4:$K9,"Yes"),"")</f>
        <v/>
      </c>
      <c r="Q9">
        <f t="shared" ca="1" si="3"/>
        <v>0</v>
      </c>
      <c r="R9" t="str">
        <f ca="1">IF($Q9=1,SUM($Q$4:$Q9),"")</f>
        <v/>
      </c>
    </row>
    <row r="10" spans="1:18" ht="33.75" customHeight="1" x14ac:dyDescent="0.3">
      <c r="A10" s="2" t="s">
        <v>638</v>
      </c>
      <c r="B10" s="2" t="s">
        <v>62</v>
      </c>
      <c r="C10" s="3" t="s">
        <v>638</v>
      </c>
      <c r="D10" s="3" t="s">
        <v>640</v>
      </c>
      <c r="E10" s="2"/>
      <c r="F10" s="2" t="s">
        <v>30</v>
      </c>
      <c r="G10" s="5">
        <v>45993</v>
      </c>
      <c r="H10" s="5">
        <v>45998</v>
      </c>
      <c r="I10" s="2" t="s">
        <v>31</v>
      </c>
      <c r="J10" s="6">
        <f t="shared" si="1"/>
        <v>5</v>
      </c>
      <c r="K10" s="4" t="str">
        <f t="shared" ca="1" si="2"/>
        <v>-</v>
      </c>
      <c r="L10" s="7">
        <f t="shared" ca="1" si="4"/>
        <v>0</v>
      </c>
      <c r="M10" s="4" t="str">
        <f>IF($I10="Complete","Green",IF($H10="","Amber",IF($H10&lt;'[2]Read Me'!$B$4,"Red",IF($H10-'[2]Read Me'!$B$4&lt;=21,"Amber","Green"))))</f>
        <v>Red</v>
      </c>
      <c r="N10" s="3"/>
      <c r="O10" t="str">
        <f>IF($I10&lt;&gt;"Complete",IF(COUNTIFS($A$4:$A9,$A10,$B$4:$B9,$B10,$I$4:$I9,"&lt;&gt;Complete")=0,$A10&amp;"|"&amp;$B10,""),"")</f>
        <v/>
      </c>
      <c r="P10" t="str">
        <f ca="1">IF($K10="Yes",COUNTIFS($K$4:$K10,"Yes"),"")</f>
        <v/>
      </c>
      <c r="Q10">
        <f t="shared" ca="1" si="3"/>
        <v>0</v>
      </c>
      <c r="R10" t="str">
        <f ca="1">IF($Q10=1,SUM($Q$4:$Q10),"")</f>
        <v/>
      </c>
    </row>
    <row r="11" spans="1:18" ht="33.75" customHeight="1" x14ac:dyDescent="0.3">
      <c r="A11" s="2" t="s">
        <v>638</v>
      </c>
      <c r="B11" s="2" t="s">
        <v>62</v>
      </c>
      <c r="C11" s="3" t="s">
        <v>638</v>
      </c>
      <c r="D11" s="3" t="s">
        <v>35</v>
      </c>
      <c r="E11" s="2"/>
      <c r="F11" s="2"/>
      <c r="G11" s="5">
        <v>46008</v>
      </c>
      <c r="H11" s="5">
        <v>46013</v>
      </c>
      <c r="I11" s="2" t="s">
        <v>31</v>
      </c>
      <c r="J11" s="6">
        <f t="shared" si="1"/>
        <v>5</v>
      </c>
      <c r="K11" s="4" t="str">
        <f t="shared" ca="1" si="2"/>
        <v>-</v>
      </c>
      <c r="L11" s="7">
        <f t="shared" ca="1" si="4"/>
        <v>0</v>
      </c>
      <c r="M11" s="4" t="str">
        <f>IF($I11="Complete","Green",IF($H11="","Amber",IF($H11&lt;'[2]Read Me'!$B$4,"Red",IF($H11-'[2]Read Me'!$B$4&lt;=21,"Amber","Green"))))</f>
        <v>Red</v>
      </c>
      <c r="N11" s="3"/>
      <c r="O11" t="str">
        <f>IF($I11&lt;&gt;"Complete",IF(COUNTIFS($A$4:$A10,$A11,$B$4:$B10,$B11,$I$4:$I10,"&lt;&gt;Complete")=0,$A11&amp;"|"&amp;$B11,""),"")</f>
        <v/>
      </c>
      <c r="P11" t="str">
        <f ca="1">IF($K11="Yes",COUNTIFS($K$4:$K11,"Yes"),"")</f>
        <v/>
      </c>
      <c r="Q11">
        <f t="shared" ca="1" si="3"/>
        <v>0</v>
      </c>
      <c r="R11" t="str">
        <f ca="1">IF($Q11=1,SUM($Q$4:$Q11),"")</f>
        <v/>
      </c>
    </row>
    <row r="12" spans="1:18" ht="33.75" customHeight="1" x14ac:dyDescent="0.3">
      <c r="A12" s="2" t="s">
        <v>638</v>
      </c>
      <c r="B12" s="2" t="s">
        <v>62</v>
      </c>
      <c r="C12" s="3" t="s">
        <v>638</v>
      </c>
      <c r="D12" s="3" t="s">
        <v>20</v>
      </c>
      <c r="E12" s="2" t="s">
        <v>33</v>
      </c>
      <c r="F12" s="2" t="s">
        <v>81</v>
      </c>
      <c r="G12" s="5">
        <v>46008</v>
      </c>
      <c r="H12" s="5">
        <v>46195</v>
      </c>
      <c r="I12" s="2" t="s">
        <v>46</v>
      </c>
      <c r="J12" s="6">
        <f t="shared" si="1"/>
        <v>187</v>
      </c>
      <c r="K12" s="4" t="str">
        <f t="shared" ca="1" si="2"/>
        <v>Yes</v>
      </c>
      <c r="L12" s="7">
        <f t="shared" ca="1" si="4"/>
        <v>-13</v>
      </c>
      <c r="M12" s="4" t="str">
        <f>IF($I12="Complete","Green",IF($H12="","Amber",IF($H12&lt;'[2]Read Me'!$B$4,"Red",IF($H12-'[2]Read Me'!$B$4&lt;=21,"Amber","Green"))))</f>
        <v>Amber</v>
      </c>
      <c r="N12" s="3"/>
      <c r="O12" t="str">
        <f>IF($I12&lt;&gt;"Complete",IF(COUNTIFS($A$4:$A11,$A12,$B$4:$B11,$B12,$I$4:$I11,"&lt;&gt;Complete")=0,$A12&amp;"|"&amp;$B12,""),"")</f>
        <v/>
      </c>
      <c r="P12">
        <f ca="1">IF($K12="Yes",COUNTIFS($K$4:$K12,"Yes"),"")</f>
        <v>1</v>
      </c>
      <c r="Q12">
        <f t="shared" ca="1" si="3"/>
        <v>1</v>
      </c>
      <c r="R12">
        <f ca="1">IF($Q12=1,SUM($Q$4:$Q12),"")</f>
        <v>1</v>
      </c>
    </row>
    <row r="13" spans="1:18" ht="33.75" customHeight="1" x14ac:dyDescent="0.3">
      <c r="A13" s="2" t="s">
        <v>638</v>
      </c>
      <c r="B13" s="2" t="s">
        <v>62</v>
      </c>
      <c r="C13" s="3" t="s">
        <v>638</v>
      </c>
      <c r="D13" s="3" t="s">
        <v>641</v>
      </c>
      <c r="E13" s="2"/>
      <c r="F13" s="2" t="s">
        <v>30</v>
      </c>
      <c r="G13" s="5">
        <v>46023</v>
      </c>
      <c r="H13" s="5">
        <v>46061</v>
      </c>
      <c r="I13" s="2" t="s">
        <v>31</v>
      </c>
      <c r="J13" s="6">
        <f t="shared" si="1"/>
        <v>38</v>
      </c>
      <c r="K13" s="4" t="str">
        <f t="shared" ca="1" si="2"/>
        <v>-</v>
      </c>
      <c r="L13" s="7">
        <f t="shared" ca="1" si="4"/>
        <v>0</v>
      </c>
      <c r="M13" s="4" t="str">
        <f>IF($I13="Complete","Green",IF($H13="","Amber",IF($H13&lt;'[2]Read Me'!$B$4,"Red",IF($H13-'[2]Read Me'!$B$4&lt;=21,"Amber","Green"))))</f>
        <v>Red</v>
      </c>
      <c r="N13" s="3"/>
      <c r="O13" t="str">
        <f>IF($I13&lt;&gt;"Complete",IF(COUNTIFS($A$4:$A12,$A13,$B$4:$B12,$B13,$I$4:$I12,"&lt;&gt;Complete")=0,$A13&amp;"|"&amp;$B13,""),"")</f>
        <v/>
      </c>
      <c r="P13" t="str">
        <f ca="1">IF($K13="Yes",COUNTIFS($K$4:$K13,"Yes"),"")</f>
        <v/>
      </c>
      <c r="Q13">
        <f t="shared" ca="1" si="3"/>
        <v>0</v>
      </c>
      <c r="R13" t="str">
        <f ca="1">IF($Q13=1,SUM($Q$4:$Q13),"")</f>
        <v/>
      </c>
    </row>
    <row r="14" spans="1:18" ht="33.75" customHeight="1" x14ac:dyDescent="0.3">
      <c r="A14" s="2" t="s">
        <v>638</v>
      </c>
      <c r="B14" s="2" t="s">
        <v>62</v>
      </c>
      <c r="C14" s="3" t="s">
        <v>638</v>
      </c>
      <c r="D14" s="3" t="s">
        <v>37</v>
      </c>
      <c r="E14" s="2"/>
      <c r="F14" s="2"/>
      <c r="G14" s="5">
        <v>46033</v>
      </c>
      <c r="H14" s="5">
        <v>46065</v>
      </c>
      <c r="I14" s="2" t="s">
        <v>31</v>
      </c>
      <c r="J14" s="6">
        <f t="shared" si="1"/>
        <v>32</v>
      </c>
      <c r="K14" s="4" t="str">
        <f t="shared" ca="1" si="2"/>
        <v>-</v>
      </c>
      <c r="L14" s="7">
        <f t="shared" ca="1" si="4"/>
        <v>0</v>
      </c>
      <c r="M14" s="4" t="str">
        <f>IF($I14="Complete","Green",IF($H14="","Amber",IF($H14&lt;'[2]Read Me'!$B$4,"Red",IF($H14-'[2]Read Me'!$B$4&lt;=21,"Amber","Green"))))</f>
        <v>Red</v>
      </c>
      <c r="N14" s="3"/>
      <c r="O14" t="str">
        <f>IF($I14&lt;&gt;"Complete",IF(COUNTIFS($A$4:$A13,$A14,$B$4:$B13,$B14,$I$4:$I13,"&lt;&gt;Complete")=0,$A14&amp;"|"&amp;$B14,""),"")</f>
        <v/>
      </c>
      <c r="P14" t="str">
        <f ca="1">IF($K14="Yes",COUNTIFS($K$4:$K14,"Yes"),"")</f>
        <v/>
      </c>
      <c r="Q14">
        <f t="shared" ca="1" si="3"/>
        <v>0</v>
      </c>
      <c r="R14" t="str">
        <f ca="1">IF($Q14=1,SUM($Q$4:$Q14),"")</f>
        <v/>
      </c>
    </row>
    <row r="15" spans="1:18" ht="33.75" customHeight="1" x14ac:dyDescent="0.3">
      <c r="A15" s="2" t="s">
        <v>642</v>
      </c>
      <c r="B15" s="2" t="s">
        <v>62</v>
      </c>
      <c r="C15" s="3"/>
      <c r="D15" s="3"/>
      <c r="E15" s="2"/>
      <c r="F15" s="2"/>
      <c r="G15" s="5">
        <v>46118</v>
      </c>
      <c r="H15" s="5">
        <v>46195</v>
      </c>
      <c r="I15" s="2"/>
      <c r="J15" s="6">
        <f t="shared" si="1"/>
        <v>77</v>
      </c>
      <c r="K15" s="4" t="str">
        <f t="shared" ca="1" si="2"/>
        <v/>
      </c>
      <c r="L15" s="7">
        <f t="shared" ca="1" si="4"/>
        <v>-13</v>
      </c>
      <c r="M15" s="4" t="str">
        <f>IF($I15="Complete","Green",IF($H15="","Amber",IF($H15&lt;'[2]Read Me'!$B$4,"Red",IF($H15-'[2]Read Me'!$B$4&lt;=21,"Amber","Green"))))</f>
        <v>Amber</v>
      </c>
      <c r="N15" s="3"/>
      <c r="O15" t="str">
        <f>IF($I15&lt;&gt;"Complete",IF(COUNTIFS($A$4:$A14,$A15,$B$4:$B14,$B15,$I$4:$I14,"&lt;&gt;Complete")=0,$A15&amp;"|"&amp;$B15,""),"")</f>
        <v>One type (B3)|Buildings</v>
      </c>
      <c r="P15" t="str">
        <f ca="1">IF($K15="Yes",COUNTIFS($K$4:$K15,"Yes"),"")</f>
        <v/>
      </c>
      <c r="Q15">
        <f t="shared" ca="1" si="3"/>
        <v>0</v>
      </c>
      <c r="R15" t="str">
        <f ca="1">IF($Q15=1,SUM($Q$4:$Q15),"")</f>
        <v/>
      </c>
    </row>
    <row r="16" spans="1:18" ht="33.75" customHeight="1" x14ac:dyDescent="0.3">
      <c r="A16" s="2" t="s">
        <v>642</v>
      </c>
      <c r="B16" s="2" t="s">
        <v>62</v>
      </c>
      <c r="C16" s="3" t="s">
        <v>642</v>
      </c>
      <c r="D16" s="3" t="s">
        <v>15</v>
      </c>
      <c r="E16" s="2"/>
      <c r="F16" s="2" t="s">
        <v>30</v>
      </c>
      <c r="G16" s="5">
        <v>45993</v>
      </c>
      <c r="H16" s="5">
        <v>45998</v>
      </c>
      <c r="I16" s="2" t="s">
        <v>31</v>
      </c>
      <c r="J16" s="6">
        <f t="shared" si="1"/>
        <v>5</v>
      </c>
      <c r="K16" s="4" t="str">
        <f t="shared" ca="1" si="2"/>
        <v>-</v>
      </c>
      <c r="L16" s="7">
        <f t="shared" ca="1" si="4"/>
        <v>0</v>
      </c>
      <c r="M16" s="4" t="str">
        <f>IF($I16="Complete","Green",IF($H16="","Amber",IF($H16&lt;'[2]Read Me'!$B$4,"Red",IF($H16-'[2]Read Me'!$B$4&lt;=21,"Amber","Green"))))</f>
        <v>Red</v>
      </c>
      <c r="N16" s="3"/>
      <c r="O16" t="str">
        <f>IF($I16&lt;&gt;"Complete",IF(COUNTIFS($A$4:$A15,$A16,$B$4:$B15,$B16,$I$4:$I15,"&lt;&gt;Complete")=0,$A16&amp;"|"&amp;$B16,""),"")</f>
        <v/>
      </c>
      <c r="P16" t="str">
        <f ca="1">IF($K16="Yes",COUNTIFS($K$4:$K16,"Yes"),"")</f>
        <v/>
      </c>
      <c r="Q16">
        <f t="shared" ca="1" si="3"/>
        <v>0</v>
      </c>
      <c r="R16" t="str">
        <f ca="1">IF($Q16=1,SUM($Q$4:$Q16),"")</f>
        <v/>
      </c>
    </row>
    <row r="17" spans="1:18" ht="33.75" customHeight="1" x14ac:dyDescent="0.3">
      <c r="A17" s="2" t="s">
        <v>642</v>
      </c>
      <c r="B17" s="2" t="s">
        <v>62</v>
      </c>
      <c r="C17" s="3" t="s">
        <v>642</v>
      </c>
      <c r="D17" s="3" t="s">
        <v>643</v>
      </c>
      <c r="E17" s="2"/>
      <c r="F17" s="2" t="s">
        <v>30</v>
      </c>
      <c r="G17" s="5">
        <v>45993</v>
      </c>
      <c r="H17" s="5">
        <v>46022</v>
      </c>
      <c r="I17" s="2" t="s">
        <v>31</v>
      </c>
      <c r="J17" s="6">
        <f t="shared" si="1"/>
        <v>29</v>
      </c>
      <c r="K17" s="4" t="str">
        <f t="shared" ca="1" si="2"/>
        <v>-</v>
      </c>
      <c r="L17" s="7">
        <f t="shared" ca="1" si="4"/>
        <v>0</v>
      </c>
      <c r="M17" s="4" t="str">
        <f>IF($I17="Complete","Green",IF($H17="","Amber",IF($H17&lt;'[2]Read Me'!$B$4,"Red",IF($H17-'[2]Read Me'!$B$4&lt;=21,"Amber","Green"))))</f>
        <v>Red</v>
      </c>
      <c r="N17" s="3"/>
      <c r="O17" t="str">
        <f>IF($I17&lt;&gt;"Complete",IF(COUNTIFS($A$4:$A16,$A17,$B$4:$B16,$B17,$I$4:$I16,"&lt;&gt;Complete")=0,$A17&amp;"|"&amp;$B17,""),"")</f>
        <v/>
      </c>
      <c r="P17" t="str">
        <f ca="1">IF($K17="Yes",COUNTIFS($K$4:$K17,"Yes"),"")</f>
        <v/>
      </c>
      <c r="Q17">
        <f t="shared" ca="1" si="3"/>
        <v>0</v>
      </c>
      <c r="R17" t="str">
        <f ca="1">IF($Q17=1,SUM($Q$4:$Q17),"")</f>
        <v/>
      </c>
    </row>
    <row r="18" spans="1:18" ht="33.75" customHeight="1" x14ac:dyDescent="0.3">
      <c r="A18" s="2" t="s">
        <v>642</v>
      </c>
      <c r="B18" s="2" t="s">
        <v>62</v>
      </c>
      <c r="C18" s="3" t="s">
        <v>642</v>
      </c>
      <c r="D18" s="3" t="s">
        <v>35</v>
      </c>
      <c r="E18" s="2"/>
      <c r="F18" s="2"/>
      <c r="G18" s="5">
        <v>46008</v>
      </c>
      <c r="H18" s="5">
        <v>46022</v>
      </c>
      <c r="I18" s="2" t="s">
        <v>31</v>
      </c>
      <c r="J18" s="6">
        <f t="shared" si="1"/>
        <v>14</v>
      </c>
      <c r="K18" s="4" t="str">
        <f t="shared" ca="1" si="2"/>
        <v>-</v>
      </c>
      <c r="L18" s="7">
        <f t="shared" ca="1" si="4"/>
        <v>0</v>
      </c>
      <c r="M18" s="4" t="str">
        <f>IF($I18="Complete","Green",IF($H18="","Amber",IF($H18&lt;'[2]Read Me'!$B$4,"Red",IF($H18-'[2]Read Me'!$B$4&lt;=21,"Amber","Green"))))</f>
        <v>Red</v>
      </c>
      <c r="N18" s="3"/>
      <c r="O18" t="str">
        <f>IF($I18&lt;&gt;"Complete",IF(COUNTIFS($A$4:$A17,$A18,$B$4:$B17,$B18,$I$4:$I17,"&lt;&gt;Complete")=0,$A18&amp;"|"&amp;$B18,""),"")</f>
        <v/>
      </c>
      <c r="P18" t="str">
        <f ca="1">IF($K18="Yes",COUNTIFS($K$4:$K18,"Yes"),"")</f>
        <v/>
      </c>
      <c r="Q18">
        <f t="shared" ca="1" si="3"/>
        <v>0</v>
      </c>
      <c r="R18" t="str">
        <f ca="1">IF($Q18=1,SUM($Q$4:$Q18),"")</f>
        <v/>
      </c>
    </row>
    <row r="19" spans="1:18" ht="33.75" customHeight="1" x14ac:dyDescent="0.3">
      <c r="A19" s="2" t="s">
        <v>642</v>
      </c>
      <c r="B19" s="2" t="s">
        <v>62</v>
      </c>
      <c r="C19" s="3" t="s">
        <v>642</v>
      </c>
      <c r="D19" s="3" t="s">
        <v>20</v>
      </c>
      <c r="E19" s="2" t="s">
        <v>33</v>
      </c>
      <c r="F19" s="2" t="s">
        <v>81</v>
      </c>
      <c r="G19" s="5">
        <v>46008</v>
      </c>
      <c r="H19" s="5">
        <v>46195</v>
      </c>
      <c r="I19" s="2" t="s">
        <v>46</v>
      </c>
      <c r="J19" s="6">
        <f t="shared" si="1"/>
        <v>187</v>
      </c>
      <c r="K19" s="4" t="str">
        <f t="shared" ca="1" si="2"/>
        <v>Yes</v>
      </c>
      <c r="L19" s="7">
        <f t="shared" ca="1" si="4"/>
        <v>-13</v>
      </c>
      <c r="M19" s="4" t="str">
        <f>IF($I19="Complete","Green",IF($H19="","Amber",IF($H19&lt;'[2]Read Me'!$B$4,"Red",IF($H19-'[2]Read Me'!$B$4&lt;=21,"Amber","Green"))))</f>
        <v>Amber</v>
      </c>
      <c r="N19" s="3"/>
      <c r="O19" t="str">
        <f>IF($I19&lt;&gt;"Complete",IF(COUNTIFS($A$4:$A18,$A19,$B$4:$B18,$B19,$I$4:$I18,"&lt;&gt;Complete")=0,$A19&amp;"|"&amp;$B19,""),"")</f>
        <v/>
      </c>
      <c r="P19">
        <f ca="1">IF($K19="Yes",COUNTIFS($K$4:$K19,"Yes"),"")</f>
        <v>2</v>
      </c>
      <c r="Q19">
        <f t="shared" ca="1" si="3"/>
        <v>1</v>
      </c>
      <c r="R19">
        <f ca="1">IF($Q19=1,SUM($Q$4:$Q19),"")</f>
        <v>2</v>
      </c>
    </row>
    <row r="20" spans="1:18" ht="33.75" customHeight="1" x14ac:dyDescent="0.3">
      <c r="A20" s="2" t="s">
        <v>642</v>
      </c>
      <c r="B20" s="2" t="s">
        <v>62</v>
      </c>
      <c r="C20" s="3" t="s">
        <v>642</v>
      </c>
      <c r="D20" s="3" t="s">
        <v>639</v>
      </c>
      <c r="E20" s="2"/>
      <c r="F20" s="2" t="s">
        <v>30</v>
      </c>
      <c r="G20" s="5">
        <v>46008</v>
      </c>
      <c r="H20" s="5">
        <v>46022</v>
      </c>
      <c r="I20" s="2" t="s">
        <v>31</v>
      </c>
      <c r="J20" s="6">
        <f t="shared" si="1"/>
        <v>14</v>
      </c>
      <c r="K20" s="4" t="str">
        <f t="shared" ca="1" si="2"/>
        <v>-</v>
      </c>
      <c r="L20" s="7">
        <f t="shared" ca="1" si="4"/>
        <v>0</v>
      </c>
      <c r="M20" s="4" t="str">
        <f>IF($I20="Complete","Green",IF($H20="","Amber",IF($H20&lt;'[2]Read Me'!$B$4,"Red",IF($H20-'[2]Read Me'!$B$4&lt;=21,"Amber","Green"))))</f>
        <v>Red</v>
      </c>
      <c r="N20" s="3"/>
      <c r="O20" t="str">
        <f>IF($I20&lt;&gt;"Complete",IF(COUNTIFS($A$4:$A19,$A20,$B$4:$B19,$B20,$I$4:$I19,"&lt;&gt;Complete")=0,$A20&amp;"|"&amp;$B20,""),"")</f>
        <v/>
      </c>
      <c r="P20" t="str">
        <f ca="1">IF($K20="Yes",COUNTIFS($K$4:$K20,"Yes"),"")</f>
        <v/>
      </c>
      <c r="Q20">
        <f t="shared" ca="1" si="3"/>
        <v>0</v>
      </c>
      <c r="R20" t="str">
        <f ca="1">IF($Q20=1,SUM($Q$4:$Q20),"")</f>
        <v/>
      </c>
    </row>
    <row r="21" spans="1:18" ht="33.75" customHeight="1" x14ac:dyDescent="0.3">
      <c r="A21" s="2" t="s">
        <v>642</v>
      </c>
      <c r="B21" s="2" t="s">
        <v>62</v>
      </c>
      <c r="C21" s="3" t="s">
        <v>642</v>
      </c>
      <c r="D21" s="3" t="s">
        <v>644</v>
      </c>
      <c r="E21" s="2"/>
      <c r="F21" s="2" t="s">
        <v>30</v>
      </c>
      <c r="G21" s="5">
        <v>46023</v>
      </c>
      <c r="H21" s="5">
        <v>46061</v>
      </c>
      <c r="I21" s="2" t="s">
        <v>31</v>
      </c>
      <c r="J21" s="6">
        <f t="shared" si="1"/>
        <v>38</v>
      </c>
      <c r="K21" s="4" t="str">
        <f t="shared" ca="1" si="2"/>
        <v>-</v>
      </c>
      <c r="L21" s="7">
        <f t="shared" ca="1" si="4"/>
        <v>0</v>
      </c>
      <c r="M21" s="4" t="str">
        <f>IF($I21="Complete","Green",IF($H21="","Amber",IF($H21&lt;'[2]Read Me'!$B$4,"Red",IF($H21-'[2]Read Me'!$B$4&lt;=21,"Amber","Green"))))</f>
        <v>Red</v>
      </c>
      <c r="N21" s="3"/>
      <c r="O21" t="str">
        <f>IF($I21&lt;&gt;"Complete",IF(COUNTIFS($A$4:$A20,$A21,$B$4:$B20,$B21,$I$4:$I20,"&lt;&gt;Complete")=0,$A21&amp;"|"&amp;$B21,""),"")</f>
        <v/>
      </c>
      <c r="P21" t="str">
        <f ca="1">IF($K21="Yes",COUNTIFS($K$4:$K21,"Yes"),"")</f>
        <v/>
      </c>
      <c r="Q21">
        <f t="shared" ca="1" si="3"/>
        <v>0</v>
      </c>
      <c r="R21" t="str">
        <f ca="1">IF($Q21=1,SUM($Q$4:$Q21),"")</f>
        <v/>
      </c>
    </row>
    <row r="22" spans="1:18" ht="33.75" customHeight="1" x14ac:dyDescent="0.3">
      <c r="A22" s="2" t="s">
        <v>642</v>
      </c>
      <c r="B22" s="2" t="s">
        <v>62</v>
      </c>
      <c r="C22" s="3" t="s">
        <v>642</v>
      </c>
      <c r="D22" s="3" t="s">
        <v>37</v>
      </c>
      <c r="E22" s="2"/>
      <c r="F22" s="2"/>
      <c r="G22" s="5">
        <v>46033</v>
      </c>
      <c r="H22" s="5">
        <v>46065</v>
      </c>
      <c r="I22" s="2" t="s">
        <v>31</v>
      </c>
      <c r="J22" s="6">
        <f t="shared" si="1"/>
        <v>32</v>
      </c>
      <c r="K22" s="4" t="str">
        <f t="shared" ca="1" si="2"/>
        <v>-</v>
      </c>
      <c r="L22" s="7">
        <f t="shared" ca="1" si="4"/>
        <v>0</v>
      </c>
      <c r="M22" s="4" t="str">
        <f>IF($I22="Complete","Green",IF($H22="","Amber",IF($H22&lt;'[2]Read Me'!$B$4,"Red",IF($H22-'[2]Read Me'!$B$4&lt;=21,"Amber","Green"))))</f>
        <v>Red</v>
      </c>
      <c r="N22" s="3"/>
      <c r="O22" t="str">
        <f>IF($I22&lt;&gt;"Complete",IF(COUNTIFS($A$4:$A21,$A22,$B$4:$B21,$B22,$I$4:$I21,"&lt;&gt;Complete")=0,$A22&amp;"|"&amp;$B22,""),"")</f>
        <v/>
      </c>
      <c r="P22" t="str">
        <f ca="1">IF($K22="Yes",COUNTIFS($K$4:$K22,"Yes"),"")</f>
        <v/>
      </c>
      <c r="Q22">
        <f t="shared" ca="1" si="3"/>
        <v>0</v>
      </c>
      <c r="R22" t="str">
        <f ca="1">IF($Q22=1,SUM($Q$4:$Q22),"")</f>
        <v/>
      </c>
    </row>
    <row r="23" spans="1:18" ht="33.75" customHeight="1" x14ac:dyDescent="0.3">
      <c r="A23" s="2" t="s">
        <v>49</v>
      </c>
      <c r="B23" s="2" t="s">
        <v>49</v>
      </c>
      <c r="C23" s="3"/>
      <c r="D23" s="3"/>
      <c r="E23" s="2"/>
      <c r="F23" s="2"/>
      <c r="G23" s="5">
        <v>45952</v>
      </c>
      <c r="H23" s="5">
        <v>45952</v>
      </c>
      <c r="I23" s="2"/>
      <c r="J23" s="6">
        <f t="shared" si="1"/>
        <v>0</v>
      </c>
      <c r="K23" s="4" t="str">
        <f t="shared" ca="1" si="2"/>
        <v/>
      </c>
      <c r="L23" s="7">
        <f t="shared" ca="1" si="4"/>
        <v>-256</v>
      </c>
      <c r="M23" s="4" t="str">
        <f>IF($I23="Complete","Green",IF($H23="","Amber",IF($H23&lt;'[2]Read Me'!$B$4,"Red",IF($H23-'[2]Read Me'!$B$4&lt;=21,"Amber","Green"))))</f>
        <v>Red</v>
      </c>
      <c r="N23" s="3"/>
      <c r="O23" t="str">
        <f>IF($I23&lt;&gt;"Complete",IF(COUNTIFS($A$4:$A22,$A23,$B$4:$B22,$B23,$I$4:$I22,"&lt;&gt;Complete")=0,$A23&amp;"|"&amp;$B23,""),"")</f>
        <v>Authorities|Authorities</v>
      </c>
      <c r="P23" t="str">
        <f ca="1">IF($K23="Yes",COUNTIFS($K$4:$K23,"Yes"),"")</f>
        <v/>
      </c>
      <c r="Q23">
        <f t="shared" ca="1" si="3"/>
        <v>0</v>
      </c>
      <c r="R23" t="str">
        <f ca="1">IF($Q23=1,SUM($Q$4:$Q23),"")</f>
        <v/>
      </c>
    </row>
    <row r="24" spans="1:18" ht="33.75" customHeight="1" x14ac:dyDescent="0.3">
      <c r="A24" s="2" t="s">
        <v>49</v>
      </c>
      <c r="B24" s="2" t="s">
        <v>49</v>
      </c>
      <c r="C24" s="3" t="s">
        <v>49</v>
      </c>
      <c r="D24" s="3" t="s">
        <v>645</v>
      </c>
      <c r="E24" s="2"/>
      <c r="F24" s="2"/>
      <c r="G24" s="5">
        <v>45952</v>
      </c>
      <c r="H24" s="5">
        <v>45952</v>
      </c>
      <c r="I24" s="2" t="s">
        <v>31</v>
      </c>
      <c r="J24" s="6">
        <f t="shared" si="1"/>
        <v>0</v>
      </c>
      <c r="K24" s="4" t="str">
        <f t="shared" ca="1" si="2"/>
        <v>-</v>
      </c>
      <c r="L24" s="7">
        <f t="shared" ca="1" si="4"/>
        <v>0</v>
      </c>
      <c r="M24" s="4" t="str">
        <f>IF($I24="Complete","Green",IF($H24="","Amber",IF($H24&lt;'[2]Read Me'!$B$4,"Red",IF($H24-'[2]Read Me'!$B$4&lt;=21,"Amber","Green"))))</f>
        <v>Red</v>
      </c>
      <c r="N24" s="3"/>
      <c r="O24" t="str">
        <f>IF($I24&lt;&gt;"Complete",IF(COUNTIFS($A$4:$A23,$A24,$B$4:$B23,$B24,$I$4:$I23,"&lt;&gt;Complete")=0,$A24&amp;"|"&amp;$B24,""),"")</f>
        <v/>
      </c>
      <c r="P24" t="str">
        <f ca="1">IF($K24="Yes",COUNTIFS($K$4:$K24,"Yes"),"")</f>
        <v/>
      </c>
      <c r="Q24">
        <f t="shared" ca="1" si="3"/>
        <v>0</v>
      </c>
      <c r="R24" t="str">
        <f ca="1">IF($Q24=1,SUM($Q$4:$Q24),"")</f>
        <v/>
      </c>
    </row>
    <row r="25" spans="1:18" ht="33.75" customHeight="1" x14ac:dyDescent="0.3">
      <c r="A25" s="2" t="s">
        <v>646</v>
      </c>
      <c r="B25" s="2" t="s">
        <v>646</v>
      </c>
      <c r="C25" s="3"/>
      <c r="D25" s="3"/>
      <c r="E25" s="2"/>
      <c r="F25" s="2"/>
      <c r="G25" s="5">
        <v>46443</v>
      </c>
      <c r="H25" s="5">
        <v>46447</v>
      </c>
      <c r="I25" s="2"/>
      <c r="J25" s="6">
        <f t="shared" si="1"/>
        <v>4</v>
      </c>
      <c r="K25" s="4" t="str">
        <f t="shared" ca="1" si="2"/>
        <v/>
      </c>
      <c r="L25" s="7">
        <f t="shared" ca="1" si="4"/>
        <v>239</v>
      </c>
      <c r="M25" s="4" t="str">
        <f>IF($I25="Complete","Green",IF($H25="","Amber",IF($H25&lt;'[2]Read Me'!$B$4,"Red",IF($H25-'[2]Read Me'!$B$4&lt;=21,"Amber","Green"))))</f>
        <v>Green</v>
      </c>
      <c r="N25" s="3"/>
      <c r="O25" t="str">
        <f>IF($I25&lt;&gt;"Complete",IF(COUNTIFS($A$4:$A24,$A25,$B$4:$B24,$B25,$I$4:$I24,"&lt;&gt;Complete")=0,$A25&amp;"|"&amp;$B25,""),"")</f>
        <v>Crystal Lagoon|Crystal Lagoon</v>
      </c>
      <c r="P25" t="str">
        <f ca="1">IF($K25="Yes",COUNTIFS($K$4:$K25,"Yes"),"")</f>
        <v/>
      </c>
      <c r="Q25">
        <f t="shared" ca="1" si="3"/>
        <v>0</v>
      </c>
      <c r="R25" t="str">
        <f ca="1">IF($Q25=1,SUM($Q$4:$Q25),"")</f>
        <v/>
      </c>
    </row>
    <row r="26" spans="1:18" ht="33.75" customHeight="1" x14ac:dyDescent="0.3">
      <c r="A26" s="2" t="s">
        <v>646</v>
      </c>
      <c r="B26" s="2" t="s">
        <v>646</v>
      </c>
      <c r="C26" s="3" t="s">
        <v>646</v>
      </c>
      <c r="D26" s="3" t="s">
        <v>647</v>
      </c>
      <c r="E26" s="2" t="s">
        <v>648</v>
      </c>
      <c r="F26" s="2"/>
      <c r="G26" s="5">
        <v>45952</v>
      </c>
      <c r="H26" s="5">
        <v>46064</v>
      </c>
      <c r="I26" s="2" t="s">
        <v>31</v>
      </c>
      <c r="J26" s="6">
        <f t="shared" si="1"/>
        <v>112</v>
      </c>
      <c r="K26" s="4" t="str">
        <f t="shared" ca="1" si="2"/>
        <v>-</v>
      </c>
      <c r="L26" s="7">
        <f t="shared" ca="1" si="4"/>
        <v>0</v>
      </c>
      <c r="M26" s="4" t="str">
        <f>IF($I26="Complete","Green",IF($H26="","Amber",IF($H26&lt;'[2]Read Me'!$B$4,"Red",IF($H26-'[2]Read Me'!$B$4&lt;=21,"Amber","Green"))))</f>
        <v>Red</v>
      </c>
      <c r="N26" s="3"/>
      <c r="O26" t="str">
        <f>IF($I26&lt;&gt;"Complete",IF(COUNTIFS($A$4:$A25,$A26,$B$4:$B25,$B26,$I$4:$I25,"&lt;&gt;Complete")=0,$A26&amp;"|"&amp;$B26,""),"")</f>
        <v/>
      </c>
      <c r="P26" t="str">
        <f ca="1">IF($K26="Yes",COUNTIFS($K$4:$K26,"Yes"),"")</f>
        <v/>
      </c>
      <c r="Q26">
        <f t="shared" ca="1" si="3"/>
        <v>0</v>
      </c>
      <c r="R26" t="str">
        <f ca="1">IF($Q26=1,SUM($Q$4:$Q26),"")</f>
        <v/>
      </c>
    </row>
    <row r="27" spans="1:18" ht="33.75" customHeight="1" x14ac:dyDescent="0.3">
      <c r="A27" s="2" t="s">
        <v>646</v>
      </c>
      <c r="B27" s="2" t="s">
        <v>646</v>
      </c>
      <c r="C27" s="3" t="s">
        <v>646</v>
      </c>
      <c r="D27" s="3" t="s">
        <v>649</v>
      </c>
      <c r="E27" s="2" t="s">
        <v>648</v>
      </c>
      <c r="F27" s="2"/>
      <c r="G27" s="5">
        <v>45974</v>
      </c>
      <c r="H27" s="5">
        <v>46064</v>
      </c>
      <c r="I27" s="2" t="s">
        <v>31</v>
      </c>
      <c r="J27" s="6">
        <f t="shared" si="1"/>
        <v>90</v>
      </c>
      <c r="K27" s="4" t="str">
        <f t="shared" ca="1" si="2"/>
        <v>-</v>
      </c>
      <c r="L27" s="7">
        <f t="shared" ca="1" si="4"/>
        <v>0</v>
      </c>
      <c r="M27" s="4" t="str">
        <f>IF($I27="Complete","Green",IF($H27="","Amber",IF($H27&lt;'[2]Read Me'!$B$4,"Red",IF($H27-'[2]Read Me'!$B$4&lt;=21,"Amber","Green"))))</f>
        <v>Red</v>
      </c>
      <c r="N27" s="3"/>
      <c r="O27" t="str">
        <f>IF($I27&lt;&gt;"Complete",IF(COUNTIFS($A$4:$A26,$A27,$B$4:$B26,$B27,$I$4:$I26,"&lt;&gt;Complete")=0,$A27&amp;"|"&amp;$B27,""),"")</f>
        <v/>
      </c>
      <c r="P27" t="str">
        <f ca="1">IF($K27="Yes",COUNTIFS($K$4:$K27,"Yes"),"")</f>
        <v/>
      </c>
      <c r="Q27">
        <f t="shared" ca="1" si="3"/>
        <v>0</v>
      </c>
      <c r="R27" t="str">
        <f ca="1">IF($Q27=1,SUM($Q$4:$Q27),"")</f>
        <v/>
      </c>
    </row>
    <row r="28" spans="1:18" ht="33.75" customHeight="1" x14ac:dyDescent="0.3">
      <c r="A28" s="2" t="s">
        <v>646</v>
      </c>
      <c r="B28" s="2" t="s">
        <v>646</v>
      </c>
      <c r="C28" s="3" t="s">
        <v>646</v>
      </c>
      <c r="D28" s="3" t="s">
        <v>650</v>
      </c>
      <c r="E28" s="2" t="s">
        <v>648</v>
      </c>
      <c r="F28" s="2"/>
      <c r="G28" s="5">
        <v>46002</v>
      </c>
      <c r="H28" s="5">
        <v>46146</v>
      </c>
      <c r="I28" s="2" t="s">
        <v>31</v>
      </c>
      <c r="J28" s="6">
        <f t="shared" si="1"/>
        <v>144</v>
      </c>
      <c r="K28" s="4" t="str">
        <f t="shared" ca="1" si="2"/>
        <v>-</v>
      </c>
      <c r="L28" s="7">
        <f t="shared" ca="1" si="4"/>
        <v>0</v>
      </c>
      <c r="M28" s="4" t="str">
        <f>IF($I28="Complete","Green",IF($H28="","Amber",IF($H28&lt;'[2]Read Me'!$B$4,"Red",IF($H28-'[2]Read Me'!$B$4&lt;=21,"Amber","Green"))))</f>
        <v>Red</v>
      </c>
      <c r="N28" s="3"/>
      <c r="O28" t="str">
        <f>IF($I28&lt;&gt;"Complete",IF(COUNTIFS($A$4:$A27,$A28,$B$4:$B27,$B28,$I$4:$I27,"&lt;&gt;Complete")=0,$A28&amp;"|"&amp;$B28,""),"")</f>
        <v/>
      </c>
      <c r="P28" t="str">
        <f ca="1">IF($K28="Yes",COUNTIFS($K$4:$K28,"Yes"),"")</f>
        <v/>
      </c>
      <c r="Q28">
        <f t="shared" ca="1" si="3"/>
        <v>0</v>
      </c>
      <c r="R28" t="str">
        <f ca="1">IF($Q28=1,SUM($Q$4:$Q28),"")</f>
        <v/>
      </c>
    </row>
    <row r="29" spans="1:18" ht="33.75" customHeight="1" x14ac:dyDescent="0.3">
      <c r="A29" s="2" t="s">
        <v>646</v>
      </c>
      <c r="B29" s="2" t="s">
        <v>646</v>
      </c>
      <c r="C29" s="3" t="s">
        <v>646</v>
      </c>
      <c r="D29" s="3" t="s">
        <v>651</v>
      </c>
      <c r="E29" s="2" t="s">
        <v>648</v>
      </c>
      <c r="F29" s="2"/>
      <c r="G29" s="5">
        <v>46161</v>
      </c>
      <c r="H29" s="5">
        <v>46161</v>
      </c>
      <c r="I29" s="2" t="s">
        <v>31</v>
      </c>
      <c r="J29" s="6">
        <f t="shared" si="1"/>
        <v>0</v>
      </c>
      <c r="K29" s="4" t="str">
        <f t="shared" ca="1" si="2"/>
        <v>-</v>
      </c>
      <c r="L29" s="7">
        <f t="shared" ca="1" si="4"/>
        <v>0</v>
      </c>
      <c r="M29" s="4" t="str">
        <f>IF($I29="Complete","Green",IF($H29="","Amber",IF($H29&lt;'[2]Read Me'!$B$4,"Red",IF($H29-'[2]Read Me'!$B$4&lt;=21,"Amber","Green"))))</f>
        <v>Red</v>
      </c>
      <c r="N29" s="3"/>
      <c r="O29" t="str">
        <f>IF($I29&lt;&gt;"Complete",IF(COUNTIFS($A$4:$A28,$A29,$B$4:$B28,$B29,$I$4:$I28,"&lt;&gt;Complete")=0,$A29&amp;"|"&amp;$B29,""),"")</f>
        <v/>
      </c>
      <c r="P29" t="str">
        <f ca="1">IF($K29="Yes",COUNTIFS($K$4:$K29,"Yes"),"")</f>
        <v/>
      </c>
      <c r="Q29">
        <f t="shared" ca="1" si="3"/>
        <v>0</v>
      </c>
      <c r="R29" t="str">
        <f ca="1">IF($Q29=1,SUM($Q$4:$Q29),"")</f>
        <v/>
      </c>
    </row>
    <row r="30" spans="1:18" ht="33.75" customHeight="1" x14ac:dyDescent="0.3">
      <c r="A30" s="2" t="s">
        <v>646</v>
      </c>
      <c r="B30" s="2" t="s">
        <v>646</v>
      </c>
      <c r="C30" s="3" t="s">
        <v>646</v>
      </c>
      <c r="D30" s="3" t="s">
        <v>652</v>
      </c>
      <c r="E30" s="2" t="s">
        <v>648</v>
      </c>
      <c r="F30" s="2"/>
      <c r="G30" s="5">
        <v>46198</v>
      </c>
      <c r="H30" s="5">
        <v>46202</v>
      </c>
      <c r="I30" s="2" t="s">
        <v>46</v>
      </c>
      <c r="J30" s="6">
        <f t="shared" si="1"/>
        <v>4</v>
      </c>
      <c r="K30" s="4" t="str">
        <f t="shared" ca="1" si="2"/>
        <v>Yes</v>
      </c>
      <c r="L30" s="7">
        <f t="shared" ca="1" si="4"/>
        <v>-6</v>
      </c>
      <c r="M30" s="4" t="str">
        <f>IF($I30="Complete","Green",IF($H30="","Amber",IF($H30&lt;'[2]Read Me'!$B$4,"Red",IF($H30-'[2]Read Me'!$B$4&lt;=21,"Amber","Green"))))</f>
        <v>Amber</v>
      </c>
      <c r="N30" s="3"/>
      <c r="O30" t="str">
        <f>IF($I30&lt;&gt;"Complete",IF(COUNTIFS($A$4:$A29,$A30,$B$4:$B29,$B30,$I$4:$I29,"&lt;&gt;Complete")=0,$A30&amp;"|"&amp;$B30,""),"")</f>
        <v/>
      </c>
      <c r="P30">
        <f ca="1">IF($K30="Yes",COUNTIFS($K$4:$K30,"Yes"),"")</f>
        <v>3</v>
      </c>
      <c r="Q30">
        <f t="shared" ca="1" si="3"/>
        <v>1</v>
      </c>
      <c r="R30">
        <f ca="1">IF($Q30=1,SUM($Q$4:$Q30),"")</f>
        <v>3</v>
      </c>
    </row>
    <row r="31" spans="1:18" ht="14.25" customHeight="1" x14ac:dyDescent="0.3">
      <c r="A31" s="2" t="s">
        <v>646</v>
      </c>
      <c r="B31" s="2" t="s">
        <v>646</v>
      </c>
      <c r="C31" s="3" t="s">
        <v>646</v>
      </c>
      <c r="D31" s="3" t="s">
        <v>653</v>
      </c>
      <c r="E31" s="2" t="s">
        <v>648</v>
      </c>
      <c r="F31" s="2"/>
      <c r="G31" s="5">
        <v>46198</v>
      </c>
      <c r="H31" s="5">
        <v>46272</v>
      </c>
      <c r="I31" s="2" t="s">
        <v>17</v>
      </c>
      <c r="J31" s="6">
        <f t="shared" si="1"/>
        <v>74</v>
      </c>
      <c r="K31" s="4" t="str">
        <f t="shared" ca="1" si="2"/>
        <v>No</v>
      </c>
      <c r="L31" s="7">
        <f t="shared" ca="1" si="4"/>
        <v>64</v>
      </c>
      <c r="M31" s="4" t="str">
        <f>IF($I31="Complete","Green",IF($H31="","Amber",IF($H31&lt;'[2]Read Me'!$B$4,"Red",IF($H31-'[2]Read Me'!$B$4&lt;=21,"Amber","Green"))))</f>
        <v>Green</v>
      </c>
      <c r="N31" s="3"/>
      <c r="O31" t="str">
        <f>IF($I31&lt;&gt;"Complete",IF(COUNTIFS($A$4:$A30,$A31,$B$4:$B30,$B31,$I$4:$I30,"&lt;&gt;Complete")=0,$A31&amp;"|"&amp;$B31,""),"")</f>
        <v/>
      </c>
      <c r="P31" t="str">
        <f ca="1">IF($K31="Yes",COUNTIFS($K$4:$K31,"Yes"),"")</f>
        <v/>
      </c>
      <c r="Q31">
        <f t="shared" ca="1" si="3"/>
        <v>0</v>
      </c>
      <c r="R31" t="str">
        <f ca="1">IF($Q31=1,SUM($Q$4:$Q31),"")</f>
        <v/>
      </c>
    </row>
    <row r="32" spans="1:18" ht="14.25" customHeight="1" x14ac:dyDescent="0.3">
      <c r="A32" s="2" t="s">
        <v>646</v>
      </c>
      <c r="B32" s="2" t="s">
        <v>646</v>
      </c>
      <c r="C32" s="3" t="s">
        <v>646</v>
      </c>
      <c r="D32" s="3" t="s">
        <v>654</v>
      </c>
      <c r="E32" s="2" t="s">
        <v>648</v>
      </c>
      <c r="F32" s="2"/>
      <c r="G32" s="5">
        <v>46226</v>
      </c>
      <c r="H32" s="5">
        <v>46300</v>
      </c>
      <c r="I32" s="2" t="s">
        <v>17</v>
      </c>
      <c r="J32" s="6">
        <f t="shared" si="1"/>
        <v>74</v>
      </c>
      <c r="K32" s="4" t="str">
        <f t="shared" ca="1" si="2"/>
        <v>No</v>
      </c>
      <c r="L32" s="7">
        <f t="shared" ca="1" si="4"/>
        <v>92</v>
      </c>
      <c r="M32" s="4" t="str">
        <f>IF($I32="Complete","Green",IF($H32="","Amber",IF($H32&lt;'[2]Read Me'!$B$4,"Red",IF($H32-'[2]Read Me'!$B$4&lt;=21,"Amber","Green"))))</f>
        <v>Green</v>
      </c>
      <c r="N32" s="3"/>
      <c r="O32" t="str">
        <f>IF($I32&lt;&gt;"Complete",IF(COUNTIFS($A$4:$A31,$A32,$B$4:$B31,$B32,$I$4:$I31,"&lt;&gt;Complete")=0,$A32&amp;"|"&amp;$B32,""),"")</f>
        <v/>
      </c>
      <c r="P32" t="str">
        <f ca="1">IF($K32="Yes",COUNTIFS($K$4:$K32,"Yes"),"")</f>
        <v/>
      </c>
      <c r="Q32">
        <f t="shared" ca="1" si="3"/>
        <v>0</v>
      </c>
      <c r="R32" t="str">
        <f ca="1">IF($Q32=1,SUM($Q$4:$Q32),"")</f>
        <v/>
      </c>
    </row>
    <row r="33" spans="1:18" ht="14.25" customHeight="1" x14ac:dyDescent="0.3">
      <c r="A33" s="2" t="s">
        <v>646</v>
      </c>
      <c r="B33" s="2" t="s">
        <v>646</v>
      </c>
      <c r="C33" s="3" t="s">
        <v>646</v>
      </c>
      <c r="D33" s="3" t="s">
        <v>14</v>
      </c>
      <c r="E33" s="2" t="s">
        <v>648</v>
      </c>
      <c r="F33" s="2"/>
      <c r="G33" s="5">
        <v>46219</v>
      </c>
      <c r="H33" s="5">
        <v>46223</v>
      </c>
      <c r="I33" s="2" t="s">
        <v>17</v>
      </c>
      <c r="J33" s="6">
        <f t="shared" si="1"/>
        <v>4</v>
      </c>
      <c r="K33" s="4" t="str">
        <f t="shared" ca="1" si="2"/>
        <v>No</v>
      </c>
      <c r="L33" s="7">
        <f t="shared" ca="1" si="4"/>
        <v>15</v>
      </c>
      <c r="M33" s="4" t="str">
        <f>IF($I33="Complete","Green",IF($H33="","Amber",IF($H33&lt;'[2]Read Me'!$B$4,"Red",IF($H33-'[2]Read Me'!$B$4&lt;=21,"Amber","Green"))))</f>
        <v>Green</v>
      </c>
      <c r="N33" s="3"/>
      <c r="O33" t="str">
        <f>IF($I33&lt;&gt;"Complete",IF(COUNTIFS($A$4:$A32,$A33,$B$4:$B32,$B33,$I$4:$I32,"&lt;&gt;Complete")=0,$A33&amp;"|"&amp;$B33,""),"")</f>
        <v/>
      </c>
      <c r="P33" t="str">
        <f ca="1">IF($K33="Yes",COUNTIFS($K$4:$K33,"Yes"),"")</f>
        <v/>
      </c>
      <c r="Q33">
        <f t="shared" ca="1" si="3"/>
        <v>0</v>
      </c>
      <c r="R33" t="str">
        <f ca="1">IF($Q33=1,SUM($Q$4:$Q33),"")</f>
        <v/>
      </c>
    </row>
    <row r="34" spans="1:18" ht="14.25" customHeight="1" x14ac:dyDescent="0.3">
      <c r="A34" s="2" t="s">
        <v>646</v>
      </c>
      <c r="B34" s="2" t="s">
        <v>646</v>
      </c>
      <c r="C34" s="3" t="s">
        <v>646</v>
      </c>
      <c r="D34" s="3" t="s">
        <v>655</v>
      </c>
      <c r="E34" s="2" t="s">
        <v>648</v>
      </c>
      <c r="F34" s="2"/>
      <c r="G34" s="5">
        <v>46247</v>
      </c>
      <c r="H34" s="5">
        <v>46251</v>
      </c>
      <c r="I34" s="2" t="s">
        <v>17</v>
      </c>
      <c r="J34" s="6">
        <f t="shared" si="1"/>
        <v>4</v>
      </c>
      <c r="K34" s="4" t="str">
        <f t="shared" ca="1" si="2"/>
        <v>No</v>
      </c>
      <c r="L34" s="7">
        <f t="shared" ca="1" si="4"/>
        <v>43</v>
      </c>
      <c r="M34" s="4" t="str">
        <f>IF($I34="Complete","Green",IF($H34="","Amber",IF($H34&lt;'[2]Read Me'!$B$4,"Red",IF($H34-'[2]Read Me'!$B$4&lt;=21,"Amber","Green"))))</f>
        <v>Green</v>
      </c>
      <c r="N34" s="3"/>
      <c r="O34" t="str">
        <f>IF($I34&lt;&gt;"Complete",IF(COUNTIFS($A$4:$A33,$A34,$B$4:$B33,$B34,$I$4:$I33,"&lt;&gt;Complete")=0,$A34&amp;"|"&amp;$B34,""),"")</f>
        <v/>
      </c>
      <c r="P34" t="str">
        <f ca="1">IF($K34="Yes",COUNTIFS($K$4:$K34,"Yes"),"")</f>
        <v/>
      </c>
      <c r="Q34">
        <f t="shared" ca="1" si="3"/>
        <v>0</v>
      </c>
      <c r="R34" t="str">
        <f ca="1">IF($Q34=1,SUM($Q$4:$Q34),"")</f>
        <v/>
      </c>
    </row>
    <row r="35" spans="1:18" ht="14.25" customHeight="1" x14ac:dyDescent="0.3">
      <c r="A35" s="2" t="s">
        <v>646</v>
      </c>
      <c r="B35" s="2" t="s">
        <v>646</v>
      </c>
      <c r="C35" s="3" t="s">
        <v>646</v>
      </c>
      <c r="D35" s="3" t="s">
        <v>127</v>
      </c>
      <c r="E35" s="2" t="s">
        <v>648</v>
      </c>
      <c r="F35" s="2"/>
      <c r="G35" s="5">
        <v>46268</v>
      </c>
      <c r="H35" s="5">
        <v>46272</v>
      </c>
      <c r="I35" s="2" t="s">
        <v>17</v>
      </c>
      <c r="J35" s="6">
        <f t="shared" si="1"/>
        <v>4</v>
      </c>
      <c r="K35" s="4" t="str">
        <f t="shared" ca="1" si="2"/>
        <v>No</v>
      </c>
      <c r="L35" s="7">
        <f t="shared" ca="1" si="4"/>
        <v>64</v>
      </c>
      <c r="M35" s="4" t="str">
        <f>IF($I35="Complete","Green",IF($H35="","Amber",IF($H35&lt;'[2]Read Me'!$B$4,"Red",IF($H35-'[2]Read Me'!$B$4&lt;=21,"Amber","Green"))))</f>
        <v>Green</v>
      </c>
      <c r="N35" s="3"/>
      <c r="O35" t="str">
        <f>IF($I35&lt;&gt;"Complete",IF(COUNTIFS($A$4:$A34,$A35,$B$4:$B34,$B35,$I$4:$I34,"&lt;&gt;Complete")=0,$A35&amp;"|"&amp;$B35,""),"")</f>
        <v/>
      </c>
      <c r="P35" t="str">
        <f ca="1">IF($K35="Yes",COUNTIFS($K$4:$K35,"Yes"),"")</f>
        <v/>
      </c>
      <c r="Q35">
        <f t="shared" ca="1" si="3"/>
        <v>0</v>
      </c>
      <c r="R35" t="str">
        <f ca="1">IF($Q35=1,SUM($Q$4:$Q35),"")</f>
        <v/>
      </c>
    </row>
    <row r="36" spans="1:18" ht="14.25" customHeight="1" x14ac:dyDescent="0.3">
      <c r="A36" s="2" t="s">
        <v>646</v>
      </c>
      <c r="B36" s="2" t="s">
        <v>646</v>
      </c>
      <c r="C36" s="3" t="s">
        <v>646</v>
      </c>
      <c r="D36" s="3" t="s">
        <v>656</v>
      </c>
      <c r="E36" s="2" t="s">
        <v>648</v>
      </c>
      <c r="F36" s="2"/>
      <c r="G36" s="5">
        <v>46296</v>
      </c>
      <c r="H36" s="5">
        <v>46300</v>
      </c>
      <c r="I36" s="2" t="s">
        <v>17</v>
      </c>
      <c r="J36" s="6">
        <f t="shared" si="1"/>
        <v>4</v>
      </c>
      <c r="K36" s="4" t="str">
        <f t="shared" ca="1" si="2"/>
        <v>No</v>
      </c>
      <c r="L36" s="7">
        <f t="shared" ca="1" si="4"/>
        <v>92</v>
      </c>
      <c r="M36" s="4" t="str">
        <f>IF($I36="Complete","Green",IF($H36="","Amber",IF($H36&lt;'[2]Read Me'!$B$4,"Red",IF($H36-'[2]Read Me'!$B$4&lt;=21,"Amber","Green"))))</f>
        <v>Green</v>
      </c>
      <c r="N36" s="3"/>
      <c r="O36" t="str">
        <f>IF($I36&lt;&gt;"Complete",IF(COUNTIFS($A$4:$A35,$A36,$B$4:$B35,$B36,$I$4:$I35,"&lt;&gt;Complete")=0,$A36&amp;"|"&amp;$B36,""),"")</f>
        <v/>
      </c>
      <c r="P36" t="str">
        <f ca="1">IF($K36="Yes",COUNTIFS($K$4:$K36,"Yes"),"")</f>
        <v/>
      </c>
      <c r="Q36">
        <f t="shared" ca="1" si="3"/>
        <v>0</v>
      </c>
      <c r="R36" t="str">
        <f ca="1">IF($Q36=1,SUM($Q$4:$Q36),"")</f>
        <v/>
      </c>
    </row>
    <row r="37" spans="1:18" ht="14.25" customHeight="1" x14ac:dyDescent="0.3">
      <c r="A37" s="2" t="s">
        <v>646</v>
      </c>
      <c r="B37" s="2" t="s">
        <v>646</v>
      </c>
      <c r="C37" s="3" t="s">
        <v>646</v>
      </c>
      <c r="D37" s="3" t="s">
        <v>16</v>
      </c>
      <c r="E37" s="2" t="s">
        <v>648</v>
      </c>
      <c r="F37" s="2"/>
      <c r="G37" s="5">
        <v>46317</v>
      </c>
      <c r="H37" s="5">
        <v>46321</v>
      </c>
      <c r="I37" s="2" t="s">
        <v>17</v>
      </c>
      <c r="J37" s="6">
        <f t="shared" si="1"/>
        <v>4</v>
      </c>
      <c r="K37" s="4" t="str">
        <f t="shared" ca="1" si="2"/>
        <v>No</v>
      </c>
      <c r="L37" s="7">
        <f t="shared" ca="1" si="4"/>
        <v>113</v>
      </c>
      <c r="M37" s="4" t="str">
        <f>IF($I37="Complete","Green",IF($H37="","Amber",IF($H37&lt;'[2]Read Me'!$B$4,"Red",IF($H37-'[2]Read Me'!$B$4&lt;=21,"Amber","Green"))))</f>
        <v>Green</v>
      </c>
      <c r="N37" s="3"/>
      <c r="O37" t="str">
        <f>IF($I37&lt;&gt;"Complete",IF(COUNTIFS($A$4:$A36,$A37,$B$4:$B36,$B37,$I$4:$I36,"&lt;&gt;Complete")=0,$A37&amp;"|"&amp;$B37,""),"")</f>
        <v/>
      </c>
      <c r="P37" t="str">
        <f ca="1">IF($K37="Yes",COUNTIFS($K$4:$K37,"Yes"),"")</f>
        <v/>
      </c>
      <c r="Q37">
        <f t="shared" ca="1" si="3"/>
        <v>0</v>
      </c>
      <c r="R37" t="str">
        <f ca="1">IF($Q37=1,SUM($Q$4:$Q37),"")</f>
        <v/>
      </c>
    </row>
    <row r="38" spans="1:18" ht="14.25" customHeight="1" x14ac:dyDescent="0.3">
      <c r="A38" s="2" t="s">
        <v>646</v>
      </c>
      <c r="B38" s="2" t="s">
        <v>646</v>
      </c>
      <c r="C38" s="3" t="s">
        <v>646</v>
      </c>
      <c r="D38" s="3" t="s">
        <v>657</v>
      </c>
      <c r="E38" s="2" t="s">
        <v>648</v>
      </c>
      <c r="F38" s="2"/>
      <c r="G38" s="5">
        <v>46331</v>
      </c>
      <c r="H38" s="5">
        <v>46335</v>
      </c>
      <c r="I38" s="2" t="s">
        <v>17</v>
      </c>
      <c r="J38" s="6">
        <f t="shared" si="1"/>
        <v>4</v>
      </c>
      <c r="K38" s="4" t="str">
        <f t="shared" ca="1" si="2"/>
        <v>No</v>
      </c>
      <c r="L38" s="7">
        <f t="shared" ca="1" si="4"/>
        <v>127</v>
      </c>
      <c r="M38" s="4" t="str">
        <f>IF($I38="Complete","Green",IF($H38="","Amber",IF($H38&lt;'[2]Read Me'!$B$4,"Red",IF($H38-'[2]Read Me'!$B$4&lt;=21,"Amber","Green"))))</f>
        <v>Green</v>
      </c>
      <c r="N38" s="3"/>
      <c r="O38" t="str">
        <f>IF($I38&lt;&gt;"Complete",IF(COUNTIFS($A$4:$A37,$A38,$B$4:$B37,$B38,$I$4:$I37,"&lt;&gt;Complete")=0,$A38&amp;"|"&amp;$B38,""),"")</f>
        <v/>
      </c>
      <c r="P38" t="str">
        <f ca="1">IF($K38="Yes",COUNTIFS($K$4:$K38,"Yes"),"")</f>
        <v/>
      </c>
      <c r="Q38">
        <f t="shared" ca="1" si="3"/>
        <v>0</v>
      </c>
      <c r="R38" t="str">
        <f ca="1">IF($Q38=1,SUM($Q$4:$Q38),"")</f>
        <v/>
      </c>
    </row>
    <row r="39" spans="1:18" ht="14.25" customHeight="1" x14ac:dyDescent="0.3">
      <c r="A39" s="2" t="s">
        <v>646</v>
      </c>
      <c r="B39" s="2" t="s">
        <v>646</v>
      </c>
      <c r="C39" s="3" t="s">
        <v>646</v>
      </c>
      <c r="D39" s="3" t="s">
        <v>211</v>
      </c>
      <c r="E39" s="2" t="s">
        <v>648</v>
      </c>
      <c r="F39" s="2"/>
      <c r="G39" s="5">
        <v>46443</v>
      </c>
      <c r="H39" s="5">
        <v>46447</v>
      </c>
      <c r="I39" s="2" t="s">
        <v>17</v>
      </c>
      <c r="J39" s="6">
        <f t="shared" si="1"/>
        <v>4</v>
      </c>
      <c r="K39" s="4" t="str">
        <f t="shared" ca="1" si="2"/>
        <v>No</v>
      </c>
      <c r="L39" s="7">
        <f t="shared" ca="1" si="4"/>
        <v>239</v>
      </c>
      <c r="M39" s="4" t="str">
        <f>IF($I39="Complete","Green",IF($H39="","Amber",IF($H39&lt;'[2]Read Me'!$B$4,"Red",IF($H39-'[2]Read Me'!$B$4&lt;=21,"Amber","Green"))))</f>
        <v>Green</v>
      </c>
      <c r="N39" s="3"/>
      <c r="O39" t="str">
        <f>IF($I39&lt;&gt;"Complete",IF(COUNTIFS($A$4:$A38,$A39,$B$4:$B38,$B39,$I$4:$I38,"&lt;&gt;Complete")=0,$A39&amp;"|"&amp;$B39,""),"")</f>
        <v/>
      </c>
      <c r="P39" t="str">
        <f ca="1">IF($K39="Yes",COUNTIFS($K$4:$K39,"Yes"),"")</f>
        <v/>
      </c>
      <c r="Q39">
        <f t="shared" ca="1" si="3"/>
        <v>0</v>
      </c>
      <c r="R39" t="str">
        <f ca="1">IF($Q39=1,SUM($Q$4:$Q39),"")</f>
        <v/>
      </c>
    </row>
    <row r="40" spans="1:18" ht="14.25" customHeight="1" x14ac:dyDescent="0.3">
      <c r="A40" s="2" t="s">
        <v>646</v>
      </c>
      <c r="B40" s="2" t="s">
        <v>646</v>
      </c>
      <c r="C40" s="3" t="s">
        <v>646</v>
      </c>
      <c r="D40" s="3" t="s">
        <v>212</v>
      </c>
      <c r="E40" s="2" t="s">
        <v>648</v>
      </c>
      <c r="F40" s="2"/>
      <c r="G40" s="5">
        <v>46443</v>
      </c>
      <c r="H40" s="5">
        <v>46447</v>
      </c>
      <c r="I40" s="2" t="s">
        <v>17</v>
      </c>
      <c r="J40" s="6">
        <f t="shared" si="1"/>
        <v>4</v>
      </c>
      <c r="K40" s="4" t="str">
        <f t="shared" ca="1" si="2"/>
        <v>No</v>
      </c>
      <c r="L40" s="7">
        <f t="shared" ca="1" si="4"/>
        <v>239</v>
      </c>
      <c r="M40" s="4" t="str">
        <f>IF($I40="Complete","Green",IF($H40="","Amber",IF($H40&lt;'[2]Read Me'!$B$4,"Red",IF($H40-'[2]Read Me'!$B$4&lt;=21,"Amber","Green"))))</f>
        <v>Green</v>
      </c>
      <c r="N40" s="3"/>
      <c r="O40" t="str">
        <f>IF($I40&lt;&gt;"Complete",IF(COUNTIFS($A$4:$A39,$A40,$B$4:$B39,$B40,$I$4:$I39,"&lt;&gt;Complete")=0,$A40&amp;"|"&amp;$B40,""),"")</f>
        <v/>
      </c>
      <c r="P40" t="str">
        <f ca="1">IF($K40="Yes",COUNTIFS($K$4:$K40,"Yes"),"")</f>
        <v/>
      </c>
      <c r="Q40">
        <f t="shared" ca="1" si="3"/>
        <v>0</v>
      </c>
      <c r="R40" t="str">
        <f ca="1">IF($Q40=1,SUM($Q$4:$Q40),"")</f>
        <v/>
      </c>
    </row>
    <row r="41" spans="1:18" ht="14.25" customHeight="1" x14ac:dyDescent="0.3">
      <c r="A41" s="2" t="s">
        <v>122</v>
      </c>
      <c r="B41" s="2" t="s">
        <v>122</v>
      </c>
      <c r="C41" s="3"/>
      <c r="D41" s="3"/>
      <c r="E41" s="2"/>
      <c r="F41" s="2"/>
      <c r="G41" s="5">
        <v>46033</v>
      </c>
      <c r="H41" s="5">
        <v>46065</v>
      </c>
      <c r="I41" s="2"/>
      <c r="J41" s="6">
        <f t="shared" si="1"/>
        <v>32</v>
      </c>
      <c r="K41" s="4" t="str">
        <f t="shared" ca="1" si="2"/>
        <v/>
      </c>
      <c r="L41" s="7">
        <f t="shared" ca="1" si="4"/>
        <v>-143</v>
      </c>
      <c r="M41" s="4" t="str">
        <f>IF($I41="Complete","Green",IF($H41="","Amber",IF($H41&lt;'[2]Read Me'!$B$4,"Red",IF($H41-'[2]Read Me'!$B$4&lt;=21,"Amber","Green"))))</f>
        <v>Red</v>
      </c>
      <c r="N41" s="3"/>
      <c r="O41" t="str">
        <f>IF($I41&lt;&gt;"Complete",IF(COUNTIFS($A$4:$A40,$A41,$B$4:$B40,$B41,$I$4:$I40,"&lt;&gt;Complete")=0,$A41&amp;"|"&amp;$B41,""),"")</f>
        <v>Master Plan|Master Plan</v>
      </c>
      <c r="P41" t="str">
        <f ca="1">IF($K41="Yes",COUNTIFS($K$4:$K41,"Yes"),"")</f>
        <v/>
      </c>
      <c r="Q41">
        <f t="shared" ca="1" si="3"/>
        <v>0</v>
      </c>
      <c r="R41" t="str">
        <f ca="1">IF($Q41=1,SUM($Q$4:$Q41),"")</f>
        <v/>
      </c>
    </row>
    <row r="42" spans="1:18" ht="22.5" customHeight="1" x14ac:dyDescent="0.3">
      <c r="A42" s="2" t="s">
        <v>122</v>
      </c>
      <c r="B42" s="2" t="s">
        <v>122</v>
      </c>
      <c r="C42" s="3" t="s">
        <v>122</v>
      </c>
      <c r="D42" s="3" t="s">
        <v>15</v>
      </c>
      <c r="E42" s="2"/>
      <c r="F42" s="2" t="s">
        <v>30</v>
      </c>
      <c r="G42" s="5">
        <v>45993</v>
      </c>
      <c r="H42" s="5">
        <v>46001</v>
      </c>
      <c r="I42" s="2" t="s">
        <v>31</v>
      </c>
      <c r="J42" s="6">
        <f t="shared" si="1"/>
        <v>8</v>
      </c>
      <c r="K42" s="4" t="str">
        <f t="shared" ca="1" si="2"/>
        <v>-</v>
      </c>
      <c r="L42" s="7">
        <f t="shared" ca="1" si="4"/>
        <v>0</v>
      </c>
      <c r="M42" s="4" t="str">
        <f>IF($I42="Complete","Green",IF($H42="","Amber",IF($H42&lt;'[2]Read Me'!$B$4,"Red",IF($H42-'[2]Read Me'!$B$4&lt;=21,"Amber","Green"))))</f>
        <v>Red</v>
      </c>
      <c r="N42" s="3"/>
      <c r="O42" t="str">
        <f>IF($I42&lt;&gt;"Complete",IF(COUNTIFS($A$4:$A41,$A42,$B$4:$B41,$B42,$I$4:$I41,"&lt;&gt;Complete")=0,$A42&amp;"|"&amp;$B42,""),"")</f>
        <v/>
      </c>
      <c r="P42" t="str">
        <f ca="1">IF($K42="Yes",COUNTIFS($K$4:$K42,"Yes"),"")</f>
        <v/>
      </c>
      <c r="Q42">
        <f t="shared" ca="1" si="3"/>
        <v>0</v>
      </c>
      <c r="R42" t="str">
        <f ca="1">IF($Q42=1,SUM($Q$4:$Q42),"")</f>
        <v/>
      </c>
    </row>
    <row r="43" spans="1:18" ht="22.5" customHeight="1" x14ac:dyDescent="0.3">
      <c r="A43" s="2" t="s">
        <v>122</v>
      </c>
      <c r="B43" s="2" t="s">
        <v>122</v>
      </c>
      <c r="C43" s="3" t="s">
        <v>122</v>
      </c>
      <c r="D43" s="3" t="s">
        <v>35</v>
      </c>
      <c r="E43" s="2"/>
      <c r="F43" s="2"/>
      <c r="G43" s="5">
        <v>46008</v>
      </c>
      <c r="H43" s="5">
        <v>46007</v>
      </c>
      <c r="I43" s="2" t="s">
        <v>31</v>
      </c>
      <c r="J43" s="6">
        <f t="shared" si="1"/>
        <v>-1</v>
      </c>
      <c r="K43" s="4" t="str">
        <f t="shared" ca="1" si="2"/>
        <v>-</v>
      </c>
      <c r="L43" s="7">
        <f t="shared" ca="1" si="4"/>
        <v>0</v>
      </c>
      <c r="M43" s="4" t="str">
        <f>IF($I43="Complete","Green",IF($H43="","Amber",IF($H43&lt;'[2]Read Me'!$B$4,"Red",IF($H43-'[2]Read Me'!$B$4&lt;=21,"Amber","Green"))))</f>
        <v>Red</v>
      </c>
      <c r="N43" s="3"/>
      <c r="O43" t="str">
        <f>IF($I43&lt;&gt;"Complete",IF(COUNTIFS($A$4:$A42,$A43,$B$4:$B42,$B43,$I$4:$I42,"&lt;&gt;Complete")=0,$A43&amp;"|"&amp;$B43,""),"")</f>
        <v/>
      </c>
      <c r="P43" t="str">
        <f ca="1">IF($K43="Yes",COUNTIFS($K$4:$K43,"Yes"),"")</f>
        <v/>
      </c>
      <c r="Q43">
        <f t="shared" ca="1" si="3"/>
        <v>0</v>
      </c>
      <c r="R43" t="str">
        <f ca="1">IF($Q43=1,SUM($Q$4:$Q43),"")</f>
        <v/>
      </c>
    </row>
    <row r="44" spans="1:18" ht="14.25" customHeight="1" x14ac:dyDescent="0.3">
      <c r="A44" s="2" t="s">
        <v>122</v>
      </c>
      <c r="B44" s="2" t="s">
        <v>122</v>
      </c>
      <c r="C44" s="3" t="s">
        <v>122</v>
      </c>
      <c r="D44" s="3" t="s">
        <v>16</v>
      </c>
      <c r="E44" s="2"/>
      <c r="F44" s="2" t="s">
        <v>30</v>
      </c>
      <c r="G44" s="5">
        <v>46023</v>
      </c>
      <c r="H44" s="5">
        <v>46061</v>
      </c>
      <c r="I44" s="4" t="s">
        <v>31</v>
      </c>
      <c r="J44" s="6">
        <f t="shared" si="1"/>
        <v>38</v>
      </c>
      <c r="K44" s="4" t="str">
        <f t="shared" ca="1" si="2"/>
        <v>-</v>
      </c>
      <c r="L44" s="7">
        <f t="shared" ca="1" si="4"/>
        <v>0</v>
      </c>
      <c r="M44" s="4" t="str">
        <f>IF($I44="Complete","Green",IF($H44="","Amber",IF($H44&lt;'[2]Read Me'!$B$4,"Red",IF($H44-'[2]Read Me'!$B$4&lt;=21,"Amber","Green"))))</f>
        <v>Red</v>
      </c>
      <c r="N44" s="3"/>
      <c r="O44" t="str">
        <f>IF($I44&lt;&gt;"Complete",IF(COUNTIFS($A$4:$A43,$A44,$B$4:$B43,$B44,$I$4:$I43,"&lt;&gt;Complete")=0,$A44&amp;"|"&amp;$B44,""),"")</f>
        <v/>
      </c>
      <c r="P44" t="str">
        <f ca="1">IF($K44="Yes",COUNTIFS($K$4:$K44,"Yes"),"")</f>
        <v/>
      </c>
      <c r="Q44">
        <f t="shared" ca="1" si="3"/>
        <v>0</v>
      </c>
      <c r="R44" t="str">
        <f ca="1">IF($Q44=1,SUM($Q$4:$Q44),"")</f>
        <v/>
      </c>
    </row>
    <row r="45" spans="1:18" ht="14.25" customHeight="1" x14ac:dyDescent="0.3">
      <c r="A45" s="2" t="s">
        <v>122</v>
      </c>
      <c r="B45" s="2" t="s">
        <v>122</v>
      </c>
      <c r="C45" s="3" t="s">
        <v>122</v>
      </c>
      <c r="D45" s="3" t="s">
        <v>37</v>
      </c>
      <c r="E45" s="2"/>
      <c r="F45" s="2"/>
      <c r="G45" s="5">
        <v>46033</v>
      </c>
      <c r="H45" s="5">
        <v>46065</v>
      </c>
      <c r="I45" s="4" t="s">
        <v>31</v>
      </c>
      <c r="J45" s="6">
        <f t="shared" si="1"/>
        <v>32</v>
      </c>
      <c r="K45" s="4" t="str">
        <f t="shared" ca="1" si="2"/>
        <v>-</v>
      </c>
      <c r="L45" s="7">
        <f t="shared" ca="1" si="4"/>
        <v>0</v>
      </c>
      <c r="M45" s="4" t="str">
        <f>IF($I45="Complete","Green",IF($H45="","Amber",IF($H45&lt;'[2]Read Me'!$B$4,"Red",IF($H45-'[2]Read Me'!$B$4&lt;=21,"Amber","Green"))))</f>
        <v>Red</v>
      </c>
      <c r="N45" s="3"/>
      <c r="O45" t="str">
        <f>IF($I45&lt;&gt;"Complete",IF(COUNTIFS($A$4:$A44,$A45,$B$4:$B44,$B45,$I$4:$I44,"&lt;&gt;Complete")=0,$A45&amp;"|"&amp;$B45,""),"")</f>
        <v/>
      </c>
      <c r="P45" t="str">
        <f ca="1">IF($K45="Yes",COUNTIFS($K$4:$K45,"Yes"),"")</f>
        <v/>
      </c>
      <c r="Q45">
        <f t="shared" ca="1" si="3"/>
        <v>0</v>
      </c>
      <c r="R45" t="str">
        <f ca="1">IF($Q45=1,SUM($Q$4:$Q45),"")</f>
        <v/>
      </c>
    </row>
    <row r="46" spans="1:18" ht="22.5" customHeight="1" x14ac:dyDescent="0.3">
      <c r="A46" s="2" t="s">
        <v>658</v>
      </c>
      <c r="B46" s="2" t="s">
        <v>21</v>
      </c>
      <c r="C46" s="3"/>
      <c r="D46" s="3"/>
      <c r="E46" s="2"/>
      <c r="F46" s="2"/>
      <c r="G46" s="5">
        <v>46033</v>
      </c>
      <c r="H46" s="5">
        <v>46208</v>
      </c>
      <c r="I46" s="4"/>
      <c r="J46" s="6">
        <f t="shared" si="1"/>
        <v>175</v>
      </c>
      <c r="K46" s="4" t="str">
        <f t="shared" ca="1" si="2"/>
        <v/>
      </c>
      <c r="L46" s="7">
        <f t="shared" ca="1" si="4"/>
        <v>0</v>
      </c>
      <c r="M46" s="4" t="str">
        <f>IF($I46="Complete","Green",IF($H46="","Amber",IF($H46&lt;'[2]Read Me'!$B$4,"Red",IF($H46-'[2]Read Me'!$B$4&lt;=21,"Amber","Green"))))</f>
        <v>Amber</v>
      </c>
      <c r="N46" s="3"/>
      <c r="O46" t="str">
        <f>IF($I46&lt;&gt;"Complete",IF(COUNTIFS($A$4:$A45,$A46,$B$4:$B45,$B46,$I$4:$I45,"&lt;&gt;Complete")=0,$A46&amp;"|"&amp;$B46,""),"")</f>
        <v>Landscape  DD, IFT &amp; IFC|Landscape</v>
      </c>
      <c r="P46" t="str">
        <f ca="1">IF($K46="Yes",COUNTIFS($K$4:$K46,"Yes"),"")</f>
        <v/>
      </c>
      <c r="Q46">
        <f t="shared" ca="1" si="3"/>
        <v>0</v>
      </c>
      <c r="R46" t="str">
        <f ca="1">IF($Q46=1,SUM($Q$4:$Q46),"")</f>
        <v/>
      </c>
    </row>
    <row r="47" spans="1:18" ht="14.25" customHeight="1" x14ac:dyDescent="0.3">
      <c r="A47" s="2" t="s">
        <v>658</v>
      </c>
      <c r="B47" s="2" t="s">
        <v>21</v>
      </c>
      <c r="C47" s="3" t="s">
        <v>658</v>
      </c>
      <c r="D47" s="3" t="s">
        <v>15</v>
      </c>
      <c r="E47" s="2"/>
      <c r="F47" s="2" t="s">
        <v>30</v>
      </c>
      <c r="G47" s="5">
        <v>45993</v>
      </c>
      <c r="H47" s="5">
        <v>46072</v>
      </c>
      <c r="I47" s="4" t="s">
        <v>31</v>
      </c>
      <c r="J47" s="6">
        <f t="shared" si="1"/>
        <v>79</v>
      </c>
      <c r="K47" s="4" t="str">
        <f t="shared" ca="1" si="2"/>
        <v>-</v>
      </c>
      <c r="L47" s="7">
        <f t="shared" ca="1" si="4"/>
        <v>0</v>
      </c>
      <c r="M47" s="4" t="str">
        <f>IF($I47="Complete","Green",IF($H47="","Amber",IF($H47&lt;'[2]Read Me'!$B$4,"Red",IF($H47-'[2]Read Me'!$B$4&lt;=21,"Amber","Green"))))</f>
        <v>Red</v>
      </c>
      <c r="N47" s="3"/>
      <c r="O47" t="str">
        <f>IF($I47&lt;&gt;"Complete",IF(COUNTIFS($A$4:$A46,$A47,$B$4:$B46,$B47,$I$4:$I46,"&lt;&gt;Complete")=0,$A47&amp;"|"&amp;$B47,""),"")</f>
        <v/>
      </c>
      <c r="P47" t="str">
        <f ca="1">IF($K47="Yes",COUNTIFS($K$4:$K47,"Yes"),"")</f>
        <v/>
      </c>
      <c r="Q47">
        <f t="shared" ca="1" si="3"/>
        <v>0</v>
      </c>
      <c r="R47" t="str">
        <f ca="1">IF($Q47=1,SUM($Q$4:$Q47),"")</f>
        <v/>
      </c>
    </row>
    <row r="48" spans="1:18" ht="14.25" customHeight="1" x14ac:dyDescent="0.3">
      <c r="A48" s="2" t="s">
        <v>658</v>
      </c>
      <c r="B48" s="2" t="s">
        <v>21</v>
      </c>
      <c r="C48" s="3" t="s">
        <v>658</v>
      </c>
      <c r="D48" s="3" t="s">
        <v>35</v>
      </c>
      <c r="E48" s="2"/>
      <c r="F48" s="2"/>
      <c r="G48" s="5">
        <v>46008</v>
      </c>
      <c r="H48" s="5">
        <v>46085</v>
      </c>
      <c r="I48" s="4" t="s">
        <v>31</v>
      </c>
      <c r="J48" s="6">
        <f t="shared" si="1"/>
        <v>77</v>
      </c>
      <c r="K48" s="4" t="str">
        <f t="shared" ca="1" si="2"/>
        <v>-</v>
      </c>
      <c r="L48" s="7">
        <f t="shared" ca="1" si="4"/>
        <v>0</v>
      </c>
      <c r="M48" s="4" t="str">
        <f>IF($I48="Complete","Green",IF($H48="","Amber",IF($H48&lt;'[2]Read Me'!$B$4,"Red",IF($H48-'[2]Read Me'!$B$4&lt;=21,"Amber","Green"))))</f>
        <v>Red</v>
      </c>
      <c r="N48" s="3"/>
      <c r="O48" t="str">
        <f>IF($I48&lt;&gt;"Complete",IF(COUNTIFS($A$4:$A47,$A48,$B$4:$B47,$B48,$I$4:$I47,"&lt;&gt;Complete")=0,$A48&amp;"|"&amp;$B48,""),"")</f>
        <v/>
      </c>
      <c r="P48" t="str">
        <f ca="1">IF($K48="Yes",COUNTIFS($K$4:$K48,"Yes"),"")</f>
        <v/>
      </c>
      <c r="Q48">
        <f t="shared" ca="1" si="3"/>
        <v>0</v>
      </c>
      <c r="R48" t="str">
        <f ca="1">IF($Q48=1,SUM($Q$4:$Q48),"")</f>
        <v/>
      </c>
    </row>
    <row r="49" spans="1:18" ht="14.25" customHeight="1" x14ac:dyDescent="0.3">
      <c r="A49" s="2" t="s">
        <v>658</v>
      </c>
      <c r="B49" s="2" t="s">
        <v>21</v>
      </c>
      <c r="C49" s="3" t="s">
        <v>658</v>
      </c>
      <c r="D49" s="3" t="s">
        <v>20</v>
      </c>
      <c r="E49" s="2" t="s">
        <v>33</v>
      </c>
      <c r="F49" s="2" t="s">
        <v>81</v>
      </c>
      <c r="G49" s="5">
        <v>46008</v>
      </c>
      <c r="H49" s="5">
        <v>46167</v>
      </c>
      <c r="I49" s="4" t="s">
        <v>31</v>
      </c>
      <c r="J49" s="6">
        <f t="shared" si="1"/>
        <v>159</v>
      </c>
      <c r="K49" s="4" t="str">
        <f t="shared" ca="1" si="2"/>
        <v>-</v>
      </c>
      <c r="L49" s="7">
        <f t="shared" ca="1" si="4"/>
        <v>0</v>
      </c>
      <c r="M49" s="4" t="str">
        <f>IF($I49="Complete","Green",IF($H49="","Amber",IF($H49&lt;'[2]Read Me'!$B$4,"Red",IF($H49-'[2]Read Me'!$B$4&lt;=21,"Amber","Green"))))</f>
        <v>Red</v>
      </c>
      <c r="N49" s="3"/>
      <c r="O49" t="str">
        <f>IF($I49&lt;&gt;"Complete",IF(COUNTIFS($A$4:$A48,$A49,$B$4:$B48,$B49,$I$4:$I48,"&lt;&gt;Complete")=0,$A49&amp;"|"&amp;$B49,""),"")</f>
        <v/>
      </c>
      <c r="P49" t="str">
        <f ca="1">IF($K49="Yes",COUNTIFS($K$4:$K49,"Yes"),"")</f>
        <v/>
      </c>
      <c r="Q49">
        <f t="shared" ca="1" si="3"/>
        <v>0</v>
      </c>
      <c r="R49" t="str">
        <f ca="1">IF($Q49=1,SUM($Q$4:$Q49),"")</f>
        <v/>
      </c>
    </row>
    <row r="50" spans="1:18" ht="14.25" customHeight="1" x14ac:dyDescent="0.3">
      <c r="A50" s="2" t="s">
        <v>658</v>
      </c>
      <c r="B50" s="2" t="s">
        <v>21</v>
      </c>
      <c r="C50" s="3" t="s">
        <v>658</v>
      </c>
      <c r="D50" s="3" t="s">
        <v>16</v>
      </c>
      <c r="E50" s="2"/>
      <c r="F50" s="2" t="s">
        <v>30</v>
      </c>
      <c r="G50" s="5">
        <v>46023</v>
      </c>
      <c r="H50" s="5">
        <v>46195</v>
      </c>
      <c r="I50" s="4" t="s">
        <v>31</v>
      </c>
      <c r="J50" s="6">
        <f t="shared" si="1"/>
        <v>172</v>
      </c>
      <c r="K50" s="4" t="str">
        <f t="shared" ca="1" si="2"/>
        <v>-</v>
      </c>
      <c r="L50" s="7">
        <f t="shared" ca="1" si="4"/>
        <v>0</v>
      </c>
      <c r="M50" s="4" t="str">
        <f>IF($I50="Complete","Green",IF($H50="","Amber",IF($H50&lt;'[2]Read Me'!$B$4,"Red",IF($H50-'[2]Read Me'!$B$4&lt;=21,"Amber","Green"))))</f>
        <v>Amber</v>
      </c>
      <c r="N50" s="3"/>
      <c r="O50" t="str">
        <f>IF($I50&lt;&gt;"Complete",IF(COUNTIFS($A$4:$A49,$A50,$B$4:$B49,$B50,$I$4:$I49,"&lt;&gt;Complete")=0,$A50&amp;"|"&amp;$B50,""),"")</f>
        <v/>
      </c>
      <c r="P50" t="str">
        <f ca="1">IF($K50="Yes",COUNTIFS($K$4:$K50,"Yes"),"")</f>
        <v/>
      </c>
      <c r="Q50">
        <f t="shared" ca="1" si="3"/>
        <v>0</v>
      </c>
      <c r="R50" t="str">
        <f ca="1">IF($Q50=1,SUM($Q$4:$Q50),"")</f>
        <v/>
      </c>
    </row>
    <row r="51" spans="1:18" ht="22.5" customHeight="1" x14ac:dyDescent="0.3">
      <c r="A51" s="2" t="s">
        <v>658</v>
      </c>
      <c r="B51" s="2" t="s">
        <v>21</v>
      </c>
      <c r="C51" s="3" t="s">
        <v>658</v>
      </c>
      <c r="D51" s="3" t="s">
        <v>37</v>
      </c>
      <c r="E51" s="2" t="s">
        <v>130</v>
      </c>
      <c r="F51" s="2"/>
      <c r="G51" s="5">
        <v>46033</v>
      </c>
      <c r="H51" s="5">
        <v>46208</v>
      </c>
      <c r="I51" s="4" t="s">
        <v>46</v>
      </c>
      <c r="J51" s="6">
        <f t="shared" si="1"/>
        <v>175</v>
      </c>
      <c r="K51" s="4" t="str">
        <f t="shared" ca="1" si="2"/>
        <v>Yes</v>
      </c>
      <c r="L51" s="7">
        <f t="shared" ca="1" si="4"/>
        <v>0</v>
      </c>
      <c r="M51" s="4" t="str">
        <f>IF($I51="Complete","Green",IF($H51="","Amber",IF($H51&lt;'[2]Read Me'!$B$4,"Red",IF($H51-'[2]Read Me'!$B$4&lt;=21,"Amber","Green"))))</f>
        <v>Amber</v>
      </c>
      <c r="N51" s="3"/>
      <c r="O51" t="str">
        <f>IF($I51&lt;&gt;"Complete",IF(COUNTIFS($A$4:$A50,$A51,$B$4:$B50,$B51,$I$4:$I50,"&lt;&gt;Complete")=0,$A51&amp;"|"&amp;$B51,""),"")</f>
        <v/>
      </c>
      <c r="P51">
        <f ca="1">IF($K51="Yes",COUNTIFS($K$4:$K51,"Yes"),"")</f>
        <v>4</v>
      </c>
      <c r="Q51">
        <f t="shared" ca="1" si="3"/>
        <v>1</v>
      </c>
      <c r="R51">
        <f ca="1">IF($Q51=1,SUM($Q$4:$Q51),"")</f>
        <v>4</v>
      </c>
    </row>
    <row r="52" spans="1:18" ht="33.75" customHeight="1" x14ac:dyDescent="0.3">
      <c r="A52" s="2" t="s">
        <v>658</v>
      </c>
      <c r="B52" s="2" t="s">
        <v>21</v>
      </c>
      <c r="C52" s="3" t="s">
        <v>658</v>
      </c>
      <c r="D52" s="3" t="s">
        <v>143</v>
      </c>
      <c r="E52" s="2"/>
      <c r="F52" s="2" t="s">
        <v>30</v>
      </c>
      <c r="G52" s="5">
        <v>46047</v>
      </c>
      <c r="H52" s="5">
        <v>46222</v>
      </c>
      <c r="I52" s="4" t="s">
        <v>17</v>
      </c>
      <c r="J52" s="6">
        <f t="shared" si="1"/>
        <v>175</v>
      </c>
      <c r="K52" s="4" t="str">
        <f t="shared" ca="1" si="2"/>
        <v>No</v>
      </c>
      <c r="L52" s="7">
        <f t="shared" ca="1" si="4"/>
        <v>14</v>
      </c>
      <c r="M52" s="4" t="str">
        <f>IF($I52="Complete","Green",IF($H52="","Amber",IF($H52&lt;'[2]Read Me'!$B$4,"Red",IF($H52-'[2]Read Me'!$B$4&lt;=21,"Amber","Green"))))</f>
        <v>Green</v>
      </c>
      <c r="N52" s="3"/>
      <c r="O52" t="str">
        <f>IF($I52&lt;&gt;"Complete",IF(COUNTIFS($A$4:$A51,$A52,$B$4:$B51,$B52,$I$4:$I51,"&lt;&gt;Complete")=0,$A52&amp;"|"&amp;$B52,""),"")</f>
        <v/>
      </c>
      <c r="P52" t="str">
        <f ca="1">IF($K52="Yes",COUNTIFS($K$4:$K52,"Yes"),"")</f>
        <v/>
      </c>
      <c r="Q52">
        <f t="shared" ca="1" si="3"/>
        <v>0</v>
      </c>
      <c r="R52" t="str">
        <f ca="1">IF($Q52=1,SUM($Q$4:$Q52),"")</f>
        <v/>
      </c>
    </row>
    <row r="53" spans="1:18" ht="14.25" customHeight="1" x14ac:dyDescent="0.3">
      <c r="A53" s="2" t="s">
        <v>658</v>
      </c>
      <c r="B53" s="2" t="s">
        <v>21</v>
      </c>
      <c r="C53" s="3" t="s">
        <v>658</v>
      </c>
      <c r="D53" s="3" t="s">
        <v>144</v>
      </c>
      <c r="E53" s="2"/>
      <c r="F53" s="2"/>
      <c r="G53" s="5">
        <v>46117</v>
      </c>
      <c r="H53" s="5">
        <v>46292</v>
      </c>
      <c r="I53" s="4" t="s">
        <v>17</v>
      </c>
      <c r="J53" s="6">
        <f t="shared" si="1"/>
        <v>175</v>
      </c>
      <c r="K53" s="4" t="str">
        <f t="shared" ca="1" si="2"/>
        <v>No</v>
      </c>
      <c r="L53" s="7">
        <f t="shared" ca="1" si="4"/>
        <v>84</v>
      </c>
      <c r="M53" s="4" t="str">
        <f>IF($I53="Complete","Green",IF($H53="","Amber",IF($H53&lt;'[2]Read Me'!$B$4,"Red",IF($H53-'[2]Read Me'!$B$4&lt;=21,"Amber","Green"))))</f>
        <v>Green</v>
      </c>
      <c r="N53" s="3"/>
      <c r="O53" t="str">
        <f>IF($I53&lt;&gt;"Complete",IF(COUNTIFS($A$4:$A52,$A53,$B$4:$B52,$B53,$I$4:$I52,"&lt;&gt;Complete")=0,$A53&amp;"|"&amp;$B53,""),"")</f>
        <v/>
      </c>
      <c r="P53" t="str">
        <f ca="1">IF($K53="Yes",COUNTIFS($K$4:$K53,"Yes"),"")</f>
        <v/>
      </c>
      <c r="Q53">
        <f t="shared" ca="1" si="3"/>
        <v>0</v>
      </c>
      <c r="R53" t="str">
        <f ca="1">IF($Q53=1,SUM($Q$4:$Q53),"")</f>
        <v/>
      </c>
    </row>
    <row r="54" spans="1:18" ht="14.25" customHeight="1" x14ac:dyDescent="0.3">
      <c r="A54" s="2" t="s">
        <v>171</v>
      </c>
      <c r="B54" s="2" t="s">
        <v>171</v>
      </c>
      <c r="C54" s="3"/>
      <c r="D54" s="3"/>
      <c r="E54" s="2"/>
      <c r="F54" s="2"/>
      <c r="G54" s="5">
        <v>46033</v>
      </c>
      <c r="H54" s="5">
        <v>46117</v>
      </c>
      <c r="I54" s="4"/>
      <c r="J54" s="6">
        <f t="shared" si="1"/>
        <v>84</v>
      </c>
      <c r="K54" s="4" t="str">
        <f t="shared" ca="1" si="2"/>
        <v/>
      </c>
      <c r="L54" s="7">
        <f t="shared" ca="1" si="4"/>
        <v>-91</v>
      </c>
      <c r="M54" s="4" t="str">
        <f>IF($I54="Complete","Green",IF($H54="","Amber",IF($H54&lt;'[2]Read Me'!$B$4,"Red",IF($H54-'[2]Read Me'!$B$4&lt;=21,"Amber","Green"))))</f>
        <v>Red</v>
      </c>
      <c r="N54" s="3"/>
      <c r="O54" t="str">
        <f>IF($I54&lt;&gt;"Complete",IF(COUNTIFS($A$4:$A53,$A54,$B$4:$B53,$B54,$I$4:$I53,"&lt;&gt;Complete")=0,$A54&amp;"|"&amp;$B54,""),"")</f>
        <v>Infrastructure|Infrastructure</v>
      </c>
      <c r="P54" t="str">
        <f ca="1">IF($K54="Yes",COUNTIFS($K$4:$K54,"Yes"),"")</f>
        <v/>
      </c>
      <c r="Q54">
        <f t="shared" ca="1" si="3"/>
        <v>0</v>
      </c>
      <c r="R54" t="str">
        <f ca="1">IF($Q54=1,SUM($Q$4:$Q54),"")</f>
        <v/>
      </c>
    </row>
    <row r="55" spans="1:18" ht="14.25" customHeight="1" x14ac:dyDescent="0.3">
      <c r="A55" s="2" t="s">
        <v>171</v>
      </c>
      <c r="B55" s="2" t="s">
        <v>171</v>
      </c>
      <c r="C55" s="3" t="s">
        <v>171</v>
      </c>
      <c r="D55" s="3" t="s">
        <v>15</v>
      </c>
      <c r="E55" s="2"/>
      <c r="F55" s="2" t="s">
        <v>30</v>
      </c>
      <c r="G55" s="5">
        <v>45993</v>
      </c>
      <c r="H55" s="5">
        <v>45995</v>
      </c>
      <c r="I55" s="4" t="s">
        <v>31</v>
      </c>
      <c r="J55" s="6">
        <f t="shared" si="1"/>
        <v>2</v>
      </c>
      <c r="K55" s="4" t="str">
        <f t="shared" ca="1" si="2"/>
        <v>-</v>
      </c>
      <c r="L55" s="7">
        <f t="shared" ca="1" si="4"/>
        <v>0</v>
      </c>
      <c r="M55" s="4" t="str">
        <f>IF($I55="Complete","Green",IF($H55="","Amber",IF($H55&lt;'[2]Read Me'!$B$4,"Red",IF($H55-'[2]Read Me'!$B$4&lt;=21,"Amber","Green"))))</f>
        <v>Red</v>
      </c>
      <c r="N55" s="3"/>
      <c r="O55" t="str">
        <f>IF($I55&lt;&gt;"Complete",IF(COUNTIFS($A$4:$A54,$A55,$B$4:$B54,$B55,$I$4:$I54,"&lt;&gt;Complete")=0,$A55&amp;"|"&amp;$B55,""),"")</f>
        <v/>
      </c>
      <c r="P55" t="str">
        <f ca="1">IF($K55="Yes",COUNTIFS($K$4:$K55,"Yes"),"")</f>
        <v/>
      </c>
      <c r="Q55">
        <f t="shared" ca="1" si="3"/>
        <v>0</v>
      </c>
      <c r="R55" t="str">
        <f ca="1">IF($Q55=1,SUM($Q$4:$Q55),"")</f>
        <v/>
      </c>
    </row>
    <row r="56" spans="1:18" ht="14.25" customHeight="1" x14ac:dyDescent="0.3">
      <c r="A56" s="2" t="s">
        <v>171</v>
      </c>
      <c r="B56" s="2" t="s">
        <v>171</v>
      </c>
      <c r="C56" s="3" t="s">
        <v>171</v>
      </c>
      <c r="D56" s="3" t="s">
        <v>35</v>
      </c>
      <c r="E56" s="2"/>
      <c r="F56" s="2"/>
      <c r="G56" s="5">
        <v>46008</v>
      </c>
      <c r="H56" s="5">
        <v>46010</v>
      </c>
      <c r="I56" s="4" t="s">
        <v>31</v>
      </c>
      <c r="J56" s="6">
        <f t="shared" si="1"/>
        <v>2</v>
      </c>
      <c r="K56" s="4" t="str">
        <f t="shared" ca="1" si="2"/>
        <v>-</v>
      </c>
      <c r="L56" s="7">
        <f t="shared" ca="1" si="4"/>
        <v>0</v>
      </c>
      <c r="M56" s="4" t="str">
        <f>IF($I56="Complete","Green",IF($H56="","Amber",IF($H56&lt;'[2]Read Me'!$B$4,"Red",IF($H56-'[2]Read Me'!$B$4&lt;=21,"Amber","Green"))))</f>
        <v>Red</v>
      </c>
      <c r="N56" s="3"/>
      <c r="O56" t="str">
        <f>IF($I56&lt;&gt;"Complete",IF(COUNTIFS($A$4:$A55,$A56,$B$4:$B55,$B56,$I$4:$I55,"&lt;&gt;Complete")=0,$A56&amp;"|"&amp;$B56,""),"")</f>
        <v/>
      </c>
      <c r="P56" t="str">
        <f ca="1">IF($K56="Yes",COUNTIFS($K$4:$K56,"Yes"),"")</f>
        <v/>
      </c>
      <c r="Q56">
        <f t="shared" ca="1" si="3"/>
        <v>0</v>
      </c>
      <c r="R56" t="str">
        <f ca="1">IF($Q56=1,SUM($Q$4:$Q56),"")</f>
        <v/>
      </c>
    </row>
    <row r="57" spans="1:18" ht="14.25" customHeight="1" x14ac:dyDescent="0.3">
      <c r="A57" s="2" t="s">
        <v>171</v>
      </c>
      <c r="B57" s="2" t="s">
        <v>171</v>
      </c>
      <c r="C57" s="3" t="s">
        <v>171</v>
      </c>
      <c r="D57" s="3" t="s">
        <v>16</v>
      </c>
      <c r="E57" s="2"/>
      <c r="F57" s="2" t="s">
        <v>30</v>
      </c>
      <c r="G57" s="5">
        <v>46023</v>
      </c>
      <c r="H57" s="5">
        <v>46061</v>
      </c>
      <c r="I57" s="4" t="s">
        <v>31</v>
      </c>
      <c r="J57" s="6">
        <f t="shared" si="1"/>
        <v>38</v>
      </c>
      <c r="K57" s="4" t="str">
        <f t="shared" ca="1" si="2"/>
        <v>-</v>
      </c>
      <c r="L57" s="7">
        <f t="shared" ca="1" si="4"/>
        <v>0</v>
      </c>
      <c r="M57" s="4" t="str">
        <f>IF($I57="Complete","Green",IF($H57="","Amber",IF($H57&lt;'[2]Read Me'!$B$4,"Red",IF($H57-'[2]Read Me'!$B$4&lt;=21,"Amber","Green"))))</f>
        <v>Red</v>
      </c>
      <c r="N57" s="3"/>
      <c r="O57" t="str">
        <f>IF($I57&lt;&gt;"Complete",IF(COUNTIFS($A$4:$A56,$A57,$B$4:$B56,$B57,$I$4:$I56,"&lt;&gt;Complete")=0,$A57&amp;"|"&amp;$B57,""),"")</f>
        <v/>
      </c>
      <c r="P57" t="str">
        <f ca="1">IF($K57="Yes",COUNTIFS($K$4:$K57,"Yes"),"")</f>
        <v/>
      </c>
      <c r="Q57">
        <f t="shared" ca="1" si="3"/>
        <v>0</v>
      </c>
      <c r="R57" t="str">
        <f ca="1">IF($Q57=1,SUM($Q$4:$Q57),"")</f>
        <v/>
      </c>
    </row>
    <row r="58" spans="1:18" ht="14.25" customHeight="1" x14ac:dyDescent="0.3">
      <c r="A58" s="2" t="s">
        <v>171</v>
      </c>
      <c r="B58" s="2" t="s">
        <v>171</v>
      </c>
      <c r="C58" s="3" t="s">
        <v>171</v>
      </c>
      <c r="D58" s="3" t="s">
        <v>37</v>
      </c>
      <c r="E58" s="2"/>
      <c r="F58" s="2"/>
      <c r="G58" s="5">
        <v>46033</v>
      </c>
      <c r="H58" s="5">
        <v>46065</v>
      </c>
      <c r="I58" s="4" t="s">
        <v>31</v>
      </c>
      <c r="J58" s="6">
        <f t="shared" si="1"/>
        <v>32</v>
      </c>
      <c r="K58" s="4" t="str">
        <f t="shared" ca="1" si="2"/>
        <v>-</v>
      </c>
      <c r="L58" s="7">
        <f t="shared" ca="1" si="4"/>
        <v>0</v>
      </c>
      <c r="M58" s="4" t="str">
        <f>IF($I58="Complete","Green",IF($H58="","Amber",IF($H58&lt;'[2]Read Me'!$B$4,"Red",IF($H58-'[2]Read Me'!$B$4&lt;=21,"Amber","Green"))))</f>
        <v>Red</v>
      </c>
      <c r="N58" s="3"/>
      <c r="O58" t="str">
        <f>IF($I58&lt;&gt;"Complete",IF(COUNTIFS($A$4:$A57,$A58,$B$4:$B57,$B58,$I$4:$I57,"&lt;&gt;Complete")=0,$A58&amp;"|"&amp;$B58,""),"")</f>
        <v/>
      </c>
      <c r="P58" t="str">
        <f ca="1">IF($K58="Yes",COUNTIFS($K$4:$K58,"Yes"),"")</f>
        <v/>
      </c>
      <c r="Q58">
        <f t="shared" ca="1" si="3"/>
        <v>0</v>
      </c>
      <c r="R58" t="str">
        <f ca="1">IF($Q58=1,SUM($Q$4:$Q58),"")</f>
        <v/>
      </c>
    </row>
    <row r="59" spans="1:18" ht="14.25" customHeight="1" x14ac:dyDescent="0.3">
      <c r="A59" s="2" t="s">
        <v>171</v>
      </c>
      <c r="B59" s="2" t="s">
        <v>171</v>
      </c>
      <c r="C59" s="3" t="s">
        <v>171</v>
      </c>
      <c r="D59" s="3" t="s">
        <v>659</v>
      </c>
      <c r="E59" s="2"/>
      <c r="F59" s="2"/>
      <c r="G59" s="5"/>
      <c r="H59" s="5">
        <v>46111</v>
      </c>
      <c r="I59" s="4" t="s">
        <v>31</v>
      </c>
      <c r="J59" s="6" t="str">
        <f t="shared" si="1"/>
        <v/>
      </c>
      <c r="K59" s="4" t="str">
        <f t="shared" ca="1" si="2"/>
        <v>-</v>
      </c>
      <c r="L59" s="7">
        <f t="shared" ca="1" si="4"/>
        <v>0</v>
      </c>
      <c r="M59" s="4" t="str">
        <f>IF($I59="Complete","Green",IF($H59="","Amber",IF($H59&lt;'[2]Read Me'!$B$4,"Red",IF($H59-'[2]Read Me'!$B$4&lt;=21,"Amber","Green"))))</f>
        <v>Red</v>
      </c>
      <c r="N59" s="3"/>
      <c r="O59" t="str">
        <f>IF($I59&lt;&gt;"Complete",IF(COUNTIFS($A$4:$A58,$A59,$B$4:$B58,$B59,$I$4:$I58,"&lt;&gt;Complete")=0,$A59&amp;"|"&amp;$B59,""),"")</f>
        <v/>
      </c>
      <c r="P59" t="str">
        <f ca="1">IF($K59="Yes",COUNTIFS($K$4:$K59,"Yes"),"")</f>
        <v/>
      </c>
      <c r="Q59">
        <f t="shared" ca="1" si="3"/>
        <v>0</v>
      </c>
      <c r="R59" t="str">
        <f ca="1">IF($Q59=1,SUM($Q$4:$Q59),"")</f>
        <v/>
      </c>
    </row>
    <row r="60" spans="1:18" ht="14.25" customHeight="1" x14ac:dyDescent="0.3">
      <c r="A60" s="2" t="s">
        <v>171</v>
      </c>
      <c r="B60" s="2" t="s">
        <v>171</v>
      </c>
      <c r="C60" s="3" t="s">
        <v>171</v>
      </c>
      <c r="D60" s="3" t="s">
        <v>37</v>
      </c>
      <c r="E60" s="2"/>
      <c r="F60" s="2"/>
      <c r="G60" s="5"/>
      <c r="H60" s="5">
        <v>46117</v>
      </c>
      <c r="I60" s="4" t="s">
        <v>31</v>
      </c>
      <c r="J60" s="6" t="str">
        <f t="shared" si="1"/>
        <v/>
      </c>
      <c r="K60" s="4" t="str">
        <f t="shared" ca="1" si="2"/>
        <v>-</v>
      </c>
      <c r="L60" s="7">
        <f t="shared" ca="1" si="4"/>
        <v>0</v>
      </c>
      <c r="M60" s="4" t="str">
        <f>IF($I60="Complete","Green",IF($H60="","Amber",IF($H60&lt;'[2]Read Me'!$B$4,"Red",IF($H60-'[2]Read Me'!$B$4&lt;=21,"Amber","Green"))))</f>
        <v>Red</v>
      </c>
      <c r="N60" s="3"/>
      <c r="O60" t="str">
        <f>IF($I60&lt;&gt;"Complete",IF(COUNTIFS($A$4:$A59,$A60,$B$4:$B59,$B60,$I$4:$I59,"&lt;&gt;Complete")=0,$A60&amp;"|"&amp;$B60,""),"")</f>
        <v/>
      </c>
      <c r="P60" t="str">
        <f ca="1">IF($K60="Yes",COUNTIFS($K$4:$K60,"Yes"),"")</f>
        <v/>
      </c>
      <c r="Q60">
        <f t="shared" ca="1" si="3"/>
        <v>0</v>
      </c>
      <c r="R60" t="str">
        <f ca="1">IF($Q60=1,SUM($Q$4:$Q60),"")</f>
        <v/>
      </c>
    </row>
    <row r="61" spans="1:18" ht="14.25" customHeight="1" x14ac:dyDescent="0.3">
      <c r="A61" s="2"/>
      <c r="B61" s="2"/>
      <c r="C61" s="3"/>
      <c r="D61" s="3"/>
      <c r="E61" s="2"/>
      <c r="F61" s="2"/>
      <c r="G61" s="5"/>
      <c r="H61" s="5"/>
      <c r="I61" s="4"/>
      <c r="J61" s="6" t="str">
        <f t="shared" si="1"/>
        <v/>
      </c>
      <c r="K61" s="4" t="str">
        <f t="shared" ca="1" si="2"/>
        <v/>
      </c>
      <c r="L61" s="7" t="str">
        <f t="shared" ca="1" si="4"/>
        <v/>
      </c>
      <c r="M61" s="4" t="str">
        <f>IF($I61="Complete","Green",IF($H61="","Amber",IF($H61&lt;'[2]Read Me'!$B$4,"Red",IF($H61-'[2]Read Me'!$B$4&lt;=21,"Amber","Green"))))</f>
        <v>Amber</v>
      </c>
      <c r="N61" s="3"/>
      <c r="O61" t="str">
        <f>IF($I61&lt;&gt;"Complete",IF(COUNTIFS($A$4:$A60,$A61,$B$4:$B60,$B61,$I$4:$I60,"&lt;&gt;Complete")=0,$A61&amp;"|"&amp;$B61,""),"")</f>
        <v>|</v>
      </c>
      <c r="P61" t="str">
        <f ca="1">IF($K61="Yes",COUNTIFS($K$4:$K61,"Yes"),"")</f>
        <v/>
      </c>
      <c r="Q61">
        <f t="shared" ca="1" si="3"/>
        <v>0</v>
      </c>
      <c r="R61" t="str">
        <f ca="1">IF($Q61=1,SUM($Q$4:$Q61),"")</f>
        <v/>
      </c>
    </row>
    <row r="62" spans="1:18" ht="14.25" customHeight="1" x14ac:dyDescent="0.3">
      <c r="A62" s="2"/>
      <c r="B62" s="2"/>
      <c r="C62" s="3"/>
      <c r="D62" s="3"/>
      <c r="E62" s="2"/>
      <c r="F62" s="2"/>
      <c r="G62" s="5"/>
      <c r="H62" s="5"/>
      <c r="I62" s="4"/>
      <c r="J62" s="6" t="str">
        <f t="shared" si="1"/>
        <v/>
      </c>
      <c r="K62" s="4" t="str">
        <f t="shared" ca="1" si="2"/>
        <v/>
      </c>
      <c r="L62" s="7" t="str">
        <f t="shared" ca="1" si="4"/>
        <v/>
      </c>
      <c r="M62" s="4" t="str">
        <f>IF($I62="Complete","Green",IF($H62="","Amber",IF($H62&lt;'[2]Read Me'!$B$4,"Red",IF($H62-'[2]Read Me'!$B$4&lt;=21,"Amber","Green"))))</f>
        <v>Amber</v>
      </c>
      <c r="N62" s="3"/>
      <c r="O62" t="str">
        <f>IF($I62&lt;&gt;"Complete",IF(COUNTIFS($A$4:$A61,$A62,$B$4:$B61,$B62,$I$4:$I61,"&lt;&gt;Complete")=0,$A62&amp;"|"&amp;$B62,""),"")</f>
        <v>|</v>
      </c>
      <c r="P62" t="str">
        <f ca="1">IF($K62="Yes",COUNTIFS($K$4:$K62,"Yes"),"")</f>
        <v/>
      </c>
      <c r="Q62">
        <f t="shared" ca="1" si="3"/>
        <v>0</v>
      </c>
      <c r="R62" t="str">
        <f ca="1">IF($Q62=1,SUM($Q$4:$Q62),"")</f>
        <v/>
      </c>
    </row>
    <row r="63" spans="1:18" ht="22.5" customHeight="1" x14ac:dyDescent="0.3">
      <c r="A63" s="2"/>
      <c r="B63" s="2"/>
      <c r="C63" s="3"/>
      <c r="D63" s="3"/>
      <c r="E63" s="2"/>
      <c r="F63" s="2"/>
      <c r="G63" s="5"/>
      <c r="H63" s="5"/>
      <c r="I63" s="4"/>
      <c r="J63" s="6" t="str">
        <f t="shared" si="1"/>
        <v/>
      </c>
      <c r="K63" s="4" t="str">
        <f t="shared" ca="1" si="2"/>
        <v/>
      </c>
      <c r="L63" s="7" t="str">
        <f t="shared" ca="1" si="4"/>
        <v/>
      </c>
      <c r="M63" s="4" t="str">
        <f>IF($I63="Complete","Green",IF($H63="","Amber",IF($H63&lt;'[2]Read Me'!$B$4,"Red",IF($H63-'[2]Read Me'!$B$4&lt;=21,"Amber","Green"))))</f>
        <v>Amber</v>
      </c>
      <c r="N63" s="3"/>
      <c r="O63" t="str">
        <f>IF($I63&lt;&gt;"Complete",IF(COUNTIFS($A$4:$A62,$A63,$B$4:$B62,$B63,$I$4:$I62,"&lt;&gt;Complete")=0,$A63&amp;"|"&amp;$B63,""),"")</f>
        <v>|</v>
      </c>
      <c r="P63" t="str">
        <f ca="1">IF($K63="Yes",COUNTIFS($K$4:$K63,"Yes"),"")</f>
        <v/>
      </c>
      <c r="Q63">
        <f t="shared" ca="1" si="3"/>
        <v>0</v>
      </c>
      <c r="R63" t="str">
        <f ca="1">IF($Q63=1,SUM($Q$4:$Q63),"")</f>
        <v/>
      </c>
    </row>
    <row r="64" spans="1:18" ht="22.5" customHeight="1" x14ac:dyDescent="0.3">
      <c r="A64" s="2"/>
      <c r="B64" s="2"/>
      <c r="C64" s="3"/>
      <c r="D64" s="3"/>
      <c r="E64" s="2"/>
      <c r="F64" s="2"/>
      <c r="G64" s="5"/>
      <c r="H64" s="5"/>
      <c r="I64" s="4"/>
      <c r="J64" s="6" t="str">
        <f t="shared" si="1"/>
        <v/>
      </c>
      <c r="K64" s="4" t="str">
        <f t="shared" ca="1" si="2"/>
        <v/>
      </c>
      <c r="L64" s="7" t="str">
        <f t="shared" ca="1" si="4"/>
        <v/>
      </c>
      <c r="M64" s="4" t="str">
        <f>IF($I64="Complete","Green",IF($H64="","Amber",IF($H64&lt;'[2]Read Me'!$B$4,"Red",IF($H64-'[2]Read Me'!$B$4&lt;=21,"Amber","Green"))))</f>
        <v>Amber</v>
      </c>
      <c r="N64" s="3"/>
      <c r="O64" t="str">
        <f>IF($I64&lt;&gt;"Complete",IF(COUNTIFS($A$4:$A63,$A64,$B$4:$B63,$B64,$I$4:$I63,"&lt;&gt;Complete")=0,$A64&amp;"|"&amp;$B64,""),"")</f>
        <v>|</v>
      </c>
      <c r="P64" t="str">
        <f ca="1">IF($K64="Yes",COUNTIFS($K$4:$K64,"Yes"),"")</f>
        <v/>
      </c>
      <c r="Q64">
        <f t="shared" ca="1" si="3"/>
        <v>0</v>
      </c>
      <c r="R64" t="str">
        <f ca="1">IF($Q64=1,SUM($Q$4:$Q64),"")</f>
        <v/>
      </c>
    </row>
    <row r="65" spans="1:18" ht="22.5" customHeight="1" x14ac:dyDescent="0.3">
      <c r="A65" s="2"/>
      <c r="B65" s="2"/>
      <c r="C65" s="3"/>
      <c r="D65" s="3"/>
      <c r="E65" s="2"/>
      <c r="F65" s="2"/>
      <c r="G65" s="5"/>
      <c r="H65" s="5"/>
      <c r="I65" s="4"/>
      <c r="J65" s="6" t="str">
        <f t="shared" si="1"/>
        <v/>
      </c>
      <c r="K65" s="4" t="str">
        <f t="shared" ca="1" si="2"/>
        <v/>
      </c>
      <c r="L65" s="7" t="str">
        <f t="shared" ca="1" si="4"/>
        <v/>
      </c>
      <c r="M65" s="4" t="str">
        <f>IF($I65="Complete","Green",IF($H65="","Amber",IF($H65&lt;'[2]Read Me'!$B$4,"Red",IF($H65-'[2]Read Me'!$B$4&lt;=21,"Amber","Green"))))</f>
        <v>Amber</v>
      </c>
      <c r="N65" s="3"/>
      <c r="O65" t="str">
        <f>IF($I65&lt;&gt;"Complete",IF(COUNTIFS($A$4:$A64,$A65,$B$4:$B64,$B65,$I$4:$I64,"&lt;&gt;Complete")=0,$A65&amp;"|"&amp;$B65,""),"")</f>
        <v>|</v>
      </c>
      <c r="P65" t="str">
        <f ca="1">IF($K65="Yes",COUNTIFS($K$4:$K65,"Yes"),"")</f>
        <v/>
      </c>
      <c r="Q65">
        <f t="shared" ca="1" si="3"/>
        <v>0</v>
      </c>
      <c r="R65" t="str">
        <f ca="1">IF($Q65=1,SUM($Q$4:$Q65),"")</f>
        <v/>
      </c>
    </row>
    <row r="66" spans="1:18" ht="22.5" customHeight="1" x14ac:dyDescent="0.3">
      <c r="A66" s="2"/>
      <c r="B66" s="2"/>
      <c r="C66" s="3"/>
      <c r="D66" s="3"/>
      <c r="E66" s="2"/>
      <c r="F66" s="2"/>
      <c r="G66" s="5"/>
      <c r="H66" s="5"/>
      <c r="I66" s="4"/>
      <c r="J66" s="6" t="str">
        <f t="shared" si="1"/>
        <v/>
      </c>
      <c r="K66" s="4" t="str">
        <f t="shared" ca="1" si="2"/>
        <v/>
      </c>
      <c r="L66" s="7" t="str">
        <f t="shared" ca="1" si="4"/>
        <v/>
      </c>
      <c r="M66" s="4" t="str">
        <f>IF($I66="Complete","Green",IF($H66="","Amber",IF($H66&lt;'[2]Read Me'!$B$4,"Red",IF($H66-'[2]Read Me'!$B$4&lt;=21,"Amber","Green"))))</f>
        <v>Amber</v>
      </c>
      <c r="N66" s="3"/>
      <c r="O66" t="str">
        <f>IF($I66&lt;&gt;"Complete",IF(COUNTIFS($A$4:$A65,$A66,$B$4:$B65,$B66,$I$4:$I65,"&lt;&gt;Complete")=0,$A66&amp;"|"&amp;$B66,""),"")</f>
        <v>|</v>
      </c>
      <c r="P66" t="str">
        <f ca="1">IF($K66="Yes",COUNTIFS($K$4:$K66,"Yes"),"")</f>
        <v/>
      </c>
      <c r="Q66">
        <f t="shared" ca="1" si="3"/>
        <v>0</v>
      </c>
      <c r="R66" t="str">
        <f ca="1">IF($Q66=1,SUM($Q$4:$Q66),"")</f>
        <v/>
      </c>
    </row>
    <row r="67" spans="1:18" ht="22.5" customHeight="1" x14ac:dyDescent="0.3">
      <c r="A67" s="2"/>
      <c r="B67" s="2"/>
      <c r="C67" s="3"/>
      <c r="D67" s="3"/>
      <c r="E67" s="2"/>
      <c r="F67" s="2"/>
      <c r="G67" s="5"/>
      <c r="H67" s="5"/>
      <c r="I67" s="4"/>
      <c r="J67" s="6" t="str">
        <f t="shared" si="1"/>
        <v/>
      </c>
      <c r="K67" s="4" t="str">
        <f t="shared" ca="1" si="2"/>
        <v/>
      </c>
      <c r="L67" s="7" t="str">
        <f t="shared" ca="1" si="4"/>
        <v/>
      </c>
      <c r="M67" s="4" t="str">
        <f>IF($I67="Complete","Green",IF($H67="","Amber",IF($H67&lt;'[2]Read Me'!$B$4,"Red",IF($H67-'[2]Read Me'!$B$4&lt;=21,"Amber","Green"))))</f>
        <v>Amber</v>
      </c>
      <c r="N67" s="3"/>
      <c r="O67" t="str">
        <f>IF($I67&lt;&gt;"Complete",IF(COUNTIFS($A$4:$A66,$A67,$B$4:$B66,$B67,$I$4:$I66,"&lt;&gt;Complete")=0,$A67&amp;"|"&amp;$B67,""),"")</f>
        <v>|</v>
      </c>
      <c r="P67" t="str">
        <f ca="1">IF($K67="Yes",COUNTIFS($K$4:$K67,"Yes"),"")</f>
        <v/>
      </c>
      <c r="Q67">
        <f t="shared" ca="1" si="3"/>
        <v>0</v>
      </c>
      <c r="R67" t="str">
        <f ca="1">IF($Q67=1,SUM($Q$4:$Q67),"")</f>
        <v/>
      </c>
    </row>
    <row r="68" spans="1:18" ht="22.5" customHeight="1" x14ac:dyDescent="0.3">
      <c r="A68" s="2"/>
      <c r="B68" s="2"/>
      <c r="C68" s="3"/>
      <c r="D68" s="3"/>
      <c r="E68" s="2"/>
      <c r="F68" s="2"/>
      <c r="G68" s="5"/>
      <c r="H68" s="5"/>
      <c r="I68" s="4"/>
      <c r="J68" s="6" t="str">
        <f t="shared" ref="J68:J131" si="5">IF(OR($G68="",$H68=""),"",$H68-$G68)</f>
        <v/>
      </c>
      <c r="K68" s="4" t="str">
        <f t="shared" ref="K68:K131" ca="1" si="6">IF(C68="","",IF(H68="","",IF($I68="completed","-",IF($H68&gt;TODAY(),"No","Yes"))))</f>
        <v/>
      </c>
      <c r="L68" s="7" t="str">
        <f t="shared" ref="L68:L131" ca="1" si="7">IF(I68="Completed",0,IF(H68="","",H68-TODAY()))</f>
        <v/>
      </c>
      <c r="M68" s="4" t="str">
        <f>IF($I68="Complete","Green",IF($H68="","Amber",IF($H68&lt;'[2]Read Me'!$B$4,"Red",IF($H68-'[2]Read Me'!$B$4&lt;=21,"Amber","Green"))))</f>
        <v>Amber</v>
      </c>
      <c r="N68" s="3"/>
      <c r="O68" t="str">
        <f>IF($I68&lt;&gt;"Complete",IF(COUNTIFS($A$4:$A67,$A68,$B$4:$B67,$B68,$I$4:$I67,"&lt;&gt;Complete")=0,$A68&amp;"|"&amp;$B68,""),"")</f>
        <v>|</v>
      </c>
      <c r="P68" t="str">
        <f ca="1">IF($K68="Yes",COUNTIFS($K$4:$K68,"Yes"),"")</f>
        <v/>
      </c>
      <c r="Q68">
        <f t="shared" ref="Q68:Q131" ca="1" si="8">IF(OR($I68="In Progress",$K68="Yes"),1,0)</f>
        <v>0</v>
      </c>
      <c r="R68" t="str">
        <f ca="1">IF($Q68=1,SUM($Q$4:$Q68),"")</f>
        <v/>
      </c>
    </row>
    <row r="69" spans="1:18" ht="22.5" customHeight="1" x14ac:dyDescent="0.3">
      <c r="A69" s="2"/>
      <c r="B69" s="2"/>
      <c r="C69" s="3"/>
      <c r="D69" s="3"/>
      <c r="E69" s="2"/>
      <c r="F69" s="2"/>
      <c r="G69" s="5"/>
      <c r="H69" s="5"/>
      <c r="I69" s="4"/>
      <c r="J69" s="6" t="str">
        <f t="shared" si="5"/>
        <v/>
      </c>
      <c r="K69" s="4" t="str">
        <f t="shared" ca="1" si="6"/>
        <v/>
      </c>
      <c r="L69" s="7" t="str">
        <f t="shared" ca="1" si="7"/>
        <v/>
      </c>
      <c r="M69" s="4" t="str">
        <f>IF($I69="Complete","Green",IF($H69="","Amber",IF($H69&lt;'[2]Read Me'!$B$4,"Red",IF($H69-'[2]Read Me'!$B$4&lt;=21,"Amber","Green"))))</f>
        <v>Amber</v>
      </c>
      <c r="N69" s="3"/>
      <c r="O69" t="str">
        <f>IF($I69&lt;&gt;"Complete",IF(COUNTIFS($A$4:$A68,$A69,$B$4:$B68,$B69,$I$4:$I68,"&lt;&gt;Complete")=0,$A69&amp;"|"&amp;$B69,""),"")</f>
        <v>|</v>
      </c>
      <c r="P69" t="str">
        <f ca="1">IF($K69="Yes",COUNTIFS($K$4:$K69,"Yes"),"")</f>
        <v/>
      </c>
      <c r="Q69">
        <f t="shared" ca="1" si="8"/>
        <v>0</v>
      </c>
      <c r="R69" t="str">
        <f ca="1">IF($Q69=1,SUM($Q$4:$Q69),"")</f>
        <v/>
      </c>
    </row>
    <row r="70" spans="1:18" ht="22.5" customHeight="1" x14ac:dyDescent="0.3">
      <c r="A70" s="2"/>
      <c r="B70" s="2"/>
      <c r="C70" s="3"/>
      <c r="D70" s="3"/>
      <c r="E70" s="2"/>
      <c r="F70" s="2"/>
      <c r="G70" s="5"/>
      <c r="H70" s="5"/>
      <c r="I70" s="4"/>
      <c r="J70" s="6" t="str">
        <f t="shared" si="5"/>
        <v/>
      </c>
      <c r="K70" s="4" t="str">
        <f t="shared" ca="1" si="6"/>
        <v/>
      </c>
      <c r="L70" s="7" t="str">
        <f t="shared" ca="1" si="7"/>
        <v/>
      </c>
      <c r="M70" s="4" t="str">
        <f>IF($I70="Complete","Green",IF($H70="","Amber",IF($H70&lt;'[2]Read Me'!$B$4,"Red",IF($H70-'[2]Read Me'!$B$4&lt;=21,"Amber","Green"))))</f>
        <v>Amber</v>
      </c>
      <c r="N70" s="3"/>
      <c r="O70" t="str">
        <f>IF($I70&lt;&gt;"Complete",IF(COUNTIFS($A$4:$A69,$A70,$B$4:$B69,$B70,$I$4:$I69,"&lt;&gt;Complete")=0,$A70&amp;"|"&amp;$B70,""),"")</f>
        <v>|</v>
      </c>
      <c r="P70" t="str">
        <f ca="1">IF($K70="Yes",COUNTIFS($K$4:$K70,"Yes"),"")</f>
        <v/>
      </c>
      <c r="Q70">
        <f t="shared" ca="1" si="8"/>
        <v>0</v>
      </c>
      <c r="R70" t="str">
        <f ca="1">IF($Q70=1,SUM($Q$4:$Q70),"")</f>
        <v/>
      </c>
    </row>
    <row r="71" spans="1:18" ht="22.5" customHeight="1" x14ac:dyDescent="0.3">
      <c r="A71" s="2"/>
      <c r="B71" s="2"/>
      <c r="C71" s="3"/>
      <c r="D71" s="3"/>
      <c r="E71" s="2"/>
      <c r="F71" s="2"/>
      <c r="G71" s="5"/>
      <c r="H71" s="5"/>
      <c r="I71" s="4"/>
      <c r="J71" s="6" t="str">
        <f t="shared" si="5"/>
        <v/>
      </c>
      <c r="K71" s="4" t="str">
        <f t="shared" ca="1" si="6"/>
        <v/>
      </c>
      <c r="L71" s="7" t="str">
        <f t="shared" ca="1" si="7"/>
        <v/>
      </c>
      <c r="M71" s="4" t="str">
        <f>IF($I71="Complete","Green",IF($H71="","Amber",IF($H71&lt;'[2]Read Me'!$B$4,"Red",IF($H71-'[2]Read Me'!$B$4&lt;=21,"Amber","Green"))))</f>
        <v>Amber</v>
      </c>
      <c r="N71" s="3"/>
      <c r="O71" t="str">
        <f>IF($I71&lt;&gt;"Complete",IF(COUNTIFS($A$4:$A70,$A71,$B$4:$B70,$B71,$I$4:$I70,"&lt;&gt;Complete")=0,$A71&amp;"|"&amp;$B71,""),"")</f>
        <v>|</v>
      </c>
      <c r="P71" t="str">
        <f ca="1">IF($K71="Yes",COUNTIFS($K$4:$K71,"Yes"),"")</f>
        <v/>
      </c>
      <c r="Q71">
        <f t="shared" ca="1" si="8"/>
        <v>0</v>
      </c>
      <c r="R71" t="str">
        <f ca="1">IF($Q71=1,SUM($Q$4:$Q71),"")</f>
        <v/>
      </c>
    </row>
    <row r="72" spans="1:18" ht="33.75" customHeight="1" x14ac:dyDescent="0.3">
      <c r="A72" s="2"/>
      <c r="B72" s="2"/>
      <c r="C72" s="3"/>
      <c r="D72" s="3"/>
      <c r="E72" s="2"/>
      <c r="F72" s="2"/>
      <c r="G72" s="5"/>
      <c r="H72" s="5"/>
      <c r="I72" s="4"/>
      <c r="J72" s="6" t="str">
        <f t="shared" si="5"/>
        <v/>
      </c>
      <c r="K72" s="4" t="str">
        <f t="shared" ca="1" si="6"/>
        <v/>
      </c>
      <c r="L72" s="7" t="str">
        <f t="shared" ca="1" si="7"/>
        <v/>
      </c>
      <c r="M72" s="4" t="str">
        <f>IF($I72="Complete","Green",IF($H72="","Amber",IF($H72&lt;'[2]Read Me'!$B$4,"Red",IF($H72-'[2]Read Me'!$B$4&lt;=21,"Amber","Green"))))</f>
        <v>Amber</v>
      </c>
      <c r="N72" s="3"/>
      <c r="O72" t="str">
        <f>IF($I72&lt;&gt;"Complete",IF(COUNTIFS($A$4:$A71,$A72,$B$4:$B71,$B72,$I$4:$I71,"&lt;&gt;Complete")=0,$A72&amp;"|"&amp;$B72,""),"")</f>
        <v>|</v>
      </c>
      <c r="P72" t="str">
        <f ca="1">IF($K72="Yes",COUNTIFS($K$4:$K72,"Yes"),"")</f>
        <v/>
      </c>
      <c r="Q72">
        <f t="shared" ca="1" si="8"/>
        <v>0</v>
      </c>
      <c r="R72" t="str">
        <f ca="1">IF($Q72=1,SUM($Q$4:$Q72),"")</f>
        <v/>
      </c>
    </row>
    <row r="73" spans="1:18" ht="33.75" customHeight="1" x14ac:dyDescent="0.3">
      <c r="A73" s="2"/>
      <c r="B73" s="2"/>
      <c r="C73" s="3"/>
      <c r="D73" s="3"/>
      <c r="E73" s="2"/>
      <c r="F73" s="2"/>
      <c r="G73" s="5"/>
      <c r="H73" s="5"/>
      <c r="I73" s="4"/>
      <c r="J73" s="6" t="str">
        <f t="shared" si="5"/>
        <v/>
      </c>
      <c r="K73" s="4" t="str">
        <f t="shared" ca="1" si="6"/>
        <v/>
      </c>
      <c r="L73" s="7" t="str">
        <f t="shared" ca="1" si="7"/>
        <v/>
      </c>
      <c r="M73" s="4" t="str">
        <f>IF($I73="Complete","Green",IF($H73="","Amber",IF($H73&lt;'[2]Read Me'!$B$4,"Red",IF($H73-'[2]Read Me'!$B$4&lt;=21,"Amber","Green"))))</f>
        <v>Amber</v>
      </c>
      <c r="N73" s="3"/>
      <c r="O73" t="str">
        <f>IF($I73&lt;&gt;"Complete",IF(COUNTIFS($A$4:$A72,$A73,$B$4:$B72,$B73,$I$4:$I72,"&lt;&gt;Complete")=0,$A73&amp;"|"&amp;$B73,""),"")</f>
        <v>|</v>
      </c>
      <c r="P73" t="str">
        <f ca="1">IF($K73="Yes",COUNTIFS($K$4:$K73,"Yes"),"")</f>
        <v/>
      </c>
      <c r="Q73">
        <f t="shared" ca="1" si="8"/>
        <v>0</v>
      </c>
      <c r="R73" t="str">
        <f ca="1">IF($Q73=1,SUM($Q$4:$Q73),"")</f>
        <v/>
      </c>
    </row>
    <row r="74" spans="1:18" ht="33.75" customHeight="1" x14ac:dyDescent="0.3">
      <c r="A74" s="2"/>
      <c r="B74" s="2"/>
      <c r="C74" s="3"/>
      <c r="D74" s="3"/>
      <c r="E74" s="2"/>
      <c r="F74" s="2"/>
      <c r="G74" s="5"/>
      <c r="H74" s="5"/>
      <c r="I74" s="4"/>
      <c r="J74" s="6" t="str">
        <f t="shared" si="5"/>
        <v/>
      </c>
      <c r="K74" s="4" t="str">
        <f t="shared" ca="1" si="6"/>
        <v/>
      </c>
      <c r="L74" s="7" t="str">
        <f t="shared" ca="1" si="7"/>
        <v/>
      </c>
      <c r="M74" s="4" t="str">
        <f>IF($I74="Complete","Green",IF($H74="","Amber",IF($H74&lt;'[2]Read Me'!$B$4,"Red",IF($H74-'[2]Read Me'!$B$4&lt;=21,"Amber","Green"))))</f>
        <v>Amber</v>
      </c>
      <c r="N74" s="3"/>
      <c r="O74" t="str">
        <f>IF($I74&lt;&gt;"Complete",IF(COUNTIFS($A$4:$A73,$A74,$B$4:$B73,$B74,$I$4:$I73,"&lt;&gt;Complete")=0,$A74&amp;"|"&amp;$B74,""),"")</f>
        <v>|</v>
      </c>
      <c r="P74" t="str">
        <f ca="1">IF($K74="Yes",COUNTIFS($K$4:$K74,"Yes"),"")</f>
        <v/>
      </c>
      <c r="Q74">
        <f t="shared" ca="1" si="8"/>
        <v>0</v>
      </c>
      <c r="R74" t="str">
        <f ca="1">IF($Q74=1,SUM($Q$4:$Q74),"")</f>
        <v/>
      </c>
    </row>
    <row r="75" spans="1:18" ht="14.25" customHeight="1" x14ac:dyDescent="0.3">
      <c r="A75" s="2"/>
      <c r="B75" s="2"/>
      <c r="C75" s="3"/>
      <c r="D75" s="3"/>
      <c r="E75" s="2"/>
      <c r="F75" s="2"/>
      <c r="G75" s="5"/>
      <c r="H75" s="5"/>
      <c r="I75" s="4"/>
      <c r="J75" s="6" t="str">
        <f t="shared" si="5"/>
        <v/>
      </c>
      <c r="K75" s="4" t="str">
        <f t="shared" ca="1" si="6"/>
        <v/>
      </c>
      <c r="L75" s="7" t="str">
        <f t="shared" ca="1" si="7"/>
        <v/>
      </c>
      <c r="M75" s="4" t="str">
        <f>IF($I75="Complete","Green",IF($H75="","Amber",IF($H75&lt;'[2]Read Me'!$B$4,"Red",IF($H75-'[2]Read Me'!$B$4&lt;=21,"Amber","Green"))))</f>
        <v>Amber</v>
      </c>
      <c r="N75" s="3"/>
      <c r="O75" t="str">
        <f>IF($I75&lt;&gt;"Complete",IF(COUNTIFS($A$4:$A74,$A75,$B$4:$B74,$B75,$I$4:$I74,"&lt;&gt;Complete")=0,$A75&amp;"|"&amp;$B75,""),"")</f>
        <v>|</v>
      </c>
      <c r="P75" t="str">
        <f ca="1">IF($K75="Yes",COUNTIFS($K$4:$K75,"Yes"),"")</f>
        <v/>
      </c>
      <c r="Q75">
        <f t="shared" ca="1" si="8"/>
        <v>0</v>
      </c>
      <c r="R75" t="str">
        <f ca="1">IF($Q75=1,SUM($Q$4:$Q75),"")</f>
        <v/>
      </c>
    </row>
    <row r="76" spans="1:18" ht="14.25" customHeight="1" x14ac:dyDescent="0.3">
      <c r="A76" s="2"/>
      <c r="B76" s="2"/>
      <c r="C76" s="3"/>
      <c r="D76" s="3"/>
      <c r="E76" s="2"/>
      <c r="F76" s="2"/>
      <c r="G76" s="5"/>
      <c r="H76" s="5"/>
      <c r="I76" s="4"/>
      <c r="J76" s="6" t="str">
        <f t="shared" si="5"/>
        <v/>
      </c>
      <c r="K76" s="4" t="str">
        <f t="shared" ca="1" si="6"/>
        <v/>
      </c>
      <c r="L76" s="7" t="str">
        <f t="shared" ca="1" si="7"/>
        <v/>
      </c>
      <c r="M76" s="4" t="str">
        <f>IF($I76="Complete","Green",IF($H76="","Amber",IF($H76&lt;'[2]Read Me'!$B$4,"Red",IF($H76-'[2]Read Me'!$B$4&lt;=21,"Amber","Green"))))</f>
        <v>Amber</v>
      </c>
      <c r="N76" s="3"/>
      <c r="O76" t="str">
        <f>IF($I76&lt;&gt;"Complete",IF(COUNTIFS($A$4:$A75,$A76,$B$4:$B75,$B76,$I$4:$I75,"&lt;&gt;Complete")=0,$A76&amp;"|"&amp;$B76,""),"")</f>
        <v>|</v>
      </c>
      <c r="P76" t="str">
        <f ca="1">IF($K76="Yes",COUNTIFS($K$4:$K76,"Yes"),"")</f>
        <v/>
      </c>
      <c r="Q76">
        <f t="shared" ca="1" si="8"/>
        <v>0</v>
      </c>
      <c r="R76" t="str">
        <f ca="1">IF($Q76=1,SUM($Q$4:$Q76),"")</f>
        <v/>
      </c>
    </row>
    <row r="77" spans="1:18" ht="22.5" customHeight="1" x14ac:dyDescent="0.3">
      <c r="A77" s="2"/>
      <c r="B77" s="2"/>
      <c r="C77" s="3"/>
      <c r="D77" s="3"/>
      <c r="E77" s="2"/>
      <c r="F77" s="2"/>
      <c r="G77" s="5"/>
      <c r="H77" s="5"/>
      <c r="I77" s="4"/>
      <c r="J77" s="6" t="str">
        <f t="shared" si="5"/>
        <v/>
      </c>
      <c r="K77" s="4" t="str">
        <f t="shared" ca="1" si="6"/>
        <v/>
      </c>
      <c r="L77" s="7" t="str">
        <f t="shared" ca="1" si="7"/>
        <v/>
      </c>
      <c r="M77" s="4" t="str">
        <f>IF($I77="Complete","Green",IF($H77="","Amber",IF($H77&lt;'[2]Read Me'!$B$4,"Red",IF($H77-'[2]Read Me'!$B$4&lt;=21,"Amber","Green"))))</f>
        <v>Amber</v>
      </c>
      <c r="N77" s="3"/>
      <c r="O77" t="str">
        <f>IF($I77&lt;&gt;"Complete",IF(COUNTIFS($A$4:$A76,$A77,$B$4:$B76,$B77,$I$4:$I76,"&lt;&gt;Complete")=0,$A77&amp;"|"&amp;$B77,""),"")</f>
        <v>|</v>
      </c>
      <c r="P77" t="str">
        <f ca="1">IF($K77="Yes",COUNTIFS($K$4:$K77,"Yes"),"")</f>
        <v/>
      </c>
      <c r="Q77">
        <f t="shared" ca="1" si="8"/>
        <v>0</v>
      </c>
      <c r="R77" t="str">
        <f ca="1">IF($Q77=1,SUM($Q$4:$Q77),"")</f>
        <v/>
      </c>
    </row>
    <row r="78" spans="1:18" ht="14.25" customHeight="1" x14ac:dyDescent="0.3">
      <c r="A78" s="2"/>
      <c r="B78" s="2"/>
      <c r="C78" s="3"/>
      <c r="D78" s="3"/>
      <c r="E78" s="2"/>
      <c r="F78" s="2"/>
      <c r="G78" s="5"/>
      <c r="H78" s="5"/>
      <c r="I78" s="4"/>
      <c r="J78" s="6" t="str">
        <f t="shared" si="5"/>
        <v/>
      </c>
      <c r="K78" s="4" t="str">
        <f t="shared" ca="1" si="6"/>
        <v/>
      </c>
      <c r="L78" s="7" t="str">
        <f t="shared" ca="1" si="7"/>
        <v/>
      </c>
      <c r="M78" s="4" t="str">
        <f>IF($I78="Complete","Green",IF($H78="","Amber",IF($H78&lt;'[2]Read Me'!$B$4,"Red",IF($H78-'[2]Read Me'!$B$4&lt;=21,"Amber","Green"))))</f>
        <v>Amber</v>
      </c>
      <c r="N78" s="3"/>
      <c r="O78" t="str">
        <f>IF($I78&lt;&gt;"Complete",IF(COUNTIFS($A$4:$A77,$A78,$B$4:$B77,$B78,$I$4:$I77,"&lt;&gt;Complete")=0,$A78&amp;"|"&amp;$B78,""),"")</f>
        <v>|</v>
      </c>
      <c r="P78" t="str">
        <f ca="1">IF($K78="Yes",COUNTIFS($K$4:$K78,"Yes"),"")</f>
        <v/>
      </c>
      <c r="Q78">
        <f t="shared" ca="1" si="8"/>
        <v>0</v>
      </c>
      <c r="R78" t="str">
        <f ca="1">IF($Q78=1,SUM($Q$4:$Q78),"")</f>
        <v/>
      </c>
    </row>
    <row r="79" spans="1:18" ht="33.75" customHeight="1" x14ac:dyDescent="0.3">
      <c r="A79" s="2"/>
      <c r="B79" s="2"/>
      <c r="C79" s="3"/>
      <c r="D79" s="3"/>
      <c r="E79" s="2"/>
      <c r="F79" s="2"/>
      <c r="G79" s="5"/>
      <c r="H79" s="5"/>
      <c r="I79" s="4"/>
      <c r="J79" s="6" t="str">
        <f t="shared" si="5"/>
        <v/>
      </c>
      <c r="K79" s="4" t="str">
        <f t="shared" ca="1" si="6"/>
        <v/>
      </c>
      <c r="L79" s="7" t="str">
        <f t="shared" ca="1" si="7"/>
        <v/>
      </c>
      <c r="M79" s="4" t="str">
        <f>IF($I79="Complete","Green",IF($H79="","Amber",IF($H79&lt;'[2]Read Me'!$B$4,"Red",IF($H79-'[2]Read Me'!$B$4&lt;=21,"Amber","Green"))))</f>
        <v>Amber</v>
      </c>
      <c r="N79" s="3"/>
      <c r="O79" t="str">
        <f>IF($I79&lt;&gt;"Complete",IF(COUNTIFS($A$4:$A78,$A79,$B$4:$B78,$B79,$I$4:$I78,"&lt;&gt;Complete")=0,$A79&amp;"|"&amp;$B79,""),"")</f>
        <v>|</v>
      </c>
      <c r="P79" t="str">
        <f ca="1">IF($K79="Yes",COUNTIFS($K$4:$K79,"Yes"),"")</f>
        <v/>
      </c>
      <c r="Q79">
        <f t="shared" ca="1" si="8"/>
        <v>0</v>
      </c>
      <c r="R79" t="str">
        <f ca="1">IF($Q79=1,SUM($Q$4:$Q79),"")</f>
        <v/>
      </c>
    </row>
    <row r="80" spans="1:18" ht="33.75" customHeight="1" x14ac:dyDescent="0.3">
      <c r="A80" s="2"/>
      <c r="B80" s="2"/>
      <c r="C80" s="3"/>
      <c r="D80" s="3"/>
      <c r="E80" s="2"/>
      <c r="F80" s="2"/>
      <c r="G80" s="5"/>
      <c r="H80" s="5"/>
      <c r="I80" s="4"/>
      <c r="J80" s="6" t="str">
        <f t="shared" si="5"/>
        <v/>
      </c>
      <c r="K80" s="4" t="str">
        <f t="shared" ca="1" si="6"/>
        <v/>
      </c>
      <c r="L80" s="7" t="str">
        <f t="shared" ca="1" si="7"/>
        <v/>
      </c>
      <c r="M80" s="4" t="str">
        <f>IF($I80="Complete","Green",IF($H80="","Amber",IF($H80&lt;'[2]Read Me'!$B$4,"Red",IF($H80-'[2]Read Me'!$B$4&lt;=21,"Amber","Green"))))</f>
        <v>Amber</v>
      </c>
      <c r="N80" s="3"/>
      <c r="O80" t="str">
        <f>IF($I80&lt;&gt;"Complete",IF(COUNTIFS($A$4:$A79,$A80,$B$4:$B79,$B80,$I$4:$I79,"&lt;&gt;Complete")=0,$A80&amp;"|"&amp;$B80,""),"")</f>
        <v>|</v>
      </c>
      <c r="P80" t="str">
        <f ca="1">IF($K80="Yes",COUNTIFS($K$4:$K80,"Yes"),"")</f>
        <v/>
      </c>
      <c r="Q80">
        <f t="shared" ca="1" si="8"/>
        <v>0</v>
      </c>
      <c r="R80" t="str">
        <f ca="1">IF($Q80=1,SUM($Q$4:$Q80),"")</f>
        <v/>
      </c>
    </row>
    <row r="81" spans="1:18" ht="33.75" customHeight="1" x14ac:dyDescent="0.3">
      <c r="A81" s="2"/>
      <c r="B81" s="2"/>
      <c r="C81" s="3"/>
      <c r="D81" s="3"/>
      <c r="E81" s="2"/>
      <c r="F81" s="2"/>
      <c r="G81" s="5"/>
      <c r="H81" s="5"/>
      <c r="I81" s="4"/>
      <c r="J81" s="6" t="str">
        <f t="shared" si="5"/>
        <v/>
      </c>
      <c r="K81" s="4" t="str">
        <f t="shared" ca="1" si="6"/>
        <v/>
      </c>
      <c r="L81" s="7" t="str">
        <f t="shared" ca="1" si="7"/>
        <v/>
      </c>
      <c r="M81" s="4" t="str">
        <f>IF($I81="Complete","Green",IF($H81="","Amber",IF($H81&lt;'[2]Read Me'!$B$4,"Red",IF($H81-'[2]Read Me'!$B$4&lt;=21,"Amber","Green"))))</f>
        <v>Amber</v>
      </c>
      <c r="N81" s="3"/>
      <c r="O81" t="str">
        <f>IF($I81&lt;&gt;"Complete",IF(COUNTIFS($A$4:$A80,$A81,$B$4:$B80,$B81,$I$4:$I80,"&lt;&gt;Complete")=0,$A81&amp;"|"&amp;$B81,""),"")</f>
        <v>|</v>
      </c>
      <c r="P81" t="str">
        <f ca="1">IF($K81="Yes",COUNTIFS($K$4:$K81,"Yes"),"")</f>
        <v/>
      </c>
      <c r="Q81">
        <f t="shared" ca="1" si="8"/>
        <v>0</v>
      </c>
      <c r="R81" t="str">
        <f ca="1">IF($Q81=1,SUM($Q$4:$Q81),"")</f>
        <v/>
      </c>
    </row>
    <row r="82" spans="1:18" ht="33.75" customHeight="1" x14ac:dyDescent="0.3">
      <c r="A82" s="2"/>
      <c r="B82" s="2"/>
      <c r="C82" s="3"/>
      <c r="D82" s="3"/>
      <c r="E82" s="2"/>
      <c r="F82" s="2"/>
      <c r="G82" s="5"/>
      <c r="H82" s="5"/>
      <c r="I82" s="4"/>
      <c r="J82" s="6" t="str">
        <f t="shared" si="5"/>
        <v/>
      </c>
      <c r="K82" s="4" t="str">
        <f t="shared" ca="1" si="6"/>
        <v/>
      </c>
      <c r="L82" s="7" t="str">
        <f t="shared" ca="1" si="7"/>
        <v/>
      </c>
      <c r="M82" s="4" t="str">
        <f>IF($I82="Complete","Green",IF($H82="","Amber",IF($H82&lt;'[2]Read Me'!$B$4,"Red",IF($H82-'[2]Read Me'!$B$4&lt;=21,"Amber","Green"))))</f>
        <v>Amber</v>
      </c>
      <c r="N82" s="3"/>
      <c r="O82" t="str">
        <f>IF($I82&lt;&gt;"Complete",IF(COUNTIFS($A$4:$A81,$A82,$B$4:$B81,$B82,$I$4:$I81,"&lt;&gt;Complete")=0,$A82&amp;"|"&amp;$B82,""),"")</f>
        <v>|</v>
      </c>
      <c r="P82" t="str">
        <f ca="1">IF($K82="Yes",COUNTIFS($K$4:$K82,"Yes"),"")</f>
        <v/>
      </c>
      <c r="Q82">
        <f t="shared" ca="1" si="8"/>
        <v>0</v>
      </c>
      <c r="R82" t="str">
        <f ca="1">IF($Q82=1,SUM($Q$4:$Q82),"")</f>
        <v/>
      </c>
    </row>
    <row r="83" spans="1:18" ht="33.75" customHeight="1" x14ac:dyDescent="0.3">
      <c r="A83" s="2"/>
      <c r="B83" s="2"/>
      <c r="C83" s="3"/>
      <c r="D83" s="3"/>
      <c r="E83" s="2"/>
      <c r="F83" s="2"/>
      <c r="G83" s="5"/>
      <c r="H83" s="5"/>
      <c r="I83" s="4"/>
      <c r="J83" s="6" t="str">
        <f t="shared" si="5"/>
        <v/>
      </c>
      <c r="K83" s="4" t="str">
        <f t="shared" ca="1" si="6"/>
        <v/>
      </c>
      <c r="L83" s="7" t="str">
        <f t="shared" ca="1" si="7"/>
        <v/>
      </c>
      <c r="M83" s="4" t="str">
        <f>IF($I83="Complete","Green",IF($H83="","Amber",IF($H83&lt;'[2]Read Me'!$B$4,"Red",IF($H83-'[2]Read Me'!$B$4&lt;=21,"Amber","Green"))))</f>
        <v>Amber</v>
      </c>
      <c r="N83" s="3"/>
      <c r="O83" t="str">
        <f>IF($I83&lt;&gt;"Complete",IF(COUNTIFS($A$4:$A82,$A83,$B$4:$B82,$B83,$I$4:$I82,"&lt;&gt;Complete")=0,$A83&amp;"|"&amp;$B83,""),"")</f>
        <v>|</v>
      </c>
      <c r="P83" t="str">
        <f ca="1">IF($K83="Yes",COUNTIFS($K$4:$K83,"Yes"),"")</f>
        <v/>
      </c>
      <c r="Q83">
        <f t="shared" ca="1" si="8"/>
        <v>0</v>
      </c>
      <c r="R83" t="str">
        <f ca="1">IF($Q83=1,SUM($Q$4:$Q83),"")</f>
        <v/>
      </c>
    </row>
    <row r="84" spans="1:18" ht="33.75" customHeight="1" x14ac:dyDescent="0.3">
      <c r="A84" s="2"/>
      <c r="B84" s="2"/>
      <c r="C84" s="3"/>
      <c r="D84" s="3"/>
      <c r="E84" s="2"/>
      <c r="F84" s="2"/>
      <c r="G84" s="5"/>
      <c r="H84" s="5"/>
      <c r="I84" s="4"/>
      <c r="J84" s="6" t="str">
        <f t="shared" si="5"/>
        <v/>
      </c>
      <c r="K84" s="4" t="str">
        <f t="shared" ca="1" si="6"/>
        <v/>
      </c>
      <c r="L84" s="7" t="str">
        <f t="shared" ca="1" si="7"/>
        <v/>
      </c>
      <c r="M84" s="4" t="str">
        <f>IF($I84="Complete","Green",IF($H84="","Amber",IF($H84&lt;'[2]Read Me'!$B$4,"Red",IF($H84-'[2]Read Me'!$B$4&lt;=21,"Amber","Green"))))</f>
        <v>Amber</v>
      </c>
      <c r="N84" s="3"/>
      <c r="O84" t="str">
        <f>IF($I84&lt;&gt;"Complete",IF(COUNTIFS($A$4:$A83,$A84,$B$4:$B83,$B84,$I$4:$I83,"&lt;&gt;Complete")=0,$A84&amp;"|"&amp;$B84,""),"")</f>
        <v>|</v>
      </c>
      <c r="P84" t="str">
        <f ca="1">IF($K84="Yes",COUNTIFS($K$4:$K84,"Yes"),"")</f>
        <v/>
      </c>
      <c r="Q84">
        <f t="shared" ca="1" si="8"/>
        <v>0</v>
      </c>
      <c r="R84" t="str">
        <f ca="1">IF($Q84=1,SUM($Q$4:$Q84),"")</f>
        <v/>
      </c>
    </row>
    <row r="85" spans="1:18" ht="33.75" customHeight="1" x14ac:dyDescent="0.3">
      <c r="A85" s="2"/>
      <c r="B85" s="2"/>
      <c r="C85" s="3"/>
      <c r="D85" s="3"/>
      <c r="E85" s="2"/>
      <c r="F85" s="2"/>
      <c r="G85" s="5"/>
      <c r="H85" s="5"/>
      <c r="I85" s="4"/>
      <c r="J85" s="6" t="str">
        <f t="shared" si="5"/>
        <v/>
      </c>
      <c r="K85" s="4" t="str">
        <f t="shared" ca="1" si="6"/>
        <v/>
      </c>
      <c r="L85" s="7" t="str">
        <f t="shared" ca="1" si="7"/>
        <v/>
      </c>
      <c r="M85" s="4" t="str">
        <f>IF($I85="Complete","Green",IF($H85="","Amber",IF($H85&lt;'[2]Read Me'!$B$4,"Red",IF($H85-'[2]Read Me'!$B$4&lt;=21,"Amber","Green"))))</f>
        <v>Amber</v>
      </c>
      <c r="N85" s="3"/>
      <c r="O85" t="str">
        <f>IF($I85&lt;&gt;"Complete",IF(COUNTIFS($A$4:$A84,$A85,$B$4:$B84,$B85,$I$4:$I84,"&lt;&gt;Complete")=0,$A85&amp;"|"&amp;$B85,""),"")</f>
        <v>|</v>
      </c>
      <c r="P85" t="str">
        <f ca="1">IF($K85="Yes",COUNTIFS($K$4:$K85,"Yes"),"")</f>
        <v/>
      </c>
      <c r="Q85">
        <f t="shared" ca="1" si="8"/>
        <v>0</v>
      </c>
      <c r="R85" t="str">
        <f ca="1">IF($Q85=1,SUM($Q$4:$Q85),"")</f>
        <v/>
      </c>
    </row>
    <row r="86" spans="1:18" ht="33.75" customHeight="1" x14ac:dyDescent="0.3">
      <c r="A86" s="2"/>
      <c r="B86" s="2"/>
      <c r="C86" s="3"/>
      <c r="D86" s="3"/>
      <c r="E86" s="2"/>
      <c r="F86" s="2"/>
      <c r="G86" s="5"/>
      <c r="H86" s="5"/>
      <c r="I86" s="4"/>
      <c r="J86" s="6" t="str">
        <f t="shared" si="5"/>
        <v/>
      </c>
      <c r="K86" s="4" t="str">
        <f t="shared" ca="1" si="6"/>
        <v/>
      </c>
      <c r="L86" s="7" t="str">
        <f t="shared" ca="1" si="7"/>
        <v/>
      </c>
      <c r="M86" s="4" t="str">
        <f>IF($I86="Complete","Green",IF($H86="","Amber",IF($H86&lt;'[2]Read Me'!$B$4,"Red",IF($H86-'[2]Read Me'!$B$4&lt;=21,"Amber","Green"))))</f>
        <v>Amber</v>
      </c>
      <c r="N86" s="3"/>
      <c r="O86" t="str">
        <f>IF($I86&lt;&gt;"Complete",IF(COUNTIFS($A$4:$A85,$A86,$B$4:$B85,$B86,$I$4:$I85,"&lt;&gt;Complete")=0,$A86&amp;"|"&amp;$B86,""),"")</f>
        <v>|</v>
      </c>
      <c r="P86" t="str">
        <f ca="1">IF($K86="Yes",COUNTIFS($K$4:$K86,"Yes"),"")</f>
        <v/>
      </c>
      <c r="Q86">
        <f t="shared" ca="1" si="8"/>
        <v>0</v>
      </c>
      <c r="R86" t="str">
        <f ca="1">IF($Q86=1,SUM($Q$4:$Q86),"")</f>
        <v/>
      </c>
    </row>
    <row r="87" spans="1:18" ht="33.75" customHeight="1" x14ac:dyDescent="0.3">
      <c r="A87" s="2"/>
      <c r="B87" s="2"/>
      <c r="C87" s="3"/>
      <c r="D87" s="3"/>
      <c r="E87" s="2"/>
      <c r="F87" s="2"/>
      <c r="G87" s="5"/>
      <c r="H87" s="5"/>
      <c r="I87" s="4"/>
      <c r="J87" s="6" t="str">
        <f t="shared" si="5"/>
        <v/>
      </c>
      <c r="K87" s="4" t="str">
        <f t="shared" ca="1" si="6"/>
        <v/>
      </c>
      <c r="L87" s="7" t="str">
        <f t="shared" ca="1" si="7"/>
        <v/>
      </c>
      <c r="M87" s="4" t="str">
        <f>IF($I87="Complete","Green",IF($H87="","Amber",IF($H87&lt;'[2]Read Me'!$B$4,"Red",IF($H87-'[2]Read Me'!$B$4&lt;=21,"Amber","Green"))))</f>
        <v>Amber</v>
      </c>
      <c r="N87" s="3"/>
      <c r="O87" t="str">
        <f>IF($I87&lt;&gt;"Complete",IF(COUNTIFS($A$4:$A86,$A87,$B$4:$B86,$B87,$I$4:$I86,"&lt;&gt;Complete")=0,$A87&amp;"|"&amp;$B87,""),"")</f>
        <v>|</v>
      </c>
      <c r="P87" t="str">
        <f ca="1">IF($K87="Yes",COUNTIFS($K$4:$K87,"Yes"),"")</f>
        <v/>
      </c>
      <c r="Q87">
        <f t="shared" ca="1" si="8"/>
        <v>0</v>
      </c>
      <c r="R87" t="str">
        <f ca="1">IF($Q87=1,SUM($Q$4:$Q87),"")</f>
        <v/>
      </c>
    </row>
    <row r="88" spans="1:18" ht="33.75" customHeight="1" x14ac:dyDescent="0.3">
      <c r="A88" s="2"/>
      <c r="B88" s="2"/>
      <c r="C88" s="3"/>
      <c r="D88" s="3"/>
      <c r="E88" s="2"/>
      <c r="F88" s="2"/>
      <c r="G88" s="5"/>
      <c r="H88" s="5"/>
      <c r="I88" s="4"/>
      <c r="J88" s="6" t="str">
        <f t="shared" si="5"/>
        <v/>
      </c>
      <c r="K88" s="4" t="str">
        <f t="shared" ca="1" si="6"/>
        <v/>
      </c>
      <c r="L88" s="7" t="str">
        <f t="shared" ca="1" si="7"/>
        <v/>
      </c>
      <c r="M88" s="4" t="str">
        <f>IF($I88="Complete","Green",IF($H88="","Amber",IF($H88&lt;'[2]Read Me'!$B$4,"Red",IF($H88-'[2]Read Me'!$B$4&lt;=21,"Amber","Green"))))</f>
        <v>Amber</v>
      </c>
      <c r="N88" s="3"/>
      <c r="O88" t="str">
        <f>IF($I88&lt;&gt;"Complete",IF(COUNTIFS($A$4:$A87,$A88,$B$4:$B87,$B88,$I$4:$I87,"&lt;&gt;Complete")=0,$A88&amp;"|"&amp;$B88,""),"")</f>
        <v>|</v>
      </c>
      <c r="P88" t="str">
        <f ca="1">IF($K88="Yes",COUNTIFS($K$4:$K88,"Yes"),"")</f>
        <v/>
      </c>
      <c r="Q88">
        <f t="shared" ca="1" si="8"/>
        <v>0</v>
      </c>
      <c r="R88" t="str">
        <f ca="1">IF($Q88=1,SUM($Q$4:$Q88),"")</f>
        <v/>
      </c>
    </row>
    <row r="89" spans="1:18" ht="33.75" customHeight="1" x14ac:dyDescent="0.3">
      <c r="A89" s="2"/>
      <c r="B89" s="2"/>
      <c r="C89" s="3"/>
      <c r="D89" s="3"/>
      <c r="E89" s="2"/>
      <c r="F89" s="2"/>
      <c r="G89" s="5"/>
      <c r="H89" s="5"/>
      <c r="I89" s="4"/>
      <c r="J89" s="6" t="str">
        <f t="shared" si="5"/>
        <v/>
      </c>
      <c r="K89" s="4" t="str">
        <f t="shared" ca="1" si="6"/>
        <v/>
      </c>
      <c r="L89" s="7" t="str">
        <f t="shared" ca="1" si="7"/>
        <v/>
      </c>
      <c r="M89" s="4" t="str">
        <f>IF($I89="Complete","Green",IF($H89="","Amber",IF($H89&lt;'[2]Read Me'!$B$4,"Red",IF($H89-'[2]Read Me'!$B$4&lt;=21,"Amber","Green"))))</f>
        <v>Amber</v>
      </c>
      <c r="N89" s="3"/>
      <c r="O89" t="str">
        <f>IF($I89&lt;&gt;"Complete",IF(COUNTIFS($A$4:$A88,$A89,$B$4:$B88,$B89,$I$4:$I88,"&lt;&gt;Complete")=0,$A89&amp;"|"&amp;$B89,""),"")</f>
        <v>|</v>
      </c>
      <c r="P89" t="str">
        <f ca="1">IF($K89="Yes",COUNTIFS($K$4:$K89,"Yes"),"")</f>
        <v/>
      </c>
      <c r="Q89">
        <f t="shared" ca="1" si="8"/>
        <v>0</v>
      </c>
      <c r="R89" t="str">
        <f ca="1">IF($Q89=1,SUM($Q$4:$Q89),"")</f>
        <v/>
      </c>
    </row>
    <row r="90" spans="1:18" ht="33.75" customHeight="1" x14ac:dyDescent="0.3">
      <c r="A90" s="2"/>
      <c r="B90" s="2"/>
      <c r="C90" s="3"/>
      <c r="D90" s="3"/>
      <c r="E90" s="2"/>
      <c r="F90" s="2"/>
      <c r="G90" s="5"/>
      <c r="H90" s="5"/>
      <c r="I90" s="4"/>
      <c r="J90" s="6" t="str">
        <f t="shared" si="5"/>
        <v/>
      </c>
      <c r="K90" s="4" t="str">
        <f t="shared" ca="1" si="6"/>
        <v/>
      </c>
      <c r="L90" s="7" t="str">
        <f t="shared" ca="1" si="7"/>
        <v/>
      </c>
      <c r="M90" s="4" t="str">
        <f>IF($I90="Complete","Green",IF($H90="","Amber",IF($H90&lt;'[2]Read Me'!$B$4,"Red",IF($H90-'[2]Read Me'!$B$4&lt;=21,"Amber","Green"))))</f>
        <v>Amber</v>
      </c>
      <c r="N90" s="3"/>
      <c r="O90" t="str">
        <f>IF($I90&lt;&gt;"Complete",IF(COUNTIFS($A$4:$A89,$A90,$B$4:$B89,$B90,$I$4:$I89,"&lt;&gt;Complete")=0,$A90&amp;"|"&amp;$B90,""),"")</f>
        <v>|</v>
      </c>
      <c r="P90" t="str">
        <f ca="1">IF($K90="Yes",COUNTIFS($K$4:$K90,"Yes"),"")</f>
        <v/>
      </c>
      <c r="Q90">
        <f t="shared" ca="1" si="8"/>
        <v>0</v>
      </c>
      <c r="R90" t="str">
        <f ca="1">IF($Q90=1,SUM($Q$4:$Q90),"")</f>
        <v/>
      </c>
    </row>
    <row r="91" spans="1:18" ht="33.75" customHeight="1" x14ac:dyDescent="0.3">
      <c r="A91" s="2"/>
      <c r="B91" s="2"/>
      <c r="C91" s="3"/>
      <c r="D91" s="3"/>
      <c r="E91" s="2"/>
      <c r="F91" s="2"/>
      <c r="G91" s="5"/>
      <c r="H91" s="5"/>
      <c r="I91" s="4"/>
      <c r="J91" s="6" t="str">
        <f t="shared" si="5"/>
        <v/>
      </c>
      <c r="K91" s="4" t="str">
        <f t="shared" ca="1" si="6"/>
        <v/>
      </c>
      <c r="L91" s="7" t="str">
        <f t="shared" ca="1" si="7"/>
        <v/>
      </c>
      <c r="M91" s="4" t="str">
        <f>IF($I91="Complete","Green",IF($H91="","Amber",IF($H91&lt;'[2]Read Me'!$B$4,"Red",IF($H91-'[2]Read Me'!$B$4&lt;=21,"Amber","Green"))))</f>
        <v>Amber</v>
      </c>
      <c r="N91" s="3"/>
      <c r="O91" t="str">
        <f>IF($I91&lt;&gt;"Complete",IF(COUNTIFS($A$4:$A90,$A91,$B$4:$B90,$B91,$I$4:$I90,"&lt;&gt;Complete")=0,$A91&amp;"|"&amp;$B91,""),"")</f>
        <v>|</v>
      </c>
      <c r="P91" t="str">
        <f ca="1">IF($K91="Yes",COUNTIFS($K$4:$K91,"Yes"),"")</f>
        <v/>
      </c>
      <c r="Q91">
        <f t="shared" ca="1" si="8"/>
        <v>0</v>
      </c>
      <c r="R91" t="str">
        <f ca="1">IF($Q91=1,SUM($Q$4:$Q91),"")</f>
        <v/>
      </c>
    </row>
    <row r="92" spans="1:18" ht="33.75" customHeight="1" x14ac:dyDescent="0.3">
      <c r="A92" s="2"/>
      <c r="B92" s="2"/>
      <c r="C92" s="3"/>
      <c r="D92" s="3"/>
      <c r="E92" s="2"/>
      <c r="F92" s="2"/>
      <c r="G92" s="5"/>
      <c r="H92" s="5"/>
      <c r="I92" s="4"/>
      <c r="J92" s="6" t="str">
        <f t="shared" si="5"/>
        <v/>
      </c>
      <c r="K92" s="4" t="str">
        <f t="shared" ca="1" si="6"/>
        <v/>
      </c>
      <c r="L92" s="7" t="str">
        <f t="shared" ca="1" si="7"/>
        <v/>
      </c>
      <c r="M92" s="4" t="str">
        <f>IF($I92="Complete","Green",IF($H92="","Amber",IF($H92&lt;'[2]Read Me'!$B$4,"Red",IF($H92-'[2]Read Me'!$B$4&lt;=21,"Amber","Green"))))</f>
        <v>Amber</v>
      </c>
      <c r="N92" s="3"/>
      <c r="O92" t="str">
        <f>IF($I92&lt;&gt;"Complete",IF(COUNTIFS($A$4:$A91,$A92,$B$4:$B91,$B92,$I$4:$I91,"&lt;&gt;Complete")=0,$A92&amp;"|"&amp;$B92,""),"")</f>
        <v>|</v>
      </c>
      <c r="P92" t="str">
        <f ca="1">IF($K92="Yes",COUNTIFS($K$4:$K92,"Yes"),"")</f>
        <v/>
      </c>
      <c r="Q92">
        <f t="shared" ca="1" si="8"/>
        <v>0</v>
      </c>
      <c r="R92" t="str">
        <f ca="1">IF($Q92=1,SUM($Q$4:$Q92),"")</f>
        <v/>
      </c>
    </row>
    <row r="93" spans="1:18" ht="33.75" customHeight="1" x14ac:dyDescent="0.3">
      <c r="A93" s="2"/>
      <c r="B93" s="2"/>
      <c r="C93" s="3"/>
      <c r="D93" s="3"/>
      <c r="E93" s="2"/>
      <c r="F93" s="2"/>
      <c r="G93" s="5"/>
      <c r="H93" s="5"/>
      <c r="I93" s="4"/>
      <c r="J93" s="6" t="str">
        <f t="shared" si="5"/>
        <v/>
      </c>
      <c r="K93" s="4" t="str">
        <f t="shared" ca="1" si="6"/>
        <v/>
      </c>
      <c r="L93" s="7" t="str">
        <f t="shared" ca="1" si="7"/>
        <v/>
      </c>
      <c r="M93" s="4" t="str">
        <f>IF($I93="Complete","Green",IF($H93="","Amber",IF($H93&lt;'[2]Read Me'!$B$4,"Red",IF($H93-'[2]Read Me'!$B$4&lt;=21,"Amber","Green"))))</f>
        <v>Amber</v>
      </c>
      <c r="N93" s="3"/>
      <c r="O93" t="str">
        <f>IF($I93&lt;&gt;"Complete",IF(COUNTIFS($A$4:$A92,$A93,$B$4:$B92,$B93,$I$4:$I92,"&lt;&gt;Complete")=0,$A93&amp;"|"&amp;$B93,""),"")</f>
        <v>|</v>
      </c>
      <c r="P93" t="str">
        <f ca="1">IF($K93="Yes",COUNTIFS($K$4:$K93,"Yes"),"")</f>
        <v/>
      </c>
      <c r="Q93">
        <f t="shared" ca="1" si="8"/>
        <v>0</v>
      </c>
      <c r="R93" t="str">
        <f ca="1">IF($Q93=1,SUM($Q$4:$Q93),"")</f>
        <v/>
      </c>
    </row>
    <row r="94" spans="1:18" ht="33.75" customHeight="1" x14ac:dyDescent="0.3">
      <c r="A94" s="2"/>
      <c r="B94" s="2"/>
      <c r="C94" s="3"/>
      <c r="D94" s="3"/>
      <c r="E94" s="2"/>
      <c r="F94" s="2"/>
      <c r="G94" s="5"/>
      <c r="H94" s="5"/>
      <c r="I94" s="4"/>
      <c r="J94" s="6" t="str">
        <f t="shared" si="5"/>
        <v/>
      </c>
      <c r="K94" s="4" t="str">
        <f t="shared" ca="1" si="6"/>
        <v/>
      </c>
      <c r="L94" s="7" t="str">
        <f t="shared" ca="1" si="7"/>
        <v/>
      </c>
      <c r="M94" s="4" t="str">
        <f>IF($I94="Complete","Green",IF($H94="","Amber",IF($H94&lt;'[2]Read Me'!$B$4,"Red",IF($H94-'[2]Read Me'!$B$4&lt;=21,"Amber","Green"))))</f>
        <v>Amber</v>
      </c>
      <c r="N94" s="3"/>
      <c r="O94" t="str">
        <f>IF($I94&lt;&gt;"Complete",IF(COUNTIFS($A$4:$A93,$A94,$B$4:$B93,$B94,$I$4:$I93,"&lt;&gt;Complete")=0,$A94&amp;"|"&amp;$B94,""),"")</f>
        <v>|</v>
      </c>
      <c r="P94" t="str">
        <f ca="1">IF($K94="Yes",COUNTIFS($K$4:$K94,"Yes"),"")</f>
        <v/>
      </c>
      <c r="Q94">
        <f t="shared" ca="1" si="8"/>
        <v>0</v>
      </c>
      <c r="R94" t="str">
        <f ca="1">IF($Q94=1,SUM($Q$4:$Q94),"")</f>
        <v/>
      </c>
    </row>
    <row r="95" spans="1:18" ht="33.75" customHeight="1" x14ac:dyDescent="0.3">
      <c r="A95" s="2"/>
      <c r="B95" s="2"/>
      <c r="C95" s="3"/>
      <c r="D95" s="3"/>
      <c r="E95" s="2"/>
      <c r="F95" s="2"/>
      <c r="G95" s="5"/>
      <c r="H95" s="5"/>
      <c r="I95" s="4"/>
      <c r="J95" s="6" t="str">
        <f t="shared" si="5"/>
        <v/>
      </c>
      <c r="K95" s="4" t="str">
        <f t="shared" ca="1" si="6"/>
        <v/>
      </c>
      <c r="L95" s="7" t="str">
        <f t="shared" ca="1" si="7"/>
        <v/>
      </c>
      <c r="M95" s="4" t="str">
        <f>IF($I95="Complete","Green",IF($H95="","Amber",IF($H95&lt;'[2]Read Me'!$B$4,"Red",IF($H95-'[2]Read Me'!$B$4&lt;=21,"Amber","Green"))))</f>
        <v>Amber</v>
      </c>
      <c r="N95" s="3"/>
      <c r="O95" t="str">
        <f>IF($I95&lt;&gt;"Complete",IF(COUNTIFS($A$4:$A94,$A95,$B$4:$B94,$B95,$I$4:$I94,"&lt;&gt;Complete")=0,$A95&amp;"|"&amp;$B95,""),"")</f>
        <v>|</v>
      </c>
      <c r="P95" t="str">
        <f ca="1">IF($K95="Yes",COUNTIFS($K$4:$K95,"Yes"),"")</f>
        <v/>
      </c>
      <c r="Q95">
        <f t="shared" ca="1" si="8"/>
        <v>0</v>
      </c>
      <c r="R95" t="str">
        <f ca="1">IF($Q95=1,SUM($Q$4:$Q95),"")</f>
        <v/>
      </c>
    </row>
    <row r="96" spans="1:18" ht="33.75" customHeight="1" x14ac:dyDescent="0.3">
      <c r="A96" s="2"/>
      <c r="B96" s="2"/>
      <c r="C96" s="3"/>
      <c r="D96" s="3"/>
      <c r="E96" s="2"/>
      <c r="F96" s="2"/>
      <c r="G96" s="5"/>
      <c r="H96" s="5"/>
      <c r="I96" s="4"/>
      <c r="J96" s="6" t="str">
        <f t="shared" si="5"/>
        <v/>
      </c>
      <c r="K96" s="4" t="str">
        <f t="shared" ca="1" si="6"/>
        <v/>
      </c>
      <c r="L96" s="7" t="str">
        <f t="shared" ca="1" si="7"/>
        <v/>
      </c>
      <c r="M96" s="4" t="str">
        <f>IF($I96="Complete","Green",IF($H96="","Amber",IF($H96&lt;'[2]Read Me'!$B$4,"Red",IF($H96-'[2]Read Me'!$B$4&lt;=21,"Amber","Green"))))</f>
        <v>Amber</v>
      </c>
      <c r="N96" s="3"/>
      <c r="O96" t="str">
        <f>IF($I96&lt;&gt;"Complete",IF(COUNTIFS($A$4:$A95,$A96,$B$4:$B95,$B96,$I$4:$I95,"&lt;&gt;Complete")=0,$A96&amp;"|"&amp;$B96,""),"")</f>
        <v>|</v>
      </c>
      <c r="P96" t="str">
        <f ca="1">IF($K96="Yes",COUNTIFS($K$4:$K96,"Yes"),"")</f>
        <v/>
      </c>
      <c r="Q96">
        <f t="shared" ca="1" si="8"/>
        <v>0</v>
      </c>
      <c r="R96" t="str">
        <f ca="1">IF($Q96=1,SUM($Q$4:$Q96),"")</f>
        <v/>
      </c>
    </row>
    <row r="97" spans="1:18" ht="33.75" customHeight="1" x14ac:dyDescent="0.3">
      <c r="A97" s="2"/>
      <c r="B97" s="2"/>
      <c r="C97" s="3"/>
      <c r="D97" s="3"/>
      <c r="E97" s="2"/>
      <c r="F97" s="2"/>
      <c r="G97" s="5"/>
      <c r="H97" s="5"/>
      <c r="I97" s="4"/>
      <c r="J97" s="6" t="str">
        <f t="shared" si="5"/>
        <v/>
      </c>
      <c r="K97" s="4" t="str">
        <f t="shared" ca="1" si="6"/>
        <v/>
      </c>
      <c r="L97" s="7" t="str">
        <f t="shared" ca="1" si="7"/>
        <v/>
      </c>
      <c r="M97" s="4" t="str">
        <f>IF($I97="Complete","Green",IF($H97="","Amber",IF($H97&lt;'[2]Read Me'!$B$4,"Red",IF($H97-'[2]Read Me'!$B$4&lt;=21,"Amber","Green"))))</f>
        <v>Amber</v>
      </c>
      <c r="N97" s="3"/>
      <c r="O97" t="str">
        <f>IF($I97&lt;&gt;"Complete",IF(COUNTIFS($A$4:$A96,$A97,$B$4:$B96,$B97,$I$4:$I96,"&lt;&gt;Complete")=0,$A97&amp;"|"&amp;$B97,""),"")</f>
        <v>|</v>
      </c>
      <c r="P97" t="str">
        <f ca="1">IF($K97="Yes",COUNTIFS($K$4:$K97,"Yes"),"")</f>
        <v/>
      </c>
      <c r="Q97">
        <f t="shared" ca="1" si="8"/>
        <v>0</v>
      </c>
      <c r="R97" t="str">
        <f ca="1">IF($Q97=1,SUM($Q$4:$Q97),"")</f>
        <v/>
      </c>
    </row>
    <row r="98" spans="1:18" ht="33.75" customHeight="1" x14ac:dyDescent="0.3">
      <c r="A98" s="2"/>
      <c r="B98" s="2"/>
      <c r="C98" s="3"/>
      <c r="D98" s="3"/>
      <c r="E98" s="2"/>
      <c r="F98" s="2"/>
      <c r="G98" s="5"/>
      <c r="H98" s="5"/>
      <c r="I98" s="4"/>
      <c r="J98" s="6" t="str">
        <f t="shared" si="5"/>
        <v/>
      </c>
      <c r="K98" s="4" t="str">
        <f t="shared" ca="1" si="6"/>
        <v/>
      </c>
      <c r="L98" s="7" t="str">
        <f t="shared" ca="1" si="7"/>
        <v/>
      </c>
      <c r="M98" s="4" t="str">
        <f>IF($I98="Complete","Green",IF($H98="","Amber",IF($H98&lt;'[2]Read Me'!$B$4,"Red",IF($H98-'[2]Read Me'!$B$4&lt;=21,"Amber","Green"))))</f>
        <v>Amber</v>
      </c>
      <c r="N98" s="3"/>
      <c r="O98" t="str">
        <f>IF($I98&lt;&gt;"Complete",IF(COUNTIFS($A$4:$A97,$A98,$B$4:$B97,$B98,$I$4:$I97,"&lt;&gt;Complete")=0,$A98&amp;"|"&amp;$B98,""),"")</f>
        <v>|</v>
      </c>
      <c r="P98" t="str">
        <f ca="1">IF($K98="Yes",COUNTIFS($K$4:$K98,"Yes"),"")</f>
        <v/>
      </c>
      <c r="Q98">
        <f t="shared" ca="1" si="8"/>
        <v>0</v>
      </c>
      <c r="R98" t="str">
        <f ca="1">IF($Q98=1,SUM($Q$4:$Q98),"")</f>
        <v/>
      </c>
    </row>
    <row r="99" spans="1:18" ht="33.75" customHeight="1" x14ac:dyDescent="0.3">
      <c r="A99" s="2"/>
      <c r="B99" s="2"/>
      <c r="C99" s="3"/>
      <c r="D99" s="3"/>
      <c r="E99" s="2"/>
      <c r="F99" s="2"/>
      <c r="G99" s="5"/>
      <c r="H99" s="5"/>
      <c r="I99" s="4"/>
      <c r="J99" s="6" t="str">
        <f t="shared" si="5"/>
        <v/>
      </c>
      <c r="K99" s="4" t="str">
        <f t="shared" ca="1" si="6"/>
        <v/>
      </c>
      <c r="L99" s="7" t="str">
        <f t="shared" ca="1" si="7"/>
        <v/>
      </c>
      <c r="M99" s="4" t="str">
        <f>IF($I99="Complete","Green",IF($H99="","Amber",IF($H99&lt;'[2]Read Me'!$B$4,"Red",IF($H99-'[2]Read Me'!$B$4&lt;=21,"Amber","Green"))))</f>
        <v>Amber</v>
      </c>
      <c r="N99" s="3"/>
      <c r="O99" t="str">
        <f>IF($I99&lt;&gt;"Complete",IF(COUNTIFS($A$4:$A98,$A99,$B$4:$B98,$B99,$I$4:$I98,"&lt;&gt;Complete")=0,$A99&amp;"|"&amp;$B99,""),"")</f>
        <v>|</v>
      </c>
      <c r="P99" t="str">
        <f ca="1">IF($K99="Yes",COUNTIFS($K$4:$K99,"Yes"),"")</f>
        <v/>
      </c>
      <c r="Q99">
        <f t="shared" ca="1" si="8"/>
        <v>0</v>
      </c>
      <c r="R99" t="str">
        <f ca="1">IF($Q99=1,SUM($Q$4:$Q99),"")</f>
        <v/>
      </c>
    </row>
    <row r="100" spans="1:18" ht="33.75" customHeight="1" x14ac:dyDescent="0.3">
      <c r="A100" s="2"/>
      <c r="B100" s="2"/>
      <c r="C100" s="3"/>
      <c r="D100" s="3"/>
      <c r="E100" s="2"/>
      <c r="F100" s="2"/>
      <c r="G100" s="5"/>
      <c r="H100" s="5"/>
      <c r="I100" s="4"/>
      <c r="J100" s="6" t="str">
        <f t="shared" si="5"/>
        <v/>
      </c>
      <c r="K100" s="4" t="str">
        <f t="shared" ca="1" si="6"/>
        <v/>
      </c>
      <c r="L100" s="7" t="str">
        <f t="shared" ca="1" si="7"/>
        <v/>
      </c>
      <c r="M100" s="4" t="str">
        <f>IF($I100="Complete","Green",IF($H100="","Amber",IF($H100&lt;'[2]Read Me'!$B$4,"Red",IF($H100-'[2]Read Me'!$B$4&lt;=21,"Amber","Green"))))</f>
        <v>Amber</v>
      </c>
      <c r="N100" s="3"/>
      <c r="O100" t="str">
        <f>IF($I100&lt;&gt;"Complete",IF(COUNTIFS($A$4:$A99,$A100,$B$4:$B99,$B100,$I$4:$I99,"&lt;&gt;Complete")=0,$A100&amp;"|"&amp;$B100,""),"")</f>
        <v>|</v>
      </c>
      <c r="P100" t="str">
        <f ca="1">IF($K100="Yes",COUNTIFS($K$4:$K100,"Yes"),"")</f>
        <v/>
      </c>
      <c r="Q100">
        <f t="shared" ca="1" si="8"/>
        <v>0</v>
      </c>
      <c r="R100" t="str">
        <f ca="1">IF($Q100=1,SUM($Q$4:$Q100),"")</f>
        <v/>
      </c>
    </row>
    <row r="101" spans="1:18" ht="33.75" customHeight="1" x14ac:dyDescent="0.3">
      <c r="A101" s="2"/>
      <c r="B101" s="2"/>
      <c r="C101" s="3"/>
      <c r="D101" s="3"/>
      <c r="E101" s="2"/>
      <c r="F101" s="2"/>
      <c r="G101" s="5"/>
      <c r="H101" s="5"/>
      <c r="I101" s="4"/>
      <c r="J101" s="6" t="str">
        <f t="shared" si="5"/>
        <v/>
      </c>
      <c r="K101" s="4" t="str">
        <f t="shared" ca="1" si="6"/>
        <v/>
      </c>
      <c r="L101" s="7" t="str">
        <f t="shared" ca="1" si="7"/>
        <v/>
      </c>
      <c r="M101" s="4" t="str">
        <f>IF($I101="Complete","Green",IF($H101="","Amber",IF($H101&lt;'[2]Read Me'!$B$4,"Red",IF($H101-'[2]Read Me'!$B$4&lt;=21,"Amber","Green"))))</f>
        <v>Amber</v>
      </c>
      <c r="N101" s="3"/>
      <c r="O101" t="str">
        <f>IF($I101&lt;&gt;"Complete",IF(COUNTIFS($A$4:$A100,$A101,$B$4:$B100,$B101,$I$4:$I100,"&lt;&gt;Complete")=0,$A101&amp;"|"&amp;$B101,""),"")</f>
        <v>|</v>
      </c>
      <c r="P101" t="str">
        <f ca="1">IF($K101="Yes",COUNTIFS($K$4:$K101,"Yes"),"")</f>
        <v/>
      </c>
      <c r="Q101">
        <f t="shared" ca="1" si="8"/>
        <v>0</v>
      </c>
      <c r="R101" t="str">
        <f ca="1">IF($Q101=1,SUM($Q$4:$Q101),"")</f>
        <v/>
      </c>
    </row>
    <row r="102" spans="1:18" ht="33.75" customHeight="1" x14ac:dyDescent="0.3">
      <c r="A102" s="2"/>
      <c r="B102" s="2"/>
      <c r="C102" s="3"/>
      <c r="D102" s="3"/>
      <c r="E102" s="2"/>
      <c r="F102" s="2"/>
      <c r="G102" s="5"/>
      <c r="H102" s="5"/>
      <c r="I102" s="4"/>
      <c r="J102" s="6" t="str">
        <f t="shared" si="5"/>
        <v/>
      </c>
      <c r="K102" s="4" t="str">
        <f t="shared" ca="1" si="6"/>
        <v/>
      </c>
      <c r="L102" s="7" t="str">
        <f t="shared" ca="1" si="7"/>
        <v/>
      </c>
      <c r="M102" s="4" t="str">
        <f>IF($I102="Complete","Green",IF($H102="","Amber",IF($H102&lt;'[2]Read Me'!$B$4,"Red",IF($H102-'[2]Read Me'!$B$4&lt;=21,"Amber","Green"))))</f>
        <v>Amber</v>
      </c>
      <c r="N102" s="3"/>
      <c r="O102" t="str">
        <f>IF($I102&lt;&gt;"Complete",IF(COUNTIFS($A$4:$A101,$A102,$B$4:$B101,$B102,$I$4:$I101,"&lt;&gt;Complete")=0,$A102&amp;"|"&amp;$B102,""),"")</f>
        <v>|</v>
      </c>
      <c r="P102" t="str">
        <f ca="1">IF($K102="Yes",COUNTIFS($K$4:$K102,"Yes"),"")</f>
        <v/>
      </c>
      <c r="Q102">
        <f t="shared" ca="1" si="8"/>
        <v>0</v>
      </c>
      <c r="R102" t="str">
        <f ca="1">IF($Q102=1,SUM($Q$4:$Q102),"")</f>
        <v/>
      </c>
    </row>
    <row r="103" spans="1:18" ht="33.75" customHeight="1" x14ac:dyDescent="0.3">
      <c r="A103" s="2"/>
      <c r="B103" s="2"/>
      <c r="C103" s="3"/>
      <c r="D103" s="3"/>
      <c r="E103" s="2"/>
      <c r="F103" s="2"/>
      <c r="G103" s="5"/>
      <c r="H103" s="5"/>
      <c r="I103" s="4"/>
      <c r="J103" s="6" t="str">
        <f t="shared" si="5"/>
        <v/>
      </c>
      <c r="K103" s="4" t="str">
        <f t="shared" ca="1" si="6"/>
        <v/>
      </c>
      <c r="L103" s="7" t="str">
        <f t="shared" ca="1" si="7"/>
        <v/>
      </c>
      <c r="M103" s="4" t="str">
        <f>IF($I103="Complete","Green",IF($H103="","Amber",IF($H103&lt;'[2]Read Me'!$B$4,"Red",IF($H103-'[2]Read Me'!$B$4&lt;=21,"Amber","Green"))))</f>
        <v>Amber</v>
      </c>
      <c r="N103" s="3"/>
      <c r="O103" t="str">
        <f>IF($I103&lt;&gt;"Complete",IF(COUNTIFS($A$4:$A102,$A103,$B$4:$B102,$B103,$I$4:$I102,"&lt;&gt;Complete")=0,$A103&amp;"|"&amp;$B103,""),"")</f>
        <v>|</v>
      </c>
      <c r="P103" t="str">
        <f ca="1">IF($K103="Yes",COUNTIFS($K$4:$K103,"Yes"),"")</f>
        <v/>
      </c>
      <c r="Q103">
        <f t="shared" ca="1" si="8"/>
        <v>0</v>
      </c>
      <c r="R103" t="str">
        <f ca="1">IF($Q103=1,SUM($Q$4:$Q103),"")</f>
        <v/>
      </c>
    </row>
    <row r="104" spans="1:18" ht="33.75" customHeight="1" x14ac:dyDescent="0.3">
      <c r="A104" s="2"/>
      <c r="B104" s="2"/>
      <c r="C104" s="3"/>
      <c r="D104" s="3"/>
      <c r="E104" s="2"/>
      <c r="F104" s="2"/>
      <c r="G104" s="5"/>
      <c r="H104" s="5"/>
      <c r="I104" s="4"/>
      <c r="J104" s="6" t="str">
        <f t="shared" si="5"/>
        <v/>
      </c>
      <c r="K104" s="4" t="str">
        <f t="shared" ca="1" si="6"/>
        <v/>
      </c>
      <c r="L104" s="7" t="str">
        <f t="shared" ca="1" si="7"/>
        <v/>
      </c>
      <c r="M104" s="4" t="str">
        <f>IF($I104="Complete","Green",IF($H104="","Amber",IF($H104&lt;'[2]Read Me'!$B$4,"Red",IF($H104-'[2]Read Me'!$B$4&lt;=21,"Amber","Green"))))</f>
        <v>Amber</v>
      </c>
      <c r="N104" s="3"/>
      <c r="O104" t="str">
        <f>IF($I104&lt;&gt;"Complete",IF(COUNTIFS($A$4:$A103,$A104,$B$4:$B103,$B104,$I$4:$I103,"&lt;&gt;Complete")=0,$A104&amp;"|"&amp;$B104,""),"")</f>
        <v>|</v>
      </c>
      <c r="P104" t="str">
        <f ca="1">IF($K104="Yes",COUNTIFS($K$4:$K104,"Yes"),"")</f>
        <v/>
      </c>
      <c r="Q104">
        <f t="shared" ca="1" si="8"/>
        <v>0</v>
      </c>
      <c r="R104" t="str">
        <f ca="1">IF($Q104=1,SUM($Q$4:$Q104),"")</f>
        <v/>
      </c>
    </row>
    <row r="105" spans="1:18" ht="33.75" customHeight="1" x14ac:dyDescent="0.3">
      <c r="A105" s="2"/>
      <c r="B105" s="2"/>
      <c r="C105" s="3"/>
      <c r="D105" s="3"/>
      <c r="E105" s="2"/>
      <c r="F105" s="2"/>
      <c r="G105" s="5"/>
      <c r="H105" s="5"/>
      <c r="I105" s="4"/>
      <c r="J105" s="6" t="str">
        <f t="shared" si="5"/>
        <v/>
      </c>
      <c r="K105" s="4" t="str">
        <f t="shared" ca="1" si="6"/>
        <v/>
      </c>
      <c r="L105" s="7" t="str">
        <f t="shared" ca="1" si="7"/>
        <v/>
      </c>
      <c r="M105" s="4" t="str">
        <f>IF($I105="Complete","Green",IF($H105="","Amber",IF($H105&lt;'[2]Read Me'!$B$4,"Red",IF($H105-'[2]Read Me'!$B$4&lt;=21,"Amber","Green"))))</f>
        <v>Amber</v>
      </c>
      <c r="N105" s="3"/>
      <c r="O105" t="str">
        <f>IF($I105&lt;&gt;"Complete",IF(COUNTIFS($A$4:$A104,$A105,$B$4:$B104,$B105,$I$4:$I104,"&lt;&gt;Complete")=0,$A105&amp;"|"&amp;$B105,""),"")</f>
        <v>|</v>
      </c>
      <c r="P105" t="str">
        <f ca="1">IF($K105="Yes",COUNTIFS($K$4:$K105,"Yes"),"")</f>
        <v/>
      </c>
      <c r="Q105">
        <f t="shared" ca="1" si="8"/>
        <v>0</v>
      </c>
      <c r="R105" t="str">
        <f ca="1">IF($Q105=1,SUM($Q$4:$Q105),"")</f>
        <v/>
      </c>
    </row>
    <row r="106" spans="1:18" ht="22.5" customHeight="1" x14ac:dyDescent="0.3">
      <c r="A106" s="2"/>
      <c r="B106" s="2"/>
      <c r="C106" s="3"/>
      <c r="D106" s="3"/>
      <c r="E106" s="2"/>
      <c r="F106" s="2"/>
      <c r="G106" s="5"/>
      <c r="H106" s="5"/>
      <c r="I106" s="4"/>
      <c r="J106" s="6" t="str">
        <f t="shared" si="5"/>
        <v/>
      </c>
      <c r="K106" s="4" t="str">
        <f t="shared" ca="1" si="6"/>
        <v/>
      </c>
      <c r="L106" s="7" t="str">
        <f t="shared" ca="1" si="7"/>
        <v/>
      </c>
      <c r="M106" s="4" t="str">
        <f>IF($I106="Complete","Green",IF($H106="","Amber",IF($H106&lt;'[2]Read Me'!$B$4,"Red",IF($H106-'[2]Read Me'!$B$4&lt;=21,"Amber","Green"))))</f>
        <v>Amber</v>
      </c>
      <c r="N106" s="3"/>
      <c r="O106" t="str">
        <f>IF($I106&lt;&gt;"Complete",IF(COUNTIFS($A$4:$A105,$A106,$B$4:$B105,$B106,$I$4:$I105,"&lt;&gt;Complete")=0,$A106&amp;"|"&amp;$B106,""),"")</f>
        <v>|</v>
      </c>
      <c r="P106" t="str">
        <f ca="1">IF($K106="Yes",COUNTIFS($K$4:$K106,"Yes"),"")</f>
        <v/>
      </c>
      <c r="Q106">
        <f t="shared" ca="1" si="8"/>
        <v>0</v>
      </c>
      <c r="R106" t="str">
        <f ca="1">IF($Q106=1,SUM($Q$4:$Q106),"")</f>
        <v/>
      </c>
    </row>
    <row r="107" spans="1:18" ht="22.5" customHeight="1" x14ac:dyDescent="0.3">
      <c r="A107" s="2"/>
      <c r="B107" s="2"/>
      <c r="C107" s="3"/>
      <c r="D107" s="3"/>
      <c r="E107" s="2"/>
      <c r="F107" s="2"/>
      <c r="G107" s="5"/>
      <c r="H107" s="5"/>
      <c r="I107" s="4"/>
      <c r="J107" s="6" t="str">
        <f t="shared" si="5"/>
        <v/>
      </c>
      <c r="K107" s="4" t="str">
        <f t="shared" ca="1" si="6"/>
        <v/>
      </c>
      <c r="L107" s="7" t="str">
        <f t="shared" ca="1" si="7"/>
        <v/>
      </c>
      <c r="M107" s="4" t="str">
        <f>IF($I107="Complete","Green",IF($H107="","Amber",IF($H107&lt;'[2]Read Me'!$B$4,"Red",IF($H107-'[2]Read Me'!$B$4&lt;=21,"Amber","Green"))))</f>
        <v>Amber</v>
      </c>
      <c r="N107" s="3"/>
      <c r="O107" t="str">
        <f>IF($I107&lt;&gt;"Complete",IF(COUNTIFS($A$4:$A106,$A107,$B$4:$B106,$B107,$I$4:$I106,"&lt;&gt;Complete")=0,$A107&amp;"|"&amp;$B107,""),"")</f>
        <v>|</v>
      </c>
      <c r="P107" t="str">
        <f ca="1">IF($K107="Yes",COUNTIFS($K$4:$K107,"Yes"),"")</f>
        <v/>
      </c>
      <c r="Q107">
        <f t="shared" ca="1" si="8"/>
        <v>0</v>
      </c>
      <c r="R107" t="str">
        <f ca="1">IF($Q107=1,SUM($Q$4:$Q107),"")</f>
        <v/>
      </c>
    </row>
    <row r="108" spans="1:18" ht="22.5" customHeight="1" x14ac:dyDescent="0.3">
      <c r="A108" s="2"/>
      <c r="B108" s="2"/>
      <c r="C108" s="3"/>
      <c r="D108" s="3"/>
      <c r="E108" s="2"/>
      <c r="F108" s="2"/>
      <c r="G108" s="5"/>
      <c r="H108" s="5"/>
      <c r="I108" s="4"/>
      <c r="J108" s="6" t="str">
        <f t="shared" si="5"/>
        <v/>
      </c>
      <c r="K108" s="4" t="str">
        <f t="shared" ca="1" si="6"/>
        <v/>
      </c>
      <c r="L108" s="7" t="str">
        <f t="shared" ca="1" si="7"/>
        <v/>
      </c>
      <c r="M108" s="4" t="str">
        <f>IF($I108="Complete","Green",IF($H108="","Amber",IF($H108&lt;'[2]Read Me'!$B$4,"Red",IF($H108-'[2]Read Me'!$B$4&lt;=21,"Amber","Green"))))</f>
        <v>Amber</v>
      </c>
      <c r="N108" s="3"/>
      <c r="O108" t="str">
        <f>IF($I108&lt;&gt;"Complete",IF(COUNTIFS($A$4:$A107,$A108,$B$4:$B107,$B108,$I$4:$I107,"&lt;&gt;Complete")=0,$A108&amp;"|"&amp;$B108,""),"")</f>
        <v>|</v>
      </c>
      <c r="P108" t="str">
        <f ca="1">IF($K108="Yes",COUNTIFS($K$4:$K108,"Yes"),"")</f>
        <v/>
      </c>
      <c r="Q108">
        <f t="shared" ca="1" si="8"/>
        <v>0</v>
      </c>
      <c r="R108" t="str">
        <f ca="1">IF($Q108=1,SUM($Q$4:$Q108),"")</f>
        <v/>
      </c>
    </row>
    <row r="109" spans="1:18" ht="22.5" customHeight="1" x14ac:dyDescent="0.3">
      <c r="A109" s="2"/>
      <c r="B109" s="2"/>
      <c r="C109" s="3"/>
      <c r="D109" s="3"/>
      <c r="E109" s="2"/>
      <c r="F109" s="2"/>
      <c r="G109" s="5"/>
      <c r="H109" s="5"/>
      <c r="I109" s="4"/>
      <c r="J109" s="6" t="str">
        <f t="shared" si="5"/>
        <v/>
      </c>
      <c r="K109" s="4" t="str">
        <f t="shared" ca="1" si="6"/>
        <v/>
      </c>
      <c r="L109" s="7" t="str">
        <f t="shared" ca="1" si="7"/>
        <v/>
      </c>
      <c r="M109" s="4" t="str">
        <f>IF($I109="Complete","Green",IF($H109="","Amber",IF($H109&lt;'[2]Read Me'!$B$4,"Red",IF($H109-'[2]Read Me'!$B$4&lt;=21,"Amber","Green"))))</f>
        <v>Amber</v>
      </c>
      <c r="N109" s="3"/>
      <c r="O109" t="str">
        <f>IF($I109&lt;&gt;"Complete",IF(COUNTIFS($A$4:$A108,$A109,$B$4:$B108,$B109,$I$4:$I108,"&lt;&gt;Complete")=0,$A109&amp;"|"&amp;$B109,""),"")</f>
        <v>|</v>
      </c>
      <c r="P109" t="str">
        <f ca="1">IF($K109="Yes",COUNTIFS($K$4:$K109,"Yes"),"")</f>
        <v/>
      </c>
      <c r="Q109">
        <f t="shared" ca="1" si="8"/>
        <v>0</v>
      </c>
      <c r="R109" t="str">
        <f ca="1">IF($Q109=1,SUM($Q$4:$Q109),"")</f>
        <v/>
      </c>
    </row>
    <row r="110" spans="1:18" ht="22.5" customHeight="1" x14ac:dyDescent="0.3">
      <c r="A110" s="2"/>
      <c r="B110" s="2"/>
      <c r="C110" s="3"/>
      <c r="D110" s="3"/>
      <c r="E110" s="2"/>
      <c r="F110" s="2"/>
      <c r="G110" s="5"/>
      <c r="H110" s="5"/>
      <c r="I110" s="4"/>
      <c r="J110" s="6" t="str">
        <f t="shared" si="5"/>
        <v/>
      </c>
      <c r="K110" s="4" t="str">
        <f t="shared" ca="1" si="6"/>
        <v/>
      </c>
      <c r="L110" s="7" t="str">
        <f t="shared" ca="1" si="7"/>
        <v/>
      </c>
      <c r="M110" s="4" t="str">
        <f>IF($I110="Complete","Green",IF($H110="","Amber",IF($H110&lt;'[2]Read Me'!$B$4,"Red",IF($H110-'[2]Read Me'!$B$4&lt;=21,"Amber","Green"))))</f>
        <v>Amber</v>
      </c>
      <c r="N110" s="3"/>
      <c r="O110" t="str">
        <f>IF($I110&lt;&gt;"Complete",IF(COUNTIFS($A$4:$A109,$A110,$B$4:$B109,$B110,$I$4:$I109,"&lt;&gt;Complete")=0,$A110&amp;"|"&amp;$B110,""),"")</f>
        <v>|</v>
      </c>
      <c r="P110" t="str">
        <f ca="1">IF($K110="Yes",COUNTIFS($K$4:$K110,"Yes"),"")</f>
        <v/>
      </c>
      <c r="Q110">
        <f t="shared" ca="1" si="8"/>
        <v>0</v>
      </c>
      <c r="R110" t="str">
        <f ca="1">IF($Q110=1,SUM($Q$4:$Q110),"")</f>
        <v/>
      </c>
    </row>
    <row r="111" spans="1:18" ht="22.5" customHeight="1" x14ac:dyDescent="0.3">
      <c r="A111" s="2"/>
      <c r="B111" s="2"/>
      <c r="C111" s="3"/>
      <c r="D111" s="3"/>
      <c r="E111" s="2"/>
      <c r="F111" s="2"/>
      <c r="G111" s="5"/>
      <c r="H111" s="5"/>
      <c r="I111" s="4"/>
      <c r="J111" s="6" t="str">
        <f t="shared" si="5"/>
        <v/>
      </c>
      <c r="K111" s="4" t="str">
        <f t="shared" ca="1" si="6"/>
        <v/>
      </c>
      <c r="L111" s="7" t="str">
        <f t="shared" ca="1" si="7"/>
        <v/>
      </c>
      <c r="M111" s="4" t="str">
        <f>IF($I111="Complete","Green",IF($H111="","Amber",IF($H111&lt;'[2]Read Me'!$B$4,"Red",IF($H111-'[2]Read Me'!$B$4&lt;=21,"Amber","Green"))))</f>
        <v>Amber</v>
      </c>
      <c r="N111" s="3"/>
      <c r="O111" t="str">
        <f>IF($I111&lt;&gt;"Complete",IF(COUNTIFS($A$4:$A110,$A111,$B$4:$B110,$B111,$I$4:$I110,"&lt;&gt;Complete")=0,$A111&amp;"|"&amp;$B111,""),"")</f>
        <v>|</v>
      </c>
      <c r="P111" t="str">
        <f ca="1">IF($K111="Yes",COUNTIFS($K$4:$K111,"Yes"),"")</f>
        <v/>
      </c>
      <c r="Q111">
        <f t="shared" ca="1" si="8"/>
        <v>0</v>
      </c>
      <c r="R111" t="str">
        <f ca="1">IF($Q111=1,SUM($Q$4:$Q111),"")</f>
        <v/>
      </c>
    </row>
    <row r="112" spans="1:18" ht="22.5" customHeight="1" x14ac:dyDescent="0.3">
      <c r="A112" s="2"/>
      <c r="B112" s="2"/>
      <c r="C112" s="3"/>
      <c r="D112" s="3"/>
      <c r="E112" s="2"/>
      <c r="F112" s="2"/>
      <c r="G112" s="5"/>
      <c r="H112" s="5"/>
      <c r="I112" s="4"/>
      <c r="J112" s="6" t="str">
        <f t="shared" si="5"/>
        <v/>
      </c>
      <c r="K112" s="4" t="str">
        <f t="shared" ca="1" si="6"/>
        <v/>
      </c>
      <c r="L112" s="7" t="str">
        <f t="shared" ca="1" si="7"/>
        <v/>
      </c>
      <c r="M112" s="4" t="str">
        <f>IF($I112="Complete","Green",IF($H112="","Amber",IF($H112&lt;'[2]Read Me'!$B$4,"Red",IF($H112-'[2]Read Me'!$B$4&lt;=21,"Amber","Green"))))</f>
        <v>Amber</v>
      </c>
      <c r="N112" s="3"/>
      <c r="O112" t="str">
        <f>IF($I112&lt;&gt;"Complete",IF(COUNTIFS($A$4:$A111,$A112,$B$4:$B111,$B112,$I$4:$I111,"&lt;&gt;Complete")=0,$A112&amp;"|"&amp;$B112,""),"")</f>
        <v>|</v>
      </c>
      <c r="P112" t="str">
        <f ca="1">IF($K112="Yes",COUNTIFS($K$4:$K112,"Yes"),"")</f>
        <v/>
      </c>
      <c r="Q112">
        <f t="shared" ca="1" si="8"/>
        <v>0</v>
      </c>
      <c r="R112" t="str">
        <f ca="1">IF($Q112=1,SUM($Q$4:$Q112),"")</f>
        <v/>
      </c>
    </row>
    <row r="113" spans="1:18" ht="22.5" customHeight="1" x14ac:dyDescent="0.3">
      <c r="A113" s="2"/>
      <c r="B113" s="2"/>
      <c r="C113" s="3"/>
      <c r="D113" s="3"/>
      <c r="E113" s="2"/>
      <c r="F113" s="2"/>
      <c r="G113" s="5"/>
      <c r="H113" s="5"/>
      <c r="I113" s="4"/>
      <c r="J113" s="6" t="str">
        <f t="shared" si="5"/>
        <v/>
      </c>
      <c r="K113" s="4" t="str">
        <f t="shared" ca="1" si="6"/>
        <v/>
      </c>
      <c r="L113" s="7" t="str">
        <f t="shared" ca="1" si="7"/>
        <v/>
      </c>
      <c r="M113" s="4" t="str">
        <f>IF($I113="Complete","Green",IF($H113="","Amber",IF($H113&lt;'[2]Read Me'!$B$4,"Red",IF($H113-'[2]Read Me'!$B$4&lt;=21,"Amber","Green"))))</f>
        <v>Amber</v>
      </c>
      <c r="N113" s="3"/>
      <c r="O113" t="str">
        <f>IF($I113&lt;&gt;"Complete",IF(COUNTIFS($A$4:$A112,$A113,$B$4:$B112,$B113,$I$4:$I112,"&lt;&gt;Complete")=0,$A113&amp;"|"&amp;$B113,""),"")</f>
        <v>|</v>
      </c>
      <c r="P113" t="str">
        <f ca="1">IF($K113="Yes",COUNTIFS($K$4:$K113,"Yes"),"")</f>
        <v/>
      </c>
      <c r="Q113">
        <f t="shared" ca="1" si="8"/>
        <v>0</v>
      </c>
      <c r="R113" t="str">
        <f ca="1">IF($Q113=1,SUM($Q$4:$Q113),"")</f>
        <v/>
      </c>
    </row>
    <row r="114" spans="1:18" ht="22.5" customHeight="1" x14ac:dyDescent="0.3">
      <c r="A114" s="2"/>
      <c r="B114" s="2"/>
      <c r="C114" s="3"/>
      <c r="D114" s="3"/>
      <c r="E114" s="2"/>
      <c r="F114" s="2"/>
      <c r="G114" s="5"/>
      <c r="H114" s="5"/>
      <c r="I114" s="4"/>
      <c r="J114" s="6" t="str">
        <f t="shared" si="5"/>
        <v/>
      </c>
      <c r="K114" s="4" t="str">
        <f t="shared" ca="1" si="6"/>
        <v/>
      </c>
      <c r="L114" s="7" t="str">
        <f t="shared" ca="1" si="7"/>
        <v/>
      </c>
      <c r="M114" s="4" t="str">
        <f>IF($I114="Complete","Green",IF($H114="","Amber",IF($H114&lt;'[2]Read Me'!$B$4,"Red",IF($H114-'[2]Read Me'!$B$4&lt;=21,"Amber","Green"))))</f>
        <v>Amber</v>
      </c>
      <c r="N114" s="3"/>
      <c r="O114" t="str">
        <f>IF($I114&lt;&gt;"Complete",IF(COUNTIFS($A$4:$A113,$A114,$B$4:$B113,$B114,$I$4:$I113,"&lt;&gt;Complete")=0,$A114&amp;"|"&amp;$B114,""),"")</f>
        <v>|</v>
      </c>
      <c r="P114" t="str">
        <f ca="1">IF($K114="Yes",COUNTIFS($K$4:$K114,"Yes"),"")</f>
        <v/>
      </c>
      <c r="Q114">
        <f t="shared" ca="1" si="8"/>
        <v>0</v>
      </c>
      <c r="R114" t="str">
        <f ca="1">IF($Q114=1,SUM($Q$4:$Q114),"")</f>
        <v/>
      </c>
    </row>
    <row r="115" spans="1:18" ht="22.5" customHeight="1" x14ac:dyDescent="0.3">
      <c r="A115" s="2"/>
      <c r="B115" s="2"/>
      <c r="C115" s="3"/>
      <c r="D115" s="3"/>
      <c r="E115" s="2"/>
      <c r="F115" s="2"/>
      <c r="G115" s="5"/>
      <c r="H115" s="5"/>
      <c r="I115" s="4"/>
      <c r="J115" s="6" t="str">
        <f t="shared" si="5"/>
        <v/>
      </c>
      <c r="K115" s="4" t="str">
        <f t="shared" ca="1" si="6"/>
        <v/>
      </c>
      <c r="L115" s="7" t="str">
        <f t="shared" ca="1" si="7"/>
        <v/>
      </c>
      <c r="M115" s="4" t="str">
        <f>IF($I115="Complete","Green",IF($H115="","Amber",IF($H115&lt;'[2]Read Me'!$B$4,"Red",IF($H115-'[2]Read Me'!$B$4&lt;=21,"Amber","Green"))))</f>
        <v>Amber</v>
      </c>
      <c r="N115" s="3"/>
      <c r="O115" t="str">
        <f>IF($I115&lt;&gt;"Complete",IF(COUNTIFS($A$4:$A114,$A115,$B$4:$B114,$B115,$I$4:$I114,"&lt;&gt;Complete")=0,$A115&amp;"|"&amp;$B115,""),"")</f>
        <v>|</v>
      </c>
      <c r="P115" t="str">
        <f ca="1">IF($K115="Yes",COUNTIFS($K$4:$K115,"Yes"),"")</f>
        <v/>
      </c>
      <c r="Q115">
        <f t="shared" ca="1" si="8"/>
        <v>0</v>
      </c>
      <c r="R115" t="str">
        <f ca="1">IF($Q115=1,SUM($Q$4:$Q115),"")</f>
        <v/>
      </c>
    </row>
    <row r="116" spans="1:18" ht="22.5" customHeight="1" x14ac:dyDescent="0.3">
      <c r="A116" s="2"/>
      <c r="B116" s="2"/>
      <c r="C116" s="3"/>
      <c r="D116" s="3"/>
      <c r="E116" s="2"/>
      <c r="F116" s="2"/>
      <c r="G116" s="5"/>
      <c r="H116" s="5"/>
      <c r="I116" s="4"/>
      <c r="J116" s="6" t="str">
        <f t="shared" si="5"/>
        <v/>
      </c>
      <c r="K116" s="4" t="str">
        <f t="shared" ca="1" si="6"/>
        <v/>
      </c>
      <c r="L116" s="7" t="str">
        <f t="shared" ca="1" si="7"/>
        <v/>
      </c>
      <c r="M116" s="4" t="str">
        <f>IF($I116="Complete","Green",IF($H116="","Amber",IF($H116&lt;'[2]Read Me'!$B$4,"Red",IF($H116-'[2]Read Me'!$B$4&lt;=21,"Amber","Green"))))</f>
        <v>Amber</v>
      </c>
      <c r="N116" s="3"/>
      <c r="O116" t="str">
        <f>IF($I116&lt;&gt;"Complete",IF(COUNTIFS($A$4:$A115,$A116,$B$4:$B115,$B116,$I$4:$I115,"&lt;&gt;Complete")=0,$A116&amp;"|"&amp;$B116,""),"")</f>
        <v>|</v>
      </c>
      <c r="P116" t="str">
        <f ca="1">IF($K116="Yes",COUNTIFS($K$4:$K116,"Yes"),"")</f>
        <v/>
      </c>
      <c r="Q116">
        <f t="shared" ca="1" si="8"/>
        <v>0</v>
      </c>
      <c r="R116" t="str">
        <f ca="1">IF($Q116=1,SUM($Q$4:$Q116),"")</f>
        <v/>
      </c>
    </row>
    <row r="117" spans="1:18" ht="22.5" customHeight="1" x14ac:dyDescent="0.3">
      <c r="A117" s="2"/>
      <c r="B117" s="2"/>
      <c r="C117" s="3"/>
      <c r="D117" s="3"/>
      <c r="E117" s="2"/>
      <c r="F117" s="2"/>
      <c r="G117" s="5"/>
      <c r="H117" s="5"/>
      <c r="I117" s="4"/>
      <c r="J117" s="6" t="str">
        <f t="shared" si="5"/>
        <v/>
      </c>
      <c r="K117" s="4" t="str">
        <f t="shared" ca="1" si="6"/>
        <v/>
      </c>
      <c r="L117" s="7" t="str">
        <f t="shared" ca="1" si="7"/>
        <v/>
      </c>
      <c r="M117" s="4" t="str">
        <f>IF($I117="Complete","Green",IF($H117="","Amber",IF($H117&lt;'[2]Read Me'!$B$4,"Red",IF($H117-'[2]Read Me'!$B$4&lt;=21,"Amber","Green"))))</f>
        <v>Amber</v>
      </c>
      <c r="N117" s="3"/>
      <c r="O117" t="str">
        <f>IF($I117&lt;&gt;"Complete",IF(COUNTIFS($A$4:$A116,$A117,$B$4:$B116,$B117,$I$4:$I116,"&lt;&gt;Complete")=0,$A117&amp;"|"&amp;$B117,""),"")</f>
        <v>|</v>
      </c>
      <c r="P117" t="str">
        <f ca="1">IF($K117="Yes",COUNTIFS($K$4:$K117,"Yes"),"")</f>
        <v/>
      </c>
      <c r="Q117">
        <f t="shared" ca="1" si="8"/>
        <v>0</v>
      </c>
      <c r="R117" t="str">
        <f ca="1">IF($Q117=1,SUM($Q$4:$Q117),"")</f>
        <v/>
      </c>
    </row>
    <row r="118" spans="1:18" ht="22.5" customHeight="1" x14ac:dyDescent="0.3">
      <c r="A118" s="2"/>
      <c r="B118" s="2"/>
      <c r="C118" s="3"/>
      <c r="D118" s="3"/>
      <c r="E118" s="2"/>
      <c r="F118" s="2"/>
      <c r="G118" s="5"/>
      <c r="H118" s="5"/>
      <c r="I118" s="4"/>
      <c r="J118" s="6" t="str">
        <f t="shared" si="5"/>
        <v/>
      </c>
      <c r="K118" s="4" t="str">
        <f t="shared" ca="1" si="6"/>
        <v/>
      </c>
      <c r="L118" s="7" t="str">
        <f t="shared" ca="1" si="7"/>
        <v/>
      </c>
      <c r="M118" s="4" t="str">
        <f>IF($I118="Complete","Green",IF($H118="","Amber",IF($H118&lt;'[2]Read Me'!$B$4,"Red",IF($H118-'[2]Read Me'!$B$4&lt;=21,"Amber","Green"))))</f>
        <v>Amber</v>
      </c>
      <c r="N118" s="3"/>
      <c r="O118" t="str">
        <f>IF($I118&lt;&gt;"Complete",IF(COUNTIFS($A$4:$A117,$A118,$B$4:$B117,$B118,$I$4:$I117,"&lt;&gt;Complete")=0,$A118&amp;"|"&amp;$B118,""),"")</f>
        <v>|</v>
      </c>
      <c r="P118" t="str">
        <f ca="1">IF($K118="Yes",COUNTIFS($K$4:$K118,"Yes"),"")</f>
        <v/>
      </c>
      <c r="Q118">
        <f t="shared" ca="1" si="8"/>
        <v>0</v>
      </c>
      <c r="R118" t="str">
        <f ca="1">IF($Q118=1,SUM($Q$4:$Q118),"")</f>
        <v/>
      </c>
    </row>
    <row r="119" spans="1:18" ht="22.5" customHeight="1" x14ac:dyDescent="0.3">
      <c r="A119" s="2"/>
      <c r="B119" s="2"/>
      <c r="C119" s="3"/>
      <c r="D119" s="3"/>
      <c r="E119" s="2"/>
      <c r="F119" s="2"/>
      <c r="G119" s="5"/>
      <c r="H119" s="5"/>
      <c r="I119" s="4"/>
      <c r="J119" s="6" t="str">
        <f t="shared" si="5"/>
        <v/>
      </c>
      <c r="K119" s="4" t="str">
        <f t="shared" ca="1" si="6"/>
        <v/>
      </c>
      <c r="L119" s="7" t="str">
        <f t="shared" ca="1" si="7"/>
        <v/>
      </c>
      <c r="M119" s="4" t="str">
        <f>IF($I119="Complete","Green",IF($H119="","Amber",IF($H119&lt;'[2]Read Me'!$B$4,"Red",IF($H119-'[2]Read Me'!$B$4&lt;=21,"Amber","Green"))))</f>
        <v>Amber</v>
      </c>
      <c r="N119" s="3"/>
      <c r="O119" t="str">
        <f>IF($I119&lt;&gt;"Complete",IF(COUNTIFS($A$4:$A118,$A119,$B$4:$B118,$B119,$I$4:$I118,"&lt;&gt;Complete")=0,$A119&amp;"|"&amp;$B119,""),"")</f>
        <v>|</v>
      </c>
      <c r="P119" t="str">
        <f ca="1">IF($K119="Yes",COUNTIFS($K$4:$K119,"Yes"),"")</f>
        <v/>
      </c>
      <c r="Q119">
        <f t="shared" ca="1" si="8"/>
        <v>0</v>
      </c>
      <c r="R119" t="str">
        <f ca="1">IF($Q119=1,SUM($Q$4:$Q119),"")</f>
        <v/>
      </c>
    </row>
    <row r="120" spans="1:18" ht="22.5" customHeight="1" x14ac:dyDescent="0.3">
      <c r="A120" s="2"/>
      <c r="B120" s="2"/>
      <c r="C120" s="3"/>
      <c r="D120" s="3"/>
      <c r="E120" s="2"/>
      <c r="F120" s="2"/>
      <c r="G120" s="5"/>
      <c r="H120" s="5"/>
      <c r="I120" s="4"/>
      <c r="J120" s="6" t="str">
        <f t="shared" si="5"/>
        <v/>
      </c>
      <c r="K120" s="4" t="str">
        <f t="shared" ca="1" si="6"/>
        <v/>
      </c>
      <c r="L120" s="7" t="str">
        <f t="shared" ca="1" si="7"/>
        <v/>
      </c>
      <c r="M120" s="4" t="str">
        <f>IF($I120="Complete","Green",IF($H120="","Amber",IF($H120&lt;'[2]Read Me'!$B$4,"Red",IF($H120-'[2]Read Me'!$B$4&lt;=21,"Amber","Green"))))</f>
        <v>Amber</v>
      </c>
      <c r="N120" s="3"/>
      <c r="O120" t="str">
        <f>IF($I120&lt;&gt;"Complete",IF(COUNTIFS($A$4:$A119,$A120,$B$4:$B119,$B120,$I$4:$I119,"&lt;&gt;Complete")=0,$A120&amp;"|"&amp;$B120,""),"")</f>
        <v>|</v>
      </c>
      <c r="P120" t="str">
        <f ca="1">IF($K120="Yes",COUNTIFS($K$4:$K120,"Yes"),"")</f>
        <v/>
      </c>
      <c r="Q120">
        <f t="shared" ca="1" si="8"/>
        <v>0</v>
      </c>
      <c r="R120" t="str">
        <f ca="1">IF($Q120=1,SUM($Q$4:$Q120),"")</f>
        <v/>
      </c>
    </row>
    <row r="121" spans="1:18" ht="22.5" customHeight="1" x14ac:dyDescent="0.3">
      <c r="A121" s="2"/>
      <c r="B121" s="2"/>
      <c r="C121" s="3"/>
      <c r="D121" s="3"/>
      <c r="E121" s="2"/>
      <c r="F121" s="2"/>
      <c r="G121" s="5"/>
      <c r="H121" s="5"/>
      <c r="I121" s="4"/>
      <c r="J121" s="6" t="str">
        <f t="shared" si="5"/>
        <v/>
      </c>
      <c r="K121" s="4" t="str">
        <f t="shared" ca="1" si="6"/>
        <v/>
      </c>
      <c r="L121" s="7" t="str">
        <f t="shared" ca="1" si="7"/>
        <v/>
      </c>
      <c r="M121" s="4" t="str">
        <f>IF($I121="Complete","Green",IF($H121="","Amber",IF($H121&lt;'[2]Read Me'!$B$4,"Red",IF($H121-'[2]Read Me'!$B$4&lt;=21,"Amber","Green"))))</f>
        <v>Amber</v>
      </c>
      <c r="N121" s="3"/>
      <c r="O121" t="str">
        <f>IF($I121&lt;&gt;"Complete",IF(COUNTIFS($A$4:$A120,$A121,$B$4:$B120,$B121,$I$4:$I120,"&lt;&gt;Complete")=0,$A121&amp;"|"&amp;$B121,""),"")</f>
        <v>|</v>
      </c>
      <c r="P121" t="str">
        <f ca="1">IF($K121="Yes",COUNTIFS($K$4:$K121,"Yes"),"")</f>
        <v/>
      </c>
      <c r="Q121">
        <f t="shared" ca="1" si="8"/>
        <v>0</v>
      </c>
      <c r="R121" t="str">
        <f ca="1">IF($Q121=1,SUM($Q$4:$Q121),"")</f>
        <v/>
      </c>
    </row>
    <row r="122" spans="1:18" ht="22.5" customHeight="1" x14ac:dyDescent="0.3">
      <c r="A122" s="2"/>
      <c r="B122" s="2"/>
      <c r="C122" s="3"/>
      <c r="D122" s="3"/>
      <c r="E122" s="2"/>
      <c r="F122" s="2"/>
      <c r="G122" s="5"/>
      <c r="H122" s="5"/>
      <c r="I122" s="4"/>
      <c r="J122" s="6" t="str">
        <f t="shared" si="5"/>
        <v/>
      </c>
      <c r="K122" s="4" t="str">
        <f t="shared" ca="1" si="6"/>
        <v/>
      </c>
      <c r="L122" s="7" t="str">
        <f t="shared" ca="1" si="7"/>
        <v/>
      </c>
      <c r="M122" s="4" t="str">
        <f>IF($I122="Complete","Green",IF($H122="","Amber",IF($H122&lt;'[2]Read Me'!$B$4,"Red",IF($H122-'[2]Read Me'!$B$4&lt;=21,"Amber","Green"))))</f>
        <v>Amber</v>
      </c>
      <c r="N122" s="3"/>
      <c r="O122" t="str">
        <f>IF($I122&lt;&gt;"Complete",IF(COUNTIFS($A$4:$A121,$A122,$B$4:$B121,$B122,$I$4:$I121,"&lt;&gt;Complete")=0,$A122&amp;"|"&amp;$B122,""),"")</f>
        <v>|</v>
      </c>
      <c r="P122" t="str">
        <f ca="1">IF($K122="Yes",COUNTIFS($K$4:$K122,"Yes"),"")</f>
        <v/>
      </c>
      <c r="Q122">
        <f t="shared" ca="1" si="8"/>
        <v>0</v>
      </c>
      <c r="R122" t="str">
        <f ca="1">IF($Q122=1,SUM($Q$4:$Q122),"")</f>
        <v/>
      </c>
    </row>
    <row r="123" spans="1:18" ht="22.5" customHeight="1" x14ac:dyDescent="0.3">
      <c r="A123" s="2"/>
      <c r="B123" s="2"/>
      <c r="C123" s="3"/>
      <c r="D123" s="3"/>
      <c r="E123" s="2"/>
      <c r="F123" s="2"/>
      <c r="G123" s="5"/>
      <c r="H123" s="5"/>
      <c r="I123" s="4"/>
      <c r="J123" s="6" t="str">
        <f t="shared" si="5"/>
        <v/>
      </c>
      <c r="K123" s="4" t="str">
        <f t="shared" ca="1" si="6"/>
        <v/>
      </c>
      <c r="L123" s="7" t="str">
        <f t="shared" ca="1" si="7"/>
        <v/>
      </c>
      <c r="M123" s="4" t="str">
        <f>IF($I123="Complete","Green",IF($H123="","Amber",IF($H123&lt;'[2]Read Me'!$B$4,"Red",IF($H123-'[2]Read Me'!$B$4&lt;=21,"Amber","Green"))))</f>
        <v>Amber</v>
      </c>
      <c r="N123" s="3"/>
      <c r="O123" t="str">
        <f>IF($I123&lt;&gt;"Complete",IF(COUNTIFS($A$4:$A122,$A123,$B$4:$B122,$B123,$I$4:$I122,"&lt;&gt;Complete")=0,$A123&amp;"|"&amp;$B123,""),"")</f>
        <v>|</v>
      </c>
      <c r="P123" t="str">
        <f ca="1">IF($K123="Yes",COUNTIFS($K$4:$K123,"Yes"),"")</f>
        <v/>
      </c>
      <c r="Q123">
        <f t="shared" ca="1" si="8"/>
        <v>0</v>
      </c>
      <c r="R123" t="str">
        <f ca="1">IF($Q123=1,SUM($Q$4:$Q123),"")</f>
        <v/>
      </c>
    </row>
    <row r="124" spans="1:18" ht="22.5" customHeight="1" x14ac:dyDescent="0.3">
      <c r="A124" s="2"/>
      <c r="B124" s="2"/>
      <c r="C124" s="3"/>
      <c r="D124" s="3"/>
      <c r="E124" s="2"/>
      <c r="F124" s="2"/>
      <c r="G124" s="5"/>
      <c r="H124" s="5"/>
      <c r="I124" s="4"/>
      <c r="J124" s="6" t="str">
        <f t="shared" si="5"/>
        <v/>
      </c>
      <c r="K124" s="4" t="str">
        <f t="shared" ca="1" si="6"/>
        <v/>
      </c>
      <c r="L124" s="7" t="str">
        <f t="shared" ca="1" si="7"/>
        <v/>
      </c>
      <c r="M124" s="4" t="str">
        <f>IF($I124="Complete","Green",IF($H124="","Amber",IF($H124&lt;'[2]Read Me'!$B$4,"Red",IF($H124-'[2]Read Me'!$B$4&lt;=21,"Amber","Green"))))</f>
        <v>Amber</v>
      </c>
      <c r="N124" s="3"/>
      <c r="O124" t="str">
        <f>IF($I124&lt;&gt;"Complete",IF(COUNTIFS($A$4:$A123,$A124,$B$4:$B123,$B124,$I$4:$I123,"&lt;&gt;Complete")=0,$A124&amp;"|"&amp;$B124,""),"")</f>
        <v>|</v>
      </c>
      <c r="P124" t="str">
        <f ca="1">IF($K124="Yes",COUNTIFS($K$4:$K124,"Yes"),"")</f>
        <v/>
      </c>
      <c r="Q124">
        <f t="shared" ca="1" si="8"/>
        <v>0</v>
      </c>
      <c r="R124" t="str">
        <f ca="1">IF($Q124=1,SUM($Q$4:$Q124),"")</f>
        <v/>
      </c>
    </row>
    <row r="125" spans="1:18" ht="22.5" customHeight="1" x14ac:dyDescent="0.3">
      <c r="A125" s="2"/>
      <c r="B125" s="2"/>
      <c r="C125" s="3"/>
      <c r="D125" s="3"/>
      <c r="E125" s="2"/>
      <c r="F125" s="2"/>
      <c r="G125" s="5"/>
      <c r="H125" s="5"/>
      <c r="I125" s="4"/>
      <c r="J125" s="6" t="str">
        <f t="shared" si="5"/>
        <v/>
      </c>
      <c r="K125" s="4" t="str">
        <f t="shared" ca="1" si="6"/>
        <v/>
      </c>
      <c r="L125" s="7" t="str">
        <f t="shared" ca="1" si="7"/>
        <v/>
      </c>
      <c r="M125" s="4" t="str">
        <f>IF($I125="Complete","Green",IF($H125="","Amber",IF($H125&lt;'[2]Read Me'!$B$4,"Red",IF($H125-'[2]Read Me'!$B$4&lt;=21,"Amber","Green"))))</f>
        <v>Amber</v>
      </c>
      <c r="N125" s="3"/>
      <c r="O125" t="str">
        <f>IF($I125&lt;&gt;"Complete",IF(COUNTIFS($A$4:$A124,$A125,$B$4:$B124,$B125,$I$4:$I124,"&lt;&gt;Complete")=0,$A125&amp;"|"&amp;$B125,""),"")</f>
        <v>|</v>
      </c>
      <c r="P125" t="str">
        <f ca="1">IF($K125="Yes",COUNTIFS($K$4:$K125,"Yes"),"")</f>
        <v/>
      </c>
      <c r="Q125">
        <f t="shared" ca="1" si="8"/>
        <v>0</v>
      </c>
      <c r="R125" t="str">
        <f ca="1">IF($Q125=1,SUM($Q$4:$Q125),"")</f>
        <v/>
      </c>
    </row>
    <row r="126" spans="1:18" ht="22.5" customHeight="1" x14ac:dyDescent="0.3">
      <c r="A126" s="2"/>
      <c r="B126" s="2"/>
      <c r="C126" s="3"/>
      <c r="D126" s="3"/>
      <c r="E126" s="2"/>
      <c r="F126" s="2"/>
      <c r="G126" s="5"/>
      <c r="H126" s="5"/>
      <c r="I126" s="4"/>
      <c r="J126" s="6" t="str">
        <f t="shared" si="5"/>
        <v/>
      </c>
      <c r="K126" s="4" t="str">
        <f t="shared" ca="1" si="6"/>
        <v/>
      </c>
      <c r="L126" s="7" t="str">
        <f t="shared" ca="1" si="7"/>
        <v/>
      </c>
      <c r="M126" s="4" t="str">
        <f>IF($I126="Complete","Green",IF($H126="","Amber",IF($H126&lt;'[2]Read Me'!$B$4,"Red",IF($H126-'[2]Read Me'!$B$4&lt;=21,"Amber","Green"))))</f>
        <v>Amber</v>
      </c>
      <c r="N126" s="3"/>
      <c r="O126" t="str">
        <f>IF($I126&lt;&gt;"Complete",IF(COUNTIFS($A$4:$A125,$A126,$B$4:$B125,$B126,$I$4:$I125,"&lt;&gt;Complete")=0,$A126&amp;"|"&amp;$B126,""),"")</f>
        <v>|</v>
      </c>
      <c r="P126" t="str">
        <f ca="1">IF($K126="Yes",COUNTIFS($K$4:$K126,"Yes"),"")</f>
        <v/>
      </c>
      <c r="Q126">
        <f t="shared" ca="1" si="8"/>
        <v>0</v>
      </c>
      <c r="R126" t="str">
        <f ca="1">IF($Q126=1,SUM($Q$4:$Q126),"")</f>
        <v/>
      </c>
    </row>
    <row r="127" spans="1:18" ht="22.5" customHeight="1" x14ac:dyDescent="0.3">
      <c r="A127" s="2"/>
      <c r="B127" s="2"/>
      <c r="C127" s="3"/>
      <c r="D127" s="3"/>
      <c r="E127" s="2"/>
      <c r="F127" s="2"/>
      <c r="G127" s="5"/>
      <c r="H127" s="5"/>
      <c r="I127" s="4"/>
      <c r="J127" s="6" t="str">
        <f t="shared" si="5"/>
        <v/>
      </c>
      <c r="K127" s="4" t="str">
        <f t="shared" ca="1" si="6"/>
        <v/>
      </c>
      <c r="L127" s="7" t="str">
        <f t="shared" ca="1" si="7"/>
        <v/>
      </c>
      <c r="M127" s="4" t="str">
        <f>IF($I127="Complete","Green",IF($H127="","Amber",IF($H127&lt;'[2]Read Me'!$B$4,"Red",IF($H127-'[2]Read Me'!$B$4&lt;=21,"Amber","Green"))))</f>
        <v>Amber</v>
      </c>
      <c r="N127" s="3"/>
      <c r="O127" t="str">
        <f>IF($I127&lt;&gt;"Complete",IF(COUNTIFS($A$4:$A126,$A127,$B$4:$B126,$B127,$I$4:$I126,"&lt;&gt;Complete")=0,$A127&amp;"|"&amp;$B127,""),"")</f>
        <v>|</v>
      </c>
      <c r="P127" t="str">
        <f ca="1">IF($K127="Yes",COUNTIFS($K$4:$K127,"Yes"),"")</f>
        <v/>
      </c>
      <c r="Q127">
        <f t="shared" ca="1" si="8"/>
        <v>0</v>
      </c>
      <c r="R127" t="str">
        <f ca="1">IF($Q127=1,SUM($Q$4:$Q127),"")</f>
        <v/>
      </c>
    </row>
    <row r="128" spans="1:18" ht="22.5" customHeight="1" x14ac:dyDescent="0.3">
      <c r="A128" s="2"/>
      <c r="B128" s="2"/>
      <c r="C128" s="3"/>
      <c r="D128" s="3"/>
      <c r="E128" s="2"/>
      <c r="F128" s="2"/>
      <c r="G128" s="5"/>
      <c r="H128" s="5"/>
      <c r="I128" s="4"/>
      <c r="J128" s="6" t="str">
        <f t="shared" si="5"/>
        <v/>
      </c>
      <c r="K128" s="4" t="str">
        <f t="shared" ca="1" si="6"/>
        <v/>
      </c>
      <c r="L128" s="7" t="str">
        <f t="shared" ca="1" si="7"/>
        <v/>
      </c>
      <c r="M128" s="4" t="str">
        <f>IF($I128="Complete","Green",IF($H128="","Amber",IF($H128&lt;'[2]Read Me'!$B$4,"Red",IF($H128-'[2]Read Me'!$B$4&lt;=21,"Amber","Green"))))</f>
        <v>Amber</v>
      </c>
      <c r="N128" s="3"/>
      <c r="O128" t="str">
        <f>IF($I128&lt;&gt;"Complete",IF(COUNTIFS($A$4:$A127,$A128,$B$4:$B127,$B128,$I$4:$I127,"&lt;&gt;Complete")=0,$A128&amp;"|"&amp;$B128,""),"")</f>
        <v>|</v>
      </c>
      <c r="P128" t="str">
        <f ca="1">IF($K128="Yes",COUNTIFS($K$4:$K128,"Yes"),"")</f>
        <v/>
      </c>
      <c r="Q128">
        <f t="shared" ca="1" si="8"/>
        <v>0</v>
      </c>
      <c r="R128" t="str">
        <f ca="1">IF($Q128=1,SUM($Q$4:$Q128),"")</f>
        <v/>
      </c>
    </row>
    <row r="129" spans="1:18" ht="22.5" customHeight="1" x14ac:dyDescent="0.3">
      <c r="A129" s="2"/>
      <c r="B129" s="2"/>
      <c r="C129" s="3"/>
      <c r="D129" s="3"/>
      <c r="E129" s="2"/>
      <c r="F129" s="2"/>
      <c r="G129" s="5"/>
      <c r="H129" s="5"/>
      <c r="I129" s="4"/>
      <c r="J129" s="6" t="str">
        <f t="shared" si="5"/>
        <v/>
      </c>
      <c r="K129" s="4" t="str">
        <f t="shared" ca="1" si="6"/>
        <v/>
      </c>
      <c r="L129" s="7" t="str">
        <f t="shared" ca="1" si="7"/>
        <v/>
      </c>
      <c r="M129" s="4" t="str">
        <f>IF($I129="Complete","Green",IF($H129="","Amber",IF($H129&lt;'[2]Read Me'!$B$4,"Red",IF($H129-'[2]Read Me'!$B$4&lt;=21,"Amber","Green"))))</f>
        <v>Amber</v>
      </c>
      <c r="N129" s="3"/>
      <c r="O129" t="str">
        <f>IF($I129&lt;&gt;"Complete",IF(COUNTIFS($A$4:$A128,$A129,$B$4:$B128,$B129,$I$4:$I128,"&lt;&gt;Complete")=0,$A129&amp;"|"&amp;$B129,""),"")</f>
        <v>|</v>
      </c>
      <c r="P129" t="str">
        <f ca="1">IF($K129="Yes",COUNTIFS($K$4:$K129,"Yes"),"")</f>
        <v/>
      </c>
      <c r="Q129">
        <f t="shared" ca="1" si="8"/>
        <v>0</v>
      </c>
      <c r="R129" t="str">
        <f ca="1">IF($Q129=1,SUM($Q$4:$Q129),"")</f>
        <v/>
      </c>
    </row>
    <row r="130" spans="1:18" ht="22.5" customHeight="1" x14ac:dyDescent="0.3">
      <c r="A130" s="2"/>
      <c r="B130" s="2"/>
      <c r="C130" s="3"/>
      <c r="D130" s="3"/>
      <c r="E130" s="2"/>
      <c r="F130" s="2"/>
      <c r="G130" s="5"/>
      <c r="H130" s="5"/>
      <c r="I130" s="4"/>
      <c r="J130" s="6" t="str">
        <f t="shared" si="5"/>
        <v/>
      </c>
      <c r="K130" s="4" t="str">
        <f t="shared" ca="1" si="6"/>
        <v/>
      </c>
      <c r="L130" s="7" t="str">
        <f t="shared" ca="1" si="7"/>
        <v/>
      </c>
      <c r="M130" s="4" t="str">
        <f>IF($I130="Complete","Green",IF($H130="","Amber",IF($H130&lt;'[2]Read Me'!$B$4,"Red",IF($H130-'[2]Read Me'!$B$4&lt;=21,"Amber","Green"))))</f>
        <v>Amber</v>
      </c>
      <c r="N130" s="3"/>
      <c r="O130" t="str">
        <f>IF($I130&lt;&gt;"Complete",IF(COUNTIFS($A$4:$A129,$A130,$B$4:$B129,$B130,$I$4:$I129,"&lt;&gt;Complete")=0,$A130&amp;"|"&amp;$B130,""),"")</f>
        <v>|</v>
      </c>
      <c r="P130" t="str">
        <f ca="1">IF($K130="Yes",COUNTIFS($K$4:$K130,"Yes"),"")</f>
        <v/>
      </c>
      <c r="Q130">
        <f t="shared" ca="1" si="8"/>
        <v>0</v>
      </c>
      <c r="R130" t="str">
        <f ca="1">IF($Q130=1,SUM($Q$4:$Q130),"")</f>
        <v/>
      </c>
    </row>
    <row r="131" spans="1:18" ht="22.5" customHeight="1" x14ac:dyDescent="0.3">
      <c r="A131" s="2"/>
      <c r="B131" s="2"/>
      <c r="C131" s="3"/>
      <c r="D131" s="3"/>
      <c r="E131" s="2"/>
      <c r="F131" s="2"/>
      <c r="G131" s="5"/>
      <c r="H131" s="5"/>
      <c r="I131" s="4"/>
      <c r="J131" s="6" t="str">
        <f t="shared" si="5"/>
        <v/>
      </c>
      <c r="K131" s="4" t="str">
        <f t="shared" ca="1" si="6"/>
        <v/>
      </c>
      <c r="L131" s="7" t="str">
        <f t="shared" ca="1" si="7"/>
        <v/>
      </c>
      <c r="M131" s="4" t="str">
        <f>IF($I131="Complete","Green",IF($H131="","Amber",IF($H131&lt;'[2]Read Me'!$B$4,"Red",IF($H131-'[2]Read Me'!$B$4&lt;=21,"Amber","Green"))))</f>
        <v>Amber</v>
      </c>
      <c r="N131" s="3"/>
      <c r="O131" t="str">
        <f>IF($I131&lt;&gt;"Complete",IF(COUNTIFS($A$4:$A130,$A131,$B$4:$B130,$B131,$I$4:$I130,"&lt;&gt;Complete")=0,$A131&amp;"|"&amp;$B131,""),"")</f>
        <v>|</v>
      </c>
      <c r="P131" t="str">
        <f ca="1">IF($K131="Yes",COUNTIFS($K$4:$K131,"Yes"),"")</f>
        <v/>
      </c>
      <c r="Q131">
        <f t="shared" ca="1" si="8"/>
        <v>0</v>
      </c>
      <c r="R131" t="str">
        <f ca="1">IF($Q131=1,SUM($Q$4:$Q131),"")</f>
        <v/>
      </c>
    </row>
    <row r="132" spans="1:18" ht="22.5" customHeight="1" x14ac:dyDescent="0.3">
      <c r="A132" s="2"/>
      <c r="B132" s="2"/>
      <c r="C132" s="3"/>
      <c r="D132" s="3"/>
      <c r="E132" s="2"/>
      <c r="F132" s="2"/>
      <c r="G132" s="5"/>
      <c r="H132" s="5"/>
      <c r="I132" s="4"/>
      <c r="J132" s="6" t="str">
        <f t="shared" ref="J132:J195" si="9">IF(OR($G132="",$H132=""),"",$H132-$G132)</f>
        <v/>
      </c>
      <c r="K132" s="4" t="str">
        <f t="shared" ref="K132:K195" ca="1" si="10">IF(C132="","",IF(H132="","",IF($I132="completed","-",IF($H132&gt;TODAY(),"No","Yes"))))</f>
        <v/>
      </c>
      <c r="L132" s="7" t="str">
        <f t="shared" ref="L132:L195" ca="1" si="11">IF(I132="Completed",0,IF(H132="","",H132-TODAY()))</f>
        <v/>
      </c>
      <c r="M132" s="4" t="str">
        <f>IF($I132="Complete","Green",IF($H132="","Amber",IF($H132&lt;'[2]Read Me'!$B$4,"Red",IF($H132-'[2]Read Me'!$B$4&lt;=21,"Amber","Green"))))</f>
        <v>Amber</v>
      </c>
      <c r="N132" s="3"/>
      <c r="O132" t="str">
        <f>IF($I132&lt;&gt;"Complete",IF(COUNTIFS($A$4:$A131,$A132,$B$4:$B131,$B132,$I$4:$I131,"&lt;&gt;Complete")=0,$A132&amp;"|"&amp;$B132,""),"")</f>
        <v>|</v>
      </c>
      <c r="P132" t="str">
        <f ca="1">IF($K132="Yes",COUNTIFS($K$4:$K132,"Yes"),"")</f>
        <v/>
      </c>
      <c r="Q132">
        <f t="shared" ref="Q132:Q195" ca="1" si="12">IF(OR($I132="In Progress",$K132="Yes"),1,0)</f>
        <v>0</v>
      </c>
      <c r="R132" t="str">
        <f ca="1">IF($Q132=1,SUM($Q$4:$Q132),"")</f>
        <v/>
      </c>
    </row>
    <row r="133" spans="1:18" ht="22.5" customHeight="1" x14ac:dyDescent="0.3">
      <c r="A133" s="2"/>
      <c r="B133" s="2"/>
      <c r="C133" s="3"/>
      <c r="D133" s="3"/>
      <c r="E133" s="2"/>
      <c r="F133" s="2"/>
      <c r="G133" s="5"/>
      <c r="H133" s="5"/>
      <c r="I133" s="4"/>
      <c r="J133" s="6" t="str">
        <f t="shared" si="9"/>
        <v/>
      </c>
      <c r="K133" s="4" t="str">
        <f t="shared" ca="1" si="10"/>
        <v/>
      </c>
      <c r="L133" s="7" t="str">
        <f t="shared" ca="1" si="11"/>
        <v/>
      </c>
      <c r="M133" s="4" t="str">
        <f>IF($I133="Complete","Green",IF($H133="","Amber",IF($H133&lt;'[2]Read Me'!$B$4,"Red",IF($H133-'[2]Read Me'!$B$4&lt;=21,"Amber","Green"))))</f>
        <v>Amber</v>
      </c>
      <c r="N133" s="3"/>
      <c r="O133" t="str">
        <f>IF($I133&lt;&gt;"Complete",IF(COUNTIFS($A$4:$A132,$A133,$B$4:$B132,$B133,$I$4:$I132,"&lt;&gt;Complete")=0,$A133&amp;"|"&amp;$B133,""),"")</f>
        <v>|</v>
      </c>
      <c r="P133" t="str">
        <f ca="1">IF($K133="Yes",COUNTIFS($K$4:$K133,"Yes"),"")</f>
        <v/>
      </c>
      <c r="Q133">
        <f t="shared" ca="1" si="12"/>
        <v>0</v>
      </c>
      <c r="R133" t="str">
        <f ca="1">IF($Q133=1,SUM($Q$4:$Q133),"")</f>
        <v/>
      </c>
    </row>
    <row r="134" spans="1:18" ht="22.5" customHeight="1" x14ac:dyDescent="0.3">
      <c r="A134" s="2"/>
      <c r="B134" s="2"/>
      <c r="C134" s="3"/>
      <c r="D134" s="3"/>
      <c r="E134" s="2"/>
      <c r="F134" s="2"/>
      <c r="G134" s="5"/>
      <c r="H134" s="5"/>
      <c r="I134" s="4"/>
      <c r="J134" s="6" t="str">
        <f t="shared" si="9"/>
        <v/>
      </c>
      <c r="K134" s="4" t="str">
        <f t="shared" ca="1" si="10"/>
        <v/>
      </c>
      <c r="L134" s="7" t="str">
        <f t="shared" ca="1" si="11"/>
        <v/>
      </c>
      <c r="M134" s="4" t="str">
        <f>IF($I134="Complete","Green",IF($H134="","Amber",IF($H134&lt;'[2]Read Me'!$B$4,"Red",IF($H134-'[2]Read Me'!$B$4&lt;=21,"Amber","Green"))))</f>
        <v>Amber</v>
      </c>
      <c r="N134" s="3"/>
      <c r="O134" t="str">
        <f>IF($I134&lt;&gt;"Complete",IF(COUNTIFS($A$4:$A133,$A134,$B$4:$B133,$B134,$I$4:$I133,"&lt;&gt;Complete")=0,$A134&amp;"|"&amp;$B134,""),"")</f>
        <v>|</v>
      </c>
      <c r="P134" t="str">
        <f ca="1">IF($K134="Yes",COUNTIFS($K$4:$K134,"Yes"),"")</f>
        <v/>
      </c>
      <c r="Q134">
        <f t="shared" ca="1" si="12"/>
        <v>0</v>
      </c>
      <c r="R134" t="str">
        <f ca="1">IF($Q134=1,SUM($Q$4:$Q134),"")</f>
        <v/>
      </c>
    </row>
    <row r="135" spans="1:18" ht="22.5" customHeight="1" x14ac:dyDescent="0.3">
      <c r="A135" s="2"/>
      <c r="B135" s="2"/>
      <c r="C135" s="3"/>
      <c r="D135" s="3"/>
      <c r="E135" s="2"/>
      <c r="F135" s="2"/>
      <c r="G135" s="5"/>
      <c r="H135" s="5"/>
      <c r="I135" s="4"/>
      <c r="J135" s="6" t="str">
        <f t="shared" si="9"/>
        <v/>
      </c>
      <c r="K135" s="4" t="str">
        <f t="shared" ca="1" si="10"/>
        <v/>
      </c>
      <c r="L135" s="7" t="str">
        <f t="shared" ca="1" si="11"/>
        <v/>
      </c>
      <c r="M135" s="4" t="str">
        <f>IF($I135="Complete","Green",IF($H135="","Amber",IF($H135&lt;'[2]Read Me'!$B$4,"Red",IF($H135-'[2]Read Me'!$B$4&lt;=21,"Amber","Green"))))</f>
        <v>Amber</v>
      </c>
      <c r="N135" s="3"/>
      <c r="O135" t="str">
        <f>IF($I135&lt;&gt;"Complete",IF(COUNTIFS($A$4:$A134,$A135,$B$4:$B134,$B135,$I$4:$I134,"&lt;&gt;Complete")=0,$A135&amp;"|"&amp;$B135,""),"")</f>
        <v>|</v>
      </c>
      <c r="P135" t="str">
        <f ca="1">IF($K135="Yes",COUNTIFS($K$4:$K135,"Yes"),"")</f>
        <v/>
      </c>
      <c r="Q135">
        <f t="shared" ca="1" si="12"/>
        <v>0</v>
      </c>
      <c r="R135" t="str">
        <f ca="1">IF($Q135=1,SUM($Q$4:$Q135),"")</f>
        <v/>
      </c>
    </row>
    <row r="136" spans="1:18" ht="22.5" customHeight="1" x14ac:dyDescent="0.3">
      <c r="A136" s="2"/>
      <c r="B136" s="2"/>
      <c r="C136" s="3"/>
      <c r="D136" s="3"/>
      <c r="E136" s="2"/>
      <c r="F136" s="2"/>
      <c r="G136" s="5"/>
      <c r="H136" s="5"/>
      <c r="I136" s="4"/>
      <c r="J136" s="6" t="str">
        <f t="shared" si="9"/>
        <v/>
      </c>
      <c r="K136" s="4" t="str">
        <f t="shared" ca="1" si="10"/>
        <v/>
      </c>
      <c r="L136" s="7" t="str">
        <f t="shared" ca="1" si="11"/>
        <v/>
      </c>
      <c r="M136" s="4" t="str">
        <f>IF($I136="Complete","Green",IF($H136="","Amber",IF($H136&lt;'[2]Read Me'!$B$4,"Red",IF($H136-'[2]Read Me'!$B$4&lt;=21,"Amber","Green"))))</f>
        <v>Amber</v>
      </c>
      <c r="N136" s="3"/>
      <c r="O136" t="str">
        <f>IF($I136&lt;&gt;"Complete",IF(COUNTIFS($A$4:$A135,$A136,$B$4:$B135,$B136,$I$4:$I135,"&lt;&gt;Complete")=0,$A136&amp;"|"&amp;$B136,""),"")</f>
        <v>|</v>
      </c>
      <c r="P136" t="str">
        <f ca="1">IF($K136="Yes",COUNTIFS($K$4:$K136,"Yes"),"")</f>
        <v/>
      </c>
      <c r="Q136">
        <f t="shared" ca="1" si="12"/>
        <v>0</v>
      </c>
      <c r="R136" t="str">
        <f ca="1">IF($Q136=1,SUM($Q$4:$Q136),"")</f>
        <v/>
      </c>
    </row>
    <row r="137" spans="1:18" ht="22.5" customHeight="1" x14ac:dyDescent="0.3">
      <c r="A137" s="2"/>
      <c r="B137" s="2"/>
      <c r="C137" s="3"/>
      <c r="D137" s="3"/>
      <c r="E137" s="2"/>
      <c r="F137" s="2"/>
      <c r="G137" s="5"/>
      <c r="H137" s="5"/>
      <c r="I137" s="4"/>
      <c r="J137" s="6" t="str">
        <f t="shared" si="9"/>
        <v/>
      </c>
      <c r="K137" s="4" t="str">
        <f t="shared" ca="1" si="10"/>
        <v/>
      </c>
      <c r="L137" s="7" t="str">
        <f t="shared" ca="1" si="11"/>
        <v/>
      </c>
      <c r="M137" s="4" t="str">
        <f>IF($I137="Complete","Green",IF($H137="","Amber",IF($H137&lt;'[2]Read Me'!$B$4,"Red",IF($H137-'[2]Read Me'!$B$4&lt;=21,"Amber","Green"))))</f>
        <v>Amber</v>
      </c>
      <c r="N137" s="3"/>
      <c r="O137" t="str">
        <f>IF($I137&lt;&gt;"Complete",IF(COUNTIFS($A$4:$A136,$A137,$B$4:$B136,$B137,$I$4:$I136,"&lt;&gt;Complete")=0,$A137&amp;"|"&amp;$B137,""),"")</f>
        <v>|</v>
      </c>
      <c r="P137" t="str">
        <f ca="1">IF($K137="Yes",COUNTIFS($K$4:$K137,"Yes"),"")</f>
        <v/>
      </c>
      <c r="Q137">
        <f t="shared" ca="1" si="12"/>
        <v>0</v>
      </c>
      <c r="R137" t="str">
        <f ca="1">IF($Q137=1,SUM($Q$4:$Q137),"")</f>
        <v/>
      </c>
    </row>
    <row r="138" spans="1:18" ht="22.5" customHeight="1" x14ac:dyDescent="0.3">
      <c r="A138" s="2"/>
      <c r="B138" s="2"/>
      <c r="C138" s="3"/>
      <c r="D138" s="3"/>
      <c r="E138" s="2"/>
      <c r="F138" s="2"/>
      <c r="G138" s="5"/>
      <c r="H138" s="5"/>
      <c r="I138" s="4"/>
      <c r="J138" s="6" t="str">
        <f t="shared" si="9"/>
        <v/>
      </c>
      <c r="K138" s="4" t="str">
        <f t="shared" ca="1" si="10"/>
        <v/>
      </c>
      <c r="L138" s="7" t="str">
        <f t="shared" ca="1" si="11"/>
        <v/>
      </c>
      <c r="M138" s="4" t="str">
        <f>IF($I138="Complete","Green",IF($H138="","Amber",IF($H138&lt;'[2]Read Me'!$B$4,"Red",IF($H138-'[2]Read Me'!$B$4&lt;=21,"Amber","Green"))))</f>
        <v>Amber</v>
      </c>
      <c r="N138" s="3"/>
      <c r="O138" t="str">
        <f>IF($I138&lt;&gt;"Complete",IF(COUNTIFS($A$4:$A137,$A138,$B$4:$B137,$B138,$I$4:$I137,"&lt;&gt;Complete")=0,$A138&amp;"|"&amp;$B138,""),"")</f>
        <v>|</v>
      </c>
      <c r="P138" t="str">
        <f ca="1">IF($K138="Yes",COUNTIFS($K$4:$K138,"Yes"),"")</f>
        <v/>
      </c>
      <c r="Q138">
        <f t="shared" ca="1" si="12"/>
        <v>0</v>
      </c>
      <c r="R138" t="str">
        <f ca="1">IF($Q138=1,SUM($Q$4:$Q138),"")</f>
        <v/>
      </c>
    </row>
    <row r="139" spans="1:18" ht="22.5" customHeight="1" x14ac:dyDescent="0.3">
      <c r="A139" s="2"/>
      <c r="B139" s="2"/>
      <c r="C139" s="3"/>
      <c r="D139" s="3"/>
      <c r="E139" s="2"/>
      <c r="F139" s="2"/>
      <c r="G139" s="5"/>
      <c r="H139" s="5"/>
      <c r="I139" s="4"/>
      <c r="J139" s="6" t="str">
        <f t="shared" si="9"/>
        <v/>
      </c>
      <c r="K139" s="4" t="str">
        <f t="shared" ca="1" si="10"/>
        <v/>
      </c>
      <c r="L139" s="7" t="str">
        <f t="shared" ca="1" si="11"/>
        <v/>
      </c>
      <c r="M139" s="4" t="str">
        <f>IF($I139="Complete","Green",IF($H139="","Amber",IF($H139&lt;'[2]Read Me'!$B$4,"Red",IF($H139-'[2]Read Me'!$B$4&lt;=21,"Amber","Green"))))</f>
        <v>Amber</v>
      </c>
      <c r="N139" s="3"/>
      <c r="O139" t="str">
        <f>IF($I139&lt;&gt;"Complete",IF(COUNTIFS($A$4:$A138,$A139,$B$4:$B138,$B139,$I$4:$I138,"&lt;&gt;Complete")=0,$A139&amp;"|"&amp;$B139,""),"")</f>
        <v>|</v>
      </c>
      <c r="P139" t="str">
        <f ca="1">IF($K139="Yes",COUNTIFS($K$4:$K139,"Yes"),"")</f>
        <v/>
      </c>
      <c r="Q139">
        <f t="shared" ca="1" si="12"/>
        <v>0</v>
      </c>
      <c r="R139" t="str">
        <f ca="1">IF($Q139=1,SUM($Q$4:$Q139),"")</f>
        <v/>
      </c>
    </row>
    <row r="140" spans="1:18" ht="22.5" customHeight="1" x14ac:dyDescent="0.3">
      <c r="A140" s="2"/>
      <c r="B140" s="2"/>
      <c r="C140" s="3"/>
      <c r="D140" s="3"/>
      <c r="E140" s="2"/>
      <c r="F140" s="2"/>
      <c r="G140" s="5"/>
      <c r="H140" s="5"/>
      <c r="I140" s="4"/>
      <c r="J140" s="6" t="str">
        <f t="shared" si="9"/>
        <v/>
      </c>
      <c r="K140" s="4" t="str">
        <f t="shared" ca="1" si="10"/>
        <v/>
      </c>
      <c r="L140" s="7" t="str">
        <f t="shared" ca="1" si="11"/>
        <v/>
      </c>
      <c r="M140" s="4" t="str">
        <f>IF($I140="Complete","Green",IF($H140="","Amber",IF($H140&lt;'[2]Read Me'!$B$4,"Red",IF($H140-'[2]Read Me'!$B$4&lt;=21,"Amber","Green"))))</f>
        <v>Amber</v>
      </c>
      <c r="N140" s="3"/>
      <c r="O140" t="str">
        <f>IF($I140&lt;&gt;"Complete",IF(COUNTIFS($A$4:$A139,$A140,$B$4:$B139,$B140,$I$4:$I139,"&lt;&gt;Complete")=0,$A140&amp;"|"&amp;$B140,""),"")</f>
        <v>|</v>
      </c>
      <c r="P140" t="str">
        <f ca="1">IF($K140="Yes",COUNTIFS($K$4:$K140,"Yes"),"")</f>
        <v/>
      </c>
      <c r="Q140">
        <f t="shared" ca="1" si="12"/>
        <v>0</v>
      </c>
      <c r="R140" t="str">
        <f ca="1">IF($Q140=1,SUM($Q$4:$Q140),"")</f>
        <v/>
      </c>
    </row>
    <row r="141" spans="1:18" ht="22.5" customHeight="1" x14ac:dyDescent="0.3">
      <c r="A141" s="2"/>
      <c r="B141" s="2"/>
      <c r="C141" s="3"/>
      <c r="D141" s="3"/>
      <c r="E141" s="2"/>
      <c r="F141" s="2"/>
      <c r="G141" s="5"/>
      <c r="H141" s="5"/>
      <c r="I141" s="4"/>
      <c r="J141" s="6" t="str">
        <f t="shared" si="9"/>
        <v/>
      </c>
      <c r="K141" s="4" t="str">
        <f t="shared" ca="1" si="10"/>
        <v/>
      </c>
      <c r="L141" s="7" t="str">
        <f t="shared" ca="1" si="11"/>
        <v/>
      </c>
      <c r="M141" s="4" t="str">
        <f>IF($I141="Complete","Green",IF($H141="","Amber",IF($H141&lt;'[2]Read Me'!$B$4,"Red",IF($H141-'[2]Read Me'!$B$4&lt;=21,"Amber","Green"))))</f>
        <v>Amber</v>
      </c>
      <c r="N141" s="3"/>
      <c r="O141" t="str">
        <f>IF($I141&lt;&gt;"Complete",IF(COUNTIFS($A$4:$A140,$A141,$B$4:$B140,$B141,$I$4:$I140,"&lt;&gt;Complete")=0,$A141&amp;"|"&amp;$B141,""),"")</f>
        <v>|</v>
      </c>
      <c r="P141" t="str">
        <f ca="1">IF($K141="Yes",COUNTIFS($K$4:$K141,"Yes"),"")</f>
        <v/>
      </c>
      <c r="Q141">
        <f t="shared" ca="1" si="12"/>
        <v>0</v>
      </c>
      <c r="R141" t="str">
        <f ca="1">IF($Q141=1,SUM($Q$4:$Q141),"")</f>
        <v/>
      </c>
    </row>
    <row r="142" spans="1:18" ht="22.5" customHeight="1" x14ac:dyDescent="0.3">
      <c r="A142" s="2"/>
      <c r="B142" s="2"/>
      <c r="C142" s="3"/>
      <c r="D142" s="3"/>
      <c r="E142" s="2"/>
      <c r="F142" s="2"/>
      <c r="G142" s="5"/>
      <c r="H142" s="5"/>
      <c r="I142" s="4"/>
      <c r="J142" s="6" t="str">
        <f t="shared" si="9"/>
        <v/>
      </c>
      <c r="K142" s="4" t="str">
        <f t="shared" ca="1" si="10"/>
        <v/>
      </c>
      <c r="L142" s="7" t="str">
        <f t="shared" ca="1" si="11"/>
        <v/>
      </c>
      <c r="M142" s="4" t="str">
        <f>IF($I142="Complete","Green",IF($H142="","Amber",IF($H142&lt;'[2]Read Me'!$B$4,"Red",IF($H142-'[2]Read Me'!$B$4&lt;=21,"Amber","Green"))))</f>
        <v>Amber</v>
      </c>
      <c r="N142" s="3"/>
      <c r="O142" t="str">
        <f>IF($I142&lt;&gt;"Complete",IF(COUNTIFS($A$4:$A141,$A142,$B$4:$B141,$B142,$I$4:$I141,"&lt;&gt;Complete")=0,$A142&amp;"|"&amp;$B142,""),"")</f>
        <v>|</v>
      </c>
      <c r="P142" t="str">
        <f ca="1">IF($K142="Yes",COUNTIFS($K$4:$K142,"Yes"),"")</f>
        <v/>
      </c>
      <c r="Q142">
        <f t="shared" ca="1" si="12"/>
        <v>0</v>
      </c>
      <c r="R142" t="str">
        <f ca="1">IF($Q142=1,SUM($Q$4:$Q142),"")</f>
        <v/>
      </c>
    </row>
    <row r="143" spans="1:18" ht="22.5" customHeight="1" x14ac:dyDescent="0.3">
      <c r="A143" s="2"/>
      <c r="B143" s="2"/>
      <c r="C143" s="3"/>
      <c r="D143" s="3"/>
      <c r="E143" s="2"/>
      <c r="F143" s="2"/>
      <c r="G143" s="5"/>
      <c r="H143" s="5"/>
      <c r="I143" s="4"/>
      <c r="J143" s="6" t="str">
        <f t="shared" si="9"/>
        <v/>
      </c>
      <c r="K143" s="4" t="str">
        <f t="shared" ca="1" si="10"/>
        <v/>
      </c>
      <c r="L143" s="7" t="str">
        <f t="shared" ca="1" si="11"/>
        <v/>
      </c>
      <c r="M143" s="4" t="str">
        <f>IF($I143="Complete","Green",IF($H143="","Amber",IF($H143&lt;'[2]Read Me'!$B$4,"Red",IF($H143-'[2]Read Me'!$B$4&lt;=21,"Amber","Green"))))</f>
        <v>Amber</v>
      </c>
      <c r="N143" s="3"/>
      <c r="O143" t="str">
        <f>IF($I143&lt;&gt;"Complete",IF(COUNTIFS($A$4:$A142,$A143,$B$4:$B142,$B143,$I$4:$I142,"&lt;&gt;Complete")=0,$A143&amp;"|"&amp;$B143,""),"")</f>
        <v>|</v>
      </c>
      <c r="P143" t="str">
        <f ca="1">IF($K143="Yes",COUNTIFS($K$4:$K143,"Yes"),"")</f>
        <v/>
      </c>
      <c r="Q143">
        <f t="shared" ca="1" si="12"/>
        <v>0</v>
      </c>
      <c r="R143" t="str">
        <f ca="1">IF($Q143=1,SUM($Q$4:$Q143),"")</f>
        <v/>
      </c>
    </row>
    <row r="144" spans="1:18" ht="22.5" customHeight="1" x14ac:dyDescent="0.3">
      <c r="A144" s="2"/>
      <c r="B144" s="2"/>
      <c r="C144" s="3"/>
      <c r="D144" s="3"/>
      <c r="E144" s="2"/>
      <c r="F144" s="2"/>
      <c r="G144" s="5"/>
      <c r="H144" s="5"/>
      <c r="I144" s="4"/>
      <c r="J144" s="6" t="str">
        <f t="shared" si="9"/>
        <v/>
      </c>
      <c r="K144" s="4" t="str">
        <f t="shared" ca="1" si="10"/>
        <v/>
      </c>
      <c r="L144" s="7" t="str">
        <f t="shared" ca="1" si="11"/>
        <v/>
      </c>
      <c r="M144" s="4" t="str">
        <f>IF($I144="Complete","Green",IF($H144="","Amber",IF($H144&lt;'[2]Read Me'!$B$4,"Red",IF($H144-'[2]Read Me'!$B$4&lt;=21,"Amber","Green"))))</f>
        <v>Amber</v>
      </c>
      <c r="N144" s="3"/>
      <c r="O144" t="str">
        <f>IF($I144&lt;&gt;"Complete",IF(COUNTIFS($A$4:$A143,$A144,$B$4:$B143,$B144,$I$4:$I143,"&lt;&gt;Complete")=0,$A144&amp;"|"&amp;$B144,""),"")</f>
        <v>|</v>
      </c>
      <c r="P144" t="str">
        <f ca="1">IF($K144="Yes",COUNTIFS($K$4:$K144,"Yes"),"")</f>
        <v/>
      </c>
      <c r="Q144">
        <f t="shared" ca="1" si="12"/>
        <v>0</v>
      </c>
      <c r="R144" t="str">
        <f ca="1">IF($Q144=1,SUM($Q$4:$Q144),"")</f>
        <v/>
      </c>
    </row>
    <row r="145" spans="1:18" ht="22.5" customHeight="1" x14ac:dyDescent="0.3">
      <c r="A145" s="2"/>
      <c r="B145" s="2"/>
      <c r="C145" s="3"/>
      <c r="D145" s="3"/>
      <c r="E145" s="2"/>
      <c r="F145" s="2"/>
      <c r="G145" s="5"/>
      <c r="H145" s="5"/>
      <c r="I145" s="4"/>
      <c r="J145" s="6" t="str">
        <f t="shared" si="9"/>
        <v/>
      </c>
      <c r="K145" s="4" t="str">
        <f t="shared" ca="1" si="10"/>
        <v/>
      </c>
      <c r="L145" s="7" t="str">
        <f t="shared" ca="1" si="11"/>
        <v/>
      </c>
      <c r="M145" s="4" t="str">
        <f>IF($I145="Complete","Green",IF($H145="","Amber",IF($H145&lt;'[2]Read Me'!$B$4,"Red",IF($H145-'[2]Read Me'!$B$4&lt;=21,"Amber","Green"))))</f>
        <v>Amber</v>
      </c>
      <c r="N145" s="3"/>
      <c r="O145" t="str">
        <f>IF($I145&lt;&gt;"Complete",IF(COUNTIFS($A$4:$A144,$A145,$B$4:$B144,$B145,$I$4:$I144,"&lt;&gt;Complete")=0,$A145&amp;"|"&amp;$B145,""),"")</f>
        <v>|</v>
      </c>
      <c r="P145" t="str">
        <f ca="1">IF($K145="Yes",COUNTIFS($K$4:$K145,"Yes"),"")</f>
        <v/>
      </c>
      <c r="Q145">
        <f t="shared" ca="1" si="12"/>
        <v>0</v>
      </c>
      <c r="R145" t="str">
        <f ca="1">IF($Q145=1,SUM($Q$4:$Q145),"")</f>
        <v/>
      </c>
    </row>
    <row r="146" spans="1:18" ht="22.5" customHeight="1" x14ac:dyDescent="0.3">
      <c r="A146" s="2"/>
      <c r="B146" s="2"/>
      <c r="C146" s="3"/>
      <c r="D146" s="3"/>
      <c r="E146" s="2"/>
      <c r="F146" s="2"/>
      <c r="G146" s="5"/>
      <c r="H146" s="5"/>
      <c r="I146" s="4"/>
      <c r="J146" s="6" t="str">
        <f t="shared" si="9"/>
        <v/>
      </c>
      <c r="K146" s="4" t="str">
        <f t="shared" ca="1" si="10"/>
        <v/>
      </c>
      <c r="L146" s="7" t="str">
        <f t="shared" ca="1" si="11"/>
        <v/>
      </c>
      <c r="M146" s="4" t="str">
        <f>IF($I146="Complete","Green",IF($H146="","Amber",IF($H146&lt;'[2]Read Me'!$B$4,"Red",IF($H146-'[2]Read Me'!$B$4&lt;=21,"Amber","Green"))))</f>
        <v>Amber</v>
      </c>
      <c r="N146" s="3"/>
      <c r="O146" t="str">
        <f>IF($I146&lt;&gt;"Complete",IF(COUNTIFS($A$4:$A145,$A146,$B$4:$B145,$B146,$I$4:$I145,"&lt;&gt;Complete")=0,$A146&amp;"|"&amp;$B146,""),"")</f>
        <v>|</v>
      </c>
      <c r="P146" t="str">
        <f ca="1">IF($K146="Yes",COUNTIFS($K$4:$K146,"Yes"),"")</f>
        <v/>
      </c>
      <c r="Q146">
        <f t="shared" ca="1" si="12"/>
        <v>0</v>
      </c>
      <c r="R146" t="str">
        <f ca="1">IF($Q146=1,SUM($Q$4:$Q146),"")</f>
        <v/>
      </c>
    </row>
    <row r="147" spans="1:18" ht="22.5" customHeight="1" x14ac:dyDescent="0.3">
      <c r="A147" s="2"/>
      <c r="B147" s="2"/>
      <c r="C147" s="3"/>
      <c r="D147" s="3"/>
      <c r="E147" s="2"/>
      <c r="F147" s="2"/>
      <c r="G147" s="5"/>
      <c r="H147" s="5"/>
      <c r="I147" s="4"/>
      <c r="J147" s="6" t="str">
        <f t="shared" si="9"/>
        <v/>
      </c>
      <c r="K147" s="4" t="str">
        <f t="shared" ca="1" si="10"/>
        <v/>
      </c>
      <c r="L147" s="7" t="str">
        <f t="shared" ca="1" si="11"/>
        <v/>
      </c>
      <c r="M147" s="4" t="str">
        <f>IF($I147="Complete","Green",IF($H147="","Amber",IF($H147&lt;'[2]Read Me'!$B$4,"Red",IF($H147-'[2]Read Me'!$B$4&lt;=21,"Amber","Green"))))</f>
        <v>Amber</v>
      </c>
      <c r="N147" s="3"/>
      <c r="O147" t="str">
        <f>IF($I147&lt;&gt;"Complete",IF(COUNTIFS($A$4:$A146,$A147,$B$4:$B146,$B147,$I$4:$I146,"&lt;&gt;Complete")=0,$A147&amp;"|"&amp;$B147,""),"")</f>
        <v>|</v>
      </c>
      <c r="P147" t="str">
        <f ca="1">IF($K147="Yes",COUNTIFS($K$4:$K147,"Yes"),"")</f>
        <v/>
      </c>
      <c r="Q147">
        <f t="shared" ca="1" si="12"/>
        <v>0</v>
      </c>
      <c r="R147" t="str">
        <f ca="1">IF($Q147=1,SUM($Q$4:$Q147),"")</f>
        <v/>
      </c>
    </row>
    <row r="148" spans="1:18" ht="22.5" customHeight="1" x14ac:dyDescent="0.3">
      <c r="A148" s="2"/>
      <c r="B148" s="2"/>
      <c r="C148" s="3"/>
      <c r="D148" s="3"/>
      <c r="E148" s="2"/>
      <c r="F148" s="2"/>
      <c r="G148" s="5"/>
      <c r="H148" s="5"/>
      <c r="I148" s="4"/>
      <c r="J148" s="6" t="str">
        <f t="shared" si="9"/>
        <v/>
      </c>
      <c r="K148" s="4" t="str">
        <f t="shared" ca="1" si="10"/>
        <v/>
      </c>
      <c r="L148" s="7" t="str">
        <f t="shared" ca="1" si="11"/>
        <v/>
      </c>
      <c r="M148" s="4" t="str">
        <f>IF($I148="Complete","Green",IF($H148="","Amber",IF($H148&lt;'[2]Read Me'!$B$4,"Red",IF($H148-'[2]Read Me'!$B$4&lt;=21,"Amber","Green"))))</f>
        <v>Amber</v>
      </c>
      <c r="N148" s="3"/>
      <c r="O148" t="str">
        <f>IF($I148&lt;&gt;"Complete",IF(COUNTIFS($A$4:$A147,$A148,$B$4:$B147,$B148,$I$4:$I147,"&lt;&gt;Complete")=0,$A148&amp;"|"&amp;$B148,""),"")</f>
        <v>|</v>
      </c>
      <c r="P148" t="str">
        <f ca="1">IF($K148="Yes",COUNTIFS($K$4:$K148,"Yes"),"")</f>
        <v/>
      </c>
      <c r="Q148">
        <f t="shared" ca="1" si="12"/>
        <v>0</v>
      </c>
      <c r="R148" t="str">
        <f ca="1">IF($Q148=1,SUM($Q$4:$Q148),"")</f>
        <v/>
      </c>
    </row>
    <row r="149" spans="1:18" ht="22.5" customHeight="1" x14ac:dyDescent="0.3">
      <c r="A149" s="2"/>
      <c r="B149" s="2"/>
      <c r="C149" s="3"/>
      <c r="D149" s="3"/>
      <c r="E149" s="2"/>
      <c r="F149" s="2"/>
      <c r="G149" s="5"/>
      <c r="H149" s="5"/>
      <c r="I149" s="4"/>
      <c r="J149" s="6" t="str">
        <f t="shared" si="9"/>
        <v/>
      </c>
      <c r="K149" s="4" t="str">
        <f t="shared" ca="1" si="10"/>
        <v/>
      </c>
      <c r="L149" s="7" t="str">
        <f t="shared" ca="1" si="11"/>
        <v/>
      </c>
      <c r="M149" s="4" t="str">
        <f>IF($I149="Complete","Green",IF($H149="","Amber",IF($H149&lt;'[2]Read Me'!$B$4,"Red",IF($H149-'[2]Read Me'!$B$4&lt;=21,"Amber","Green"))))</f>
        <v>Amber</v>
      </c>
      <c r="N149" s="3"/>
      <c r="O149" t="str">
        <f>IF($I149&lt;&gt;"Complete",IF(COUNTIFS($A$4:$A148,$A149,$B$4:$B148,$B149,$I$4:$I148,"&lt;&gt;Complete")=0,$A149&amp;"|"&amp;$B149,""),"")</f>
        <v>|</v>
      </c>
      <c r="P149" t="str">
        <f ca="1">IF($K149="Yes",COUNTIFS($K$4:$K149,"Yes"),"")</f>
        <v/>
      </c>
      <c r="Q149">
        <f t="shared" ca="1" si="12"/>
        <v>0</v>
      </c>
      <c r="R149" t="str">
        <f ca="1">IF($Q149=1,SUM($Q$4:$Q149),"")</f>
        <v/>
      </c>
    </row>
    <row r="150" spans="1:18" ht="22.5" customHeight="1" x14ac:dyDescent="0.3">
      <c r="A150" s="2"/>
      <c r="B150" s="2"/>
      <c r="C150" s="3"/>
      <c r="D150" s="3"/>
      <c r="E150" s="2"/>
      <c r="F150" s="2"/>
      <c r="G150" s="5"/>
      <c r="H150" s="5"/>
      <c r="I150" s="4"/>
      <c r="J150" s="6" t="str">
        <f t="shared" si="9"/>
        <v/>
      </c>
      <c r="K150" s="4" t="str">
        <f t="shared" ca="1" si="10"/>
        <v/>
      </c>
      <c r="L150" s="7" t="str">
        <f t="shared" ca="1" si="11"/>
        <v/>
      </c>
      <c r="M150" s="4" t="str">
        <f>IF($I150="Complete","Green",IF($H150="","Amber",IF($H150&lt;'[2]Read Me'!$B$4,"Red",IF($H150-'[2]Read Me'!$B$4&lt;=21,"Amber","Green"))))</f>
        <v>Amber</v>
      </c>
      <c r="N150" s="3"/>
      <c r="O150" t="str">
        <f>IF($I150&lt;&gt;"Complete",IF(COUNTIFS($A$4:$A149,$A150,$B$4:$B149,$B150,$I$4:$I149,"&lt;&gt;Complete")=0,$A150&amp;"|"&amp;$B150,""),"")</f>
        <v>|</v>
      </c>
      <c r="P150" t="str">
        <f ca="1">IF($K150="Yes",COUNTIFS($K$4:$K150,"Yes"),"")</f>
        <v/>
      </c>
      <c r="Q150">
        <f t="shared" ca="1" si="12"/>
        <v>0</v>
      </c>
      <c r="R150" t="str">
        <f ca="1">IF($Q150=1,SUM($Q$4:$Q150),"")</f>
        <v/>
      </c>
    </row>
    <row r="151" spans="1:18" ht="22.5" customHeight="1" x14ac:dyDescent="0.3">
      <c r="A151" s="2"/>
      <c r="B151" s="2"/>
      <c r="C151" s="3"/>
      <c r="D151" s="3"/>
      <c r="E151" s="2"/>
      <c r="F151" s="2"/>
      <c r="G151" s="5"/>
      <c r="H151" s="5"/>
      <c r="I151" s="4"/>
      <c r="J151" s="6" t="str">
        <f t="shared" si="9"/>
        <v/>
      </c>
      <c r="K151" s="4" t="str">
        <f t="shared" ca="1" si="10"/>
        <v/>
      </c>
      <c r="L151" s="7" t="str">
        <f t="shared" ca="1" si="11"/>
        <v/>
      </c>
      <c r="M151" s="4" t="str">
        <f>IF($I151="Complete","Green",IF($H151="","Amber",IF($H151&lt;'[2]Read Me'!$B$4,"Red",IF($H151-'[2]Read Me'!$B$4&lt;=21,"Amber","Green"))))</f>
        <v>Amber</v>
      </c>
      <c r="N151" s="3"/>
      <c r="O151" t="str">
        <f>IF($I151&lt;&gt;"Complete",IF(COUNTIFS($A$4:$A150,$A151,$B$4:$B150,$B151,$I$4:$I150,"&lt;&gt;Complete")=0,$A151&amp;"|"&amp;$B151,""),"")</f>
        <v>|</v>
      </c>
      <c r="P151" t="str">
        <f ca="1">IF($K151="Yes",COUNTIFS($K$4:$K151,"Yes"),"")</f>
        <v/>
      </c>
      <c r="Q151">
        <f t="shared" ca="1" si="12"/>
        <v>0</v>
      </c>
      <c r="R151" t="str">
        <f ca="1">IF($Q151=1,SUM($Q$4:$Q151),"")</f>
        <v/>
      </c>
    </row>
    <row r="152" spans="1:18" ht="22.5" customHeight="1" x14ac:dyDescent="0.3">
      <c r="A152" s="2"/>
      <c r="B152" s="2"/>
      <c r="C152" s="3"/>
      <c r="D152" s="3"/>
      <c r="E152" s="2"/>
      <c r="F152" s="2"/>
      <c r="G152" s="5"/>
      <c r="H152" s="5"/>
      <c r="I152" s="4"/>
      <c r="J152" s="6" t="str">
        <f t="shared" si="9"/>
        <v/>
      </c>
      <c r="K152" s="4" t="str">
        <f t="shared" ca="1" si="10"/>
        <v/>
      </c>
      <c r="L152" s="7" t="str">
        <f t="shared" ca="1" si="11"/>
        <v/>
      </c>
      <c r="M152" s="4" t="str">
        <f>IF($I152="Complete","Green",IF($H152="","Amber",IF($H152&lt;'[2]Read Me'!$B$4,"Red",IF($H152-'[2]Read Me'!$B$4&lt;=21,"Amber","Green"))))</f>
        <v>Amber</v>
      </c>
      <c r="N152" s="3"/>
      <c r="O152" t="str">
        <f>IF($I152&lt;&gt;"Complete",IF(COUNTIFS($A$4:$A151,$A152,$B$4:$B151,$B152,$I$4:$I151,"&lt;&gt;Complete")=0,$A152&amp;"|"&amp;$B152,""),"")</f>
        <v>|</v>
      </c>
      <c r="P152" t="str">
        <f ca="1">IF($K152="Yes",COUNTIFS($K$4:$K152,"Yes"),"")</f>
        <v/>
      </c>
      <c r="Q152">
        <f t="shared" ca="1" si="12"/>
        <v>0</v>
      </c>
      <c r="R152" t="str">
        <f ca="1">IF($Q152=1,SUM($Q$4:$Q152),"")</f>
        <v/>
      </c>
    </row>
    <row r="153" spans="1:18" ht="22.5" customHeight="1" x14ac:dyDescent="0.3">
      <c r="A153" s="2"/>
      <c r="B153" s="2"/>
      <c r="C153" s="3"/>
      <c r="D153" s="3"/>
      <c r="E153" s="2"/>
      <c r="F153" s="2"/>
      <c r="G153" s="5"/>
      <c r="H153" s="5"/>
      <c r="I153" s="4"/>
      <c r="J153" s="6" t="str">
        <f t="shared" si="9"/>
        <v/>
      </c>
      <c r="K153" s="4" t="str">
        <f t="shared" ca="1" si="10"/>
        <v/>
      </c>
      <c r="L153" s="7" t="str">
        <f t="shared" ca="1" si="11"/>
        <v/>
      </c>
      <c r="M153" s="4" t="str">
        <f>IF($I153="Complete","Green",IF($H153="","Amber",IF($H153&lt;'[2]Read Me'!$B$4,"Red",IF($H153-'[2]Read Me'!$B$4&lt;=21,"Amber","Green"))))</f>
        <v>Amber</v>
      </c>
      <c r="N153" s="3"/>
      <c r="O153" t="str">
        <f>IF($I153&lt;&gt;"Complete",IF(COUNTIFS($A$4:$A152,$A153,$B$4:$B152,$B153,$I$4:$I152,"&lt;&gt;Complete")=0,$A153&amp;"|"&amp;$B153,""),"")</f>
        <v>|</v>
      </c>
      <c r="P153" t="str">
        <f ca="1">IF($K153="Yes",COUNTIFS($K$4:$K153,"Yes"),"")</f>
        <v/>
      </c>
      <c r="Q153">
        <f t="shared" ca="1" si="12"/>
        <v>0</v>
      </c>
      <c r="R153" t="str">
        <f ca="1">IF($Q153=1,SUM($Q$4:$Q153),"")</f>
        <v/>
      </c>
    </row>
    <row r="154" spans="1:18" ht="22.5" customHeight="1" x14ac:dyDescent="0.3">
      <c r="A154" s="2"/>
      <c r="B154" s="2"/>
      <c r="C154" s="3"/>
      <c r="D154" s="3"/>
      <c r="E154" s="2"/>
      <c r="F154" s="2"/>
      <c r="G154" s="5"/>
      <c r="H154" s="5"/>
      <c r="I154" s="4"/>
      <c r="J154" s="6" t="str">
        <f t="shared" si="9"/>
        <v/>
      </c>
      <c r="K154" s="4" t="str">
        <f t="shared" ca="1" si="10"/>
        <v/>
      </c>
      <c r="L154" s="7" t="str">
        <f t="shared" ca="1" si="11"/>
        <v/>
      </c>
      <c r="M154" s="4" t="str">
        <f>IF($I154="Complete","Green",IF($H154="","Amber",IF($H154&lt;'[2]Read Me'!$B$4,"Red",IF($H154-'[2]Read Me'!$B$4&lt;=21,"Amber","Green"))))</f>
        <v>Amber</v>
      </c>
      <c r="N154" s="3"/>
      <c r="O154" t="str">
        <f>IF($I154&lt;&gt;"Complete",IF(COUNTIFS($A$4:$A153,$A154,$B$4:$B153,$B154,$I$4:$I153,"&lt;&gt;Complete")=0,$A154&amp;"|"&amp;$B154,""),"")</f>
        <v>|</v>
      </c>
      <c r="P154" t="str">
        <f ca="1">IF($K154="Yes",COUNTIFS($K$4:$K154,"Yes"),"")</f>
        <v/>
      </c>
      <c r="Q154">
        <f t="shared" ca="1" si="12"/>
        <v>0</v>
      </c>
      <c r="R154" t="str">
        <f ca="1">IF($Q154=1,SUM($Q$4:$Q154),"")</f>
        <v/>
      </c>
    </row>
    <row r="155" spans="1:18" ht="22.5" customHeight="1" x14ac:dyDescent="0.3">
      <c r="A155" s="2"/>
      <c r="B155" s="2"/>
      <c r="C155" s="3"/>
      <c r="D155" s="3"/>
      <c r="E155" s="2"/>
      <c r="F155" s="2"/>
      <c r="G155" s="5"/>
      <c r="H155" s="5"/>
      <c r="I155" s="4"/>
      <c r="J155" s="6" t="str">
        <f t="shared" si="9"/>
        <v/>
      </c>
      <c r="K155" s="4" t="str">
        <f t="shared" ca="1" si="10"/>
        <v/>
      </c>
      <c r="L155" s="7" t="str">
        <f t="shared" ca="1" si="11"/>
        <v/>
      </c>
      <c r="M155" s="4" t="str">
        <f>IF($I155="Complete","Green",IF($H155="","Amber",IF($H155&lt;'[2]Read Me'!$B$4,"Red",IF($H155-'[2]Read Me'!$B$4&lt;=21,"Amber","Green"))))</f>
        <v>Amber</v>
      </c>
      <c r="N155" s="3"/>
      <c r="O155" t="str">
        <f>IF($I155&lt;&gt;"Complete",IF(COUNTIFS($A$4:$A154,$A155,$B$4:$B154,$B155,$I$4:$I154,"&lt;&gt;Complete")=0,$A155&amp;"|"&amp;$B155,""),"")</f>
        <v>|</v>
      </c>
      <c r="P155" t="str">
        <f ca="1">IF($K155="Yes",COUNTIFS($K$4:$K155,"Yes"),"")</f>
        <v/>
      </c>
      <c r="Q155">
        <f t="shared" ca="1" si="12"/>
        <v>0</v>
      </c>
      <c r="R155" t="str">
        <f ca="1">IF($Q155=1,SUM($Q$4:$Q155),"")</f>
        <v/>
      </c>
    </row>
    <row r="156" spans="1:18" ht="22.5" customHeight="1" x14ac:dyDescent="0.3">
      <c r="A156" s="2"/>
      <c r="B156" s="2"/>
      <c r="C156" s="3"/>
      <c r="D156" s="3"/>
      <c r="E156" s="2"/>
      <c r="F156" s="2"/>
      <c r="G156" s="5"/>
      <c r="H156" s="5"/>
      <c r="I156" s="4"/>
      <c r="J156" s="6" t="str">
        <f t="shared" si="9"/>
        <v/>
      </c>
      <c r="K156" s="4" t="str">
        <f t="shared" ca="1" si="10"/>
        <v/>
      </c>
      <c r="L156" s="7" t="str">
        <f t="shared" ca="1" si="11"/>
        <v/>
      </c>
      <c r="M156" s="4" t="str">
        <f>IF($I156="Complete","Green",IF($H156="","Amber",IF($H156&lt;'[2]Read Me'!$B$4,"Red",IF($H156-'[2]Read Me'!$B$4&lt;=21,"Amber","Green"))))</f>
        <v>Amber</v>
      </c>
      <c r="N156" s="3"/>
      <c r="O156" t="str">
        <f>IF($I156&lt;&gt;"Complete",IF(COUNTIFS($A$4:$A155,$A156,$B$4:$B155,$B156,$I$4:$I155,"&lt;&gt;Complete")=0,$A156&amp;"|"&amp;$B156,""),"")</f>
        <v>|</v>
      </c>
      <c r="P156" t="str">
        <f ca="1">IF($K156="Yes",COUNTIFS($K$4:$K156,"Yes"),"")</f>
        <v/>
      </c>
      <c r="Q156">
        <f t="shared" ca="1" si="12"/>
        <v>0</v>
      </c>
      <c r="R156" t="str">
        <f ca="1">IF($Q156=1,SUM($Q$4:$Q156),"")</f>
        <v/>
      </c>
    </row>
    <row r="157" spans="1:18" ht="33.75" customHeight="1" x14ac:dyDescent="0.3">
      <c r="A157" s="2"/>
      <c r="B157" s="2"/>
      <c r="C157" s="3"/>
      <c r="D157" s="3"/>
      <c r="E157" s="2"/>
      <c r="F157" s="2"/>
      <c r="G157" s="5"/>
      <c r="H157" s="5"/>
      <c r="I157" s="4"/>
      <c r="J157" s="6" t="str">
        <f t="shared" si="9"/>
        <v/>
      </c>
      <c r="K157" s="4" t="str">
        <f t="shared" ca="1" si="10"/>
        <v/>
      </c>
      <c r="L157" s="7" t="str">
        <f t="shared" ca="1" si="11"/>
        <v/>
      </c>
      <c r="M157" s="4" t="str">
        <f>IF($I157="Complete","Green",IF($H157="","Amber",IF($H157&lt;'[2]Read Me'!$B$4,"Red",IF($H157-'[2]Read Me'!$B$4&lt;=21,"Amber","Green"))))</f>
        <v>Amber</v>
      </c>
      <c r="N157" s="3"/>
      <c r="O157" t="str">
        <f>IF($I157&lt;&gt;"Complete",IF(COUNTIFS($A$4:$A156,$A157,$B$4:$B156,$B157,$I$4:$I156,"&lt;&gt;Complete")=0,$A157&amp;"|"&amp;$B157,""),"")</f>
        <v>|</v>
      </c>
      <c r="P157" t="str">
        <f ca="1">IF($K157="Yes",COUNTIFS($K$4:$K157,"Yes"),"")</f>
        <v/>
      </c>
      <c r="Q157">
        <f t="shared" ca="1" si="12"/>
        <v>0</v>
      </c>
      <c r="R157" t="str">
        <f ca="1">IF($Q157=1,SUM($Q$4:$Q157),"")</f>
        <v/>
      </c>
    </row>
    <row r="158" spans="1:18" ht="33.75" customHeight="1" x14ac:dyDescent="0.3">
      <c r="A158" s="2"/>
      <c r="B158" s="2"/>
      <c r="C158" s="3"/>
      <c r="D158" s="3"/>
      <c r="E158" s="2"/>
      <c r="F158" s="2"/>
      <c r="G158" s="5"/>
      <c r="H158" s="5"/>
      <c r="I158" s="4"/>
      <c r="J158" s="6" t="str">
        <f t="shared" si="9"/>
        <v/>
      </c>
      <c r="K158" s="4" t="str">
        <f t="shared" ca="1" si="10"/>
        <v/>
      </c>
      <c r="L158" s="7" t="str">
        <f t="shared" ca="1" si="11"/>
        <v/>
      </c>
      <c r="M158" s="4" t="str">
        <f>IF($I158="Complete","Green",IF($H158="","Amber",IF($H158&lt;'[2]Read Me'!$B$4,"Red",IF($H158-'[2]Read Me'!$B$4&lt;=21,"Amber","Green"))))</f>
        <v>Amber</v>
      </c>
      <c r="N158" s="3"/>
      <c r="O158" t="str">
        <f>IF($I158&lt;&gt;"Complete",IF(COUNTIFS($A$4:$A157,$A158,$B$4:$B157,$B158,$I$4:$I157,"&lt;&gt;Complete")=0,$A158&amp;"|"&amp;$B158,""),"")</f>
        <v>|</v>
      </c>
      <c r="P158" t="str">
        <f ca="1">IF($K158="Yes",COUNTIFS($K$4:$K158,"Yes"),"")</f>
        <v/>
      </c>
      <c r="Q158">
        <f t="shared" ca="1" si="12"/>
        <v>0</v>
      </c>
      <c r="R158" t="str">
        <f ca="1">IF($Q158=1,SUM($Q$4:$Q158),"")</f>
        <v/>
      </c>
    </row>
    <row r="159" spans="1:18" ht="33.75" customHeight="1" x14ac:dyDescent="0.3">
      <c r="A159" s="2"/>
      <c r="B159" s="2"/>
      <c r="C159" s="3"/>
      <c r="D159" s="3"/>
      <c r="E159" s="2"/>
      <c r="F159" s="2"/>
      <c r="G159" s="5"/>
      <c r="H159" s="5"/>
      <c r="I159" s="4"/>
      <c r="J159" s="6" t="str">
        <f t="shared" si="9"/>
        <v/>
      </c>
      <c r="K159" s="4" t="str">
        <f t="shared" ca="1" si="10"/>
        <v/>
      </c>
      <c r="L159" s="7" t="str">
        <f t="shared" ca="1" si="11"/>
        <v/>
      </c>
      <c r="M159" s="4" t="str">
        <f>IF($I159="Complete","Green",IF($H159="","Amber",IF($H159&lt;'[2]Read Me'!$B$4,"Red",IF($H159-'[2]Read Me'!$B$4&lt;=21,"Amber","Green"))))</f>
        <v>Amber</v>
      </c>
      <c r="N159" s="3"/>
      <c r="O159" t="str">
        <f>IF($I159&lt;&gt;"Complete",IF(COUNTIFS($A$4:$A158,$A159,$B$4:$B158,$B159,$I$4:$I158,"&lt;&gt;Complete")=0,$A159&amp;"|"&amp;$B159,""),"")</f>
        <v>|</v>
      </c>
      <c r="P159" t="str">
        <f ca="1">IF($K159="Yes",COUNTIFS($K$4:$K159,"Yes"),"")</f>
        <v/>
      </c>
      <c r="Q159">
        <f t="shared" ca="1" si="12"/>
        <v>0</v>
      </c>
      <c r="R159" t="str">
        <f ca="1">IF($Q159=1,SUM($Q$4:$Q159),"")</f>
        <v/>
      </c>
    </row>
    <row r="160" spans="1:18" ht="33.75" customHeight="1" x14ac:dyDescent="0.3">
      <c r="A160" s="2"/>
      <c r="B160" s="2"/>
      <c r="C160" s="3"/>
      <c r="D160" s="3"/>
      <c r="E160" s="2"/>
      <c r="F160" s="2"/>
      <c r="G160" s="5"/>
      <c r="H160" s="5"/>
      <c r="I160" s="4"/>
      <c r="J160" s="6" t="str">
        <f t="shared" si="9"/>
        <v/>
      </c>
      <c r="K160" s="4" t="str">
        <f t="shared" ca="1" si="10"/>
        <v/>
      </c>
      <c r="L160" s="7" t="str">
        <f t="shared" ca="1" si="11"/>
        <v/>
      </c>
      <c r="M160" s="4" t="str">
        <f>IF($I160="Complete","Green",IF($H160="","Amber",IF($H160&lt;'[2]Read Me'!$B$4,"Red",IF($H160-'[2]Read Me'!$B$4&lt;=21,"Amber","Green"))))</f>
        <v>Amber</v>
      </c>
      <c r="N160" s="3"/>
      <c r="O160" t="str">
        <f>IF($I160&lt;&gt;"Complete",IF(COUNTIFS($A$4:$A159,$A160,$B$4:$B159,$B160,$I$4:$I159,"&lt;&gt;Complete")=0,$A160&amp;"|"&amp;$B160,""),"")</f>
        <v>|</v>
      </c>
      <c r="P160" t="str">
        <f ca="1">IF($K160="Yes",COUNTIFS($K$4:$K160,"Yes"),"")</f>
        <v/>
      </c>
      <c r="Q160">
        <f t="shared" ca="1" si="12"/>
        <v>0</v>
      </c>
      <c r="R160" t="str">
        <f ca="1">IF($Q160=1,SUM($Q$4:$Q160),"")</f>
        <v/>
      </c>
    </row>
    <row r="161" spans="1:18" ht="33.75" customHeight="1" x14ac:dyDescent="0.3">
      <c r="A161" s="2"/>
      <c r="B161" s="2"/>
      <c r="C161" s="3"/>
      <c r="D161" s="3"/>
      <c r="E161" s="2"/>
      <c r="F161" s="2"/>
      <c r="G161" s="5"/>
      <c r="H161" s="5"/>
      <c r="I161" s="4"/>
      <c r="J161" s="6" t="str">
        <f t="shared" si="9"/>
        <v/>
      </c>
      <c r="K161" s="4" t="str">
        <f t="shared" ca="1" si="10"/>
        <v/>
      </c>
      <c r="L161" s="7" t="str">
        <f t="shared" ca="1" si="11"/>
        <v/>
      </c>
      <c r="M161" s="4" t="str">
        <f>IF($I161="Complete","Green",IF($H161="","Amber",IF($H161&lt;'[2]Read Me'!$B$4,"Red",IF($H161-'[2]Read Me'!$B$4&lt;=21,"Amber","Green"))))</f>
        <v>Amber</v>
      </c>
      <c r="N161" s="3"/>
      <c r="O161" t="str">
        <f>IF($I161&lt;&gt;"Complete",IF(COUNTIFS($A$4:$A160,$A161,$B$4:$B160,$B161,$I$4:$I160,"&lt;&gt;Complete")=0,$A161&amp;"|"&amp;$B161,""),"")</f>
        <v>|</v>
      </c>
      <c r="P161" t="str">
        <f ca="1">IF($K161="Yes",COUNTIFS($K$4:$K161,"Yes"),"")</f>
        <v/>
      </c>
      <c r="Q161">
        <f t="shared" ca="1" si="12"/>
        <v>0</v>
      </c>
      <c r="R161" t="str">
        <f ca="1">IF($Q161=1,SUM($Q$4:$Q161),"")</f>
        <v/>
      </c>
    </row>
    <row r="162" spans="1:18" ht="33.75" customHeight="1" x14ac:dyDescent="0.3">
      <c r="A162" s="2"/>
      <c r="B162" s="2"/>
      <c r="C162" s="3"/>
      <c r="D162" s="3"/>
      <c r="E162" s="2"/>
      <c r="F162" s="2"/>
      <c r="G162" s="5"/>
      <c r="H162" s="5"/>
      <c r="I162" s="4"/>
      <c r="J162" s="6" t="str">
        <f t="shared" si="9"/>
        <v/>
      </c>
      <c r="K162" s="4" t="str">
        <f t="shared" ca="1" si="10"/>
        <v/>
      </c>
      <c r="L162" s="7" t="str">
        <f t="shared" ca="1" si="11"/>
        <v/>
      </c>
      <c r="M162" s="4" t="str">
        <f>IF($I162="Complete","Green",IF($H162="","Amber",IF($H162&lt;'[2]Read Me'!$B$4,"Red",IF($H162-'[2]Read Me'!$B$4&lt;=21,"Amber","Green"))))</f>
        <v>Amber</v>
      </c>
      <c r="N162" s="3"/>
      <c r="O162" t="str">
        <f>IF($I162&lt;&gt;"Complete",IF(COUNTIFS($A$4:$A161,$A162,$B$4:$B161,$B162,$I$4:$I161,"&lt;&gt;Complete")=0,$A162&amp;"|"&amp;$B162,""),"")</f>
        <v>|</v>
      </c>
      <c r="P162" t="str">
        <f ca="1">IF($K162="Yes",COUNTIFS($K$4:$K162,"Yes"),"")</f>
        <v/>
      </c>
      <c r="Q162">
        <f t="shared" ca="1" si="12"/>
        <v>0</v>
      </c>
      <c r="R162" t="str">
        <f ca="1">IF($Q162=1,SUM($Q$4:$Q162),"")</f>
        <v/>
      </c>
    </row>
    <row r="163" spans="1:18" ht="33.75" customHeight="1" x14ac:dyDescent="0.3">
      <c r="A163" s="2"/>
      <c r="B163" s="2"/>
      <c r="C163" s="3"/>
      <c r="D163" s="3"/>
      <c r="E163" s="2"/>
      <c r="F163" s="2"/>
      <c r="G163" s="5"/>
      <c r="H163" s="5"/>
      <c r="I163" s="4"/>
      <c r="J163" s="6" t="str">
        <f t="shared" si="9"/>
        <v/>
      </c>
      <c r="K163" s="4" t="str">
        <f t="shared" ca="1" si="10"/>
        <v/>
      </c>
      <c r="L163" s="7" t="str">
        <f t="shared" ca="1" si="11"/>
        <v/>
      </c>
      <c r="M163" s="4" t="str">
        <f>IF($I163="Complete","Green",IF($H163="","Amber",IF($H163&lt;'[2]Read Me'!$B$4,"Red",IF($H163-'[2]Read Me'!$B$4&lt;=21,"Amber","Green"))))</f>
        <v>Amber</v>
      </c>
      <c r="N163" s="3"/>
      <c r="O163" t="str">
        <f>IF($I163&lt;&gt;"Complete",IF(COUNTIFS($A$4:$A162,$A163,$B$4:$B162,$B163,$I$4:$I162,"&lt;&gt;Complete")=0,$A163&amp;"|"&amp;$B163,""),"")</f>
        <v>|</v>
      </c>
      <c r="P163" t="str">
        <f ca="1">IF($K163="Yes",COUNTIFS($K$4:$K163,"Yes"),"")</f>
        <v/>
      </c>
      <c r="Q163">
        <f t="shared" ca="1" si="12"/>
        <v>0</v>
      </c>
      <c r="R163" t="str">
        <f ca="1">IF($Q163=1,SUM($Q$4:$Q163),"")</f>
        <v/>
      </c>
    </row>
    <row r="164" spans="1:18" ht="33.75" customHeight="1" x14ac:dyDescent="0.3">
      <c r="A164" s="2"/>
      <c r="B164" s="2"/>
      <c r="C164" s="3"/>
      <c r="D164" s="3"/>
      <c r="E164" s="2"/>
      <c r="F164" s="2"/>
      <c r="G164" s="5"/>
      <c r="H164" s="5"/>
      <c r="I164" s="4"/>
      <c r="J164" s="6" t="str">
        <f t="shared" si="9"/>
        <v/>
      </c>
      <c r="K164" s="4" t="str">
        <f t="shared" ca="1" si="10"/>
        <v/>
      </c>
      <c r="L164" s="7" t="str">
        <f t="shared" ca="1" si="11"/>
        <v/>
      </c>
      <c r="M164" s="4" t="str">
        <f>IF($I164="Complete","Green",IF($H164="","Amber",IF($H164&lt;'[2]Read Me'!$B$4,"Red",IF($H164-'[2]Read Me'!$B$4&lt;=21,"Amber","Green"))))</f>
        <v>Amber</v>
      </c>
      <c r="N164" s="3"/>
      <c r="O164" t="str">
        <f>IF($I164&lt;&gt;"Complete",IF(COUNTIFS($A$4:$A163,$A164,$B$4:$B163,$B164,$I$4:$I163,"&lt;&gt;Complete")=0,$A164&amp;"|"&amp;$B164,""),"")</f>
        <v>|</v>
      </c>
      <c r="P164" t="str">
        <f ca="1">IF($K164="Yes",COUNTIFS($K$4:$K164,"Yes"),"")</f>
        <v/>
      </c>
      <c r="Q164">
        <f t="shared" ca="1" si="12"/>
        <v>0</v>
      </c>
      <c r="R164" t="str">
        <f ca="1">IF($Q164=1,SUM($Q$4:$Q164),"")</f>
        <v/>
      </c>
    </row>
    <row r="165" spans="1:18" ht="33.75" customHeight="1" x14ac:dyDescent="0.3">
      <c r="A165" s="2"/>
      <c r="B165" s="2"/>
      <c r="C165" s="3"/>
      <c r="D165" s="3"/>
      <c r="E165" s="2"/>
      <c r="F165" s="2"/>
      <c r="G165" s="5"/>
      <c r="H165" s="5"/>
      <c r="I165" s="4"/>
      <c r="J165" s="6" t="str">
        <f t="shared" si="9"/>
        <v/>
      </c>
      <c r="K165" s="4" t="str">
        <f t="shared" ca="1" si="10"/>
        <v/>
      </c>
      <c r="L165" s="7" t="str">
        <f t="shared" ca="1" si="11"/>
        <v/>
      </c>
      <c r="M165" s="4" t="str">
        <f>IF($I165="Complete","Green",IF($H165="","Amber",IF($H165&lt;'[2]Read Me'!$B$4,"Red",IF($H165-'[2]Read Me'!$B$4&lt;=21,"Amber","Green"))))</f>
        <v>Amber</v>
      </c>
      <c r="N165" s="3"/>
      <c r="O165" t="str">
        <f>IF($I165&lt;&gt;"Complete",IF(COUNTIFS($A$4:$A164,$A165,$B$4:$B164,$B165,$I$4:$I164,"&lt;&gt;Complete")=0,$A165&amp;"|"&amp;$B165,""),"")</f>
        <v>|</v>
      </c>
      <c r="P165" t="str">
        <f ca="1">IF($K165="Yes",COUNTIFS($K$4:$K165,"Yes"),"")</f>
        <v/>
      </c>
      <c r="Q165">
        <f t="shared" ca="1" si="12"/>
        <v>0</v>
      </c>
      <c r="R165" t="str">
        <f ca="1">IF($Q165=1,SUM($Q$4:$Q165),"")</f>
        <v/>
      </c>
    </row>
    <row r="166" spans="1:18" ht="33.75" customHeight="1" x14ac:dyDescent="0.3">
      <c r="A166" s="2"/>
      <c r="B166" s="2"/>
      <c r="C166" s="3"/>
      <c r="D166" s="3"/>
      <c r="E166" s="2"/>
      <c r="F166" s="2"/>
      <c r="G166" s="5"/>
      <c r="H166" s="5"/>
      <c r="I166" s="4"/>
      <c r="J166" s="6" t="str">
        <f t="shared" si="9"/>
        <v/>
      </c>
      <c r="K166" s="4" t="str">
        <f t="shared" ca="1" si="10"/>
        <v/>
      </c>
      <c r="L166" s="7" t="str">
        <f t="shared" ca="1" si="11"/>
        <v/>
      </c>
      <c r="M166" s="4" t="str">
        <f>IF($I166="Complete","Green",IF($H166="","Amber",IF($H166&lt;'[2]Read Me'!$B$4,"Red",IF($H166-'[2]Read Me'!$B$4&lt;=21,"Amber","Green"))))</f>
        <v>Amber</v>
      </c>
      <c r="N166" s="3"/>
      <c r="O166" t="str">
        <f>IF($I166&lt;&gt;"Complete",IF(COUNTIFS($A$4:$A165,$A166,$B$4:$B165,$B166,$I$4:$I165,"&lt;&gt;Complete")=0,$A166&amp;"|"&amp;$B166,""),"")</f>
        <v>|</v>
      </c>
      <c r="P166" t="str">
        <f ca="1">IF($K166="Yes",COUNTIFS($K$4:$K166,"Yes"),"")</f>
        <v/>
      </c>
      <c r="Q166">
        <f t="shared" ca="1" si="12"/>
        <v>0</v>
      </c>
      <c r="R166" t="str">
        <f ca="1">IF($Q166=1,SUM($Q$4:$Q166),"")</f>
        <v/>
      </c>
    </row>
    <row r="167" spans="1:18" ht="33.75" customHeight="1" x14ac:dyDescent="0.3">
      <c r="A167" s="2"/>
      <c r="B167" s="2"/>
      <c r="C167" s="3"/>
      <c r="D167" s="3"/>
      <c r="E167" s="2"/>
      <c r="F167" s="2"/>
      <c r="G167" s="5"/>
      <c r="H167" s="5"/>
      <c r="I167" s="4"/>
      <c r="J167" s="6" t="str">
        <f t="shared" si="9"/>
        <v/>
      </c>
      <c r="K167" s="4" t="str">
        <f t="shared" ca="1" si="10"/>
        <v/>
      </c>
      <c r="L167" s="7" t="str">
        <f t="shared" ca="1" si="11"/>
        <v/>
      </c>
      <c r="M167" s="4" t="str">
        <f>IF($I167="Complete","Green",IF($H167="","Amber",IF($H167&lt;'[2]Read Me'!$B$4,"Red",IF($H167-'[2]Read Me'!$B$4&lt;=21,"Amber","Green"))))</f>
        <v>Amber</v>
      </c>
      <c r="N167" s="3"/>
      <c r="O167" t="str">
        <f>IF($I167&lt;&gt;"Complete",IF(COUNTIFS($A$4:$A166,$A167,$B$4:$B166,$B167,$I$4:$I166,"&lt;&gt;Complete")=0,$A167&amp;"|"&amp;$B167,""),"")</f>
        <v>|</v>
      </c>
      <c r="P167" t="str">
        <f ca="1">IF($K167="Yes",COUNTIFS($K$4:$K167,"Yes"),"")</f>
        <v/>
      </c>
      <c r="Q167">
        <f t="shared" ca="1" si="12"/>
        <v>0</v>
      </c>
      <c r="R167" t="str">
        <f ca="1">IF($Q167=1,SUM($Q$4:$Q167),"")</f>
        <v/>
      </c>
    </row>
    <row r="168" spans="1:18" ht="33.75" customHeight="1" x14ac:dyDescent="0.3">
      <c r="A168" s="2"/>
      <c r="B168" s="2"/>
      <c r="C168" s="3"/>
      <c r="D168" s="3"/>
      <c r="E168" s="2"/>
      <c r="F168" s="2"/>
      <c r="G168" s="5"/>
      <c r="H168" s="5"/>
      <c r="I168" s="4"/>
      <c r="J168" s="6" t="str">
        <f t="shared" si="9"/>
        <v/>
      </c>
      <c r="K168" s="4" t="str">
        <f t="shared" ca="1" si="10"/>
        <v/>
      </c>
      <c r="L168" s="7" t="str">
        <f t="shared" ca="1" si="11"/>
        <v/>
      </c>
      <c r="M168" s="4" t="str">
        <f>IF($I168="Complete","Green",IF($H168="","Amber",IF($H168&lt;'[2]Read Me'!$B$4,"Red",IF($H168-'[2]Read Me'!$B$4&lt;=21,"Amber","Green"))))</f>
        <v>Amber</v>
      </c>
      <c r="N168" s="3"/>
      <c r="O168" t="str">
        <f>IF($I168&lt;&gt;"Complete",IF(COUNTIFS($A$4:$A167,$A168,$B$4:$B167,$B168,$I$4:$I167,"&lt;&gt;Complete")=0,$A168&amp;"|"&amp;$B168,""),"")</f>
        <v>|</v>
      </c>
      <c r="P168" t="str">
        <f ca="1">IF($K168="Yes",COUNTIFS($K$4:$K168,"Yes"),"")</f>
        <v/>
      </c>
      <c r="Q168">
        <f t="shared" ca="1" si="12"/>
        <v>0</v>
      </c>
      <c r="R168" t="str">
        <f ca="1">IF($Q168=1,SUM($Q$4:$Q168),"")</f>
        <v/>
      </c>
    </row>
    <row r="169" spans="1:18" ht="33.75" customHeight="1" x14ac:dyDescent="0.3">
      <c r="A169" s="2"/>
      <c r="B169" s="2"/>
      <c r="C169" s="3"/>
      <c r="D169" s="3"/>
      <c r="E169" s="2"/>
      <c r="F169" s="2"/>
      <c r="G169" s="5"/>
      <c r="H169" s="5"/>
      <c r="I169" s="4"/>
      <c r="J169" s="6" t="str">
        <f t="shared" si="9"/>
        <v/>
      </c>
      <c r="K169" s="4" t="str">
        <f t="shared" ca="1" si="10"/>
        <v/>
      </c>
      <c r="L169" s="7" t="str">
        <f t="shared" ca="1" si="11"/>
        <v/>
      </c>
      <c r="M169" s="4" t="str">
        <f>IF($I169="Complete","Green",IF($H169="","Amber",IF($H169&lt;'[2]Read Me'!$B$4,"Red",IF($H169-'[2]Read Me'!$B$4&lt;=21,"Amber","Green"))))</f>
        <v>Amber</v>
      </c>
      <c r="N169" s="3"/>
      <c r="O169" t="str">
        <f>IF($I169&lt;&gt;"Complete",IF(COUNTIFS($A$4:$A168,$A169,$B$4:$B168,$B169,$I$4:$I168,"&lt;&gt;Complete")=0,$A169&amp;"|"&amp;$B169,""),"")</f>
        <v>|</v>
      </c>
      <c r="P169" t="str">
        <f ca="1">IF($K169="Yes",COUNTIFS($K$4:$K169,"Yes"),"")</f>
        <v/>
      </c>
      <c r="Q169">
        <f t="shared" ca="1" si="12"/>
        <v>0</v>
      </c>
      <c r="R169" t="str">
        <f ca="1">IF($Q169=1,SUM($Q$4:$Q169),"")</f>
        <v/>
      </c>
    </row>
    <row r="170" spans="1:18" ht="33.75" customHeight="1" x14ac:dyDescent="0.3">
      <c r="A170" s="2"/>
      <c r="B170" s="2"/>
      <c r="C170" s="3"/>
      <c r="D170" s="3"/>
      <c r="E170" s="2"/>
      <c r="F170" s="2"/>
      <c r="G170" s="5"/>
      <c r="H170" s="5"/>
      <c r="I170" s="4"/>
      <c r="J170" s="6" t="str">
        <f t="shared" si="9"/>
        <v/>
      </c>
      <c r="K170" s="4" t="str">
        <f t="shared" ca="1" si="10"/>
        <v/>
      </c>
      <c r="L170" s="7" t="str">
        <f t="shared" ca="1" si="11"/>
        <v/>
      </c>
      <c r="M170" s="4" t="str">
        <f>IF($I170="Complete","Green",IF($H170="","Amber",IF($H170&lt;'[2]Read Me'!$B$4,"Red",IF($H170-'[2]Read Me'!$B$4&lt;=21,"Amber","Green"))))</f>
        <v>Amber</v>
      </c>
      <c r="N170" s="3"/>
      <c r="O170" t="str">
        <f>IF($I170&lt;&gt;"Complete",IF(COUNTIFS($A$4:$A169,$A170,$B$4:$B169,$B170,$I$4:$I169,"&lt;&gt;Complete")=0,$A170&amp;"|"&amp;$B170,""),"")</f>
        <v>|</v>
      </c>
      <c r="P170" t="str">
        <f ca="1">IF($K170="Yes",COUNTIFS($K$4:$K170,"Yes"),"")</f>
        <v/>
      </c>
      <c r="Q170">
        <f t="shared" ca="1" si="12"/>
        <v>0</v>
      </c>
      <c r="R170" t="str">
        <f ca="1">IF($Q170=1,SUM($Q$4:$Q170),"")</f>
        <v/>
      </c>
    </row>
    <row r="171" spans="1:18" ht="33.75" customHeight="1" x14ac:dyDescent="0.3">
      <c r="A171" s="2"/>
      <c r="B171" s="2"/>
      <c r="C171" s="3"/>
      <c r="D171" s="3"/>
      <c r="E171" s="2"/>
      <c r="F171" s="2"/>
      <c r="G171" s="5"/>
      <c r="H171" s="5"/>
      <c r="I171" s="4"/>
      <c r="J171" s="6" t="str">
        <f t="shared" si="9"/>
        <v/>
      </c>
      <c r="K171" s="4" t="str">
        <f t="shared" ca="1" si="10"/>
        <v/>
      </c>
      <c r="L171" s="7" t="str">
        <f t="shared" ca="1" si="11"/>
        <v/>
      </c>
      <c r="M171" s="4" t="str">
        <f>IF($I171="Complete","Green",IF($H171="","Amber",IF($H171&lt;'[2]Read Me'!$B$4,"Red",IF($H171-'[2]Read Me'!$B$4&lt;=21,"Amber","Green"))))</f>
        <v>Amber</v>
      </c>
      <c r="N171" s="3"/>
      <c r="O171" t="str">
        <f>IF($I171&lt;&gt;"Complete",IF(COUNTIFS($A$4:$A170,$A171,$B$4:$B170,$B171,$I$4:$I170,"&lt;&gt;Complete")=0,$A171&amp;"|"&amp;$B171,""),"")</f>
        <v>|</v>
      </c>
      <c r="P171" t="str">
        <f ca="1">IF($K171="Yes",COUNTIFS($K$4:$K171,"Yes"),"")</f>
        <v/>
      </c>
      <c r="Q171">
        <f t="shared" ca="1" si="12"/>
        <v>0</v>
      </c>
      <c r="R171" t="str">
        <f ca="1">IF($Q171=1,SUM($Q$4:$Q171),"")</f>
        <v/>
      </c>
    </row>
    <row r="172" spans="1:18" ht="33.75" customHeight="1" x14ac:dyDescent="0.3">
      <c r="A172" s="2"/>
      <c r="B172" s="2"/>
      <c r="C172" s="3"/>
      <c r="D172" s="3"/>
      <c r="E172" s="2"/>
      <c r="F172" s="2"/>
      <c r="G172" s="5"/>
      <c r="H172" s="5"/>
      <c r="I172" s="4"/>
      <c r="J172" s="6" t="str">
        <f t="shared" si="9"/>
        <v/>
      </c>
      <c r="K172" s="4" t="str">
        <f t="shared" ca="1" si="10"/>
        <v/>
      </c>
      <c r="L172" s="7" t="str">
        <f t="shared" ca="1" si="11"/>
        <v/>
      </c>
      <c r="M172" s="4" t="str">
        <f>IF($I172="Complete","Green",IF($H172="","Amber",IF($H172&lt;'[2]Read Me'!$B$4,"Red",IF($H172-'[2]Read Me'!$B$4&lt;=21,"Amber","Green"))))</f>
        <v>Amber</v>
      </c>
      <c r="N172" s="3"/>
      <c r="O172" t="str">
        <f>IF($I172&lt;&gt;"Complete",IF(COUNTIFS($A$4:$A171,$A172,$B$4:$B171,$B172,$I$4:$I171,"&lt;&gt;Complete")=0,$A172&amp;"|"&amp;$B172,""),"")</f>
        <v>|</v>
      </c>
      <c r="P172" t="str">
        <f ca="1">IF($K172="Yes",COUNTIFS($K$4:$K172,"Yes"),"")</f>
        <v/>
      </c>
      <c r="Q172">
        <f t="shared" ca="1" si="12"/>
        <v>0</v>
      </c>
      <c r="R172" t="str">
        <f ca="1">IF($Q172=1,SUM($Q$4:$Q172),"")</f>
        <v/>
      </c>
    </row>
    <row r="173" spans="1:18" ht="33.75" customHeight="1" x14ac:dyDescent="0.3">
      <c r="A173" s="2"/>
      <c r="B173" s="2"/>
      <c r="C173" s="3"/>
      <c r="D173" s="3"/>
      <c r="E173" s="2"/>
      <c r="F173" s="2"/>
      <c r="G173" s="5"/>
      <c r="H173" s="5"/>
      <c r="I173" s="4"/>
      <c r="J173" s="6" t="str">
        <f t="shared" si="9"/>
        <v/>
      </c>
      <c r="K173" s="4" t="str">
        <f t="shared" ca="1" si="10"/>
        <v/>
      </c>
      <c r="L173" s="7" t="str">
        <f t="shared" ca="1" si="11"/>
        <v/>
      </c>
      <c r="M173" s="4" t="str">
        <f>IF($I173="Complete","Green",IF($H173="","Amber",IF($H173&lt;'[2]Read Me'!$B$4,"Red",IF($H173-'[2]Read Me'!$B$4&lt;=21,"Amber","Green"))))</f>
        <v>Amber</v>
      </c>
      <c r="N173" s="3"/>
      <c r="O173" t="str">
        <f>IF($I173&lt;&gt;"Complete",IF(COUNTIFS($A$4:$A172,$A173,$B$4:$B172,$B173,$I$4:$I172,"&lt;&gt;Complete")=0,$A173&amp;"|"&amp;$B173,""),"")</f>
        <v>|</v>
      </c>
      <c r="P173" t="str">
        <f ca="1">IF($K173="Yes",COUNTIFS($K$4:$K173,"Yes"),"")</f>
        <v/>
      </c>
      <c r="Q173">
        <f t="shared" ca="1" si="12"/>
        <v>0</v>
      </c>
      <c r="R173" t="str">
        <f ca="1">IF($Q173=1,SUM($Q$4:$Q173),"")</f>
        <v/>
      </c>
    </row>
    <row r="174" spans="1:18" ht="33.75" customHeight="1" x14ac:dyDescent="0.3">
      <c r="A174" s="2"/>
      <c r="B174" s="2"/>
      <c r="C174" s="3"/>
      <c r="D174" s="3"/>
      <c r="E174" s="2"/>
      <c r="F174" s="2"/>
      <c r="G174" s="5"/>
      <c r="H174" s="5"/>
      <c r="I174" s="4"/>
      <c r="J174" s="6" t="str">
        <f t="shared" si="9"/>
        <v/>
      </c>
      <c r="K174" s="4" t="str">
        <f t="shared" ca="1" si="10"/>
        <v/>
      </c>
      <c r="L174" s="7" t="str">
        <f t="shared" ca="1" si="11"/>
        <v/>
      </c>
      <c r="M174" s="4" t="str">
        <f>IF($I174="Complete","Green",IF($H174="","Amber",IF($H174&lt;'[2]Read Me'!$B$4,"Red",IF($H174-'[2]Read Me'!$B$4&lt;=21,"Amber","Green"))))</f>
        <v>Amber</v>
      </c>
      <c r="N174" s="3"/>
      <c r="O174" t="str">
        <f>IF($I174&lt;&gt;"Complete",IF(COUNTIFS($A$4:$A173,$A174,$B$4:$B173,$B174,$I$4:$I173,"&lt;&gt;Complete")=0,$A174&amp;"|"&amp;$B174,""),"")</f>
        <v>|</v>
      </c>
      <c r="P174" t="str">
        <f ca="1">IF($K174="Yes",COUNTIFS($K$4:$K174,"Yes"),"")</f>
        <v/>
      </c>
      <c r="Q174">
        <f t="shared" ca="1" si="12"/>
        <v>0</v>
      </c>
      <c r="R174" t="str">
        <f ca="1">IF($Q174=1,SUM($Q$4:$Q174),"")</f>
        <v/>
      </c>
    </row>
    <row r="175" spans="1:18" ht="33.75" customHeight="1" x14ac:dyDescent="0.3">
      <c r="A175" s="2"/>
      <c r="B175" s="2"/>
      <c r="C175" s="3"/>
      <c r="D175" s="3"/>
      <c r="E175" s="2"/>
      <c r="F175" s="2"/>
      <c r="G175" s="5"/>
      <c r="H175" s="5"/>
      <c r="I175" s="4"/>
      <c r="J175" s="6" t="str">
        <f t="shared" si="9"/>
        <v/>
      </c>
      <c r="K175" s="4" t="str">
        <f t="shared" ca="1" si="10"/>
        <v/>
      </c>
      <c r="L175" s="7" t="str">
        <f t="shared" ca="1" si="11"/>
        <v/>
      </c>
      <c r="M175" s="4" t="str">
        <f>IF($I175="Complete","Green",IF($H175="","Amber",IF($H175&lt;'[2]Read Me'!$B$4,"Red",IF($H175-'[2]Read Me'!$B$4&lt;=21,"Amber","Green"))))</f>
        <v>Amber</v>
      </c>
      <c r="N175" s="3"/>
      <c r="O175" t="str">
        <f>IF($I175&lt;&gt;"Complete",IF(COUNTIFS($A$4:$A174,$A175,$B$4:$B174,$B175,$I$4:$I174,"&lt;&gt;Complete")=0,$A175&amp;"|"&amp;$B175,""),"")</f>
        <v>|</v>
      </c>
      <c r="P175" t="str">
        <f ca="1">IF($K175="Yes",COUNTIFS($K$4:$K175,"Yes"),"")</f>
        <v/>
      </c>
      <c r="Q175">
        <f t="shared" ca="1" si="12"/>
        <v>0</v>
      </c>
      <c r="R175" t="str">
        <f ca="1">IF($Q175=1,SUM($Q$4:$Q175),"")</f>
        <v/>
      </c>
    </row>
    <row r="176" spans="1:18" ht="22.5" customHeight="1" x14ac:dyDescent="0.3">
      <c r="A176" s="2"/>
      <c r="B176" s="2"/>
      <c r="C176" s="3"/>
      <c r="D176" s="3"/>
      <c r="E176" s="2"/>
      <c r="F176" s="2"/>
      <c r="G176" s="5"/>
      <c r="H176" s="5"/>
      <c r="I176" s="4"/>
      <c r="J176" s="6" t="str">
        <f t="shared" si="9"/>
        <v/>
      </c>
      <c r="K176" s="4" t="str">
        <f t="shared" ca="1" si="10"/>
        <v/>
      </c>
      <c r="L176" s="7" t="str">
        <f t="shared" ca="1" si="11"/>
        <v/>
      </c>
      <c r="M176" s="4" t="str">
        <f>IF($I176="Complete","Green",IF($H176="","Amber",IF($H176&lt;'[2]Read Me'!$B$4,"Red",IF($H176-'[2]Read Me'!$B$4&lt;=21,"Amber","Green"))))</f>
        <v>Amber</v>
      </c>
      <c r="N176" s="3"/>
      <c r="O176" t="str">
        <f>IF($I176&lt;&gt;"Complete",IF(COUNTIFS($A$4:$A175,$A176,$B$4:$B175,$B176,$I$4:$I175,"&lt;&gt;Complete")=0,$A176&amp;"|"&amp;$B176,""),"")</f>
        <v>|</v>
      </c>
      <c r="P176" t="str">
        <f ca="1">IF($K176="Yes",COUNTIFS($K$4:$K176,"Yes"),"")</f>
        <v/>
      </c>
      <c r="Q176">
        <f t="shared" ca="1" si="12"/>
        <v>0</v>
      </c>
      <c r="R176" t="str">
        <f ca="1">IF($Q176=1,SUM($Q$4:$Q176),"")</f>
        <v/>
      </c>
    </row>
    <row r="177" spans="1:18" ht="22.5" customHeight="1" x14ac:dyDescent="0.3">
      <c r="A177" s="2"/>
      <c r="B177" s="2"/>
      <c r="C177" s="3"/>
      <c r="D177" s="3"/>
      <c r="E177" s="2"/>
      <c r="F177" s="2"/>
      <c r="G177" s="5"/>
      <c r="H177" s="5"/>
      <c r="I177" s="4"/>
      <c r="J177" s="6" t="str">
        <f t="shared" si="9"/>
        <v/>
      </c>
      <c r="K177" s="4" t="str">
        <f t="shared" ca="1" si="10"/>
        <v/>
      </c>
      <c r="L177" s="7" t="str">
        <f t="shared" ca="1" si="11"/>
        <v/>
      </c>
      <c r="M177" s="4" t="str">
        <f>IF($I177="Complete","Green",IF($H177="","Amber",IF($H177&lt;'[2]Read Me'!$B$4,"Red",IF($H177-'[2]Read Me'!$B$4&lt;=21,"Amber","Green"))))</f>
        <v>Amber</v>
      </c>
      <c r="N177" s="3"/>
      <c r="O177" t="str">
        <f>IF($I177&lt;&gt;"Complete",IF(COUNTIFS($A$4:$A176,$A177,$B$4:$B176,$B177,$I$4:$I176,"&lt;&gt;Complete")=0,$A177&amp;"|"&amp;$B177,""),"")</f>
        <v>|</v>
      </c>
      <c r="P177" t="str">
        <f ca="1">IF($K177="Yes",COUNTIFS($K$4:$K177,"Yes"),"")</f>
        <v/>
      </c>
      <c r="Q177">
        <f t="shared" ca="1" si="12"/>
        <v>0</v>
      </c>
      <c r="R177" t="str">
        <f ca="1">IF($Q177=1,SUM($Q$4:$Q177),"")</f>
        <v/>
      </c>
    </row>
    <row r="178" spans="1:18" ht="22.5" customHeight="1" x14ac:dyDescent="0.3">
      <c r="A178" s="2"/>
      <c r="B178" s="2"/>
      <c r="C178" s="3"/>
      <c r="D178" s="3"/>
      <c r="E178" s="2"/>
      <c r="F178" s="2"/>
      <c r="G178" s="5"/>
      <c r="H178" s="5"/>
      <c r="I178" s="4"/>
      <c r="J178" s="6" t="str">
        <f t="shared" si="9"/>
        <v/>
      </c>
      <c r="K178" s="4" t="str">
        <f t="shared" ca="1" si="10"/>
        <v/>
      </c>
      <c r="L178" s="7" t="str">
        <f t="shared" ca="1" si="11"/>
        <v/>
      </c>
      <c r="M178" s="4" t="str">
        <f>IF($I178="Complete","Green",IF($H178="","Amber",IF($H178&lt;'[2]Read Me'!$B$4,"Red",IF($H178-'[2]Read Me'!$B$4&lt;=21,"Amber","Green"))))</f>
        <v>Amber</v>
      </c>
      <c r="N178" s="3"/>
      <c r="O178" t="str">
        <f>IF($I178&lt;&gt;"Complete",IF(COUNTIFS($A$4:$A177,$A178,$B$4:$B177,$B178,$I$4:$I177,"&lt;&gt;Complete")=0,$A178&amp;"|"&amp;$B178,""),"")</f>
        <v>|</v>
      </c>
      <c r="P178" t="str">
        <f ca="1">IF($K178="Yes",COUNTIFS($K$4:$K178,"Yes"),"")</f>
        <v/>
      </c>
      <c r="Q178">
        <f t="shared" ca="1" si="12"/>
        <v>0</v>
      </c>
      <c r="R178" t="str">
        <f ca="1">IF($Q178=1,SUM($Q$4:$Q178),"")</f>
        <v/>
      </c>
    </row>
    <row r="179" spans="1:18" ht="22.5" customHeight="1" x14ac:dyDescent="0.3">
      <c r="A179" s="2"/>
      <c r="B179" s="2"/>
      <c r="C179" s="3"/>
      <c r="D179" s="3"/>
      <c r="E179" s="2"/>
      <c r="F179" s="2"/>
      <c r="G179" s="5"/>
      <c r="H179" s="5"/>
      <c r="I179" s="4"/>
      <c r="J179" s="6" t="str">
        <f t="shared" si="9"/>
        <v/>
      </c>
      <c r="K179" s="4" t="str">
        <f t="shared" ca="1" si="10"/>
        <v/>
      </c>
      <c r="L179" s="7" t="str">
        <f t="shared" ca="1" si="11"/>
        <v/>
      </c>
      <c r="M179" s="4" t="str">
        <f>IF($I179="Complete","Green",IF($H179="","Amber",IF($H179&lt;'[2]Read Me'!$B$4,"Red",IF($H179-'[2]Read Me'!$B$4&lt;=21,"Amber","Green"))))</f>
        <v>Amber</v>
      </c>
      <c r="N179" s="3"/>
      <c r="O179" t="str">
        <f>IF($I179&lt;&gt;"Complete",IF(COUNTIFS($A$4:$A178,$A179,$B$4:$B178,$B179,$I$4:$I178,"&lt;&gt;Complete")=0,$A179&amp;"|"&amp;$B179,""),"")</f>
        <v>|</v>
      </c>
      <c r="P179" t="str">
        <f ca="1">IF($K179="Yes",COUNTIFS($K$4:$K179,"Yes"),"")</f>
        <v/>
      </c>
      <c r="Q179">
        <f t="shared" ca="1" si="12"/>
        <v>0</v>
      </c>
      <c r="R179" t="str">
        <f ca="1">IF($Q179=1,SUM($Q$4:$Q179),"")</f>
        <v/>
      </c>
    </row>
    <row r="180" spans="1:18" ht="22.5" customHeight="1" x14ac:dyDescent="0.3">
      <c r="A180" s="2"/>
      <c r="B180" s="2"/>
      <c r="C180" s="3"/>
      <c r="D180" s="3"/>
      <c r="E180" s="2"/>
      <c r="F180" s="2"/>
      <c r="G180" s="5"/>
      <c r="H180" s="5"/>
      <c r="I180" s="4"/>
      <c r="J180" s="6" t="str">
        <f t="shared" si="9"/>
        <v/>
      </c>
      <c r="K180" s="4" t="str">
        <f t="shared" ca="1" si="10"/>
        <v/>
      </c>
      <c r="L180" s="7" t="str">
        <f t="shared" ca="1" si="11"/>
        <v/>
      </c>
      <c r="M180" s="4" t="str">
        <f>IF($I180="Complete","Green",IF($H180="","Amber",IF($H180&lt;'[2]Read Me'!$B$4,"Red",IF($H180-'[2]Read Me'!$B$4&lt;=21,"Amber","Green"))))</f>
        <v>Amber</v>
      </c>
      <c r="N180" s="3"/>
      <c r="O180" t="str">
        <f>IF($I180&lt;&gt;"Complete",IF(COUNTIFS($A$4:$A179,$A180,$B$4:$B179,$B180,$I$4:$I179,"&lt;&gt;Complete")=0,$A180&amp;"|"&amp;$B180,""),"")</f>
        <v>|</v>
      </c>
      <c r="P180" t="str">
        <f ca="1">IF($K180="Yes",COUNTIFS($K$4:$K180,"Yes"),"")</f>
        <v/>
      </c>
      <c r="Q180">
        <f t="shared" ca="1" si="12"/>
        <v>0</v>
      </c>
      <c r="R180" t="str">
        <f ca="1">IF($Q180=1,SUM($Q$4:$Q180),"")</f>
        <v/>
      </c>
    </row>
    <row r="181" spans="1:18" ht="22.5" customHeight="1" x14ac:dyDescent="0.3">
      <c r="A181" s="2"/>
      <c r="B181" s="2"/>
      <c r="C181" s="3"/>
      <c r="D181" s="3"/>
      <c r="E181" s="2"/>
      <c r="F181" s="2"/>
      <c r="G181" s="5"/>
      <c r="H181" s="5"/>
      <c r="I181" s="4"/>
      <c r="J181" s="6" t="str">
        <f t="shared" si="9"/>
        <v/>
      </c>
      <c r="K181" s="4" t="str">
        <f t="shared" ca="1" si="10"/>
        <v/>
      </c>
      <c r="L181" s="7" t="str">
        <f t="shared" ca="1" si="11"/>
        <v/>
      </c>
      <c r="M181" s="4" t="str">
        <f>IF($I181="Complete","Green",IF($H181="","Amber",IF($H181&lt;'[2]Read Me'!$B$4,"Red",IF($H181-'[2]Read Me'!$B$4&lt;=21,"Amber","Green"))))</f>
        <v>Amber</v>
      </c>
      <c r="N181" s="3"/>
      <c r="O181" t="str">
        <f>IF($I181&lt;&gt;"Complete",IF(COUNTIFS($A$4:$A180,$A181,$B$4:$B180,$B181,$I$4:$I180,"&lt;&gt;Complete")=0,$A181&amp;"|"&amp;$B181,""),"")</f>
        <v>|</v>
      </c>
      <c r="P181" t="str">
        <f ca="1">IF($K181="Yes",COUNTIFS($K$4:$K181,"Yes"),"")</f>
        <v/>
      </c>
      <c r="Q181">
        <f t="shared" ca="1" si="12"/>
        <v>0</v>
      </c>
      <c r="R181" t="str">
        <f ca="1">IF($Q181=1,SUM($Q$4:$Q181),"")</f>
        <v/>
      </c>
    </row>
    <row r="182" spans="1:18" ht="22.5" customHeight="1" x14ac:dyDescent="0.3">
      <c r="A182" s="2"/>
      <c r="B182" s="2"/>
      <c r="C182" s="3"/>
      <c r="D182" s="3"/>
      <c r="E182" s="2"/>
      <c r="F182" s="2"/>
      <c r="G182" s="5"/>
      <c r="H182" s="5"/>
      <c r="I182" s="4"/>
      <c r="J182" s="6" t="str">
        <f t="shared" si="9"/>
        <v/>
      </c>
      <c r="K182" s="4" t="str">
        <f t="shared" ca="1" si="10"/>
        <v/>
      </c>
      <c r="L182" s="7" t="str">
        <f t="shared" ca="1" si="11"/>
        <v/>
      </c>
      <c r="M182" s="4" t="str">
        <f>IF($I182="Complete","Green",IF($H182="","Amber",IF($H182&lt;'[2]Read Me'!$B$4,"Red",IF($H182-'[2]Read Me'!$B$4&lt;=21,"Amber","Green"))))</f>
        <v>Amber</v>
      </c>
      <c r="N182" s="3"/>
      <c r="O182" t="str">
        <f>IF($I182&lt;&gt;"Complete",IF(COUNTIFS($A$4:$A181,$A182,$B$4:$B181,$B182,$I$4:$I181,"&lt;&gt;Complete")=0,$A182&amp;"|"&amp;$B182,""),"")</f>
        <v>|</v>
      </c>
      <c r="P182" t="str">
        <f ca="1">IF($K182="Yes",COUNTIFS($K$4:$K182,"Yes"),"")</f>
        <v/>
      </c>
      <c r="Q182">
        <f t="shared" ca="1" si="12"/>
        <v>0</v>
      </c>
      <c r="R182" t="str">
        <f ca="1">IF($Q182=1,SUM($Q$4:$Q182),"")</f>
        <v/>
      </c>
    </row>
    <row r="183" spans="1:18" ht="22.5" customHeight="1" x14ac:dyDescent="0.3">
      <c r="A183" s="2"/>
      <c r="B183" s="2"/>
      <c r="C183" s="3"/>
      <c r="D183" s="3"/>
      <c r="E183" s="2"/>
      <c r="F183" s="2"/>
      <c r="G183" s="5"/>
      <c r="H183" s="5"/>
      <c r="I183" s="4"/>
      <c r="J183" s="6" t="str">
        <f t="shared" si="9"/>
        <v/>
      </c>
      <c r="K183" s="4" t="str">
        <f t="shared" ca="1" si="10"/>
        <v/>
      </c>
      <c r="L183" s="7" t="str">
        <f t="shared" ca="1" si="11"/>
        <v/>
      </c>
      <c r="M183" s="4" t="str">
        <f>IF($I183="Complete","Green",IF($H183="","Amber",IF($H183&lt;'[2]Read Me'!$B$4,"Red",IF($H183-'[2]Read Me'!$B$4&lt;=21,"Amber","Green"))))</f>
        <v>Amber</v>
      </c>
      <c r="N183" s="3"/>
      <c r="O183" t="str">
        <f>IF($I183&lt;&gt;"Complete",IF(COUNTIFS($A$4:$A182,$A183,$B$4:$B182,$B183,$I$4:$I182,"&lt;&gt;Complete")=0,$A183&amp;"|"&amp;$B183,""),"")</f>
        <v>|</v>
      </c>
      <c r="P183" t="str">
        <f ca="1">IF($K183="Yes",COUNTIFS($K$4:$K183,"Yes"),"")</f>
        <v/>
      </c>
      <c r="Q183">
        <f t="shared" ca="1" si="12"/>
        <v>0</v>
      </c>
      <c r="R183" t="str">
        <f ca="1">IF($Q183=1,SUM($Q$4:$Q183),"")</f>
        <v/>
      </c>
    </row>
    <row r="184" spans="1:18" ht="22.5" customHeight="1" x14ac:dyDescent="0.3">
      <c r="A184" s="2"/>
      <c r="B184" s="2"/>
      <c r="C184" s="3"/>
      <c r="D184" s="3"/>
      <c r="E184" s="2"/>
      <c r="F184" s="2"/>
      <c r="G184" s="5"/>
      <c r="H184" s="5"/>
      <c r="I184" s="4"/>
      <c r="J184" s="6" t="str">
        <f t="shared" si="9"/>
        <v/>
      </c>
      <c r="K184" s="4" t="str">
        <f t="shared" ca="1" si="10"/>
        <v/>
      </c>
      <c r="L184" s="7" t="str">
        <f t="shared" ca="1" si="11"/>
        <v/>
      </c>
      <c r="M184" s="4" t="str">
        <f>IF($I184="Complete","Green",IF($H184="","Amber",IF($H184&lt;'[2]Read Me'!$B$4,"Red",IF($H184-'[2]Read Me'!$B$4&lt;=21,"Amber","Green"))))</f>
        <v>Amber</v>
      </c>
      <c r="N184" s="3"/>
      <c r="O184" t="str">
        <f>IF($I184&lt;&gt;"Complete",IF(COUNTIFS($A$4:$A183,$A184,$B$4:$B183,$B184,$I$4:$I183,"&lt;&gt;Complete")=0,$A184&amp;"|"&amp;$B184,""),"")</f>
        <v>|</v>
      </c>
      <c r="P184" t="str">
        <f ca="1">IF($K184="Yes",COUNTIFS($K$4:$K184,"Yes"),"")</f>
        <v/>
      </c>
      <c r="Q184">
        <f t="shared" ca="1" si="12"/>
        <v>0</v>
      </c>
      <c r="R184" t="str">
        <f ca="1">IF($Q184=1,SUM($Q$4:$Q184),"")</f>
        <v/>
      </c>
    </row>
    <row r="185" spans="1:18" ht="22.5" customHeight="1" x14ac:dyDescent="0.3">
      <c r="A185" s="2"/>
      <c r="B185" s="2"/>
      <c r="C185" s="3"/>
      <c r="D185" s="3"/>
      <c r="E185" s="2"/>
      <c r="F185" s="2"/>
      <c r="G185" s="5"/>
      <c r="H185" s="5"/>
      <c r="I185" s="4"/>
      <c r="J185" s="6" t="str">
        <f t="shared" si="9"/>
        <v/>
      </c>
      <c r="K185" s="4" t="str">
        <f t="shared" ca="1" si="10"/>
        <v/>
      </c>
      <c r="L185" s="7" t="str">
        <f t="shared" ca="1" si="11"/>
        <v/>
      </c>
      <c r="M185" s="4" t="str">
        <f>IF($I185="Complete","Green",IF($H185="","Amber",IF($H185&lt;'[2]Read Me'!$B$4,"Red",IF($H185-'[2]Read Me'!$B$4&lt;=21,"Amber","Green"))))</f>
        <v>Amber</v>
      </c>
      <c r="N185" s="3"/>
      <c r="O185" t="str">
        <f>IF($I185&lt;&gt;"Complete",IF(COUNTIFS($A$4:$A184,$A185,$B$4:$B184,$B185,$I$4:$I184,"&lt;&gt;Complete")=0,$A185&amp;"|"&amp;$B185,""),"")</f>
        <v>|</v>
      </c>
      <c r="P185" t="str">
        <f ca="1">IF($K185="Yes",COUNTIFS($K$4:$K185,"Yes"),"")</f>
        <v/>
      </c>
      <c r="Q185">
        <f t="shared" ca="1" si="12"/>
        <v>0</v>
      </c>
      <c r="R185" t="str">
        <f ca="1">IF($Q185=1,SUM($Q$4:$Q185),"")</f>
        <v/>
      </c>
    </row>
    <row r="186" spans="1:18" ht="22.5" customHeight="1" x14ac:dyDescent="0.3">
      <c r="A186" s="2"/>
      <c r="B186" s="2"/>
      <c r="C186" s="3"/>
      <c r="D186" s="3"/>
      <c r="E186" s="2"/>
      <c r="F186" s="2"/>
      <c r="G186" s="5"/>
      <c r="H186" s="5"/>
      <c r="I186" s="4"/>
      <c r="J186" s="6" t="str">
        <f t="shared" si="9"/>
        <v/>
      </c>
      <c r="K186" s="4" t="str">
        <f t="shared" ca="1" si="10"/>
        <v/>
      </c>
      <c r="L186" s="7" t="str">
        <f t="shared" ca="1" si="11"/>
        <v/>
      </c>
      <c r="M186" s="4" t="str">
        <f>IF($I186="Complete","Green",IF($H186="","Amber",IF($H186&lt;'[2]Read Me'!$B$4,"Red",IF($H186-'[2]Read Me'!$B$4&lt;=21,"Amber","Green"))))</f>
        <v>Amber</v>
      </c>
      <c r="N186" s="3"/>
      <c r="O186" t="str">
        <f>IF($I186&lt;&gt;"Complete",IF(COUNTIFS($A$4:$A185,$A186,$B$4:$B185,$B186,$I$4:$I185,"&lt;&gt;Complete")=0,$A186&amp;"|"&amp;$B186,""),"")</f>
        <v>|</v>
      </c>
      <c r="P186" t="str">
        <f ca="1">IF($K186="Yes",COUNTIFS($K$4:$K186,"Yes"),"")</f>
        <v/>
      </c>
      <c r="Q186">
        <f t="shared" ca="1" si="12"/>
        <v>0</v>
      </c>
      <c r="R186" t="str">
        <f ca="1">IF($Q186=1,SUM($Q$4:$Q186),"")</f>
        <v/>
      </c>
    </row>
    <row r="187" spans="1:18" ht="22.5" customHeight="1" x14ac:dyDescent="0.3">
      <c r="A187" s="2"/>
      <c r="B187" s="2"/>
      <c r="C187" s="3"/>
      <c r="D187" s="3"/>
      <c r="E187" s="2"/>
      <c r="F187" s="2"/>
      <c r="G187" s="5"/>
      <c r="H187" s="5"/>
      <c r="I187" s="4"/>
      <c r="J187" s="6" t="str">
        <f t="shared" si="9"/>
        <v/>
      </c>
      <c r="K187" s="4" t="str">
        <f t="shared" ca="1" si="10"/>
        <v/>
      </c>
      <c r="L187" s="7" t="str">
        <f t="shared" ca="1" si="11"/>
        <v/>
      </c>
      <c r="M187" s="4" t="str">
        <f>IF($I187="Complete","Green",IF($H187="","Amber",IF($H187&lt;'[2]Read Me'!$B$4,"Red",IF($H187-'[2]Read Me'!$B$4&lt;=21,"Amber","Green"))))</f>
        <v>Amber</v>
      </c>
      <c r="N187" s="3"/>
      <c r="O187" t="str">
        <f>IF($I187&lt;&gt;"Complete",IF(COUNTIFS($A$4:$A186,$A187,$B$4:$B186,$B187,$I$4:$I186,"&lt;&gt;Complete")=0,$A187&amp;"|"&amp;$B187,""),"")</f>
        <v>|</v>
      </c>
      <c r="P187" t="str">
        <f ca="1">IF($K187="Yes",COUNTIFS($K$4:$K187,"Yes"),"")</f>
        <v/>
      </c>
      <c r="Q187">
        <f t="shared" ca="1" si="12"/>
        <v>0</v>
      </c>
      <c r="R187" t="str">
        <f ca="1">IF($Q187=1,SUM($Q$4:$Q187),"")</f>
        <v/>
      </c>
    </row>
    <row r="188" spans="1:18" ht="22.5" customHeight="1" x14ac:dyDescent="0.3">
      <c r="A188" s="2"/>
      <c r="B188" s="2"/>
      <c r="C188" s="3"/>
      <c r="D188" s="3"/>
      <c r="E188" s="2"/>
      <c r="F188" s="2"/>
      <c r="G188" s="5"/>
      <c r="H188" s="5"/>
      <c r="I188" s="4"/>
      <c r="J188" s="6" t="str">
        <f t="shared" si="9"/>
        <v/>
      </c>
      <c r="K188" s="4" t="str">
        <f t="shared" ca="1" si="10"/>
        <v/>
      </c>
      <c r="L188" s="7" t="str">
        <f t="shared" ca="1" si="11"/>
        <v/>
      </c>
      <c r="M188" s="4" t="str">
        <f>IF($I188="Complete","Green",IF($H188="","Amber",IF($H188&lt;'[2]Read Me'!$B$4,"Red",IF($H188-'[2]Read Me'!$B$4&lt;=21,"Amber","Green"))))</f>
        <v>Amber</v>
      </c>
      <c r="N188" s="3"/>
      <c r="O188" t="str">
        <f>IF($I188&lt;&gt;"Complete",IF(COUNTIFS($A$4:$A187,$A188,$B$4:$B187,$B188,$I$4:$I187,"&lt;&gt;Complete")=0,$A188&amp;"|"&amp;$B188,""),"")</f>
        <v>|</v>
      </c>
      <c r="P188" t="str">
        <f ca="1">IF($K188="Yes",COUNTIFS($K$4:$K188,"Yes"),"")</f>
        <v/>
      </c>
      <c r="Q188">
        <f t="shared" ca="1" si="12"/>
        <v>0</v>
      </c>
      <c r="R188" t="str">
        <f ca="1">IF($Q188=1,SUM($Q$4:$Q188),"")</f>
        <v/>
      </c>
    </row>
    <row r="189" spans="1:18" ht="22.5" customHeight="1" x14ac:dyDescent="0.3">
      <c r="A189" s="2"/>
      <c r="B189" s="2"/>
      <c r="C189" s="3"/>
      <c r="D189" s="3"/>
      <c r="E189" s="2"/>
      <c r="F189" s="2"/>
      <c r="G189" s="5"/>
      <c r="H189" s="5"/>
      <c r="I189" s="4"/>
      <c r="J189" s="6" t="str">
        <f t="shared" si="9"/>
        <v/>
      </c>
      <c r="K189" s="4" t="str">
        <f t="shared" ca="1" si="10"/>
        <v/>
      </c>
      <c r="L189" s="7" t="str">
        <f t="shared" ca="1" si="11"/>
        <v/>
      </c>
      <c r="M189" s="4" t="str">
        <f>IF($I189="Complete","Green",IF($H189="","Amber",IF($H189&lt;'[2]Read Me'!$B$4,"Red",IF($H189-'[2]Read Me'!$B$4&lt;=21,"Amber","Green"))))</f>
        <v>Amber</v>
      </c>
      <c r="N189" s="3"/>
      <c r="O189" t="str">
        <f>IF($I189&lt;&gt;"Complete",IF(COUNTIFS($A$4:$A188,$A189,$B$4:$B188,$B189,$I$4:$I188,"&lt;&gt;Complete")=0,$A189&amp;"|"&amp;$B189,""),"")</f>
        <v>|</v>
      </c>
      <c r="P189" t="str">
        <f ca="1">IF($K189="Yes",COUNTIFS($K$4:$K189,"Yes"),"")</f>
        <v/>
      </c>
      <c r="Q189">
        <f t="shared" ca="1" si="12"/>
        <v>0</v>
      </c>
      <c r="R189" t="str">
        <f ca="1">IF($Q189=1,SUM($Q$4:$Q189),"")</f>
        <v/>
      </c>
    </row>
    <row r="190" spans="1:18" ht="22.5" customHeight="1" x14ac:dyDescent="0.3">
      <c r="A190" s="2"/>
      <c r="B190" s="2"/>
      <c r="C190" s="3"/>
      <c r="D190" s="3"/>
      <c r="E190" s="2"/>
      <c r="F190" s="2"/>
      <c r="G190" s="5"/>
      <c r="H190" s="5"/>
      <c r="I190" s="4"/>
      <c r="J190" s="6" t="str">
        <f t="shared" si="9"/>
        <v/>
      </c>
      <c r="K190" s="4" t="str">
        <f t="shared" ca="1" si="10"/>
        <v/>
      </c>
      <c r="L190" s="7" t="str">
        <f t="shared" ca="1" si="11"/>
        <v/>
      </c>
      <c r="M190" s="4" t="str">
        <f>IF($I190="Complete","Green",IF($H190="","Amber",IF($H190&lt;'[2]Read Me'!$B$4,"Red",IF($H190-'[2]Read Me'!$B$4&lt;=21,"Amber","Green"))))</f>
        <v>Amber</v>
      </c>
      <c r="N190" s="3"/>
      <c r="O190" t="str">
        <f>IF($I190&lt;&gt;"Complete",IF(COUNTIFS($A$4:$A189,$A190,$B$4:$B189,$B190,$I$4:$I189,"&lt;&gt;Complete")=0,$A190&amp;"|"&amp;$B190,""),"")</f>
        <v>|</v>
      </c>
      <c r="P190" t="str">
        <f ca="1">IF($K190="Yes",COUNTIFS($K$4:$K190,"Yes"),"")</f>
        <v/>
      </c>
      <c r="Q190">
        <f t="shared" ca="1" si="12"/>
        <v>0</v>
      </c>
      <c r="R190" t="str">
        <f ca="1">IF($Q190=1,SUM($Q$4:$Q190),"")</f>
        <v/>
      </c>
    </row>
    <row r="191" spans="1:18" ht="22.5" customHeight="1" x14ac:dyDescent="0.3">
      <c r="A191" s="2"/>
      <c r="B191" s="2"/>
      <c r="C191" s="3"/>
      <c r="D191" s="3"/>
      <c r="E191" s="2"/>
      <c r="F191" s="2"/>
      <c r="G191" s="5"/>
      <c r="H191" s="5"/>
      <c r="I191" s="4"/>
      <c r="J191" s="6" t="str">
        <f t="shared" si="9"/>
        <v/>
      </c>
      <c r="K191" s="4" t="str">
        <f t="shared" ca="1" si="10"/>
        <v/>
      </c>
      <c r="L191" s="7" t="str">
        <f t="shared" ca="1" si="11"/>
        <v/>
      </c>
      <c r="M191" s="4" t="str">
        <f>IF($I191="Complete","Green",IF($H191="","Amber",IF($H191&lt;'[2]Read Me'!$B$4,"Red",IF($H191-'[2]Read Me'!$B$4&lt;=21,"Amber","Green"))))</f>
        <v>Amber</v>
      </c>
      <c r="N191" s="3"/>
      <c r="O191" t="str">
        <f>IF($I191&lt;&gt;"Complete",IF(COUNTIFS($A$4:$A190,$A191,$B$4:$B190,$B191,$I$4:$I190,"&lt;&gt;Complete")=0,$A191&amp;"|"&amp;$B191,""),"")</f>
        <v>|</v>
      </c>
      <c r="P191" t="str">
        <f ca="1">IF($K191="Yes",COUNTIFS($K$4:$K191,"Yes"),"")</f>
        <v/>
      </c>
      <c r="Q191">
        <f t="shared" ca="1" si="12"/>
        <v>0</v>
      </c>
      <c r="R191" t="str">
        <f ca="1">IF($Q191=1,SUM($Q$4:$Q191),"")</f>
        <v/>
      </c>
    </row>
    <row r="192" spans="1:18" ht="33.75" customHeight="1" x14ac:dyDescent="0.3">
      <c r="A192" s="2"/>
      <c r="B192" s="2"/>
      <c r="C192" s="3"/>
      <c r="D192" s="3"/>
      <c r="E192" s="2"/>
      <c r="F192" s="2"/>
      <c r="G192" s="5"/>
      <c r="H192" s="5"/>
      <c r="I192" s="4"/>
      <c r="J192" s="6" t="str">
        <f t="shared" si="9"/>
        <v/>
      </c>
      <c r="K192" s="4" t="str">
        <f t="shared" ca="1" si="10"/>
        <v/>
      </c>
      <c r="L192" s="7" t="str">
        <f t="shared" ca="1" si="11"/>
        <v/>
      </c>
      <c r="M192" s="4" t="str">
        <f>IF($I192="Complete","Green",IF($H192="","Amber",IF($H192&lt;'[2]Read Me'!$B$4,"Red",IF($H192-'[2]Read Me'!$B$4&lt;=21,"Amber","Green"))))</f>
        <v>Amber</v>
      </c>
      <c r="N192" s="3"/>
      <c r="O192" t="str">
        <f>IF($I192&lt;&gt;"Complete",IF(COUNTIFS($A$4:$A191,$A192,$B$4:$B191,$B192,$I$4:$I191,"&lt;&gt;Complete")=0,$A192&amp;"|"&amp;$B192,""),"")</f>
        <v>|</v>
      </c>
      <c r="P192" t="str">
        <f ca="1">IF($K192="Yes",COUNTIFS($K$4:$K192,"Yes"),"")</f>
        <v/>
      </c>
      <c r="Q192">
        <f t="shared" ca="1" si="12"/>
        <v>0</v>
      </c>
      <c r="R192" t="str">
        <f ca="1">IF($Q192=1,SUM($Q$4:$Q192),"")</f>
        <v/>
      </c>
    </row>
    <row r="193" spans="1:18" ht="33.75" customHeight="1" x14ac:dyDescent="0.3">
      <c r="A193" s="2"/>
      <c r="B193" s="2"/>
      <c r="C193" s="3"/>
      <c r="D193" s="3"/>
      <c r="E193" s="2"/>
      <c r="F193" s="2"/>
      <c r="G193" s="5"/>
      <c r="H193" s="5"/>
      <c r="I193" s="4"/>
      <c r="J193" s="6" t="str">
        <f t="shared" si="9"/>
        <v/>
      </c>
      <c r="K193" s="4" t="str">
        <f t="shared" ca="1" si="10"/>
        <v/>
      </c>
      <c r="L193" s="7" t="str">
        <f t="shared" ca="1" si="11"/>
        <v/>
      </c>
      <c r="M193" s="4" t="str">
        <f>IF($I193="Complete","Green",IF($H193="","Amber",IF($H193&lt;'[2]Read Me'!$B$4,"Red",IF($H193-'[2]Read Me'!$B$4&lt;=21,"Amber","Green"))))</f>
        <v>Amber</v>
      </c>
      <c r="N193" s="3"/>
      <c r="O193" t="str">
        <f>IF($I193&lt;&gt;"Complete",IF(COUNTIFS($A$4:$A192,$A193,$B$4:$B192,$B193,$I$4:$I192,"&lt;&gt;Complete")=0,$A193&amp;"|"&amp;$B193,""),"")</f>
        <v>|</v>
      </c>
      <c r="P193" t="str">
        <f ca="1">IF($K193="Yes",COUNTIFS($K$4:$K193,"Yes"),"")</f>
        <v/>
      </c>
      <c r="Q193">
        <f t="shared" ca="1" si="12"/>
        <v>0</v>
      </c>
      <c r="R193" t="str">
        <f ca="1">IF($Q193=1,SUM($Q$4:$Q193),"")</f>
        <v/>
      </c>
    </row>
    <row r="194" spans="1:18" ht="33.75" customHeight="1" x14ac:dyDescent="0.3">
      <c r="A194" s="2"/>
      <c r="B194" s="2"/>
      <c r="C194" s="3"/>
      <c r="D194" s="3"/>
      <c r="E194" s="2"/>
      <c r="F194" s="2"/>
      <c r="G194" s="5"/>
      <c r="H194" s="5"/>
      <c r="I194" s="4"/>
      <c r="J194" s="6" t="str">
        <f t="shared" si="9"/>
        <v/>
      </c>
      <c r="K194" s="4" t="str">
        <f t="shared" ca="1" si="10"/>
        <v/>
      </c>
      <c r="L194" s="7" t="str">
        <f t="shared" ca="1" si="11"/>
        <v/>
      </c>
      <c r="M194" s="4" t="str">
        <f>IF($I194="Complete","Green",IF($H194="","Amber",IF($H194&lt;'[2]Read Me'!$B$4,"Red",IF($H194-'[2]Read Me'!$B$4&lt;=21,"Amber","Green"))))</f>
        <v>Amber</v>
      </c>
      <c r="N194" s="3"/>
      <c r="O194" t="str">
        <f>IF($I194&lt;&gt;"Complete",IF(COUNTIFS($A$4:$A193,$A194,$B$4:$B193,$B194,$I$4:$I193,"&lt;&gt;Complete")=0,$A194&amp;"|"&amp;$B194,""),"")</f>
        <v>|</v>
      </c>
      <c r="P194" t="str">
        <f ca="1">IF($K194="Yes",COUNTIFS($K$4:$K194,"Yes"),"")</f>
        <v/>
      </c>
      <c r="Q194">
        <f t="shared" ca="1" si="12"/>
        <v>0</v>
      </c>
      <c r="R194" t="str">
        <f ca="1">IF($Q194=1,SUM($Q$4:$Q194),"")</f>
        <v/>
      </c>
    </row>
    <row r="195" spans="1:18" ht="33.75" customHeight="1" x14ac:dyDescent="0.3">
      <c r="A195" s="2"/>
      <c r="B195" s="2"/>
      <c r="C195" s="3"/>
      <c r="D195" s="3"/>
      <c r="E195" s="2"/>
      <c r="F195" s="2"/>
      <c r="G195" s="5"/>
      <c r="H195" s="5"/>
      <c r="I195" s="4"/>
      <c r="J195" s="6" t="str">
        <f t="shared" si="9"/>
        <v/>
      </c>
      <c r="K195" s="4" t="str">
        <f t="shared" ca="1" si="10"/>
        <v/>
      </c>
      <c r="L195" s="7" t="str">
        <f t="shared" ca="1" si="11"/>
        <v/>
      </c>
      <c r="M195" s="4" t="str">
        <f>IF($I195="Complete","Green",IF($H195="","Amber",IF($H195&lt;'[2]Read Me'!$B$4,"Red",IF($H195-'[2]Read Me'!$B$4&lt;=21,"Amber","Green"))))</f>
        <v>Amber</v>
      </c>
      <c r="N195" s="3"/>
      <c r="O195" t="str">
        <f>IF($I195&lt;&gt;"Complete",IF(COUNTIFS($A$4:$A194,$A195,$B$4:$B194,$B195,$I$4:$I194,"&lt;&gt;Complete")=0,$A195&amp;"|"&amp;$B195,""),"")</f>
        <v>|</v>
      </c>
      <c r="P195" t="str">
        <f ca="1">IF($K195="Yes",COUNTIFS($K$4:$K195,"Yes"),"")</f>
        <v/>
      </c>
      <c r="Q195">
        <f t="shared" ca="1" si="12"/>
        <v>0</v>
      </c>
      <c r="R195" t="str">
        <f ca="1">IF($Q195=1,SUM($Q$4:$Q195),"")</f>
        <v/>
      </c>
    </row>
    <row r="196" spans="1:18" ht="33.75" customHeight="1" x14ac:dyDescent="0.3">
      <c r="A196" s="2"/>
      <c r="B196" s="2"/>
      <c r="C196" s="3"/>
      <c r="D196" s="3"/>
      <c r="E196" s="2"/>
      <c r="F196" s="2"/>
      <c r="G196" s="5"/>
      <c r="H196" s="5"/>
      <c r="I196" s="4"/>
      <c r="J196" s="6" t="str">
        <f t="shared" ref="J196:J259" si="13">IF(OR($G196="",$H196=""),"",$H196-$G196)</f>
        <v/>
      </c>
      <c r="K196" s="4" t="str">
        <f t="shared" ref="K196:K243" ca="1" si="14">IF(C196="","",IF(H196="","",IF($I196="completed","-",IF($H196&gt;TODAY(),"No","Yes"))))</f>
        <v/>
      </c>
      <c r="L196" s="7" t="str">
        <f t="shared" ref="L196:L259" ca="1" si="15">IF(I196="Completed",0,IF(H196="","",H196-TODAY()))</f>
        <v/>
      </c>
      <c r="M196" s="4" t="str">
        <f>IF($I196="Complete","Green",IF($H196="","Amber",IF($H196&lt;'[2]Read Me'!$B$4,"Red",IF($H196-'[2]Read Me'!$B$4&lt;=21,"Amber","Green"))))</f>
        <v>Amber</v>
      </c>
      <c r="N196" s="3"/>
      <c r="O196" t="str">
        <f>IF($I196&lt;&gt;"Complete",IF(COUNTIFS($A$4:$A195,$A196,$B$4:$B195,$B196,$I$4:$I195,"&lt;&gt;Complete")=0,$A196&amp;"|"&amp;$B196,""),"")</f>
        <v>|</v>
      </c>
      <c r="P196" t="str">
        <f ca="1">IF($K196="Yes",COUNTIFS($K$4:$K196,"Yes"),"")</f>
        <v/>
      </c>
      <c r="Q196">
        <f t="shared" ref="Q196:Q259" ca="1" si="16">IF(OR($I196="In Progress",$K196="Yes"),1,0)</f>
        <v>0</v>
      </c>
      <c r="R196" t="str">
        <f ca="1">IF($Q196=1,SUM($Q$4:$Q196),"")</f>
        <v/>
      </c>
    </row>
    <row r="197" spans="1:18" ht="22.5" customHeight="1" x14ac:dyDescent="0.3">
      <c r="A197" s="2"/>
      <c r="B197" s="2"/>
      <c r="C197" s="3"/>
      <c r="D197" s="3"/>
      <c r="E197" s="2"/>
      <c r="F197" s="2"/>
      <c r="G197" s="5"/>
      <c r="H197" s="5"/>
      <c r="I197" s="4"/>
      <c r="J197" s="6" t="str">
        <f t="shared" si="13"/>
        <v/>
      </c>
      <c r="K197" s="4" t="str">
        <f t="shared" ca="1" si="14"/>
        <v/>
      </c>
      <c r="L197" s="7" t="str">
        <f t="shared" ca="1" si="15"/>
        <v/>
      </c>
      <c r="M197" s="4" t="str">
        <f>IF($I197="Complete","Green",IF($H197="","Amber",IF($H197&lt;'[2]Read Me'!$B$4,"Red",IF($H197-'[2]Read Me'!$B$4&lt;=21,"Amber","Green"))))</f>
        <v>Amber</v>
      </c>
      <c r="N197" s="3"/>
      <c r="O197" t="str">
        <f>IF($I197&lt;&gt;"Complete",IF(COUNTIFS($A$4:$A196,$A197,$B$4:$B196,$B197,$I$4:$I196,"&lt;&gt;Complete")=0,$A197&amp;"|"&amp;$B197,""),"")</f>
        <v>|</v>
      </c>
      <c r="P197" t="str">
        <f ca="1">IF($K197="Yes",COUNTIFS($K$4:$K197,"Yes"),"")</f>
        <v/>
      </c>
      <c r="Q197">
        <f t="shared" ca="1" si="16"/>
        <v>0</v>
      </c>
      <c r="R197" t="str">
        <f ca="1">IF($Q197=1,SUM($Q$4:$Q197),"")</f>
        <v/>
      </c>
    </row>
    <row r="198" spans="1:18" ht="22.5" customHeight="1" x14ac:dyDescent="0.3">
      <c r="A198" s="2"/>
      <c r="B198" s="2"/>
      <c r="C198" s="3"/>
      <c r="D198" s="3"/>
      <c r="E198" s="2"/>
      <c r="F198" s="2"/>
      <c r="G198" s="5"/>
      <c r="H198" s="5"/>
      <c r="I198" s="4"/>
      <c r="J198" s="6" t="str">
        <f t="shared" si="13"/>
        <v/>
      </c>
      <c r="K198" s="4" t="str">
        <f t="shared" ca="1" si="14"/>
        <v/>
      </c>
      <c r="L198" s="7" t="str">
        <f t="shared" ca="1" si="15"/>
        <v/>
      </c>
      <c r="M198" s="4" t="str">
        <f>IF($I198="Complete","Green",IF($H198="","Amber",IF($H198&lt;'[2]Read Me'!$B$4,"Red",IF($H198-'[2]Read Me'!$B$4&lt;=21,"Amber","Green"))))</f>
        <v>Amber</v>
      </c>
      <c r="N198" s="3"/>
      <c r="O198" t="str">
        <f>IF($I198&lt;&gt;"Complete",IF(COUNTIFS($A$4:$A197,$A198,$B$4:$B197,$B198,$I$4:$I197,"&lt;&gt;Complete")=0,$A198&amp;"|"&amp;$B198,""),"")</f>
        <v>|</v>
      </c>
      <c r="P198" t="str">
        <f ca="1">IF($K198="Yes",COUNTIFS($K$4:$K198,"Yes"),"")</f>
        <v/>
      </c>
      <c r="Q198">
        <f t="shared" ca="1" si="16"/>
        <v>0</v>
      </c>
      <c r="R198" t="str">
        <f ca="1">IF($Q198=1,SUM($Q$4:$Q198),"")</f>
        <v/>
      </c>
    </row>
    <row r="199" spans="1:18" ht="22.5" customHeight="1" x14ac:dyDescent="0.3">
      <c r="A199" s="2"/>
      <c r="B199" s="2"/>
      <c r="C199" s="3"/>
      <c r="D199" s="3"/>
      <c r="E199" s="2"/>
      <c r="F199" s="2"/>
      <c r="G199" s="5"/>
      <c r="H199" s="5"/>
      <c r="I199" s="4"/>
      <c r="J199" s="6" t="str">
        <f t="shared" si="13"/>
        <v/>
      </c>
      <c r="K199" s="4" t="str">
        <f t="shared" ca="1" si="14"/>
        <v/>
      </c>
      <c r="L199" s="7" t="str">
        <f t="shared" ca="1" si="15"/>
        <v/>
      </c>
      <c r="M199" s="4" t="str">
        <f>IF($I199="Complete","Green",IF($H199="","Amber",IF($H199&lt;'[2]Read Me'!$B$4,"Red",IF($H199-'[2]Read Me'!$B$4&lt;=21,"Amber","Green"))))</f>
        <v>Amber</v>
      </c>
      <c r="N199" s="3"/>
      <c r="O199" t="str">
        <f>IF($I199&lt;&gt;"Complete",IF(COUNTIFS($A$4:$A198,$A199,$B$4:$B198,$B199,$I$4:$I198,"&lt;&gt;Complete")=0,$A199&amp;"|"&amp;$B199,""),"")</f>
        <v>|</v>
      </c>
      <c r="P199" t="str">
        <f ca="1">IF($K199="Yes",COUNTIFS($K$4:$K199,"Yes"),"")</f>
        <v/>
      </c>
      <c r="Q199">
        <f t="shared" ca="1" si="16"/>
        <v>0</v>
      </c>
      <c r="R199" t="str">
        <f ca="1">IF($Q199=1,SUM($Q$4:$Q199),"")</f>
        <v/>
      </c>
    </row>
    <row r="200" spans="1:18" ht="22.5" customHeight="1" x14ac:dyDescent="0.3">
      <c r="A200" s="2"/>
      <c r="B200" s="2"/>
      <c r="C200" s="3"/>
      <c r="D200" s="3"/>
      <c r="E200" s="2"/>
      <c r="F200" s="2"/>
      <c r="G200" s="5"/>
      <c r="H200" s="5"/>
      <c r="I200" s="4"/>
      <c r="J200" s="6" t="str">
        <f t="shared" si="13"/>
        <v/>
      </c>
      <c r="K200" s="4" t="str">
        <f t="shared" ca="1" si="14"/>
        <v/>
      </c>
      <c r="L200" s="7" t="str">
        <f t="shared" ca="1" si="15"/>
        <v/>
      </c>
      <c r="M200" s="4" t="str">
        <f>IF($I200="Complete","Green",IF($H200="","Amber",IF($H200&lt;'[2]Read Me'!$B$4,"Red",IF($H200-'[2]Read Me'!$B$4&lt;=21,"Amber","Green"))))</f>
        <v>Amber</v>
      </c>
      <c r="N200" s="3"/>
      <c r="O200" t="str">
        <f>IF($I200&lt;&gt;"Complete",IF(COUNTIFS($A$4:$A199,$A200,$B$4:$B199,$B200,$I$4:$I199,"&lt;&gt;Complete")=0,$A200&amp;"|"&amp;$B200,""),"")</f>
        <v>|</v>
      </c>
      <c r="P200" t="str">
        <f ca="1">IF($K200="Yes",COUNTIFS($K$4:$K200,"Yes"),"")</f>
        <v/>
      </c>
      <c r="Q200">
        <f t="shared" ca="1" si="16"/>
        <v>0</v>
      </c>
      <c r="R200" t="str">
        <f ca="1">IF($Q200=1,SUM($Q$4:$Q200),"")</f>
        <v/>
      </c>
    </row>
    <row r="201" spans="1:18" ht="22.5" customHeight="1" x14ac:dyDescent="0.3">
      <c r="A201" s="2"/>
      <c r="B201" s="2"/>
      <c r="C201" s="3"/>
      <c r="D201" s="3"/>
      <c r="E201" s="2"/>
      <c r="F201" s="2"/>
      <c r="G201" s="5"/>
      <c r="H201" s="5"/>
      <c r="I201" s="4"/>
      <c r="J201" s="6" t="str">
        <f t="shared" si="13"/>
        <v/>
      </c>
      <c r="K201" s="4" t="str">
        <f t="shared" ca="1" si="14"/>
        <v/>
      </c>
      <c r="L201" s="7" t="str">
        <f t="shared" ca="1" si="15"/>
        <v/>
      </c>
      <c r="M201" s="4" t="str">
        <f>IF($I201="Complete","Green",IF($H201="","Amber",IF($H201&lt;'[2]Read Me'!$B$4,"Red",IF($H201-'[2]Read Me'!$B$4&lt;=21,"Amber","Green"))))</f>
        <v>Amber</v>
      </c>
      <c r="N201" s="3"/>
      <c r="O201" t="str">
        <f>IF($I201&lt;&gt;"Complete",IF(COUNTIFS($A$4:$A200,$A201,$B$4:$B200,$B201,$I$4:$I200,"&lt;&gt;Complete")=0,$A201&amp;"|"&amp;$B201,""),"")</f>
        <v>|</v>
      </c>
      <c r="P201" t="str">
        <f ca="1">IF($K201="Yes",COUNTIFS($K$4:$K201,"Yes"),"")</f>
        <v/>
      </c>
      <c r="Q201">
        <f t="shared" ca="1" si="16"/>
        <v>0</v>
      </c>
      <c r="R201" t="str">
        <f ca="1">IF($Q201=1,SUM($Q$4:$Q201),"")</f>
        <v/>
      </c>
    </row>
    <row r="202" spans="1:18" ht="22.5" customHeight="1" x14ac:dyDescent="0.3">
      <c r="A202" s="2"/>
      <c r="B202" s="2"/>
      <c r="C202" s="3"/>
      <c r="D202" s="3"/>
      <c r="E202" s="2"/>
      <c r="F202" s="2"/>
      <c r="G202" s="5"/>
      <c r="H202" s="5"/>
      <c r="I202" s="4"/>
      <c r="J202" s="6" t="str">
        <f t="shared" si="13"/>
        <v/>
      </c>
      <c r="K202" s="4" t="str">
        <f t="shared" ca="1" si="14"/>
        <v/>
      </c>
      <c r="L202" s="7" t="str">
        <f t="shared" ca="1" si="15"/>
        <v/>
      </c>
      <c r="M202" s="4" t="str">
        <f>IF($I202="Complete","Green",IF($H202="","Amber",IF($H202&lt;'[2]Read Me'!$B$4,"Red",IF($H202-'[2]Read Me'!$B$4&lt;=21,"Amber","Green"))))</f>
        <v>Amber</v>
      </c>
      <c r="N202" s="3"/>
      <c r="O202" t="str">
        <f>IF($I202&lt;&gt;"Complete",IF(COUNTIFS($A$4:$A201,$A202,$B$4:$B201,$B202,$I$4:$I201,"&lt;&gt;Complete")=0,$A202&amp;"|"&amp;$B202,""),"")</f>
        <v>|</v>
      </c>
      <c r="P202" t="str">
        <f ca="1">IF($K202="Yes",COUNTIFS($K$4:$K202,"Yes"),"")</f>
        <v/>
      </c>
      <c r="Q202">
        <f t="shared" ca="1" si="16"/>
        <v>0</v>
      </c>
      <c r="R202" t="str">
        <f ca="1">IF($Q202=1,SUM($Q$4:$Q202),"")</f>
        <v/>
      </c>
    </row>
    <row r="203" spans="1:18" ht="22.5" customHeight="1" x14ac:dyDescent="0.3">
      <c r="A203" s="2"/>
      <c r="B203" s="2"/>
      <c r="C203" s="3"/>
      <c r="D203" s="3"/>
      <c r="E203" s="2"/>
      <c r="F203" s="2"/>
      <c r="G203" s="5"/>
      <c r="H203" s="5"/>
      <c r="I203" s="4"/>
      <c r="J203" s="6" t="str">
        <f t="shared" si="13"/>
        <v/>
      </c>
      <c r="K203" s="4" t="str">
        <f t="shared" ca="1" si="14"/>
        <v/>
      </c>
      <c r="L203" s="7" t="str">
        <f t="shared" ca="1" si="15"/>
        <v/>
      </c>
      <c r="M203" s="4" t="str">
        <f>IF($I203="Complete","Green",IF($H203="","Amber",IF($H203&lt;'[2]Read Me'!$B$4,"Red",IF($H203-'[2]Read Me'!$B$4&lt;=21,"Amber","Green"))))</f>
        <v>Amber</v>
      </c>
      <c r="N203" s="3"/>
      <c r="O203" t="str">
        <f>IF($I203&lt;&gt;"Complete",IF(COUNTIFS($A$4:$A202,$A203,$B$4:$B202,$B203,$I$4:$I202,"&lt;&gt;Complete")=0,$A203&amp;"|"&amp;$B203,""),"")</f>
        <v>|</v>
      </c>
      <c r="P203" t="str">
        <f ca="1">IF($K203="Yes",COUNTIFS($K$4:$K203,"Yes"),"")</f>
        <v/>
      </c>
      <c r="Q203">
        <f t="shared" ca="1" si="16"/>
        <v>0</v>
      </c>
      <c r="R203" t="str">
        <f ca="1">IF($Q203=1,SUM($Q$4:$Q203),"")</f>
        <v/>
      </c>
    </row>
    <row r="204" spans="1:18" ht="33.75" customHeight="1" x14ac:dyDescent="0.3">
      <c r="A204" s="2"/>
      <c r="B204" s="2"/>
      <c r="C204" s="3"/>
      <c r="D204" s="3"/>
      <c r="E204" s="2"/>
      <c r="F204" s="2"/>
      <c r="G204" s="5"/>
      <c r="H204" s="5"/>
      <c r="I204" s="4"/>
      <c r="J204" s="6" t="str">
        <f t="shared" si="13"/>
        <v/>
      </c>
      <c r="K204" s="4" t="str">
        <f t="shared" ca="1" si="14"/>
        <v/>
      </c>
      <c r="L204" s="7" t="str">
        <f t="shared" ca="1" si="15"/>
        <v/>
      </c>
      <c r="M204" s="4" t="str">
        <f>IF($I204="Complete","Green",IF($H204="","Amber",IF($H204&lt;'[2]Read Me'!$B$4,"Red",IF($H204-'[2]Read Me'!$B$4&lt;=21,"Amber","Green"))))</f>
        <v>Amber</v>
      </c>
      <c r="N204" s="3"/>
      <c r="O204" t="str">
        <f>IF($I204&lt;&gt;"Complete",IF(COUNTIFS($A$4:$A203,$A204,$B$4:$B203,$B204,$I$4:$I203,"&lt;&gt;Complete")=0,$A204&amp;"|"&amp;$B204,""),"")</f>
        <v>|</v>
      </c>
      <c r="P204" t="str">
        <f ca="1">IF($K204="Yes",COUNTIFS($K$4:$K204,"Yes"),"")</f>
        <v/>
      </c>
      <c r="Q204">
        <f t="shared" ca="1" si="16"/>
        <v>0</v>
      </c>
      <c r="R204" t="str">
        <f ca="1">IF($Q204=1,SUM($Q$4:$Q204),"")</f>
        <v/>
      </c>
    </row>
    <row r="205" spans="1:18" ht="33.75" customHeight="1" x14ac:dyDescent="0.3">
      <c r="A205" s="2"/>
      <c r="B205" s="2"/>
      <c r="C205" s="3"/>
      <c r="D205" s="3"/>
      <c r="E205" s="2"/>
      <c r="F205" s="2"/>
      <c r="G205" s="5"/>
      <c r="H205" s="5"/>
      <c r="I205" s="4"/>
      <c r="J205" s="6" t="str">
        <f t="shared" si="13"/>
        <v/>
      </c>
      <c r="K205" s="4" t="str">
        <f t="shared" ca="1" si="14"/>
        <v/>
      </c>
      <c r="L205" s="7" t="str">
        <f t="shared" ca="1" si="15"/>
        <v/>
      </c>
      <c r="M205" s="4" t="str">
        <f>IF($I205="Complete","Green",IF($H205="","Amber",IF($H205&lt;'[2]Read Me'!$B$4,"Red",IF($H205-'[2]Read Me'!$B$4&lt;=21,"Amber","Green"))))</f>
        <v>Amber</v>
      </c>
      <c r="N205" s="3"/>
      <c r="O205" t="str">
        <f>IF($I205&lt;&gt;"Complete",IF(COUNTIFS($A$4:$A204,$A205,$B$4:$B204,$B205,$I$4:$I204,"&lt;&gt;Complete")=0,$A205&amp;"|"&amp;$B205,""),"")</f>
        <v>|</v>
      </c>
      <c r="P205" t="str">
        <f ca="1">IF($K205="Yes",COUNTIFS($K$4:$K205,"Yes"),"")</f>
        <v/>
      </c>
      <c r="Q205">
        <f t="shared" ca="1" si="16"/>
        <v>0</v>
      </c>
      <c r="R205" t="str">
        <f ca="1">IF($Q205=1,SUM($Q$4:$Q205),"")</f>
        <v/>
      </c>
    </row>
    <row r="206" spans="1:18" ht="33.75" customHeight="1" x14ac:dyDescent="0.3">
      <c r="A206" s="2"/>
      <c r="B206" s="2"/>
      <c r="C206" s="3"/>
      <c r="D206" s="3"/>
      <c r="E206" s="2"/>
      <c r="F206" s="2"/>
      <c r="G206" s="5"/>
      <c r="H206" s="5"/>
      <c r="I206" s="4"/>
      <c r="J206" s="6" t="str">
        <f t="shared" si="13"/>
        <v/>
      </c>
      <c r="K206" s="4" t="str">
        <f t="shared" ca="1" si="14"/>
        <v/>
      </c>
      <c r="L206" s="7" t="str">
        <f t="shared" ca="1" si="15"/>
        <v/>
      </c>
      <c r="M206" s="4" t="str">
        <f>IF($I206="Complete","Green",IF($H206="","Amber",IF($H206&lt;'[2]Read Me'!$B$4,"Red",IF($H206-'[2]Read Me'!$B$4&lt;=21,"Amber","Green"))))</f>
        <v>Amber</v>
      </c>
      <c r="N206" s="3"/>
      <c r="O206" t="str">
        <f>IF($I206&lt;&gt;"Complete",IF(COUNTIFS($A$4:$A205,$A206,$B$4:$B205,$B206,$I$4:$I205,"&lt;&gt;Complete")=0,$A206&amp;"|"&amp;$B206,""),"")</f>
        <v>|</v>
      </c>
      <c r="P206" t="str">
        <f ca="1">IF($K206="Yes",COUNTIFS($K$4:$K206,"Yes"),"")</f>
        <v/>
      </c>
      <c r="Q206">
        <f t="shared" ca="1" si="16"/>
        <v>0</v>
      </c>
      <c r="R206" t="str">
        <f ca="1">IF($Q206=1,SUM($Q$4:$Q206),"")</f>
        <v/>
      </c>
    </row>
    <row r="207" spans="1:18" ht="33.75" customHeight="1" x14ac:dyDescent="0.3">
      <c r="A207" s="2"/>
      <c r="B207" s="2"/>
      <c r="C207" s="3"/>
      <c r="D207" s="3"/>
      <c r="E207" s="2"/>
      <c r="F207" s="2"/>
      <c r="G207" s="5"/>
      <c r="H207" s="5"/>
      <c r="I207" s="4"/>
      <c r="J207" s="6" t="str">
        <f t="shared" si="13"/>
        <v/>
      </c>
      <c r="K207" s="4" t="str">
        <f t="shared" ca="1" si="14"/>
        <v/>
      </c>
      <c r="L207" s="7" t="str">
        <f t="shared" ca="1" si="15"/>
        <v/>
      </c>
      <c r="M207" s="4" t="str">
        <f>IF($I207="Complete","Green",IF($H207="","Amber",IF($H207&lt;'[2]Read Me'!$B$4,"Red",IF($H207-'[2]Read Me'!$B$4&lt;=21,"Amber","Green"))))</f>
        <v>Amber</v>
      </c>
      <c r="N207" s="3"/>
      <c r="O207" t="str">
        <f>IF($I207&lt;&gt;"Complete",IF(COUNTIFS($A$4:$A206,$A207,$B$4:$B206,$B207,$I$4:$I206,"&lt;&gt;Complete")=0,$A207&amp;"|"&amp;$B207,""),"")</f>
        <v>|</v>
      </c>
      <c r="P207" t="str">
        <f ca="1">IF($K207="Yes",COUNTIFS($K$4:$K207,"Yes"),"")</f>
        <v/>
      </c>
      <c r="Q207">
        <f t="shared" ca="1" si="16"/>
        <v>0</v>
      </c>
      <c r="R207" t="str">
        <f ca="1">IF($Q207=1,SUM($Q$4:$Q207),"")</f>
        <v/>
      </c>
    </row>
    <row r="208" spans="1:18" ht="33.75" customHeight="1" x14ac:dyDescent="0.3">
      <c r="A208" s="2"/>
      <c r="B208" s="2"/>
      <c r="C208" s="3"/>
      <c r="D208" s="3"/>
      <c r="E208" s="2"/>
      <c r="F208" s="2"/>
      <c r="G208" s="5"/>
      <c r="H208" s="5"/>
      <c r="I208" s="4"/>
      <c r="J208" s="6" t="str">
        <f t="shared" si="13"/>
        <v/>
      </c>
      <c r="K208" s="4" t="str">
        <f t="shared" ca="1" si="14"/>
        <v/>
      </c>
      <c r="L208" s="7" t="str">
        <f t="shared" ca="1" si="15"/>
        <v/>
      </c>
      <c r="M208" s="4" t="str">
        <f>IF($I208="Complete","Green",IF($H208="","Amber",IF($H208&lt;'[2]Read Me'!$B$4,"Red",IF($H208-'[2]Read Me'!$B$4&lt;=21,"Amber","Green"))))</f>
        <v>Amber</v>
      </c>
      <c r="N208" s="3"/>
      <c r="O208" t="str">
        <f>IF($I208&lt;&gt;"Complete",IF(COUNTIFS($A$4:$A207,$A208,$B$4:$B207,$B208,$I$4:$I207,"&lt;&gt;Complete")=0,$A208&amp;"|"&amp;$B208,""),"")</f>
        <v>|</v>
      </c>
      <c r="P208" t="str">
        <f ca="1">IF($K208="Yes",COUNTIFS($K$4:$K208,"Yes"),"")</f>
        <v/>
      </c>
      <c r="Q208">
        <f t="shared" ca="1" si="16"/>
        <v>0</v>
      </c>
      <c r="R208" t="str">
        <f ca="1">IF($Q208=1,SUM($Q$4:$Q208),"")</f>
        <v/>
      </c>
    </row>
    <row r="209" spans="1:18" ht="33.75" customHeight="1" x14ac:dyDescent="0.3">
      <c r="A209" s="2"/>
      <c r="B209" s="2"/>
      <c r="C209" s="3"/>
      <c r="D209" s="3"/>
      <c r="E209" s="2"/>
      <c r="F209" s="2"/>
      <c r="G209" s="5"/>
      <c r="H209" s="5"/>
      <c r="I209" s="4"/>
      <c r="J209" s="6" t="str">
        <f t="shared" si="13"/>
        <v/>
      </c>
      <c r="K209" s="4" t="str">
        <f t="shared" ca="1" si="14"/>
        <v/>
      </c>
      <c r="L209" s="7" t="str">
        <f t="shared" ca="1" si="15"/>
        <v/>
      </c>
      <c r="M209" s="4" t="str">
        <f>IF($I209="Complete","Green",IF($H209="","Amber",IF($H209&lt;'[2]Read Me'!$B$4,"Red",IF($H209-'[2]Read Me'!$B$4&lt;=21,"Amber","Green"))))</f>
        <v>Amber</v>
      </c>
      <c r="N209" s="3"/>
      <c r="O209" t="str">
        <f>IF($I209&lt;&gt;"Complete",IF(COUNTIFS($A$4:$A208,$A209,$B$4:$B208,$B209,$I$4:$I208,"&lt;&gt;Complete")=0,$A209&amp;"|"&amp;$B209,""),"")</f>
        <v>|</v>
      </c>
      <c r="P209" t="str">
        <f ca="1">IF($K209="Yes",COUNTIFS($K$4:$K209,"Yes"),"")</f>
        <v/>
      </c>
      <c r="Q209">
        <f t="shared" ca="1" si="16"/>
        <v>0</v>
      </c>
      <c r="R209" t="str">
        <f ca="1">IF($Q209=1,SUM($Q$4:$Q209),"")</f>
        <v/>
      </c>
    </row>
    <row r="210" spans="1:18" ht="33.75" customHeight="1" x14ac:dyDescent="0.3">
      <c r="A210" s="2"/>
      <c r="B210" s="2"/>
      <c r="C210" s="3"/>
      <c r="D210" s="3"/>
      <c r="E210" s="2"/>
      <c r="F210" s="2"/>
      <c r="G210" s="5"/>
      <c r="H210" s="5"/>
      <c r="I210" s="4"/>
      <c r="J210" s="6" t="str">
        <f t="shared" si="13"/>
        <v/>
      </c>
      <c r="K210" s="4" t="str">
        <f t="shared" ca="1" si="14"/>
        <v/>
      </c>
      <c r="L210" s="7" t="str">
        <f t="shared" ca="1" si="15"/>
        <v/>
      </c>
      <c r="M210" s="4" t="str">
        <f>IF($I210="Complete","Green",IF($H210="","Amber",IF($H210&lt;'[2]Read Me'!$B$4,"Red",IF($H210-'[2]Read Me'!$B$4&lt;=21,"Amber","Green"))))</f>
        <v>Amber</v>
      </c>
      <c r="N210" s="3"/>
      <c r="O210" t="str">
        <f>IF($I210&lt;&gt;"Complete",IF(COUNTIFS($A$4:$A209,$A210,$B$4:$B209,$B210,$I$4:$I209,"&lt;&gt;Complete")=0,$A210&amp;"|"&amp;$B210,""),"")</f>
        <v>|</v>
      </c>
      <c r="P210" t="str">
        <f ca="1">IF($K210="Yes",COUNTIFS($K$4:$K210,"Yes"),"")</f>
        <v/>
      </c>
      <c r="Q210">
        <f t="shared" ca="1" si="16"/>
        <v>0</v>
      </c>
      <c r="R210" t="str">
        <f ca="1">IF($Q210=1,SUM($Q$4:$Q210),"")</f>
        <v/>
      </c>
    </row>
    <row r="211" spans="1:18" ht="22.5" customHeight="1" x14ac:dyDescent="0.3">
      <c r="A211" s="2"/>
      <c r="B211" s="2"/>
      <c r="C211" s="3"/>
      <c r="D211" s="3"/>
      <c r="E211" s="2"/>
      <c r="F211" s="2"/>
      <c r="G211" s="5"/>
      <c r="H211" s="5"/>
      <c r="I211" s="4"/>
      <c r="J211" s="6" t="str">
        <f t="shared" si="13"/>
        <v/>
      </c>
      <c r="K211" s="4" t="str">
        <f t="shared" ca="1" si="14"/>
        <v/>
      </c>
      <c r="L211" s="7" t="str">
        <f t="shared" ca="1" si="15"/>
        <v/>
      </c>
      <c r="M211" s="4" t="str">
        <f>IF($I211="Complete","Green",IF($H211="","Amber",IF($H211&lt;'[2]Read Me'!$B$4,"Red",IF($H211-'[2]Read Me'!$B$4&lt;=21,"Amber","Green"))))</f>
        <v>Amber</v>
      </c>
      <c r="N211" s="3"/>
      <c r="O211" t="str">
        <f>IF($I211&lt;&gt;"Complete",IF(COUNTIFS($A$4:$A210,$A211,$B$4:$B210,$B211,$I$4:$I210,"&lt;&gt;Complete")=0,$A211&amp;"|"&amp;$B211,""),"")</f>
        <v>|</v>
      </c>
      <c r="P211" t="str">
        <f ca="1">IF($K211="Yes",COUNTIFS($K$4:$K211,"Yes"),"")</f>
        <v/>
      </c>
      <c r="Q211">
        <f t="shared" ca="1" si="16"/>
        <v>0</v>
      </c>
      <c r="R211" t="str">
        <f ca="1">IF($Q211=1,SUM($Q$4:$Q211),"")</f>
        <v/>
      </c>
    </row>
    <row r="212" spans="1:18" ht="22.5" customHeight="1" x14ac:dyDescent="0.3">
      <c r="A212" s="2"/>
      <c r="B212" s="2"/>
      <c r="C212" s="3"/>
      <c r="D212" s="3"/>
      <c r="E212" s="2"/>
      <c r="F212" s="2"/>
      <c r="G212" s="5"/>
      <c r="H212" s="5"/>
      <c r="I212" s="4"/>
      <c r="J212" s="6" t="str">
        <f t="shared" si="13"/>
        <v/>
      </c>
      <c r="K212" s="4" t="str">
        <f t="shared" ca="1" si="14"/>
        <v/>
      </c>
      <c r="L212" s="7" t="str">
        <f t="shared" ca="1" si="15"/>
        <v/>
      </c>
      <c r="M212" s="4" t="str">
        <f>IF($I212="Complete","Green",IF($H212="","Amber",IF($H212&lt;'[2]Read Me'!$B$4,"Red",IF($H212-'[2]Read Me'!$B$4&lt;=21,"Amber","Green"))))</f>
        <v>Amber</v>
      </c>
      <c r="N212" s="3"/>
      <c r="O212" t="str">
        <f>IF($I212&lt;&gt;"Complete",IF(COUNTIFS($A$4:$A211,$A212,$B$4:$B211,$B212,$I$4:$I211,"&lt;&gt;Complete")=0,$A212&amp;"|"&amp;$B212,""),"")</f>
        <v>|</v>
      </c>
      <c r="P212" t="str">
        <f ca="1">IF($K212="Yes",COUNTIFS($K$4:$K212,"Yes"),"")</f>
        <v/>
      </c>
      <c r="Q212">
        <f t="shared" ca="1" si="16"/>
        <v>0</v>
      </c>
      <c r="R212" t="str">
        <f ca="1">IF($Q212=1,SUM($Q$4:$Q212),"")</f>
        <v/>
      </c>
    </row>
    <row r="213" spans="1:18" ht="22.5" customHeight="1" x14ac:dyDescent="0.3">
      <c r="A213" s="2"/>
      <c r="B213" s="2"/>
      <c r="C213" s="3"/>
      <c r="D213" s="3"/>
      <c r="E213" s="2"/>
      <c r="F213" s="2"/>
      <c r="G213" s="5"/>
      <c r="H213" s="5"/>
      <c r="I213" s="4"/>
      <c r="J213" s="6" t="str">
        <f t="shared" si="13"/>
        <v/>
      </c>
      <c r="K213" s="4" t="str">
        <f t="shared" ca="1" si="14"/>
        <v/>
      </c>
      <c r="L213" s="7" t="str">
        <f t="shared" ca="1" si="15"/>
        <v/>
      </c>
      <c r="M213" s="4" t="str">
        <f>IF($I213="Complete","Green",IF($H213="","Amber",IF($H213&lt;'[2]Read Me'!$B$4,"Red",IF($H213-'[2]Read Me'!$B$4&lt;=21,"Amber","Green"))))</f>
        <v>Amber</v>
      </c>
      <c r="N213" s="3"/>
      <c r="O213" t="str">
        <f>IF($I213&lt;&gt;"Complete",IF(COUNTIFS($A$4:$A212,$A213,$B$4:$B212,$B213,$I$4:$I212,"&lt;&gt;Complete")=0,$A213&amp;"|"&amp;$B213,""),"")</f>
        <v>|</v>
      </c>
      <c r="P213" t="str">
        <f ca="1">IF($K213="Yes",COUNTIFS($K$4:$K213,"Yes"),"")</f>
        <v/>
      </c>
      <c r="Q213">
        <f t="shared" ca="1" si="16"/>
        <v>0</v>
      </c>
      <c r="R213" t="str">
        <f ca="1">IF($Q213=1,SUM($Q$4:$Q213),"")</f>
        <v/>
      </c>
    </row>
    <row r="214" spans="1:18" ht="22.5" customHeight="1" x14ac:dyDescent="0.3">
      <c r="A214" s="2"/>
      <c r="B214" s="2"/>
      <c r="C214" s="3"/>
      <c r="D214" s="3"/>
      <c r="E214" s="2"/>
      <c r="F214" s="2"/>
      <c r="G214" s="5"/>
      <c r="H214" s="5"/>
      <c r="I214" s="4"/>
      <c r="J214" s="6" t="str">
        <f t="shared" si="13"/>
        <v/>
      </c>
      <c r="K214" s="4" t="str">
        <f t="shared" ca="1" si="14"/>
        <v/>
      </c>
      <c r="L214" s="7" t="str">
        <f t="shared" ca="1" si="15"/>
        <v/>
      </c>
      <c r="M214" s="4" t="str">
        <f>IF($I214="Complete","Green",IF($H214="","Amber",IF($H214&lt;'[2]Read Me'!$B$4,"Red",IF($H214-'[2]Read Me'!$B$4&lt;=21,"Amber","Green"))))</f>
        <v>Amber</v>
      </c>
      <c r="N214" s="3"/>
      <c r="O214" t="str">
        <f>IF($I214&lt;&gt;"Complete",IF(COUNTIFS($A$4:$A213,$A214,$B$4:$B213,$B214,$I$4:$I213,"&lt;&gt;Complete")=0,$A214&amp;"|"&amp;$B214,""),"")</f>
        <v>|</v>
      </c>
      <c r="P214" t="str">
        <f ca="1">IF($K214="Yes",COUNTIFS($K$4:$K214,"Yes"),"")</f>
        <v/>
      </c>
      <c r="Q214">
        <f t="shared" ca="1" si="16"/>
        <v>0</v>
      </c>
      <c r="R214" t="str">
        <f ca="1">IF($Q214=1,SUM($Q$4:$Q214),"")</f>
        <v/>
      </c>
    </row>
    <row r="215" spans="1:18" ht="22.5" customHeight="1" x14ac:dyDescent="0.3">
      <c r="A215" s="2"/>
      <c r="B215" s="2"/>
      <c r="C215" s="3"/>
      <c r="D215" s="3"/>
      <c r="E215" s="2"/>
      <c r="F215" s="2"/>
      <c r="G215" s="5"/>
      <c r="H215" s="5"/>
      <c r="I215" s="4"/>
      <c r="J215" s="6" t="str">
        <f t="shared" si="13"/>
        <v/>
      </c>
      <c r="K215" s="4" t="str">
        <f t="shared" ca="1" si="14"/>
        <v/>
      </c>
      <c r="L215" s="7" t="str">
        <f t="shared" ca="1" si="15"/>
        <v/>
      </c>
      <c r="M215" s="4" t="str">
        <f>IF($I215="Complete","Green",IF($H215="","Amber",IF($H215&lt;'[2]Read Me'!$B$4,"Red",IF($H215-'[2]Read Me'!$B$4&lt;=21,"Amber","Green"))))</f>
        <v>Amber</v>
      </c>
      <c r="N215" s="3"/>
      <c r="O215" t="str">
        <f>IF($I215&lt;&gt;"Complete",IF(COUNTIFS($A$4:$A214,$A215,$B$4:$B214,$B215,$I$4:$I214,"&lt;&gt;Complete")=0,$A215&amp;"|"&amp;$B215,""),"")</f>
        <v>|</v>
      </c>
      <c r="P215" t="str">
        <f ca="1">IF($K215="Yes",COUNTIFS($K$4:$K215,"Yes"),"")</f>
        <v/>
      </c>
      <c r="Q215">
        <f t="shared" ca="1" si="16"/>
        <v>0</v>
      </c>
      <c r="R215" t="str">
        <f ca="1">IF($Q215=1,SUM($Q$4:$Q215),"")</f>
        <v/>
      </c>
    </row>
    <row r="216" spans="1:18" ht="22.5" customHeight="1" x14ac:dyDescent="0.3">
      <c r="A216" s="2"/>
      <c r="B216" s="2"/>
      <c r="C216" s="3"/>
      <c r="D216" s="3"/>
      <c r="E216" s="2"/>
      <c r="F216" s="2"/>
      <c r="G216" s="5"/>
      <c r="H216" s="5"/>
      <c r="I216" s="4"/>
      <c r="J216" s="6" t="str">
        <f t="shared" si="13"/>
        <v/>
      </c>
      <c r="K216" s="4" t="str">
        <f t="shared" ca="1" si="14"/>
        <v/>
      </c>
      <c r="L216" s="7" t="str">
        <f t="shared" ca="1" si="15"/>
        <v/>
      </c>
      <c r="M216" s="4" t="str">
        <f>IF($I216="Complete","Green",IF($H216="","Amber",IF($H216&lt;'[2]Read Me'!$B$4,"Red",IF($H216-'[2]Read Me'!$B$4&lt;=21,"Amber","Green"))))</f>
        <v>Amber</v>
      </c>
      <c r="N216" s="3"/>
      <c r="O216" t="str">
        <f>IF($I216&lt;&gt;"Complete",IF(COUNTIFS($A$4:$A215,$A216,$B$4:$B215,$B216,$I$4:$I215,"&lt;&gt;Complete")=0,$A216&amp;"|"&amp;$B216,""),"")</f>
        <v>|</v>
      </c>
      <c r="P216" t="str">
        <f ca="1">IF($K216="Yes",COUNTIFS($K$4:$K216,"Yes"),"")</f>
        <v/>
      </c>
      <c r="Q216">
        <f t="shared" ca="1" si="16"/>
        <v>0</v>
      </c>
      <c r="R216" t="str">
        <f ca="1">IF($Q216=1,SUM($Q$4:$Q216),"")</f>
        <v/>
      </c>
    </row>
    <row r="217" spans="1:18" ht="22.5" customHeight="1" x14ac:dyDescent="0.3">
      <c r="A217" s="2"/>
      <c r="B217" s="2"/>
      <c r="C217" s="3"/>
      <c r="D217" s="3"/>
      <c r="E217" s="2"/>
      <c r="F217" s="2"/>
      <c r="G217" s="5"/>
      <c r="H217" s="5"/>
      <c r="I217" s="4"/>
      <c r="J217" s="6" t="str">
        <f t="shared" si="13"/>
        <v/>
      </c>
      <c r="K217" s="4" t="str">
        <f t="shared" ca="1" si="14"/>
        <v/>
      </c>
      <c r="L217" s="7" t="str">
        <f t="shared" ca="1" si="15"/>
        <v/>
      </c>
      <c r="M217" s="4" t="str">
        <f>IF($I217="Complete","Green",IF($H217="","Amber",IF($H217&lt;'[2]Read Me'!$B$4,"Red",IF($H217-'[2]Read Me'!$B$4&lt;=21,"Amber","Green"))))</f>
        <v>Amber</v>
      </c>
      <c r="N217" s="3"/>
      <c r="O217" t="str">
        <f>IF($I217&lt;&gt;"Complete",IF(COUNTIFS($A$4:$A216,$A217,$B$4:$B216,$B217,$I$4:$I216,"&lt;&gt;Complete")=0,$A217&amp;"|"&amp;$B217,""),"")</f>
        <v>|</v>
      </c>
      <c r="P217" t="str">
        <f ca="1">IF($K217="Yes",COUNTIFS($K$4:$K217,"Yes"),"")</f>
        <v/>
      </c>
      <c r="Q217">
        <f t="shared" ca="1" si="16"/>
        <v>0</v>
      </c>
      <c r="R217" t="str">
        <f ca="1">IF($Q217=1,SUM($Q$4:$Q217),"")</f>
        <v/>
      </c>
    </row>
    <row r="218" spans="1:18" ht="22.5" customHeight="1" x14ac:dyDescent="0.3">
      <c r="A218" s="2"/>
      <c r="B218" s="2"/>
      <c r="C218" s="3"/>
      <c r="D218" s="3"/>
      <c r="E218" s="2"/>
      <c r="F218" s="2"/>
      <c r="G218" s="5"/>
      <c r="H218" s="5"/>
      <c r="I218" s="4"/>
      <c r="J218" s="6" t="str">
        <f t="shared" si="13"/>
        <v/>
      </c>
      <c r="K218" s="4" t="str">
        <f t="shared" ca="1" si="14"/>
        <v/>
      </c>
      <c r="L218" s="7" t="str">
        <f t="shared" ca="1" si="15"/>
        <v/>
      </c>
      <c r="M218" s="4" t="str">
        <f>IF($I218="Complete","Green",IF($H218="","Amber",IF($H218&lt;'[2]Read Me'!$B$4,"Red",IF($H218-'[2]Read Me'!$B$4&lt;=21,"Amber","Green"))))</f>
        <v>Amber</v>
      </c>
      <c r="N218" s="3"/>
      <c r="O218" t="str">
        <f>IF($I218&lt;&gt;"Complete",IF(COUNTIFS($A$4:$A217,$A218,$B$4:$B217,$B218,$I$4:$I217,"&lt;&gt;Complete")=0,$A218&amp;"|"&amp;$B218,""),"")</f>
        <v>|</v>
      </c>
      <c r="P218" t="str">
        <f ca="1">IF($K218="Yes",COUNTIFS($K$4:$K218,"Yes"),"")</f>
        <v/>
      </c>
      <c r="Q218">
        <f t="shared" ca="1" si="16"/>
        <v>0</v>
      </c>
      <c r="R218" t="str">
        <f ca="1">IF($Q218=1,SUM($Q$4:$Q218),"")</f>
        <v/>
      </c>
    </row>
    <row r="219" spans="1:18" ht="22.5" customHeight="1" x14ac:dyDescent="0.3">
      <c r="A219" s="2"/>
      <c r="B219" s="2"/>
      <c r="C219" s="3"/>
      <c r="D219" s="3"/>
      <c r="E219" s="2"/>
      <c r="F219" s="2"/>
      <c r="G219" s="5"/>
      <c r="H219" s="5"/>
      <c r="I219" s="4"/>
      <c r="J219" s="6" t="str">
        <f t="shared" si="13"/>
        <v/>
      </c>
      <c r="K219" s="4" t="str">
        <f t="shared" ca="1" si="14"/>
        <v/>
      </c>
      <c r="L219" s="7" t="str">
        <f t="shared" ca="1" si="15"/>
        <v/>
      </c>
      <c r="M219" s="4" t="str">
        <f>IF($I219="Complete","Green",IF($H219="","Amber",IF($H219&lt;'[2]Read Me'!$B$4,"Red",IF($H219-'[2]Read Me'!$B$4&lt;=21,"Amber","Green"))))</f>
        <v>Amber</v>
      </c>
      <c r="N219" s="3"/>
      <c r="O219" t="str">
        <f>IF($I219&lt;&gt;"Complete",IF(COUNTIFS($A$4:$A218,$A219,$B$4:$B218,$B219,$I$4:$I218,"&lt;&gt;Complete")=0,$A219&amp;"|"&amp;$B219,""),"")</f>
        <v>|</v>
      </c>
      <c r="P219" t="str">
        <f ca="1">IF($K219="Yes",COUNTIFS($K$4:$K219,"Yes"),"")</f>
        <v/>
      </c>
      <c r="Q219">
        <f t="shared" ca="1" si="16"/>
        <v>0</v>
      </c>
      <c r="R219" t="str">
        <f ca="1">IF($Q219=1,SUM($Q$4:$Q219),"")</f>
        <v/>
      </c>
    </row>
    <row r="220" spans="1:18" ht="22.5" customHeight="1" x14ac:dyDescent="0.3">
      <c r="A220" s="2"/>
      <c r="B220" s="2"/>
      <c r="C220" s="3"/>
      <c r="D220" s="3"/>
      <c r="E220" s="2"/>
      <c r="F220" s="2"/>
      <c r="G220" s="5"/>
      <c r="H220" s="5"/>
      <c r="I220" s="4"/>
      <c r="J220" s="6" t="str">
        <f t="shared" si="13"/>
        <v/>
      </c>
      <c r="K220" s="4" t="str">
        <f t="shared" ca="1" si="14"/>
        <v/>
      </c>
      <c r="L220" s="7" t="str">
        <f t="shared" ca="1" si="15"/>
        <v/>
      </c>
      <c r="M220" s="4" t="str">
        <f>IF($I220="Complete","Green",IF($H220="","Amber",IF($H220&lt;'[2]Read Me'!$B$4,"Red",IF($H220-'[2]Read Me'!$B$4&lt;=21,"Amber","Green"))))</f>
        <v>Amber</v>
      </c>
      <c r="N220" s="3"/>
      <c r="O220" t="str">
        <f>IF($I220&lt;&gt;"Complete",IF(COUNTIFS($A$4:$A219,$A220,$B$4:$B219,$B220,$I$4:$I219,"&lt;&gt;Complete")=0,$A220&amp;"|"&amp;$B220,""),"")</f>
        <v>|</v>
      </c>
      <c r="P220" t="str">
        <f ca="1">IF($K220="Yes",COUNTIFS($K$4:$K220,"Yes"),"")</f>
        <v/>
      </c>
      <c r="Q220">
        <f t="shared" ca="1" si="16"/>
        <v>0</v>
      </c>
      <c r="R220" t="str">
        <f ca="1">IF($Q220=1,SUM($Q$4:$Q220),"")</f>
        <v/>
      </c>
    </row>
    <row r="221" spans="1:18" ht="22.5" customHeight="1" x14ac:dyDescent="0.3">
      <c r="A221" s="2"/>
      <c r="B221" s="2"/>
      <c r="C221" s="3"/>
      <c r="D221" s="3"/>
      <c r="E221" s="2"/>
      <c r="F221" s="2"/>
      <c r="G221" s="5"/>
      <c r="H221" s="5"/>
      <c r="I221" s="4"/>
      <c r="J221" s="6" t="str">
        <f t="shared" si="13"/>
        <v/>
      </c>
      <c r="K221" s="4" t="str">
        <f t="shared" ca="1" si="14"/>
        <v/>
      </c>
      <c r="L221" s="7" t="str">
        <f t="shared" ca="1" si="15"/>
        <v/>
      </c>
      <c r="M221" s="4" t="str">
        <f>IF($I221="Complete","Green",IF($H221="","Amber",IF($H221&lt;'[2]Read Me'!$B$4,"Red",IF($H221-'[2]Read Me'!$B$4&lt;=21,"Amber","Green"))))</f>
        <v>Amber</v>
      </c>
      <c r="N221" s="3"/>
      <c r="O221" t="str">
        <f>IF($I221&lt;&gt;"Complete",IF(COUNTIFS($A$4:$A220,$A221,$B$4:$B220,$B221,$I$4:$I220,"&lt;&gt;Complete")=0,$A221&amp;"|"&amp;$B221,""),"")</f>
        <v>|</v>
      </c>
      <c r="P221" t="str">
        <f ca="1">IF($K221="Yes",COUNTIFS($K$4:$K221,"Yes"),"")</f>
        <v/>
      </c>
      <c r="Q221">
        <f t="shared" ca="1" si="16"/>
        <v>0</v>
      </c>
      <c r="R221" t="str">
        <f ca="1">IF($Q221=1,SUM($Q$4:$Q221),"")</f>
        <v/>
      </c>
    </row>
    <row r="222" spans="1:18" ht="22.5" customHeight="1" x14ac:dyDescent="0.3">
      <c r="A222" s="2"/>
      <c r="B222" s="2"/>
      <c r="C222" s="3"/>
      <c r="D222" s="3"/>
      <c r="E222" s="2"/>
      <c r="F222" s="2"/>
      <c r="G222" s="5"/>
      <c r="H222" s="5"/>
      <c r="I222" s="4"/>
      <c r="J222" s="6" t="str">
        <f t="shared" si="13"/>
        <v/>
      </c>
      <c r="K222" s="4" t="str">
        <f t="shared" ca="1" si="14"/>
        <v/>
      </c>
      <c r="L222" s="7" t="str">
        <f t="shared" ca="1" si="15"/>
        <v/>
      </c>
      <c r="M222" s="4" t="str">
        <f>IF($I222="Complete","Green",IF($H222="","Amber",IF($H222&lt;'[2]Read Me'!$B$4,"Red",IF($H222-'[2]Read Me'!$B$4&lt;=21,"Amber","Green"))))</f>
        <v>Amber</v>
      </c>
      <c r="N222" s="3"/>
      <c r="O222" t="str">
        <f>IF($I222&lt;&gt;"Complete",IF(COUNTIFS($A$4:$A221,$A222,$B$4:$B221,$B222,$I$4:$I221,"&lt;&gt;Complete")=0,$A222&amp;"|"&amp;$B222,""),"")</f>
        <v>|</v>
      </c>
      <c r="P222" t="str">
        <f ca="1">IF($K222="Yes",COUNTIFS($K$4:$K222,"Yes"),"")</f>
        <v/>
      </c>
      <c r="Q222">
        <f t="shared" ca="1" si="16"/>
        <v>0</v>
      </c>
      <c r="R222" t="str">
        <f ca="1">IF($Q222=1,SUM($Q$4:$Q222),"")</f>
        <v/>
      </c>
    </row>
    <row r="223" spans="1:18" ht="22.5" customHeight="1" x14ac:dyDescent="0.3">
      <c r="A223" s="2"/>
      <c r="B223" s="2"/>
      <c r="C223" s="3"/>
      <c r="D223" s="3"/>
      <c r="E223" s="2"/>
      <c r="F223" s="2"/>
      <c r="G223" s="5"/>
      <c r="H223" s="5"/>
      <c r="I223" s="4"/>
      <c r="J223" s="6" t="str">
        <f t="shared" si="13"/>
        <v/>
      </c>
      <c r="K223" s="4" t="str">
        <f t="shared" ca="1" si="14"/>
        <v/>
      </c>
      <c r="L223" s="7" t="str">
        <f t="shared" ca="1" si="15"/>
        <v/>
      </c>
      <c r="M223" s="4" t="str">
        <f>IF($I223="Complete","Green",IF($H223="","Amber",IF($H223&lt;'[2]Read Me'!$B$4,"Red",IF($H223-'[2]Read Me'!$B$4&lt;=21,"Amber","Green"))))</f>
        <v>Amber</v>
      </c>
      <c r="N223" s="3"/>
      <c r="O223" t="str">
        <f>IF($I223&lt;&gt;"Complete",IF(COUNTIFS($A$4:$A222,$A223,$B$4:$B222,$B223,$I$4:$I222,"&lt;&gt;Complete")=0,$A223&amp;"|"&amp;$B223,""),"")</f>
        <v>|</v>
      </c>
      <c r="P223" t="str">
        <f ca="1">IF($K223="Yes",COUNTIFS($K$4:$K223,"Yes"),"")</f>
        <v/>
      </c>
      <c r="Q223">
        <f t="shared" ca="1" si="16"/>
        <v>0</v>
      </c>
      <c r="R223" t="str">
        <f ca="1">IF($Q223=1,SUM($Q$4:$Q223),"")</f>
        <v/>
      </c>
    </row>
    <row r="224" spans="1:18" ht="22.5" customHeight="1" x14ac:dyDescent="0.3">
      <c r="A224" s="2"/>
      <c r="B224" s="2"/>
      <c r="C224" s="3"/>
      <c r="D224" s="3"/>
      <c r="E224" s="2"/>
      <c r="F224" s="2"/>
      <c r="G224" s="5"/>
      <c r="H224" s="5"/>
      <c r="I224" s="4"/>
      <c r="J224" s="6" t="str">
        <f t="shared" si="13"/>
        <v/>
      </c>
      <c r="K224" s="4" t="str">
        <f t="shared" ca="1" si="14"/>
        <v/>
      </c>
      <c r="L224" s="7" t="str">
        <f t="shared" ca="1" si="15"/>
        <v/>
      </c>
      <c r="M224" s="4" t="str">
        <f>IF($I224="Complete","Green",IF($H224="","Amber",IF($H224&lt;'[2]Read Me'!$B$4,"Red",IF($H224-'[2]Read Me'!$B$4&lt;=21,"Amber","Green"))))</f>
        <v>Amber</v>
      </c>
      <c r="N224" s="3"/>
      <c r="O224" t="str">
        <f>IF($I224&lt;&gt;"Complete",IF(COUNTIFS($A$4:$A223,$A224,$B$4:$B223,$B224,$I$4:$I223,"&lt;&gt;Complete")=0,$A224&amp;"|"&amp;$B224,""),"")</f>
        <v>|</v>
      </c>
      <c r="P224" t="str">
        <f ca="1">IF($K224="Yes",COUNTIFS($K$4:$K224,"Yes"),"")</f>
        <v/>
      </c>
      <c r="Q224">
        <f t="shared" ca="1" si="16"/>
        <v>0</v>
      </c>
      <c r="R224" t="str">
        <f ca="1">IF($Q224=1,SUM($Q$4:$Q224),"")</f>
        <v/>
      </c>
    </row>
    <row r="225" spans="1:18" ht="22.5" customHeight="1" x14ac:dyDescent="0.3">
      <c r="A225" s="2"/>
      <c r="B225" s="2"/>
      <c r="C225" s="3"/>
      <c r="D225" s="3"/>
      <c r="E225" s="2"/>
      <c r="F225" s="2"/>
      <c r="G225" s="5"/>
      <c r="H225" s="5"/>
      <c r="I225" s="4"/>
      <c r="J225" s="6" t="str">
        <f t="shared" si="13"/>
        <v/>
      </c>
      <c r="K225" s="4" t="str">
        <f t="shared" ca="1" si="14"/>
        <v/>
      </c>
      <c r="L225" s="7" t="str">
        <f t="shared" ca="1" si="15"/>
        <v/>
      </c>
      <c r="M225" s="4" t="str">
        <f>IF($I225="Complete","Green",IF($H225="","Amber",IF($H225&lt;'[2]Read Me'!$B$4,"Red",IF($H225-'[2]Read Me'!$B$4&lt;=21,"Amber","Green"))))</f>
        <v>Amber</v>
      </c>
      <c r="N225" s="3"/>
      <c r="O225" t="str">
        <f>IF($I225&lt;&gt;"Complete",IF(COUNTIFS($A$4:$A224,$A225,$B$4:$B224,$B225,$I$4:$I224,"&lt;&gt;Complete")=0,$A225&amp;"|"&amp;$B225,""),"")</f>
        <v>|</v>
      </c>
      <c r="P225" t="str">
        <f ca="1">IF($K225="Yes",COUNTIFS($K$4:$K225,"Yes"),"")</f>
        <v/>
      </c>
      <c r="Q225">
        <f t="shared" ca="1" si="16"/>
        <v>0</v>
      </c>
      <c r="R225" t="str">
        <f ca="1">IF($Q225=1,SUM($Q$4:$Q225),"")</f>
        <v/>
      </c>
    </row>
    <row r="226" spans="1:18" ht="22.5" customHeight="1" x14ac:dyDescent="0.3">
      <c r="A226" s="2"/>
      <c r="B226" s="2"/>
      <c r="C226" s="3"/>
      <c r="D226" s="3"/>
      <c r="E226" s="2"/>
      <c r="F226" s="2"/>
      <c r="G226" s="5"/>
      <c r="H226" s="5"/>
      <c r="I226" s="4"/>
      <c r="J226" s="6" t="str">
        <f t="shared" si="13"/>
        <v/>
      </c>
      <c r="K226" s="4" t="str">
        <f t="shared" ca="1" si="14"/>
        <v/>
      </c>
      <c r="L226" s="7" t="str">
        <f t="shared" ca="1" si="15"/>
        <v/>
      </c>
      <c r="M226" s="4" t="str">
        <f>IF($I226="Complete","Green",IF($H226="","Amber",IF($H226&lt;'[2]Read Me'!$B$4,"Red",IF($H226-'[2]Read Me'!$B$4&lt;=21,"Amber","Green"))))</f>
        <v>Amber</v>
      </c>
      <c r="N226" s="3"/>
      <c r="O226" t="str">
        <f>IF($I226&lt;&gt;"Complete",IF(COUNTIFS($A$4:$A225,$A226,$B$4:$B225,$B226,$I$4:$I225,"&lt;&gt;Complete")=0,$A226&amp;"|"&amp;$B226,""),"")</f>
        <v>|</v>
      </c>
      <c r="P226" t="str">
        <f ca="1">IF($K226="Yes",COUNTIFS($K$4:$K226,"Yes"),"")</f>
        <v/>
      </c>
      <c r="Q226">
        <f t="shared" ca="1" si="16"/>
        <v>0</v>
      </c>
      <c r="R226" t="str">
        <f ca="1">IF($Q226=1,SUM($Q$4:$Q226),"")</f>
        <v/>
      </c>
    </row>
    <row r="227" spans="1:18" ht="22.5" customHeight="1" x14ac:dyDescent="0.3">
      <c r="A227" s="2"/>
      <c r="B227" s="2"/>
      <c r="C227" s="3"/>
      <c r="D227" s="3"/>
      <c r="E227" s="2"/>
      <c r="F227" s="2"/>
      <c r="G227" s="5"/>
      <c r="H227" s="5"/>
      <c r="I227" s="4"/>
      <c r="J227" s="6" t="str">
        <f t="shared" si="13"/>
        <v/>
      </c>
      <c r="K227" s="4" t="str">
        <f t="shared" ca="1" si="14"/>
        <v/>
      </c>
      <c r="L227" s="7" t="str">
        <f t="shared" ca="1" si="15"/>
        <v/>
      </c>
      <c r="M227" s="4" t="str">
        <f>IF($I227="Complete","Green",IF($H227="","Amber",IF($H227&lt;'[2]Read Me'!$B$4,"Red",IF($H227-'[2]Read Me'!$B$4&lt;=21,"Amber","Green"))))</f>
        <v>Amber</v>
      </c>
      <c r="N227" s="3"/>
      <c r="O227" t="str">
        <f>IF($I227&lt;&gt;"Complete",IF(COUNTIFS($A$4:$A226,$A227,$B$4:$B226,$B227,$I$4:$I226,"&lt;&gt;Complete")=0,$A227&amp;"|"&amp;$B227,""),"")</f>
        <v>|</v>
      </c>
      <c r="P227" t="str">
        <f ca="1">IF($K227="Yes",COUNTIFS($K$4:$K227,"Yes"),"")</f>
        <v/>
      </c>
      <c r="Q227">
        <f t="shared" ca="1" si="16"/>
        <v>0</v>
      </c>
      <c r="R227" t="str">
        <f ca="1">IF($Q227=1,SUM($Q$4:$Q227),"")</f>
        <v/>
      </c>
    </row>
    <row r="228" spans="1:18" ht="22.5" customHeight="1" x14ac:dyDescent="0.3">
      <c r="A228" s="2"/>
      <c r="B228" s="2"/>
      <c r="C228" s="3"/>
      <c r="D228" s="3"/>
      <c r="E228" s="2"/>
      <c r="F228" s="2"/>
      <c r="G228" s="5"/>
      <c r="H228" s="5"/>
      <c r="I228" s="4"/>
      <c r="J228" s="6" t="str">
        <f t="shared" si="13"/>
        <v/>
      </c>
      <c r="K228" s="4" t="str">
        <f t="shared" ca="1" si="14"/>
        <v/>
      </c>
      <c r="L228" s="7" t="str">
        <f t="shared" ca="1" si="15"/>
        <v/>
      </c>
      <c r="M228" s="4" t="str">
        <f>IF($I228="Complete","Green",IF($H228="","Amber",IF($H228&lt;'[2]Read Me'!$B$4,"Red",IF($H228-'[2]Read Me'!$B$4&lt;=21,"Amber","Green"))))</f>
        <v>Amber</v>
      </c>
      <c r="N228" s="3"/>
      <c r="O228" t="str">
        <f>IF($I228&lt;&gt;"Complete",IF(COUNTIFS($A$4:$A227,$A228,$B$4:$B227,$B228,$I$4:$I227,"&lt;&gt;Complete")=0,$A228&amp;"|"&amp;$B228,""),"")</f>
        <v>|</v>
      </c>
      <c r="P228" t="str">
        <f ca="1">IF($K228="Yes",COUNTIFS($K$4:$K228,"Yes"),"")</f>
        <v/>
      </c>
      <c r="Q228">
        <f t="shared" ca="1" si="16"/>
        <v>0</v>
      </c>
      <c r="R228" t="str">
        <f ca="1">IF($Q228=1,SUM($Q$4:$Q228),"")</f>
        <v/>
      </c>
    </row>
    <row r="229" spans="1:18" ht="22.5" customHeight="1" x14ac:dyDescent="0.3">
      <c r="A229" s="2"/>
      <c r="B229" s="2"/>
      <c r="C229" s="3"/>
      <c r="D229" s="3"/>
      <c r="E229" s="2"/>
      <c r="F229" s="2"/>
      <c r="G229" s="5"/>
      <c r="H229" s="5"/>
      <c r="I229" s="4"/>
      <c r="J229" s="6" t="str">
        <f t="shared" si="13"/>
        <v/>
      </c>
      <c r="K229" s="4" t="str">
        <f t="shared" ca="1" si="14"/>
        <v/>
      </c>
      <c r="L229" s="7" t="str">
        <f t="shared" ca="1" si="15"/>
        <v/>
      </c>
      <c r="M229" s="4" t="str">
        <f>IF($I229="Complete","Green",IF($H229="","Amber",IF($H229&lt;'[2]Read Me'!$B$4,"Red",IF($H229-'[2]Read Me'!$B$4&lt;=21,"Amber","Green"))))</f>
        <v>Amber</v>
      </c>
      <c r="N229" s="3"/>
      <c r="O229" t="str">
        <f>IF($I229&lt;&gt;"Complete",IF(COUNTIFS($A$4:$A228,$A229,$B$4:$B228,$B229,$I$4:$I228,"&lt;&gt;Complete")=0,$A229&amp;"|"&amp;$B229,""),"")</f>
        <v>|</v>
      </c>
      <c r="P229" t="str">
        <f ca="1">IF($K229="Yes",COUNTIFS($K$4:$K229,"Yes"),"")</f>
        <v/>
      </c>
      <c r="Q229">
        <f t="shared" ca="1" si="16"/>
        <v>0</v>
      </c>
      <c r="R229" t="str">
        <f ca="1">IF($Q229=1,SUM($Q$4:$Q229),"")</f>
        <v/>
      </c>
    </row>
    <row r="230" spans="1:18" ht="22.5" customHeight="1" x14ac:dyDescent="0.3">
      <c r="A230" s="2"/>
      <c r="B230" s="2"/>
      <c r="C230" s="3"/>
      <c r="D230" s="3"/>
      <c r="E230" s="2"/>
      <c r="F230" s="2"/>
      <c r="G230" s="5"/>
      <c r="H230" s="5"/>
      <c r="I230" s="4"/>
      <c r="J230" s="6" t="str">
        <f t="shared" si="13"/>
        <v/>
      </c>
      <c r="K230" s="4" t="str">
        <f t="shared" ca="1" si="14"/>
        <v/>
      </c>
      <c r="L230" s="7" t="str">
        <f t="shared" ca="1" si="15"/>
        <v/>
      </c>
      <c r="M230" s="4" t="str">
        <f>IF($I230="Complete","Green",IF($H230="","Amber",IF($H230&lt;'[2]Read Me'!$B$4,"Red",IF($H230-'[2]Read Me'!$B$4&lt;=21,"Amber","Green"))))</f>
        <v>Amber</v>
      </c>
      <c r="N230" s="3"/>
      <c r="O230" t="str">
        <f>IF($I230&lt;&gt;"Complete",IF(COUNTIFS($A$4:$A229,$A230,$B$4:$B229,$B230,$I$4:$I229,"&lt;&gt;Complete")=0,$A230&amp;"|"&amp;$B230,""),"")</f>
        <v>|</v>
      </c>
      <c r="P230" t="str">
        <f ca="1">IF($K230="Yes",COUNTIFS($K$4:$K230,"Yes"),"")</f>
        <v/>
      </c>
      <c r="Q230">
        <f t="shared" ca="1" si="16"/>
        <v>0</v>
      </c>
      <c r="R230" t="str">
        <f ca="1">IF($Q230=1,SUM($Q$4:$Q230),"")</f>
        <v/>
      </c>
    </row>
    <row r="231" spans="1:18" ht="22.5" customHeight="1" x14ac:dyDescent="0.3">
      <c r="A231" s="2"/>
      <c r="B231" s="2"/>
      <c r="C231" s="3"/>
      <c r="D231" s="3"/>
      <c r="E231" s="2"/>
      <c r="F231" s="2"/>
      <c r="G231" s="5"/>
      <c r="H231" s="5"/>
      <c r="I231" s="4"/>
      <c r="J231" s="6" t="str">
        <f t="shared" si="13"/>
        <v/>
      </c>
      <c r="K231" s="4" t="str">
        <f t="shared" ca="1" si="14"/>
        <v/>
      </c>
      <c r="L231" s="7" t="str">
        <f t="shared" ca="1" si="15"/>
        <v/>
      </c>
      <c r="M231" s="4" t="str">
        <f>IF($I231="Complete","Green",IF($H231="","Amber",IF($H231&lt;'[2]Read Me'!$B$4,"Red",IF($H231-'[2]Read Me'!$B$4&lt;=21,"Amber","Green"))))</f>
        <v>Amber</v>
      </c>
      <c r="N231" s="3"/>
      <c r="O231" t="str">
        <f>IF($I231&lt;&gt;"Complete",IF(COUNTIFS($A$4:$A230,$A231,$B$4:$B230,$B231,$I$4:$I230,"&lt;&gt;Complete")=0,$A231&amp;"|"&amp;$B231,""),"")</f>
        <v>|</v>
      </c>
      <c r="P231" t="str">
        <f ca="1">IF($K231="Yes",COUNTIFS($K$4:$K231,"Yes"),"")</f>
        <v/>
      </c>
      <c r="Q231">
        <f t="shared" ca="1" si="16"/>
        <v>0</v>
      </c>
      <c r="R231" t="str">
        <f ca="1">IF($Q231=1,SUM($Q$4:$Q231),"")</f>
        <v/>
      </c>
    </row>
    <row r="232" spans="1:18" ht="22.5" customHeight="1" x14ac:dyDescent="0.3">
      <c r="A232" s="2"/>
      <c r="B232" s="2"/>
      <c r="C232" s="3"/>
      <c r="D232" s="3"/>
      <c r="E232" s="2"/>
      <c r="F232" s="2"/>
      <c r="G232" s="5"/>
      <c r="H232" s="5"/>
      <c r="I232" s="4"/>
      <c r="J232" s="6" t="str">
        <f t="shared" si="13"/>
        <v/>
      </c>
      <c r="K232" s="4" t="str">
        <f t="shared" ca="1" si="14"/>
        <v/>
      </c>
      <c r="L232" s="7" t="str">
        <f t="shared" ca="1" si="15"/>
        <v/>
      </c>
      <c r="M232" s="4" t="str">
        <f>IF($I232="Complete","Green",IF($H232="","Amber",IF($H232&lt;'[2]Read Me'!$B$4,"Red",IF($H232-'[2]Read Me'!$B$4&lt;=21,"Amber","Green"))))</f>
        <v>Amber</v>
      </c>
      <c r="N232" s="3"/>
      <c r="O232" t="str">
        <f>IF($I232&lt;&gt;"Complete",IF(COUNTIFS($A$4:$A231,$A232,$B$4:$B231,$B232,$I$4:$I231,"&lt;&gt;Complete")=0,$A232&amp;"|"&amp;$B232,""),"")</f>
        <v>|</v>
      </c>
      <c r="P232" t="str">
        <f ca="1">IF($K232="Yes",COUNTIFS($K$4:$K232,"Yes"),"")</f>
        <v/>
      </c>
      <c r="Q232">
        <f t="shared" ca="1" si="16"/>
        <v>0</v>
      </c>
      <c r="R232" t="str">
        <f ca="1">IF($Q232=1,SUM($Q$4:$Q232),"")</f>
        <v/>
      </c>
    </row>
    <row r="233" spans="1:18" ht="22.5" customHeight="1" x14ac:dyDescent="0.3">
      <c r="A233" s="2"/>
      <c r="B233" s="2"/>
      <c r="C233" s="3"/>
      <c r="D233" s="3"/>
      <c r="E233" s="2"/>
      <c r="F233" s="2"/>
      <c r="G233" s="5"/>
      <c r="H233" s="5"/>
      <c r="I233" s="4"/>
      <c r="J233" s="6" t="str">
        <f t="shared" si="13"/>
        <v/>
      </c>
      <c r="K233" s="4" t="str">
        <f t="shared" ca="1" si="14"/>
        <v/>
      </c>
      <c r="L233" s="7" t="str">
        <f t="shared" ca="1" si="15"/>
        <v/>
      </c>
      <c r="M233" s="4" t="str">
        <f>IF($I233="Complete","Green",IF($H233="","Amber",IF($H233&lt;'[2]Read Me'!$B$4,"Red",IF($H233-'[2]Read Me'!$B$4&lt;=21,"Amber","Green"))))</f>
        <v>Amber</v>
      </c>
      <c r="N233" s="3"/>
      <c r="O233" t="str">
        <f>IF($I233&lt;&gt;"Complete",IF(COUNTIFS($A$4:$A232,$A233,$B$4:$B232,$B233,$I$4:$I232,"&lt;&gt;Complete")=0,$A233&amp;"|"&amp;$B233,""),"")</f>
        <v>|</v>
      </c>
      <c r="P233" t="str">
        <f ca="1">IF($K233="Yes",COUNTIFS($K$4:$K233,"Yes"),"")</f>
        <v/>
      </c>
      <c r="Q233">
        <f t="shared" ca="1" si="16"/>
        <v>0</v>
      </c>
      <c r="R233" t="str">
        <f ca="1">IF($Q233=1,SUM($Q$4:$Q233),"")</f>
        <v/>
      </c>
    </row>
    <row r="234" spans="1:18" ht="22.5" customHeight="1" x14ac:dyDescent="0.3">
      <c r="A234" s="2"/>
      <c r="B234" s="2"/>
      <c r="C234" s="3"/>
      <c r="D234" s="3"/>
      <c r="E234" s="2"/>
      <c r="F234" s="2"/>
      <c r="G234" s="5"/>
      <c r="H234" s="5"/>
      <c r="I234" s="4"/>
      <c r="J234" s="6" t="str">
        <f t="shared" si="13"/>
        <v/>
      </c>
      <c r="K234" s="4" t="str">
        <f t="shared" ca="1" si="14"/>
        <v/>
      </c>
      <c r="L234" s="7" t="str">
        <f t="shared" ca="1" si="15"/>
        <v/>
      </c>
      <c r="M234" s="4" t="str">
        <f>IF($I234="Complete","Green",IF($H234="","Amber",IF($H234&lt;'[2]Read Me'!$B$4,"Red",IF($H234-'[2]Read Me'!$B$4&lt;=21,"Amber","Green"))))</f>
        <v>Amber</v>
      </c>
      <c r="N234" s="3"/>
      <c r="O234" t="str">
        <f>IF($I234&lt;&gt;"Complete",IF(COUNTIFS($A$4:$A233,$A234,$B$4:$B233,$B234,$I$4:$I233,"&lt;&gt;Complete")=0,$A234&amp;"|"&amp;$B234,""),"")</f>
        <v>|</v>
      </c>
      <c r="P234" t="str">
        <f ca="1">IF($K234="Yes",COUNTIFS($K$4:$K234,"Yes"),"")</f>
        <v/>
      </c>
      <c r="Q234">
        <f t="shared" ca="1" si="16"/>
        <v>0</v>
      </c>
      <c r="R234" t="str">
        <f ca="1">IF($Q234=1,SUM($Q$4:$Q234),"")</f>
        <v/>
      </c>
    </row>
    <row r="235" spans="1:18" ht="22.5" customHeight="1" x14ac:dyDescent="0.3">
      <c r="A235" s="2"/>
      <c r="B235" s="2"/>
      <c r="C235" s="3"/>
      <c r="D235" s="3"/>
      <c r="E235" s="2"/>
      <c r="F235" s="2"/>
      <c r="G235" s="5"/>
      <c r="H235" s="5"/>
      <c r="I235" s="4"/>
      <c r="J235" s="6" t="str">
        <f t="shared" si="13"/>
        <v/>
      </c>
      <c r="K235" s="4" t="str">
        <f t="shared" ca="1" si="14"/>
        <v/>
      </c>
      <c r="L235" s="7" t="str">
        <f t="shared" ca="1" si="15"/>
        <v/>
      </c>
      <c r="M235" s="4" t="str">
        <f>IF($I235="Complete","Green",IF($H235="","Amber",IF($H235&lt;'[2]Read Me'!$B$4,"Red",IF($H235-'[2]Read Me'!$B$4&lt;=21,"Amber","Green"))))</f>
        <v>Amber</v>
      </c>
      <c r="N235" s="3"/>
      <c r="O235" t="str">
        <f>IF($I235&lt;&gt;"Complete",IF(COUNTIFS($A$4:$A234,$A235,$B$4:$B234,$B235,$I$4:$I234,"&lt;&gt;Complete")=0,$A235&amp;"|"&amp;$B235,""),"")</f>
        <v>|</v>
      </c>
      <c r="P235" t="str">
        <f ca="1">IF($K235="Yes",COUNTIFS($K$4:$K235,"Yes"),"")</f>
        <v/>
      </c>
      <c r="Q235">
        <f t="shared" ca="1" si="16"/>
        <v>0</v>
      </c>
      <c r="R235" t="str">
        <f ca="1">IF($Q235=1,SUM($Q$4:$Q235),"")</f>
        <v/>
      </c>
    </row>
    <row r="236" spans="1:18" ht="22.5" customHeight="1" x14ac:dyDescent="0.3">
      <c r="A236" s="2"/>
      <c r="B236" s="2"/>
      <c r="C236" s="3"/>
      <c r="D236" s="3"/>
      <c r="E236" s="2"/>
      <c r="F236" s="2"/>
      <c r="G236" s="5"/>
      <c r="H236" s="5"/>
      <c r="I236" s="4"/>
      <c r="J236" s="6" t="str">
        <f t="shared" si="13"/>
        <v/>
      </c>
      <c r="K236" s="4" t="str">
        <f t="shared" ca="1" si="14"/>
        <v/>
      </c>
      <c r="L236" s="7" t="str">
        <f t="shared" ca="1" si="15"/>
        <v/>
      </c>
      <c r="M236" s="4" t="str">
        <f>IF($I236="Complete","Green",IF($H236="","Amber",IF($H236&lt;'[2]Read Me'!$B$4,"Red",IF($H236-'[2]Read Me'!$B$4&lt;=21,"Amber","Green"))))</f>
        <v>Amber</v>
      </c>
      <c r="N236" s="3"/>
      <c r="O236" t="str">
        <f>IF($I236&lt;&gt;"Complete",IF(COUNTIFS($A$4:$A235,$A236,$B$4:$B235,$B236,$I$4:$I235,"&lt;&gt;Complete")=0,$A236&amp;"|"&amp;$B236,""),"")</f>
        <v>|</v>
      </c>
      <c r="P236" t="str">
        <f ca="1">IF($K236="Yes",COUNTIFS($K$4:$K236,"Yes"),"")</f>
        <v/>
      </c>
      <c r="Q236">
        <f t="shared" ca="1" si="16"/>
        <v>0</v>
      </c>
      <c r="R236" t="str">
        <f ca="1">IF($Q236=1,SUM($Q$4:$Q236),"")</f>
        <v/>
      </c>
    </row>
    <row r="237" spans="1:18" ht="22.5" customHeight="1" x14ac:dyDescent="0.3">
      <c r="A237" s="2"/>
      <c r="B237" s="2"/>
      <c r="C237" s="3"/>
      <c r="D237" s="3"/>
      <c r="E237" s="2"/>
      <c r="F237" s="2"/>
      <c r="G237" s="5"/>
      <c r="H237" s="5"/>
      <c r="I237" s="4"/>
      <c r="J237" s="6" t="str">
        <f t="shared" si="13"/>
        <v/>
      </c>
      <c r="K237" s="4" t="str">
        <f t="shared" ca="1" si="14"/>
        <v/>
      </c>
      <c r="L237" s="7" t="str">
        <f t="shared" ca="1" si="15"/>
        <v/>
      </c>
      <c r="M237" s="4" t="str">
        <f>IF($I237="Complete","Green",IF($H237="","Amber",IF($H237&lt;'[2]Read Me'!$B$4,"Red",IF($H237-'[2]Read Me'!$B$4&lt;=21,"Amber","Green"))))</f>
        <v>Amber</v>
      </c>
      <c r="N237" s="3"/>
      <c r="O237" t="str">
        <f>IF($I237&lt;&gt;"Complete",IF(COUNTIFS($A$4:$A236,$A237,$B$4:$B236,$B237,$I$4:$I236,"&lt;&gt;Complete")=0,$A237&amp;"|"&amp;$B237,""),"")</f>
        <v>|</v>
      </c>
      <c r="P237" t="str">
        <f ca="1">IF($K237="Yes",COUNTIFS($K$4:$K237,"Yes"),"")</f>
        <v/>
      </c>
      <c r="Q237">
        <f t="shared" ca="1" si="16"/>
        <v>0</v>
      </c>
      <c r="R237" t="str">
        <f ca="1">IF($Q237=1,SUM($Q$4:$Q237),"")</f>
        <v/>
      </c>
    </row>
    <row r="238" spans="1:18" ht="22.5" customHeight="1" x14ac:dyDescent="0.3">
      <c r="A238" s="2"/>
      <c r="B238" s="2"/>
      <c r="C238" s="3"/>
      <c r="D238" s="3"/>
      <c r="E238" s="2"/>
      <c r="F238" s="2"/>
      <c r="G238" s="5"/>
      <c r="H238" s="5"/>
      <c r="I238" s="4"/>
      <c r="J238" s="6" t="str">
        <f t="shared" si="13"/>
        <v/>
      </c>
      <c r="K238" s="4" t="str">
        <f t="shared" ca="1" si="14"/>
        <v/>
      </c>
      <c r="L238" s="7" t="str">
        <f t="shared" ca="1" si="15"/>
        <v/>
      </c>
      <c r="M238" s="4" t="str">
        <f>IF($I238="Complete","Green",IF($H238="","Amber",IF($H238&lt;'[2]Read Me'!$B$4,"Red",IF($H238-'[2]Read Me'!$B$4&lt;=21,"Amber","Green"))))</f>
        <v>Amber</v>
      </c>
      <c r="N238" s="3"/>
      <c r="O238" t="str">
        <f>IF($I238&lt;&gt;"Complete",IF(COUNTIFS($A$4:$A237,$A238,$B$4:$B237,$B238,$I$4:$I237,"&lt;&gt;Complete")=0,$A238&amp;"|"&amp;$B238,""),"")</f>
        <v>|</v>
      </c>
      <c r="P238" t="str">
        <f ca="1">IF($K238="Yes",COUNTIFS($K$4:$K238,"Yes"),"")</f>
        <v/>
      </c>
      <c r="Q238">
        <f t="shared" ca="1" si="16"/>
        <v>0</v>
      </c>
      <c r="R238" t="str">
        <f ca="1">IF($Q238=1,SUM($Q$4:$Q238),"")</f>
        <v/>
      </c>
    </row>
    <row r="239" spans="1:18" ht="22.5" customHeight="1" x14ac:dyDescent="0.3">
      <c r="A239" s="2"/>
      <c r="B239" s="2"/>
      <c r="C239" s="3"/>
      <c r="D239" s="3"/>
      <c r="E239" s="2"/>
      <c r="F239" s="2"/>
      <c r="G239" s="5"/>
      <c r="H239" s="5"/>
      <c r="I239" s="4"/>
      <c r="J239" s="6" t="str">
        <f t="shared" si="13"/>
        <v/>
      </c>
      <c r="K239" s="4" t="str">
        <f t="shared" ca="1" si="14"/>
        <v/>
      </c>
      <c r="L239" s="7" t="str">
        <f t="shared" ca="1" si="15"/>
        <v/>
      </c>
      <c r="M239" s="4" t="str">
        <f>IF($I239="Complete","Green",IF($H239="","Amber",IF($H239&lt;'[2]Read Me'!$B$4,"Red",IF($H239-'[2]Read Me'!$B$4&lt;=21,"Amber","Green"))))</f>
        <v>Amber</v>
      </c>
      <c r="N239" s="3"/>
      <c r="O239" t="str">
        <f>IF($I239&lt;&gt;"Complete",IF(COUNTIFS($A$4:$A238,$A239,$B$4:$B238,$B239,$I$4:$I238,"&lt;&gt;Complete")=0,$A239&amp;"|"&amp;$B239,""),"")</f>
        <v>|</v>
      </c>
      <c r="P239" t="str">
        <f ca="1">IF($K239="Yes",COUNTIFS($K$4:$K239,"Yes"),"")</f>
        <v/>
      </c>
      <c r="Q239">
        <f t="shared" ca="1" si="16"/>
        <v>0</v>
      </c>
      <c r="R239" t="str">
        <f ca="1">IF($Q239=1,SUM($Q$4:$Q239),"")</f>
        <v/>
      </c>
    </row>
    <row r="240" spans="1:18" ht="22.5" customHeight="1" x14ac:dyDescent="0.3">
      <c r="A240" s="2"/>
      <c r="B240" s="2"/>
      <c r="C240" s="3"/>
      <c r="D240" s="3"/>
      <c r="E240" s="2"/>
      <c r="F240" s="2"/>
      <c r="G240" s="5"/>
      <c r="H240" s="5"/>
      <c r="I240" s="4"/>
      <c r="J240" s="6" t="str">
        <f t="shared" si="13"/>
        <v/>
      </c>
      <c r="K240" s="4" t="str">
        <f t="shared" ca="1" si="14"/>
        <v/>
      </c>
      <c r="L240" s="7" t="str">
        <f t="shared" ca="1" si="15"/>
        <v/>
      </c>
      <c r="M240" s="4" t="str">
        <f>IF($I240="Complete","Green",IF($H240="","Amber",IF($H240&lt;'[2]Read Me'!$B$4,"Red",IF($H240-'[2]Read Me'!$B$4&lt;=21,"Amber","Green"))))</f>
        <v>Amber</v>
      </c>
      <c r="N240" s="3"/>
      <c r="O240" t="str">
        <f>IF($I240&lt;&gt;"Complete",IF(COUNTIFS($A$4:$A239,$A240,$B$4:$B239,$B240,$I$4:$I239,"&lt;&gt;Complete")=0,$A240&amp;"|"&amp;$B240,""),"")</f>
        <v>|</v>
      </c>
      <c r="P240" t="str">
        <f ca="1">IF($K240="Yes",COUNTIFS($K$4:$K240,"Yes"),"")</f>
        <v/>
      </c>
      <c r="Q240">
        <f t="shared" ca="1" si="16"/>
        <v>0</v>
      </c>
      <c r="R240" t="str">
        <f ca="1">IF($Q240=1,SUM($Q$4:$Q240),"")</f>
        <v/>
      </c>
    </row>
    <row r="241" spans="1:18" ht="22.5" customHeight="1" x14ac:dyDescent="0.3">
      <c r="A241" s="2"/>
      <c r="B241" s="2"/>
      <c r="C241" s="3"/>
      <c r="D241" s="3"/>
      <c r="E241" s="2"/>
      <c r="F241" s="2"/>
      <c r="G241" s="5"/>
      <c r="H241" s="5"/>
      <c r="I241" s="4"/>
      <c r="J241" s="6" t="str">
        <f t="shared" si="13"/>
        <v/>
      </c>
      <c r="K241" s="4" t="str">
        <f t="shared" ca="1" si="14"/>
        <v/>
      </c>
      <c r="L241" s="7" t="str">
        <f t="shared" ca="1" si="15"/>
        <v/>
      </c>
      <c r="M241" s="4" t="str">
        <f>IF($I241="Complete","Green",IF($H241="","Amber",IF($H241&lt;'[2]Read Me'!$B$4,"Red",IF($H241-'[2]Read Me'!$B$4&lt;=21,"Amber","Green"))))</f>
        <v>Amber</v>
      </c>
      <c r="N241" s="3"/>
      <c r="O241" t="str">
        <f>IF($I241&lt;&gt;"Complete",IF(COUNTIFS($A$4:$A240,$A241,$B$4:$B240,$B241,$I$4:$I240,"&lt;&gt;Complete")=0,$A241&amp;"|"&amp;$B241,""),"")</f>
        <v>|</v>
      </c>
      <c r="P241" t="str">
        <f ca="1">IF($K241="Yes",COUNTIFS($K$4:$K241,"Yes"),"")</f>
        <v/>
      </c>
      <c r="Q241">
        <f t="shared" ca="1" si="16"/>
        <v>0</v>
      </c>
      <c r="R241" t="str">
        <f ca="1">IF($Q241=1,SUM($Q$4:$Q241),"")</f>
        <v/>
      </c>
    </row>
    <row r="242" spans="1:18" ht="22.5" customHeight="1" x14ac:dyDescent="0.3">
      <c r="A242" s="2"/>
      <c r="B242" s="2"/>
      <c r="C242" s="3"/>
      <c r="D242" s="3"/>
      <c r="E242" s="2"/>
      <c r="F242" s="2"/>
      <c r="G242" s="5"/>
      <c r="H242" s="5"/>
      <c r="I242" s="4"/>
      <c r="J242" s="6" t="str">
        <f t="shared" si="13"/>
        <v/>
      </c>
      <c r="K242" s="4" t="str">
        <f t="shared" ca="1" si="14"/>
        <v/>
      </c>
      <c r="L242" s="7" t="str">
        <f t="shared" ca="1" si="15"/>
        <v/>
      </c>
      <c r="M242" s="4" t="str">
        <f>IF($I242="Complete","Green",IF($H242="","Amber",IF($H242&lt;'[2]Read Me'!$B$4,"Red",IF($H242-'[2]Read Me'!$B$4&lt;=21,"Amber","Green"))))</f>
        <v>Amber</v>
      </c>
      <c r="N242" s="3"/>
      <c r="O242" t="str">
        <f>IF($I242&lt;&gt;"Complete",IF(COUNTIFS($A$4:$A241,$A242,$B$4:$B241,$B242,$I$4:$I241,"&lt;&gt;Complete")=0,$A242&amp;"|"&amp;$B242,""),"")</f>
        <v>|</v>
      </c>
      <c r="P242" t="str">
        <f ca="1">IF($K242="Yes",COUNTIFS($K$4:$K242,"Yes"),"")</f>
        <v/>
      </c>
      <c r="Q242">
        <f t="shared" ca="1" si="16"/>
        <v>0</v>
      </c>
      <c r="R242" t="str">
        <f ca="1">IF($Q242=1,SUM($Q$4:$Q242),"")</f>
        <v/>
      </c>
    </row>
    <row r="243" spans="1:18" ht="22.5" customHeight="1" x14ac:dyDescent="0.3">
      <c r="A243" s="2"/>
      <c r="B243" s="2"/>
      <c r="C243" s="3"/>
      <c r="D243" s="3"/>
      <c r="E243" s="2"/>
      <c r="F243" s="2"/>
      <c r="G243" s="5"/>
      <c r="H243" s="5"/>
      <c r="I243" s="4"/>
      <c r="J243" s="6" t="str">
        <f t="shared" si="13"/>
        <v/>
      </c>
      <c r="K243" s="4" t="str">
        <f t="shared" ca="1" si="14"/>
        <v/>
      </c>
      <c r="L243" s="7" t="str">
        <f t="shared" ca="1" si="15"/>
        <v/>
      </c>
      <c r="M243" s="4" t="str">
        <f>IF($I243="Complete","Green",IF($H243="","Amber",IF($H243&lt;'[2]Read Me'!$B$4,"Red",IF($H243-'[2]Read Me'!$B$4&lt;=21,"Amber","Green"))))</f>
        <v>Amber</v>
      </c>
      <c r="N243" s="3"/>
      <c r="O243" t="str">
        <f>IF($I243&lt;&gt;"Complete",IF(COUNTIFS($A$4:$A242,$A243,$B$4:$B242,$B243,$I$4:$I242,"&lt;&gt;Complete")=0,$A243&amp;"|"&amp;$B243,""),"")</f>
        <v>|</v>
      </c>
      <c r="P243" t="str">
        <f ca="1">IF($K243="Yes",COUNTIFS($K$4:$K243,"Yes"),"")</f>
        <v/>
      </c>
      <c r="Q243">
        <f t="shared" ca="1" si="16"/>
        <v>0</v>
      </c>
      <c r="R243" t="str">
        <f ca="1">IF($Q243=1,SUM($Q$4:$Q243),"")</f>
        <v/>
      </c>
    </row>
    <row r="244" spans="1:18" ht="22.5" customHeight="1" x14ac:dyDescent="0.3">
      <c r="A244" s="2"/>
      <c r="B244" s="2"/>
      <c r="C244" s="3"/>
      <c r="D244" s="3"/>
      <c r="E244" s="2"/>
      <c r="F244" s="2"/>
      <c r="G244" s="5"/>
      <c r="H244" s="5"/>
      <c r="I244" s="4"/>
      <c r="J244" s="6" t="str">
        <f t="shared" si="13"/>
        <v/>
      </c>
      <c r="K244" s="4" t="str">
        <f t="shared" ref="K244:K264" ca="1" si="17">IF($H244="","",IF($H244&gt;TODAY(),"No","Yes"))</f>
        <v/>
      </c>
      <c r="L244" s="7" t="str">
        <f t="shared" ca="1" si="15"/>
        <v/>
      </c>
      <c r="M244" s="4" t="str">
        <f>IF($I244="Complete","Green",IF($H244="","Amber",IF($H244&lt;'[2]Read Me'!$B$4,"Red",IF($H244-'[2]Read Me'!$B$4&lt;=21,"Amber","Green"))))</f>
        <v>Amber</v>
      </c>
      <c r="N244" s="3"/>
      <c r="O244" t="str">
        <f>IF($I244&lt;&gt;"Complete",IF(COUNTIFS($A$4:$A243,$A244,$B$4:$B243,$B244,$I$4:$I243,"&lt;&gt;Complete")=0,$A244&amp;"|"&amp;$B244,""),"")</f>
        <v>|</v>
      </c>
      <c r="P244" t="str">
        <f ca="1">IF($K244="Yes",COUNTIFS($K$4:$K244,"Yes"),"")</f>
        <v/>
      </c>
      <c r="Q244">
        <f t="shared" ca="1" si="16"/>
        <v>0</v>
      </c>
      <c r="R244" t="str">
        <f ca="1">IF($Q244=1,SUM($Q$4:$Q244),"")</f>
        <v/>
      </c>
    </row>
    <row r="245" spans="1:18" ht="22.5" customHeight="1" x14ac:dyDescent="0.3">
      <c r="A245" s="2"/>
      <c r="B245" s="2"/>
      <c r="C245" s="3"/>
      <c r="D245" s="3"/>
      <c r="E245" s="2"/>
      <c r="F245" s="2"/>
      <c r="G245" s="5"/>
      <c r="H245" s="5"/>
      <c r="I245" s="4"/>
      <c r="J245" s="6" t="str">
        <f t="shared" si="13"/>
        <v/>
      </c>
      <c r="K245" s="4" t="str">
        <f t="shared" ca="1" si="17"/>
        <v/>
      </c>
      <c r="L245" s="7" t="str">
        <f t="shared" ca="1" si="15"/>
        <v/>
      </c>
      <c r="M245" s="4" t="str">
        <f>IF($I245="Complete","Green",IF($H245="","Amber",IF($H245&lt;'[2]Read Me'!$B$4,"Red",IF($H245-'[2]Read Me'!$B$4&lt;=21,"Amber","Green"))))</f>
        <v>Amber</v>
      </c>
      <c r="N245" s="3"/>
      <c r="O245" t="str">
        <f>IF($I245&lt;&gt;"Complete",IF(COUNTIFS($A$4:$A244,$A245,$B$4:$B244,$B245,$I$4:$I244,"&lt;&gt;Complete")=0,$A245&amp;"|"&amp;$B245,""),"")</f>
        <v>|</v>
      </c>
      <c r="P245" t="str">
        <f ca="1">IF($K245="Yes",COUNTIFS($K$4:$K245,"Yes"),"")</f>
        <v/>
      </c>
      <c r="Q245">
        <f t="shared" ca="1" si="16"/>
        <v>0</v>
      </c>
      <c r="R245" t="str">
        <f ca="1">IF($Q245=1,SUM($Q$4:$Q245),"")</f>
        <v/>
      </c>
    </row>
    <row r="246" spans="1:18" ht="22.5" customHeight="1" x14ac:dyDescent="0.3">
      <c r="A246" s="2"/>
      <c r="B246" s="2"/>
      <c r="C246" s="3"/>
      <c r="D246" s="3"/>
      <c r="E246" s="2"/>
      <c r="F246" s="2"/>
      <c r="G246" s="5"/>
      <c r="H246" s="5"/>
      <c r="I246" s="4"/>
      <c r="J246" s="6" t="str">
        <f t="shared" si="13"/>
        <v/>
      </c>
      <c r="K246" s="4" t="str">
        <f t="shared" ca="1" si="17"/>
        <v/>
      </c>
      <c r="L246" s="7" t="str">
        <f t="shared" ca="1" si="15"/>
        <v/>
      </c>
      <c r="M246" s="4" t="str">
        <f>IF($I246="Complete","Green",IF($H246="","Amber",IF($H246&lt;'[2]Read Me'!$B$4,"Red",IF($H246-'[2]Read Me'!$B$4&lt;=21,"Amber","Green"))))</f>
        <v>Amber</v>
      </c>
      <c r="N246" s="3"/>
      <c r="O246" t="str">
        <f>IF($I246&lt;&gt;"Complete",IF(COUNTIFS($A$4:$A245,$A246,$B$4:$B245,$B246,$I$4:$I245,"&lt;&gt;Complete")=0,$A246&amp;"|"&amp;$B246,""),"")</f>
        <v>|</v>
      </c>
      <c r="P246" t="str">
        <f ca="1">IF($K246="Yes",COUNTIFS($K$4:$K246,"Yes"),"")</f>
        <v/>
      </c>
      <c r="Q246">
        <f t="shared" ca="1" si="16"/>
        <v>0</v>
      </c>
      <c r="R246" t="str">
        <f ca="1">IF($Q246=1,SUM($Q$4:$Q246),"")</f>
        <v/>
      </c>
    </row>
    <row r="247" spans="1:18" ht="22.5" customHeight="1" x14ac:dyDescent="0.3">
      <c r="A247" s="2"/>
      <c r="B247" s="2"/>
      <c r="C247" s="3"/>
      <c r="D247" s="3"/>
      <c r="E247" s="2"/>
      <c r="F247" s="2"/>
      <c r="G247" s="5"/>
      <c r="H247" s="5"/>
      <c r="I247" s="4"/>
      <c r="J247" s="6" t="str">
        <f t="shared" si="13"/>
        <v/>
      </c>
      <c r="K247" s="4" t="str">
        <f t="shared" ca="1" si="17"/>
        <v/>
      </c>
      <c r="L247" s="7" t="str">
        <f t="shared" ca="1" si="15"/>
        <v/>
      </c>
      <c r="M247" s="4" t="str">
        <f>IF($I247="Complete","Green",IF($H247="","Amber",IF($H247&lt;'[2]Read Me'!$B$4,"Red",IF($H247-'[2]Read Me'!$B$4&lt;=21,"Amber","Green"))))</f>
        <v>Amber</v>
      </c>
      <c r="N247" s="3"/>
      <c r="O247" t="str">
        <f>IF($I247&lt;&gt;"Complete",IF(COUNTIFS($A$4:$A246,$A247,$B$4:$B246,$B247,$I$4:$I246,"&lt;&gt;Complete")=0,$A247&amp;"|"&amp;$B247,""),"")</f>
        <v>|</v>
      </c>
      <c r="P247" t="str">
        <f ca="1">IF($K247="Yes",COUNTIFS($K$4:$K247,"Yes"),"")</f>
        <v/>
      </c>
      <c r="Q247">
        <f t="shared" ca="1" si="16"/>
        <v>0</v>
      </c>
      <c r="R247" t="str">
        <f ca="1">IF($Q247=1,SUM($Q$4:$Q247),"")</f>
        <v/>
      </c>
    </row>
    <row r="248" spans="1:18" ht="22.5" customHeight="1" x14ac:dyDescent="0.3">
      <c r="A248" s="2"/>
      <c r="B248" s="2"/>
      <c r="C248" s="3"/>
      <c r="D248" s="3"/>
      <c r="E248" s="2"/>
      <c r="F248" s="2"/>
      <c r="G248" s="5"/>
      <c r="H248" s="5"/>
      <c r="I248" s="4"/>
      <c r="J248" s="6" t="str">
        <f t="shared" si="13"/>
        <v/>
      </c>
      <c r="K248" s="4" t="str">
        <f t="shared" ca="1" si="17"/>
        <v/>
      </c>
      <c r="L248" s="7" t="str">
        <f t="shared" ca="1" si="15"/>
        <v/>
      </c>
      <c r="M248" s="4" t="str">
        <f>IF($I248="Complete","Green",IF($H248="","Amber",IF($H248&lt;'[2]Read Me'!$B$4,"Red",IF($H248-'[2]Read Me'!$B$4&lt;=21,"Amber","Green"))))</f>
        <v>Amber</v>
      </c>
      <c r="N248" s="3"/>
      <c r="O248" t="str">
        <f>IF($I248&lt;&gt;"Complete",IF(COUNTIFS($A$4:$A247,$A248,$B$4:$B247,$B248,$I$4:$I247,"&lt;&gt;Complete")=0,$A248&amp;"|"&amp;$B248,""),"")</f>
        <v>|</v>
      </c>
      <c r="P248" t="str">
        <f ca="1">IF($K248="Yes",COUNTIFS($K$4:$K248,"Yes"),"")</f>
        <v/>
      </c>
      <c r="Q248">
        <f t="shared" ca="1" si="16"/>
        <v>0</v>
      </c>
      <c r="R248" t="str">
        <f ca="1">IF($Q248=1,SUM($Q$4:$Q248),"")</f>
        <v/>
      </c>
    </row>
    <row r="249" spans="1:18" ht="22.5" customHeight="1" x14ac:dyDescent="0.3">
      <c r="A249" s="2"/>
      <c r="B249" s="2"/>
      <c r="C249" s="3"/>
      <c r="D249" s="3"/>
      <c r="E249" s="2"/>
      <c r="F249" s="2"/>
      <c r="G249" s="5"/>
      <c r="H249" s="5"/>
      <c r="I249" s="4"/>
      <c r="J249" s="6" t="str">
        <f t="shared" si="13"/>
        <v/>
      </c>
      <c r="K249" s="4" t="str">
        <f t="shared" ca="1" si="17"/>
        <v/>
      </c>
      <c r="L249" s="7" t="str">
        <f t="shared" ca="1" si="15"/>
        <v/>
      </c>
      <c r="M249" s="4" t="str">
        <f>IF($I249="Complete","Green",IF($H249="","Amber",IF($H249&lt;'[2]Read Me'!$B$4,"Red",IF($H249-'[2]Read Me'!$B$4&lt;=21,"Amber","Green"))))</f>
        <v>Amber</v>
      </c>
      <c r="N249" s="3"/>
      <c r="O249" t="str">
        <f>IF($I249&lt;&gt;"Complete",IF(COUNTIFS($A$4:$A248,$A249,$B$4:$B248,$B249,$I$4:$I248,"&lt;&gt;Complete")=0,$A249&amp;"|"&amp;$B249,""),"")</f>
        <v>|</v>
      </c>
      <c r="P249" t="str">
        <f ca="1">IF($K249="Yes",COUNTIFS($K$4:$K249,"Yes"),"")</f>
        <v/>
      </c>
      <c r="Q249">
        <f t="shared" ca="1" si="16"/>
        <v>0</v>
      </c>
      <c r="R249" t="str">
        <f ca="1">IF($Q249=1,SUM($Q$4:$Q249),"")</f>
        <v/>
      </c>
    </row>
    <row r="250" spans="1:18" ht="22.5" customHeight="1" x14ac:dyDescent="0.3">
      <c r="A250" s="2"/>
      <c r="B250" s="2"/>
      <c r="C250" s="3"/>
      <c r="D250" s="3"/>
      <c r="E250" s="2"/>
      <c r="F250" s="2"/>
      <c r="G250" s="5"/>
      <c r="H250" s="5"/>
      <c r="I250" s="4"/>
      <c r="J250" s="6" t="str">
        <f t="shared" si="13"/>
        <v/>
      </c>
      <c r="K250" s="4" t="str">
        <f t="shared" ca="1" si="17"/>
        <v/>
      </c>
      <c r="L250" s="7" t="str">
        <f t="shared" ca="1" si="15"/>
        <v/>
      </c>
      <c r="M250" s="4" t="str">
        <f>IF($I250="Complete","Green",IF($H250="","Amber",IF($H250&lt;'[2]Read Me'!$B$4,"Red",IF($H250-'[2]Read Me'!$B$4&lt;=21,"Amber","Green"))))</f>
        <v>Amber</v>
      </c>
      <c r="N250" s="8"/>
      <c r="O250" t="str">
        <f>IF($I250&lt;&gt;"Complete",IF(COUNTIFS($A$4:$A249,$A250,$B$4:$B249,$B250,$I$4:$I249,"&lt;&gt;Complete")=0,$A250&amp;"|"&amp;$B250,""),"")</f>
        <v>|</v>
      </c>
      <c r="P250" t="str">
        <f ca="1">IF($K250="Yes",COUNTIFS($K$4:$K250,"Yes"),"")</f>
        <v/>
      </c>
      <c r="Q250">
        <f t="shared" ca="1" si="16"/>
        <v>0</v>
      </c>
      <c r="R250" t="str">
        <f ca="1">IF($Q250=1,SUM($Q$4:$Q250),"")</f>
        <v/>
      </c>
    </row>
    <row r="251" spans="1:18" ht="22.5" customHeight="1" x14ac:dyDescent="0.3">
      <c r="A251" s="2"/>
      <c r="B251" s="2"/>
      <c r="C251" s="3"/>
      <c r="D251" s="3"/>
      <c r="E251" s="2"/>
      <c r="F251" s="2"/>
      <c r="G251" s="5"/>
      <c r="H251" s="5"/>
      <c r="I251" s="4"/>
      <c r="J251" s="6" t="str">
        <f t="shared" si="13"/>
        <v/>
      </c>
      <c r="K251" s="4" t="str">
        <f t="shared" ca="1" si="17"/>
        <v/>
      </c>
      <c r="L251" s="7" t="str">
        <f t="shared" ca="1" si="15"/>
        <v/>
      </c>
      <c r="M251" s="4" t="str">
        <f>IF($I251="Complete","Green",IF($H251="","Amber",IF($H251&lt;'[2]Read Me'!$B$4,"Red",IF($H251-'[2]Read Me'!$B$4&lt;=21,"Amber","Green"))))</f>
        <v>Amber</v>
      </c>
      <c r="N251" s="3"/>
      <c r="O251" t="str">
        <f>IF($I251&lt;&gt;"Complete",IF(COUNTIFS($A$4:$A250,$A251,$B$4:$B250,$B251,$I$4:$I250,"&lt;&gt;Complete")=0,$A251&amp;"|"&amp;$B251,""),"")</f>
        <v>|</v>
      </c>
      <c r="P251" t="str">
        <f ca="1">IF($K251="Yes",COUNTIFS($K$4:$K251,"Yes"),"")</f>
        <v/>
      </c>
      <c r="Q251">
        <f t="shared" ca="1" si="16"/>
        <v>0</v>
      </c>
      <c r="R251" t="str">
        <f ca="1">IF($Q251=1,SUM($Q$4:$Q251),"")</f>
        <v/>
      </c>
    </row>
    <row r="252" spans="1:18" ht="22.5" customHeight="1" x14ac:dyDescent="0.3">
      <c r="A252" s="2"/>
      <c r="B252" s="2"/>
      <c r="C252" s="3"/>
      <c r="D252" s="3"/>
      <c r="E252" s="2"/>
      <c r="F252" s="2"/>
      <c r="G252" s="5"/>
      <c r="H252" s="5"/>
      <c r="I252" s="4"/>
      <c r="J252" s="6" t="str">
        <f t="shared" si="13"/>
        <v/>
      </c>
      <c r="K252" s="4" t="str">
        <f t="shared" ca="1" si="17"/>
        <v/>
      </c>
      <c r="L252" s="7" t="str">
        <f t="shared" ca="1" si="15"/>
        <v/>
      </c>
      <c r="M252" s="4" t="str">
        <f>IF($I252="Complete","Green",IF($H252="","Amber",IF($H252&lt;'[2]Read Me'!$B$4,"Red",IF($H252-'[2]Read Me'!$B$4&lt;=21,"Amber","Green"))))</f>
        <v>Amber</v>
      </c>
      <c r="N252" s="3"/>
      <c r="O252" t="str">
        <f>IF($I252&lt;&gt;"Complete",IF(COUNTIFS($A$4:$A251,$A252,$B$4:$B251,$B252,$I$4:$I251,"&lt;&gt;Complete")=0,$A252&amp;"|"&amp;$B252,""),"")</f>
        <v>|</v>
      </c>
      <c r="P252" t="str">
        <f ca="1">IF($K252="Yes",COUNTIFS($K$4:$K252,"Yes"),"")</f>
        <v/>
      </c>
      <c r="Q252">
        <f t="shared" ca="1" si="16"/>
        <v>0</v>
      </c>
      <c r="R252" t="str">
        <f ca="1">IF($Q252=1,SUM($Q$4:$Q252),"")</f>
        <v/>
      </c>
    </row>
    <row r="253" spans="1:18" ht="22.5" customHeight="1" x14ac:dyDescent="0.3">
      <c r="A253" s="2"/>
      <c r="B253" s="2"/>
      <c r="C253" s="3"/>
      <c r="D253" s="3"/>
      <c r="E253" s="2"/>
      <c r="F253" s="2"/>
      <c r="G253" s="5"/>
      <c r="H253" s="5"/>
      <c r="I253" s="4"/>
      <c r="J253" s="6" t="str">
        <f t="shared" si="13"/>
        <v/>
      </c>
      <c r="K253" s="4" t="str">
        <f t="shared" ca="1" si="17"/>
        <v/>
      </c>
      <c r="L253" s="7" t="str">
        <f t="shared" ca="1" si="15"/>
        <v/>
      </c>
      <c r="M253" s="4" t="str">
        <f>IF($I253="Complete","Green",IF($H253="","Amber",IF($H253&lt;'[2]Read Me'!$B$4,"Red",IF($H253-'[2]Read Me'!$B$4&lt;=21,"Amber","Green"))))</f>
        <v>Amber</v>
      </c>
      <c r="N253" s="3"/>
      <c r="O253" t="str">
        <f>IF($I253&lt;&gt;"Complete",IF(COUNTIFS($A$4:$A252,$A253,$B$4:$B252,$B253,$I$4:$I252,"&lt;&gt;Complete")=0,$A253&amp;"|"&amp;$B253,""),"")</f>
        <v>|</v>
      </c>
      <c r="P253" t="str">
        <f ca="1">IF($K253="Yes",COUNTIFS($K$4:$K253,"Yes"),"")</f>
        <v/>
      </c>
      <c r="Q253">
        <f t="shared" ca="1" si="16"/>
        <v>0</v>
      </c>
      <c r="R253" t="str">
        <f ca="1">IF($Q253=1,SUM($Q$4:$Q253),"")</f>
        <v/>
      </c>
    </row>
    <row r="254" spans="1:18" ht="22.5" customHeight="1" x14ac:dyDescent="0.3">
      <c r="A254" s="2"/>
      <c r="B254" s="2"/>
      <c r="C254" s="3"/>
      <c r="D254" s="3"/>
      <c r="E254" s="2"/>
      <c r="F254" s="2"/>
      <c r="G254" s="5"/>
      <c r="H254" s="5"/>
      <c r="I254" s="4"/>
      <c r="J254" s="6" t="str">
        <f t="shared" si="13"/>
        <v/>
      </c>
      <c r="K254" s="4" t="str">
        <f t="shared" ca="1" si="17"/>
        <v/>
      </c>
      <c r="L254" s="7" t="str">
        <f t="shared" ca="1" si="15"/>
        <v/>
      </c>
      <c r="M254" s="4" t="str">
        <f>IF($I254="Complete","Green",IF($H254="","Amber",IF($H254&lt;'[2]Read Me'!$B$4,"Red",IF($H254-'[2]Read Me'!$B$4&lt;=21,"Amber","Green"))))</f>
        <v>Amber</v>
      </c>
      <c r="N254" s="3"/>
      <c r="O254" t="str">
        <f>IF($I254&lt;&gt;"Complete",IF(COUNTIFS($A$4:$A253,$A254,$B$4:$B253,$B254,$I$4:$I253,"&lt;&gt;Complete")=0,$A254&amp;"|"&amp;$B254,""),"")</f>
        <v>|</v>
      </c>
      <c r="P254" t="str">
        <f ca="1">IF($K254="Yes",COUNTIFS($K$4:$K254,"Yes"),"")</f>
        <v/>
      </c>
      <c r="Q254">
        <f t="shared" ca="1" si="16"/>
        <v>0</v>
      </c>
      <c r="R254" t="str">
        <f ca="1">IF($Q254=1,SUM($Q$4:$Q254),"")</f>
        <v/>
      </c>
    </row>
    <row r="255" spans="1:18" ht="22.5" customHeight="1" x14ac:dyDescent="0.3">
      <c r="A255" s="2"/>
      <c r="B255" s="2"/>
      <c r="C255" s="3"/>
      <c r="D255" s="3"/>
      <c r="E255" s="2"/>
      <c r="F255" s="2"/>
      <c r="G255" s="5"/>
      <c r="H255" s="5"/>
      <c r="I255" s="4"/>
      <c r="J255" s="6" t="str">
        <f t="shared" si="13"/>
        <v/>
      </c>
      <c r="K255" s="4" t="str">
        <f t="shared" ca="1" si="17"/>
        <v/>
      </c>
      <c r="L255" s="7" t="str">
        <f t="shared" ca="1" si="15"/>
        <v/>
      </c>
      <c r="M255" s="4" t="str">
        <f>IF($I255="Complete","Green",IF($H255="","Amber",IF($H255&lt;'[2]Read Me'!$B$4,"Red",IF($H255-'[2]Read Me'!$B$4&lt;=21,"Amber","Green"))))</f>
        <v>Amber</v>
      </c>
      <c r="N255" s="3"/>
      <c r="O255" t="str">
        <f>IF($I255&lt;&gt;"Complete",IF(COUNTIFS($A$4:$A254,$A255,$B$4:$B254,$B255,$I$4:$I254,"&lt;&gt;Complete")=0,$A255&amp;"|"&amp;$B255,""),"")</f>
        <v>|</v>
      </c>
      <c r="P255" t="str">
        <f ca="1">IF($K255="Yes",COUNTIFS($K$4:$K255,"Yes"),"")</f>
        <v/>
      </c>
      <c r="Q255">
        <f t="shared" ca="1" si="16"/>
        <v>0</v>
      </c>
      <c r="R255" t="str">
        <f ca="1">IF($Q255=1,SUM($Q$4:$Q255),"")</f>
        <v/>
      </c>
    </row>
    <row r="256" spans="1:18" ht="22.5" customHeight="1" x14ac:dyDescent="0.3">
      <c r="A256" s="2"/>
      <c r="B256" s="2"/>
      <c r="C256" s="3"/>
      <c r="D256" s="3"/>
      <c r="E256" s="2"/>
      <c r="F256" s="2"/>
      <c r="G256" s="5"/>
      <c r="H256" s="5"/>
      <c r="I256" s="4"/>
      <c r="J256" s="6" t="str">
        <f t="shared" si="13"/>
        <v/>
      </c>
      <c r="K256" s="4" t="str">
        <f t="shared" ca="1" si="17"/>
        <v/>
      </c>
      <c r="L256" s="7" t="str">
        <f t="shared" ca="1" si="15"/>
        <v/>
      </c>
      <c r="M256" s="4" t="str">
        <f>IF($I256="Complete","Green",IF($H256="","Amber",IF($H256&lt;'[2]Read Me'!$B$4,"Red",IF($H256-'[2]Read Me'!$B$4&lt;=21,"Amber","Green"))))</f>
        <v>Amber</v>
      </c>
      <c r="N256" s="3"/>
      <c r="O256" t="str">
        <f>IF($I256&lt;&gt;"Complete",IF(COUNTIFS($A$4:$A255,$A256,$B$4:$B255,$B256,$I$4:$I255,"&lt;&gt;Complete")=0,$A256&amp;"|"&amp;$B256,""),"")</f>
        <v>|</v>
      </c>
      <c r="P256" t="str">
        <f ca="1">IF($K256="Yes",COUNTIFS($K$4:$K256,"Yes"),"")</f>
        <v/>
      </c>
      <c r="Q256">
        <f t="shared" ca="1" si="16"/>
        <v>0</v>
      </c>
      <c r="R256" t="str">
        <f ca="1">IF($Q256=1,SUM($Q$4:$Q256),"")</f>
        <v/>
      </c>
    </row>
    <row r="257" spans="1:18" ht="22.5" customHeight="1" x14ac:dyDescent="0.3">
      <c r="A257" s="2"/>
      <c r="B257" s="2"/>
      <c r="C257" s="3"/>
      <c r="D257" s="3"/>
      <c r="E257" s="2"/>
      <c r="F257" s="2"/>
      <c r="G257" s="5"/>
      <c r="H257" s="5"/>
      <c r="I257" s="4"/>
      <c r="J257" s="6" t="str">
        <f t="shared" si="13"/>
        <v/>
      </c>
      <c r="K257" s="4" t="str">
        <f t="shared" ca="1" si="17"/>
        <v/>
      </c>
      <c r="L257" s="7" t="str">
        <f t="shared" ca="1" si="15"/>
        <v/>
      </c>
      <c r="M257" s="4" t="str">
        <f>IF($I257="Complete","Green",IF($H257="","Amber",IF($H257&lt;'[2]Read Me'!$B$4,"Red",IF($H257-'[2]Read Me'!$B$4&lt;=21,"Amber","Green"))))</f>
        <v>Amber</v>
      </c>
      <c r="N257" s="3"/>
      <c r="O257" t="str">
        <f>IF($I257&lt;&gt;"Complete",IF(COUNTIFS($A$4:$A256,$A257,$B$4:$B256,$B257,$I$4:$I256,"&lt;&gt;Complete")=0,$A257&amp;"|"&amp;$B257,""),"")</f>
        <v>|</v>
      </c>
      <c r="P257" t="str">
        <f ca="1">IF($K257="Yes",COUNTIFS($K$4:$K257,"Yes"),"")</f>
        <v/>
      </c>
      <c r="Q257">
        <f t="shared" ca="1" si="16"/>
        <v>0</v>
      </c>
      <c r="R257" t="str">
        <f ca="1">IF($Q257=1,SUM($Q$4:$Q257),"")</f>
        <v/>
      </c>
    </row>
    <row r="258" spans="1:18" ht="45" customHeight="1" x14ac:dyDescent="0.3">
      <c r="A258" s="2"/>
      <c r="B258" s="2"/>
      <c r="C258" s="3"/>
      <c r="D258" s="3"/>
      <c r="E258" s="2"/>
      <c r="F258" s="2"/>
      <c r="G258" s="5"/>
      <c r="H258" s="5"/>
      <c r="I258" s="4"/>
      <c r="J258" s="6" t="str">
        <f t="shared" si="13"/>
        <v/>
      </c>
      <c r="K258" s="4" t="str">
        <f t="shared" ca="1" si="17"/>
        <v/>
      </c>
      <c r="L258" s="7" t="str">
        <f t="shared" ca="1" si="15"/>
        <v/>
      </c>
      <c r="M258" s="4" t="str">
        <f>IF($I258="Complete","Green",IF($H258="","Amber",IF($H258&lt;'[2]Read Me'!$B$4,"Red",IF($H258-'[2]Read Me'!$B$4&lt;=21,"Amber","Green"))))</f>
        <v>Amber</v>
      </c>
      <c r="N258" s="3"/>
      <c r="O258" t="str">
        <f>IF($I258&lt;&gt;"Complete",IF(COUNTIFS($A$4:$A257,$A258,$B$4:$B257,$B258,$I$4:$I257,"&lt;&gt;Complete")=0,$A258&amp;"|"&amp;$B258,""),"")</f>
        <v>|</v>
      </c>
      <c r="P258" t="str">
        <f ca="1">IF($K258="Yes",COUNTIFS($K$4:$K258,"Yes"),"")</f>
        <v/>
      </c>
      <c r="Q258">
        <f t="shared" ca="1" si="16"/>
        <v>0</v>
      </c>
      <c r="R258" t="str">
        <f ca="1">IF($Q258=1,SUM($Q$4:$Q258),"")</f>
        <v/>
      </c>
    </row>
    <row r="259" spans="1:18" ht="45" customHeight="1" x14ac:dyDescent="0.3">
      <c r="A259" s="2"/>
      <c r="B259" s="2"/>
      <c r="C259" s="3"/>
      <c r="D259" s="3"/>
      <c r="E259" s="2"/>
      <c r="F259" s="2"/>
      <c r="G259" s="5"/>
      <c r="H259" s="5"/>
      <c r="I259" s="4"/>
      <c r="J259" s="6" t="str">
        <f t="shared" si="13"/>
        <v/>
      </c>
      <c r="K259" s="4" t="str">
        <f t="shared" ca="1" si="17"/>
        <v/>
      </c>
      <c r="L259" s="7" t="str">
        <f t="shared" ca="1" si="15"/>
        <v/>
      </c>
      <c r="M259" s="4" t="str">
        <f>IF($I259="Complete","Green",IF($H259="","Amber",IF($H259&lt;'[2]Read Me'!$B$4,"Red",IF($H259-'[2]Read Me'!$B$4&lt;=21,"Amber","Green"))))</f>
        <v>Amber</v>
      </c>
      <c r="N259" s="3"/>
      <c r="O259" t="str">
        <f>IF($I259&lt;&gt;"Complete",IF(COUNTIFS($A$4:$A258,$A259,$B$4:$B258,$B259,$I$4:$I258,"&lt;&gt;Complete")=0,$A259&amp;"|"&amp;$B259,""),"")</f>
        <v>|</v>
      </c>
      <c r="P259" t="str">
        <f ca="1">IF($K259="Yes",COUNTIFS($K$4:$K259,"Yes"),"")</f>
        <v/>
      </c>
      <c r="Q259">
        <f t="shared" ca="1" si="16"/>
        <v>0</v>
      </c>
      <c r="R259" t="str">
        <f ca="1">IF($Q259=1,SUM($Q$4:$Q259),"")</f>
        <v/>
      </c>
    </row>
    <row r="260" spans="1:18" ht="45" customHeight="1" x14ac:dyDescent="0.3">
      <c r="A260" s="2"/>
      <c r="B260" s="2"/>
      <c r="C260" s="3"/>
      <c r="D260" s="3"/>
      <c r="E260" s="2"/>
      <c r="F260" s="2"/>
      <c r="G260" s="5"/>
      <c r="H260" s="5"/>
      <c r="I260" s="4"/>
      <c r="J260" s="6" t="str">
        <f t="shared" ref="J260:J312" si="18">IF(OR($G260="",$H260=""),"",$H260-$G260)</f>
        <v/>
      </c>
      <c r="K260" s="4" t="str">
        <f t="shared" ca="1" si="17"/>
        <v/>
      </c>
      <c r="L260" s="7" t="str">
        <f t="shared" ref="L260:L323" ca="1" si="19">IF(I260="Completed",0,IF(H260="","",H260-TODAY()))</f>
        <v/>
      </c>
      <c r="M260" s="4" t="str">
        <f>IF($I260="Complete","Green",IF($H260="","Amber",IF($H260&lt;'[2]Read Me'!$B$4,"Red",IF($H260-'[2]Read Me'!$B$4&lt;=21,"Amber","Green"))))</f>
        <v>Amber</v>
      </c>
      <c r="N260" s="3"/>
      <c r="O260" t="str">
        <f>IF($I260&lt;&gt;"Complete",IF(COUNTIFS($A$4:$A259,$A260,$B$4:$B259,$B260,$I$4:$I259,"&lt;&gt;Complete")=0,$A260&amp;"|"&amp;$B260,""),"")</f>
        <v>|</v>
      </c>
      <c r="P260" t="str">
        <f ca="1">IF($K260="Yes",COUNTIFS($K$4:$K260,"Yes"),"")</f>
        <v/>
      </c>
      <c r="Q260">
        <f t="shared" ref="Q260:Q312" ca="1" si="20">IF(OR($I260="In Progress",$K260="Yes"),1,0)</f>
        <v>0</v>
      </c>
      <c r="R260" t="str">
        <f ca="1">IF($Q260=1,SUM($Q$4:$Q260),"")</f>
        <v/>
      </c>
    </row>
    <row r="261" spans="1:18" ht="45" customHeight="1" x14ac:dyDescent="0.3">
      <c r="A261" s="2"/>
      <c r="B261" s="2"/>
      <c r="C261" s="3"/>
      <c r="D261" s="3"/>
      <c r="E261" s="2"/>
      <c r="F261" s="2"/>
      <c r="G261" s="5"/>
      <c r="H261" s="5"/>
      <c r="I261" s="4"/>
      <c r="J261" s="6" t="str">
        <f t="shared" si="18"/>
        <v/>
      </c>
      <c r="K261" s="4" t="str">
        <f t="shared" ca="1" si="17"/>
        <v/>
      </c>
      <c r="L261" s="7" t="str">
        <f t="shared" ca="1" si="19"/>
        <v/>
      </c>
      <c r="M261" s="4" t="str">
        <f>IF($I261="Complete","Green",IF($H261="","Amber",IF($H261&lt;'[2]Read Me'!$B$4,"Red",IF($H261-'[2]Read Me'!$B$4&lt;=21,"Amber","Green"))))</f>
        <v>Amber</v>
      </c>
      <c r="N261" s="3"/>
      <c r="O261" t="str">
        <f>IF($I261&lt;&gt;"Complete",IF(COUNTIFS($A$4:$A260,$A261,$B$4:$B260,$B261,$I$4:$I260,"&lt;&gt;Complete")=0,$A261&amp;"|"&amp;$B261,""),"")</f>
        <v>|</v>
      </c>
      <c r="P261" t="str">
        <f ca="1">IF($K261="Yes",COUNTIFS($K$4:$K261,"Yes"),"")</f>
        <v/>
      </c>
      <c r="Q261">
        <f t="shared" ca="1" si="20"/>
        <v>0</v>
      </c>
      <c r="R261" t="str">
        <f ca="1">IF($Q261=1,SUM($Q$4:$Q261),"")</f>
        <v/>
      </c>
    </row>
    <row r="262" spans="1:18" ht="45" customHeight="1" x14ac:dyDescent="0.3">
      <c r="A262" s="2"/>
      <c r="B262" s="2"/>
      <c r="C262" s="3"/>
      <c r="D262" s="3"/>
      <c r="E262" s="2"/>
      <c r="F262" s="2"/>
      <c r="G262" s="5"/>
      <c r="H262" s="5"/>
      <c r="I262" s="4"/>
      <c r="J262" s="6" t="str">
        <f t="shared" si="18"/>
        <v/>
      </c>
      <c r="K262" s="4" t="str">
        <f t="shared" ca="1" si="17"/>
        <v/>
      </c>
      <c r="L262" s="7" t="str">
        <f t="shared" ca="1" si="19"/>
        <v/>
      </c>
      <c r="M262" s="4" t="str">
        <f>IF($I262="Complete","Green",IF($H262="","Amber",IF($H262&lt;'[2]Read Me'!$B$4,"Red",IF($H262-'[2]Read Me'!$B$4&lt;=21,"Amber","Green"))))</f>
        <v>Amber</v>
      </c>
      <c r="N262" s="3"/>
      <c r="O262" t="str">
        <f>IF($I262&lt;&gt;"Complete",IF(COUNTIFS($A$4:$A261,$A262,$B$4:$B261,$B262,$I$4:$I261,"&lt;&gt;Complete")=0,$A262&amp;"|"&amp;$B262,""),"")</f>
        <v>|</v>
      </c>
      <c r="P262" t="str">
        <f ca="1">IF($K262="Yes",COUNTIFS($K$4:$K262,"Yes"),"")</f>
        <v/>
      </c>
      <c r="Q262">
        <f t="shared" ca="1" si="20"/>
        <v>0</v>
      </c>
      <c r="R262" t="str">
        <f ca="1">IF($Q262=1,SUM($Q$4:$Q262),"")</f>
        <v/>
      </c>
    </row>
    <row r="263" spans="1:18" ht="45" customHeight="1" x14ac:dyDescent="0.3">
      <c r="A263" s="2"/>
      <c r="B263" s="2"/>
      <c r="C263" s="3"/>
      <c r="D263" s="3"/>
      <c r="E263" s="2"/>
      <c r="F263" s="2"/>
      <c r="G263" s="5"/>
      <c r="H263" s="5"/>
      <c r="I263" s="4"/>
      <c r="J263" s="6" t="str">
        <f t="shared" si="18"/>
        <v/>
      </c>
      <c r="K263" s="4" t="str">
        <f t="shared" ca="1" si="17"/>
        <v/>
      </c>
      <c r="L263" s="7" t="str">
        <f t="shared" ca="1" si="19"/>
        <v/>
      </c>
      <c r="M263" s="4" t="str">
        <f>IF($I263="Complete","Green",IF($H263="","Amber",IF($H263&lt;'[2]Read Me'!$B$4,"Red",IF($H263-'[2]Read Me'!$B$4&lt;=21,"Amber","Green"))))</f>
        <v>Amber</v>
      </c>
      <c r="N263" s="3"/>
      <c r="O263" t="str">
        <f>IF($I263&lt;&gt;"Complete",IF(COUNTIFS($A$4:$A262,$A263,$B$4:$B262,$B263,$I$4:$I262,"&lt;&gt;Complete")=0,$A263&amp;"|"&amp;$B263,""),"")</f>
        <v>|</v>
      </c>
      <c r="P263" t="str">
        <f ca="1">IF($K263="Yes",COUNTIFS($K$4:$K263,"Yes"),"")</f>
        <v/>
      </c>
      <c r="Q263">
        <f t="shared" ca="1" si="20"/>
        <v>0</v>
      </c>
      <c r="R263" t="str">
        <f ca="1">IF($Q263=1,SUM($Q$4:$Q263),"")</f>
        <v/>
      </c>
    </row>
    <row r="264" spans="1:18" ht="45" customHeight="1" x14ac:dyDescent="0.3">
      <c r="A264" s="2"/>
      <c r="B264" s="2"/>
      <c r="C264" s="3"/>
      <c r="D264" s="3"/>
      <c r="E264" s="2"/>
      <c r="F264" s="2"/>
      <c r="G264" s="5"/>
      <c r="H264" s="5"/>
      <c r="I264" s="4"/>
      <c r="J264" s="6" t="str">
        <f t="shared" si="18"/>
        <v/>
      </c>
      <c r="K264" s="4" t="str">
        <f t="shared" ca="1" si="17"/>
        <v/>
      </c>
      <c r="L264" s="7" t="str">
        <f t="shared" ca="1" si="19"/>
        <v/>
      </c>
      <c r="M264" s="4" t="str">
        <f>IF($I264="Complete","Green",IF($H264="","Amber",IF($H264&lt;'[2]Read Me'!$B$4,"Red",IF($H264-'[2]Read Me'!$B$4&lt;=21,"Amber","Green"))))</f>
        <v>Amber</v>
      </c>
      <c r="N264" s="3"/>
      <c r="O264" t="str">
        <f>IF($I264&lt;&gt;"Complete",IF(COUNTIFS($A$4:$A263,$A264,$B$4:$B263,$B264,$I$4:$I263,"&lt;&gt;Complete")=0,$A264&amp;"|"&amp;$B264,""),"")</f>
        <v>|</v>
      </c>
      <c r="P264" t="str">
        <f ca="1">IF($K264="Yes",COUNTIFS($K$4:$K264,"Yes"),"")</f>
        <v/>
      </c>
      <c r="Q264">
        <f t="shared" ca="1" si="20"/>
        <v>0</v>
      </c>
      <c r="R264" t="str">
        <f ca="1">IF($Q264=1,SUM($Q$4:$Q264),"")</f>
        <v/>
      </c>
    </row>
    <row r="265" spans="1:18" ht="45" customHeight="1" x14ac:dyDescent="0.3">
      <c r="A265" s="2"/>
      <c r="B265" s="2"/>
      <c r="C265" s="3"/>
      <c r="D265" s="3"/>
      <c r="E265" s="2"/>
      <c r="F265" s="2"/>
      <c r="G265" s="5"/>
      <c r="H265" s="5"/>
      <c r="I265" s="4"/>
      <c r="J265" s="6" t="str">
        <f t="shared" si="18"/>
        <v/>
      </c>
      <c r="K265" s="4" t="str">
        <f t="shared" ref="K265:K312" ca="1" si="21">IF($H265="","",IF($H265&lt;TODAY(),"No","Yes"))</f>
        <v/>
      </c>
      <c r="L265" s="7" t="str">
        <f t="shared" ca="1" si="19"/>
        <v/>
      </c>
      <c r="M265" s="4" t="str">
        <f>IF($I265="Complete","Green",IF($H265="","Amber",IF($H265&lt;'[2]Read Me'!$B$4,"Red",IF($H265-'[2]Read Me'!$B$4&lt;=21,"Amber","Green"))))</f>
        <v>Amber</v>
      </c>
      <c r="N265" s="3"/>
      <c r="O265" t="str">
        <f>IF($I265&lt;&gt;"Complete",IF(COUNTIFS($A$4:$A264,$A265,$B$4:$B264,$B265,$I$4:$I264,"&lt;&gt;Complete")=0,$A265&amp;"|"&amp;$B265,""),"")</f>
        <v>|</v>
      </c>
      <c r="P265" t="str">
        <f ca="1">IF($K265="Yes",COUNTIFS($K$4:$K265,"Yes"),"")</f>
        <v/>
      </c>
      <c r="Q265">
        <f t="shared" ca="1" si="20"/>
        <v>0</v>
      </c>
      <c r="R265" t="str">
        <f ca="1">IF($Q265=1,SUM($Q$4:$Q265),"")</f>
        <v/>
      </c>
    </row>
    <row r="266" spans="1:18" ht="45" customHeight="1" x14ac:dyDescent="0.3">
      <c r="A266" s="2"/>
      <c r="B266" s="2"/>
      <c r="C266" s="3"/>
      <c r="D266" s="3"/>
      <c r="E266" s="2"/>
      <c r="F266" s="2"/>
      <c r="G266" s="5"/>
      <c r="H266" s="5"/>
      <c r="I266" s="4"/>
      <c r="J266" s="6" t="str">
        <f t="shared" si="18"/>
        <v/>
      </c>
      <c r="K266" s="4" t="str">
        <f t="shared" ca="1" si="21"/>
        <v/>
      </c>
      <c r="L266" s="7" t="str">
        <f t="shared" ca="1" si="19"/>
        <v/>
      </c>
      <c r="M266" s="4" t="str">
        <f>IF($I266="Complete","Green",IF($H266="","Amber",IF($H266&lt;'[2]Read Me'!$B$4,"Red",IF($H266-'[2]Read Me'!$B$4&lt;=21,"Amber","Green"))))</f>
        <v>Amber</v>
      </c>
      <c r="N266" s="3"/>
      <c r="O266" t="str">
        <f>IF($I266&lt;&gt;"Complete",IF(COUNTIFS($A$4:$A265,$A266,$B$4:$B265,$B266,$I$4:$I265,"&lt;&gt;Complete")=0,$A266&amp;"|"&amp;$B266,""),"")</f>
        <v>|</v>
      </c>
      <c r="P266" t="str">
        <f ca="1">IF($K266="Yes",COUNTIFS($K$4:$K266,"Yes"),"")</f>
        <v/>
      </c>
      <c r="Q266">
        <f t="shared" ca="1" si="20"/>
        <v>0</v>
      </c>
      <c r="R266" t="str">
        <f ca="1">IF($Q266=1,SUM($Q$4:$Q266),"")</f>
        <v/>
      </c>
    </row>
    <row r="267" spans="1:18" ht="45" customHeight="1" x14ac:dyDescent="0.3">
      <c r="A267" s="2"/>
      <c r="B267" s="2"/>
      <c r="C267" s="3"/>
      <c r="D267" s="3"/>
      <c r="E267" s="2"/>
      <c r="F267" s="2"/>
      <c r="G267" s="5"/>
      <c r="H267" s="5"/>
      <c r="I267" s="4"/>
      <c r="J267" s="6" t="str">
        <f t="shared" si="18"/>
        <v/>
      </c>
      <c r="K267" s="4" t="str">
        <f t="shared" ca="1" si="21"/>
        <v/>
      </c>
      <c r="L267" s="7" t="str">
        <f t="shared" ca="1" si="19"/>
        <v/>
      </c>
      <c r="M267" s="4" t="str">
        <f>IF($I267="Complete","Green",IF($H267="","Amber",IF($H267&lt;'[2]Read Me'!$B$4,"Red",IF($H267-'[2]Read Me'!$B$4&lt;=21,"Amber","Green"))))</f>
        <v>Amber</v>
      </c>
      <c r="N267" s="3"/>
      <c r="O267" t="str">
        <f>IF($I267&lt;&gt;"Complete",IF(COUNTIFS($A$4:$A266,$A267,$B$4:$B266,$B267,$I$4:$I266,"&lt;&gt;Complete")=0,$A267&amp;"|"&amp;$B267,""),"")</f>
        <v>|</v>
      </c>
      <c r="P267" t="str">
        <f ca="1">IF($K267="Yes",COUNTIFS($K$4:$K267,"Yes"),"")</f>
        <v/>
      </c>
      <c r="Q267">
        <f t="shared" ca="1" si="20"/>
        <v>0</v>
      </c>
      <c r="R267" t="str">
        <f ca="1">IF($Q267=1,SUM($Q$4:$Q267),"")</f>
        <v/>
      </c>
    </row>
    <row r="268" spans="1:18" ht="14.25" customHeight="1" x14ac:dyDescent="0.3">
      <c r="A268" s="2"/>
      <c r="B268" s="2"/>
      <c r="C268" s="3"/>
      <c r="D268" s="3"/>
      <c r="E268" s="2"/>
      <c r="F268" s="2"/>
      <c r="G268" s="5"/>
      <c r="H268" s="5"/>
      <c r="I268" s="4"/>
      <c r="J268" s="6" t="str">
        <f t="shared" si="18"/>
        <v/>
      </c>
      <c r="K268" s="4" t="str">
        <f t="shared" ca="1" si="21"/>
        <v/>
      </c>
      <c r="L268" s="7" t="str">
        <f t="shared" ca="1" si="19"/>
        <v/>
      </c>
      <c r="M268" s="4" t="str">
        <f>IF($I268="Complete","Green",IF($H268="","Amber",IF($H268&lt;'[2]Read Me'!$B$4,"Red",IF($H268-'[2]Read Me'!$B$4&lt;=21,"Amber","Green"))))</f>
        <v>Amber</v>
      </c>
      <c r="N268" s="3"/>
      <c r="O268" t="str">
        <f>IF($I268&lt;&gt;"Complete",IF(COUNTIFS($A$4:$A267,$A268,$B$4:$B267,$B268,$I$4:$I267,"&lt;&gt;Complete")=0,$A268&amp;"|"&amp;$B268,""),"")</f>
        <v>|</v>
      </c>
      <c r="P268" t="str">
        <f ca="1">IF($K268="Yes",COUNTIFS($K$4:$K268,"Yes"),"")</f>
        <v/>
      </c>
      <c r="Q268">
        <f t="shared" ca="1" si="20"/>
        <v>0</v>
      </c>
      <c r="R268" t="str">
        <f ca="1">IF($Q268=1,SUM($Q$4:$Q268),"")</f>
        <v/>
      </c>
    </row>
    <row r="269" spans="1:18" ht="14.25" customHeight="1" x14ac:dyDescent="0.3">
      <c r="A269" s="2"/>
      <c r="B269" s="2"/>
      <c r="C269" s="3"/>
      <c r="D269" s="3"/>
      <c r="E269" s="2"/>
      <c r="F269" s="2"/>
      <c r="G269" s="5"/>
      <c r="H269" s="5"/>
      <c r="I269" s="4"/>
      <c r="J269" s="6" t="str">
        <f t="shared" si="18"/>
        <v/>
      </c>
      <c r="K269" s="4" t="str">
        <f t="shared" ca="1" si="21"/>
        <v/>
      </c>
      <c r="L269" s="7" t="str">
        <f t="shared" ca="1" si="19"/>
        <v/>
      </c>
      <c r="M269" s="4" t="str">
        <f>IF($I269="Complete","Green",IF($H269="","Amber",IF($H269&lt;'[2]Read Me'!$B$4,"Red",IF($H269-'[2]Read Me'!$B$4&lt;=21,"Amber","Green"))))</f>
        <v>Amber</v>
      </c>
      <c r="N269" s="3"/>
      <c r="O269" t="str">
        <f>IF($I269&lt;&gt;"Complete",IF(COUNTIFS($A$4:$A268,$A269,$B$4:$B268,$B269,$I$4:$I268,"&lt;&gt;Complete")=0,$A269&amp;"|"&amp;$B269,""),"")</f>
        <v>|</v>
      </c>
      <c r="P269" t="str">
        <f ca="1">IF($K269="Yes",COUNTIFS($K$4:$K269,"Yes"),"")</f>
        <v/>
      </c>
      <c r="Q269">
        <f t="shared" ca="1" si="20"/>
        <v>0</v>
      </c>
      <c r="R269" t="str">
        <f ca="1">IF($Q269=1,SUM($Q$4:$Q269),"")</f>
        <v/>
      </c>
    </row>
    <row r="270" spans="1:18" ht="14.25" customHeight="1" x14ac:dyDescent="0.3">
      <c r="A270" s="2"/>
      <c r="B270" s="2"/>
      <c r="C270" s="3"/>
      <c r="D270" s="3"/>
      <c r="E270" s="2"/>
      <c r="F270" s="2"/>
      <c r="G270" s="5"/>
      <c r="H270" s="5"/>
      <c r="I270" s="4"/>
      <c r="J270" s="6" t="str">
        <f t="shared" si="18"/>
        <v/>
      </c>
      <c r="K270" s="4" t="str">
        <f t="shared" ca="1" si="21"/>
        <v/>
      </c>
      <c r="L270" s="7" t="str">
        <f t="shared" ca="1" si="19"/>
        <v/>
      </c>
      <c r="M270" s="4" t="str">
        <f>IF($I270="Complete","Green",IF($H270="","Amber",IF($H270&lt;'[2]Read Me'!$B$4,"Red",IF($H270-'[2]Read Me'!$B$4&lt;=21,"Amber","Green"))))</f>
        <v>Amber</v>
      </c>
      <c r="N270" s="3"/>
      <c r="O270" t="str">
        <f>IF($I270&lt;&gt;"Complete",IF(COUNTIFS($A$4:$A269,$A270,$B$4:$B269,$B270,$I$4:$I269,"&lt;&gt;Complete")=0,$A270&amp;"|"&amp;$B270,""),"")</f>
        <v>|</v>
      </c>
      <c r="P270" t="str">
        <f ca="1">IF($K270="Yes",COUNTIFS($K$4:$K270,"Yes"),"")</f>
        <v/>
      </c>
      <c r="Q270">
        <f t="shared" ca="1" si="20"/>
        <v>0</v>
      </c>
      <c r="R270" t="str">
        <f ca="1">IF($Q270=1,SUM($Q$4:$Q270),"")</f>
        <v/>
      </c>
    </row>
    <row r="271" spans="1:18" ht="14.25" customHeight="1" x14ac:dyDescent="0.3">
      <c r="A271" s="2"/>
      <c r="B271" s="2"/>
      <c r="C271" s="3"/>
      <c r="D271" s="3"/>
      <c r="E271" s="2"/>
      <c r="F271" s="2"/>
      <c r="G271" s="5"/>
      <c r="H271" s="5"/>
      <c r="I271" s="4"/>
      <c r="J271" s="6" t="str">
        <f t="shared" si="18"/>
        <v/>
      </c>
      <c r="K271" s="4" t="str">
        <f t="shared" ca="1" si="21"/>
        <v/>
      </c>
      <c r="L271" s="7" t="str">
        <f t="shared" ca="1" si="19"/>
        <v/>
      </c>
      <c r="M271" s="4" t="str">
        <f>IF($I271="Complete","Green",IF($H271="","Amber",IF($H271&lt;'[2]Read Me'!$B$4,"Red",IF($H271-'[2]Read Me'!$B$4&lt;=21,"Amber","Green"))))</f>
        <v>Amber</v>
      </c>
      <c r="N271" s="3"/>
      <c r="O271" t="str">
        <f>IF($I271&lt;&gt;"Complete",IF(COUNTIFS($A$4:$A270,$A271,$B$4:$B270,$B271,$I$4:$I270,"&lt;&gt;Complete")=0,$A271&amp;"|"&amp;$B271,""),"")</f>
        <v>|</v>
      </c>
      <c r="P271" t="str">
        <f ca="1">IF($K271="Yes",COUNTIFS($K$4:$K271,"Yes"),"")</f>
        <v/>
      </c>
      <c r="Q271">
        <f t="shared" ca="1" si="20"/>
        <v>0</v>
      </c>
      <c r="R271" t="str">
        <f ca="1">IF($Q271=1,SUM($Q$4:$Q271),"")</f>
        <v/>
      </c>
    </row>
    <row r="272" spans="1:18" ht="14.25" customHeight="1" x14ac:dyDescent="0.3">
      <c r="A272" s="2"/>
      <c r="B272" s="2"/>
      <c r="C272" s="3"/>
      <c r="D272" s="3"/>
      <c r="E272" s="2"/>
      <c r="F272" s="2"/>
      <c r="G272" s="5"/>
      <c r="H272" s="5"/>
      <c r="I272" s="4"/>
      <c r="J272" s="6" t="str">
        <f t="shared" si="18"/>
        <v/>
      </c>
      <c r="K272" s="4" t="str">
        <f t="shared" ca="1" si="21"/>
        <v/>
      </c>
      <c r="L272" s="7" t="str">
        <f t="shared" ca="1" si="19"/>
        <v/>
      </c>
      <c r="M272" s="4" t="str">
        <f>IF($I272="Complete","Green",IF($H272="","Amber",IF($H272&lt;'[2]Read Me'!$B$4,"Red",IF($H272-'[2]Read Me'!$B$4&lt;=21,"Amber","Green"))))</f>
        <v>Amber</v>
      </c>
      <c r="N272" s="3"/>
      <c r="O272" t="str">
        <f>IF($I272&lt;&gt;"Complete",IF(COUNTIFS($A$4:$A271,$A272,$B$4:$B271,$B272,$I$4:$I271,"&lt;&gt;Complete")=0,$A272&amp;"|"&amp;$B272,""),"")</f>
        <v>|</v>
      </c>
      <c r="P272" t="str">
        <f ca="1">IF($K272="Yes",COUNTIFS($K$4:$K272,"Yes"),"")</f>
        <v/>
      </c>
      <c r="Q272">
        <f t="shared" ca="1" si="20"/>
        <v>0</v>
      </c>
      <c r="R272" t="str">
        <f ca="1">IF($Q272=1,SUM($Q$4:$Q272),"")</f>
        <v/>
      </c>
    </row>
    <row r="273" spans="1:18" ht="14.25" customHeight="1" x14ac:dyDescent="0.3">
      <c r="A273" s="2"/>
      <c r="B273" s="2"/>
      <c r="C273" s="3"/>
      <c r="D273" s="3"/>
      <c r="E273" s="2"/>
      <c r="F273" s="2"/>
      <c r="G273" s="5"/>
      <c r="H273" s="5"/>
      <c r="I273" s="4"/>
      <c r="J273" s="6" t="str">
        <f t="shared" si="18"/>
        <v/>
      </c>
      <c r="K273" s="4" t="str">
        <f t="shared" ca="1" si="21"/>
        <v/>
      </c>
      <c r="L273" s="7" t="str">
        <f t="shared" ca="1" si="19"/>
        <v/>
      </c>
      <c r="M273" s="4" t="str">
        <f>IF($I273="Complete","Green",IF($H273="","Amber",IF($H273&lt;'[2]Read Me'!$B$4,"Red",IF($H273-'[2]Read Me'!$B$4&lt;=21,"Amber","Green"))))</f>
        <v>Amber</v>
      </c>
      <c r="N273" s="3"/>
      <c r="O273" t="str">
        <f>IF($I273&lt;&gt;"Complete",IF(COUNTIFS($A$4:$A272,$A273,$B$4:$B272,$B273,$I$4:$I272,"&lt;&gt;Complete")=0,$A273&amp;"|"&amp;$B273,""),"")</f>
        <v>|</v>
      </c>
      <c r="P273" t="str">
        <f ca="1">IF($K273="Yes",COUNTIFS($K$4:$K273,"Yes"),"")</f>
        <v/>
      </c>
      <c r="Q273">
        <f t="shared" ca="1" si="20"/>
        <v>0</v>
      </c>
      <c r="R273" t="str">
        <f ca="1">IF($Q273=1,SUM($Q$4:$Q273),"")</f>
        <v/>
      </c>
    </row>
    <row r="274" spans="1:18" ht="14.25" customHeight="1" x14ac:dyDescent="0.3">
      <c r="A274" s="2"/>
      <c r="B274" s="2"/>
      <c r="C274" s="3"/>
      <c r="D274" s="3"/>
      <c r="E274" s="2"/>
      <c r="F274" s="2"/>
      <c r="G274" s="5"/>
      <c r="H274" s="5"/>
      <c r="I274" s="4"/>
      <c r="J274" s="6" t="str">
        <f t="shared" si="18"/>
        <v/>
      </c>
      <c r="K274" s="4" t="str">
        <f t="shared" ca="1" si="21"/>
        <v/>
      </c>
      <c r="L274" s="7" t="str">
        <f t="shared" ca="1" si="19"/>
        <v/>
      </c>
      <c r="M274" s="4" t="str">
        <f>IF($I274="Complete","Green",IF($H274="","Amber",IF($H274&lt;'[2]Read Me'!$B$4,"Red",IF($H274-'[2]Read Me'!$B$4&lt;=21,"Amber","Green"))))</f>
        <v>Amber</v>
      </c>
      <c r="N274" s="3"/>
      <c r="O274" t="str">
        <f>IF($I274&lt;&gt;"Complete",IF(COUNTIFS($A$4:$A273,$A274,$B$4:$B273,$B274,$I$4:$I273,"&lt;&gt;Complete")=0,$A274&amp;"|"&amp;$B274,""),"")</f>
        <v>|</v>
      </c>
      <c r="P274" t="str">
        <f ca="1">IF($K274="Yes",COUNTIFS($K$4:$K274,"Yes"),"")</f>
        <v/>
      </c>
      <c r="Q274">
        <f t="shared" ca="1" si="20"/>
        <v>0</v>
      </c>
      <c r="R274" t="str">
        <f ca="1">IF($Q274=1,SUM($Q$4:$Q274),"")</f>
        <v/>
      </c>
    </row>
    <row r="275" spans="1:18" ht="14.25" customHeight="1" x14ac:dyDescent="0.3">
      <c r="A275" s="2"/>
      <c r="B275" s="2"/>
      <c r="C275" s="3"/>
      <c r="D275" s="3"/>
      <c r="E275" s="2"/>
      <c r="F275" s="2"/>
      <c r="G275" s="5"/>
      <c r="H275" s="5"/>
      <c r="I275" s="4"/>
      <c r="J275" s="6" t="str">
        <f t="shared" si="18"/>
        <v/>
      </c>
      <c r="K275" s="4" t="str">
        <f t="shared" ca="1" si="21"/>
        <v/>
      </c>
      <c r="L275" s="7" t="str">
        <f t="shared" ca="1" si="19"/>
        <v/>
      </c>
      <c r="M275" s="4" t="str">
        <f>IF($I275="Complete","Green",IF($H275="","Amber",IF($H275&lt;'[2]Read Me'!$B$4,"Red",IF($H275-'[2]Read Me'!$B$4&lt;=21,"Amber","Green"))))</f>
        <v>Amber</v>
      </c>
      <c r="N275" s="3"/>
      <c r="O275" t="str">
        <f>IF($I275&lt;&gt;"Complete",IF(COUNTIFS($A$4:$A274,$A275,$B$4:$B274,$B275,$I$4:$I274,"&lt;&gt;Complete")=0,$A275&amp;"|"&amp;$B275,""),"")</f>
        <v>|</v>
      </c>
      <c r="P275" t="str">
        <f ca="1">IF($K275="Yes",COUNTIFS($K$4:$K275,"Yes"),"")</f>
        <v/>
      </c>
      <c r="Q275">
        <f t="shared" ca="1" si="20"/>
        <v>0</v>
      </c>
      <c r="R275" t="str">
        <f ca="1">IF($Q275=1,SUM($Q$4:$Q275),"")</f>
        <v/>
      </c>
    </row>
    <row r="276" spans="1:18" ht="14.25" customHeight="1" x14ac:dyDescent="0.3">
      <c r="A276" s="2"/>
      <c r="B276" s="2"/>
      <c r="C276" s="3"/>
      <c r="D276" s="3"/>
      <c r="E276" s="2"/>
      <c r="F276" s="2"/>
      <c r="G276" s="5"/>
      <c r="H276" s="5"/>
      <c r="I276" s="4"/>
      <c r="J276" s="6" t="str">
        <f t="shared" si="18"/>
        <v/>
      </c>
      <c r="K276" s="4" t="str">
        <f t="shared" ca="1" si="21"/>
        <v/>
      </c>
      <c r="L276" s="7" t="str">
        <f t="shared" ca="1" si="19"/>
        <v/>
      </c>
      <c r="M276" s="4" t="str">
        <f>IF($I276="Complete","Green",IF($H276="","Amber",IF($H276&lt;'[2]Read Me'!$B$4,"Red",IF($H276-'[2]Read Me'!$B$4&lt;=21,"Amber","Green"))))</f>
        <v>Amber</v>
      </c>
      <c r="N276" s="3"/>
      <c r="O276" t="str">
        <f>IF($I276&lt;&gt;"Complete",IF(COUNTIFS($A$4:$A275,$A276,$B$4:$B275,$B276,$I$4:$I275,"&lt;&gt;Complete")=0,$A276&amp;"|"&amp;$B276,""),"")</f>
        <v>|</v>
      </c>
      <c r="P276" t="str">
        <f ca="1">IF($K276="Yes",COUNTIFS($K$4:$K276,"Yes"),"")</f>
        <v/>
      </c>
      <c r="Q276">
        <f t="shared" ca="1" si="20"/>
        <v>0</v>
      </c>
      <c r="R276" t="str">
        <f ca="1">IF($Q276=1,SUM($Q$4:$Q276),"")</f>
        <v/>
      </c>
    </row>
    <row r="277" spans="1:18" ht="14.25" customHeight="1" x14ac:dyDescent="0.3">
      <c r="A277" s="2"/>
      <c r="B277" s="2"/>
      <c r="C277" s="3"/>
      <c r="D277" s="3"/>
      <c r="E277" s="2"/>
      <c r="F277" s="2"/>
      <c r="G277" s="5"/>
      <c r="H277" s="5"/>
      <c r="I277" s="4"/>
      <c r="J277" s="6" t="str">
        <f t="shared" si="18"/>
        <v/>
      </c>
      <c r="K277" s="4" t="str">
        <f t="shared" ca="1" si="21"/>
        <v/>
      </c>
      <c r="L277" s="7" t="str">
        <f t="shared" ca="1" si="19"/>
        <v/>
      </c>
      <c r="M277" s="4" t="str">
        <f>IF($I277="Complete","Green",IF($H277="","Amber",IF($H277&lt;'[2]Read Me'!$B$4,"Red",IF($H277-'[2]Read Me'!$B$4&lt;=21,"Amber","Green"))))</f>
        <v>Amber</v>
      </c>
      <c r="N277" s="3"/>
      <c r="O277" t="str">
        <f>IF($I277&lt;&gt;"Complete",IF(COUNTIFS($A$4:$A276,$A277,$B$4:$B276,$B277,$I$4:$I276,"&lt;&gt;Complete")=0,$A277&amp;"|"&amp;$B277,""),"")</f>
        <v>|</v>
      </c>
      <c r="P277" t="str">
        <f ca="1">IF($K277="Yes",COUNTIFS($K$4:$K277,"Yes"),"")</f>
        <v/>
      </c>
      <c r="Q277">
        <f t="shared" ca="1" si="20"/>
        <v>0</v>
      </c>
      <c r="R277" t="str">
        <f ca="1">IF($Q277=1,SUM($Q$4:$Q277),"")</f>
        <v/>
      </c>
    </row>
    <row r="278" spans="1:18" ht="14.25" customHeight="1" x14ac:dyDescent="0.3">
      <c r="A278" s="2"/>
      <c r="B278" s="2"/>
      <c r="C278" s="3"/>
      <c r="D278" s="3"/>
      <c r="E278" s="2"/>
      <c r="F278" s="2"/>
      <c r="G278" s="5"/>
      <c r="H278" s="5"/>
      <c r="I278" s="4"/>
      <c r="J278" s="6" t="str">
        <f t="shared" si="18"/>
        <v/>
      </c>
      <c r="K278" s="4" t="str">
        <f t="shared" ca="1" si="21"/>
        <v/>
      </c>
      <c r="L278" s="7" t="str">
        <f t="shared" ca="1" si="19"/>
        <v/>
      </c>
      <c r="M278" s="4" t="str">
        <f>IF($I278="Complete","Green",IF($H278="","Amber",IF($H278&lt;'[2]Read Me'!$B$4,"Red",IF($H278-'[2]Read Me'!$B$4&lt;=21,"Amber","Green"))))</f>
        <v>Amber</v>
      </c>
      <c r="N278" s="3"/>
      <c r="O278" t="str">
        <f>IF($I278&lt;&gt;"Complete",IF(COUNTIFS($A$4:$A277,$A278,$B$4:$B277,$B278,$I$4:$I277,"&lt;&gt;Complete")=0,$A278&amp;"|"&amp;$B278,""),"")</f>
        <v>|</v>
      </c>
      <c r="P278" t="str">
        <f ca="1">IF($K278="Yes",COUNTIFS($K$4:$K278,"Yes"),"")</f>
        <v/>
      </c>
      <c r="Q278">
        <f t="shared" ca="1" si="20"/>
        <v>0</v>
      </c>
      <c r="R278" t="str">
        <f ca="1">IF($Q278=1,SUM($Q$4:$Q278),"")</f>
        <v/>
      </c>
    </row>
    <row r="279" spans="1:18" ht="14.25" customHeight="1" x14ac:dyDescent="0.3">
      <c r="A279" s="2"/>
      <c r="B279" s="2"/>
      <c r="C279" s="3"/>
      <c r="D279" s="3"/>
      <c r="E279" s="2"/>
      <c r="F279" s="2"/>
      <c r="G279" s="5"/>
      <c r="H279" s="5"/>
      <c r="I279" s="4"/>
      <c r="J279" s="6" t="str">
        <f t="shared" si="18"/>
        <v/>
      </c>
      <c r="K279" s="4" t="str">
        <f t="shared" ca="1" si="21"/>
        <v/>
      </c>
      <c r="L279" s="7" t="str">
        <f t="shared" ca="1" si="19"/>
        <v/>
      </c>
      <c r="M279" s="4" t="str">
        <f>IF($I279="Complete","Green",IF($H279="","Amber",IF($H279&lt;'[2]Read Me'!$B$4,"Red",IF($H279-'[2]Read Me'!$B$4&lt;=21,"Amber","Green"))))</f>
        <v>Amber</v>
      </c>
      <c r="N279" s="3"/>
      <c r="O279" t="str">
        <f>IF($I279&lt;&gt;"Complete",IF(COUNTIFS($A$4:$A278,$A279,$B$4:$B278,$B279,$I$4:$I278,"&lt;&gt;Complete")=0,$A279&amp;"|"&amp;$B279,""),"")</f>
        <v>|</v>
      </c>
      <c r="P279" t="str">
        <f ca="1">IF($K279="Yes",COUNTIFS($K$4:$K279,"Yes"),"")</f>
        <v/>
      </c>
      <c r="Q279">
        <f t="shared" ca="1" si="20"/>
        <v>0</v>
      </c>
      <c r="R279" t="str">
        <f ca="1">IF($Q279=1,SUM($Q$4:$Q279),"")</f>
        <v/>
      </c>
    </row>
    <row r="280" spans="1:18" ht="14.25" customHeight="1" x14ac:dyDescent="0.3">
      <c r="A280" s="2"/>
      <c r="B280" s="2"/>
      <c r="C280" s="3"/>
      <c r="D280" s="3"/>
      <c r="E280" s="2"/>
      <c r="F280" s="2"/>
      <c r="G280" s="5"/>
      <c r="H280" s="5"/>
      <c r="I280" s="4"/>
      <c r="J280" s="6" t="str">
        <f t="shared" si="18"/>
        <v/>
      </c>
      <c r="K280" s="4" t="str">
        <f t="shared" ca="1" si="21"/>
        <v/>
      </c>
      <c r="L280" s="7" t="str">
        <f t="shared" ca="1" si="19"/>
        <v/>
      </c>
      <c r="M280" s="4" t="str">
        <f>IF($I280="Complete","Green",IF($H280="","Amber",IF($H280&lt;'[2]Read Me'!$B$4,"Red",IF($H280-'[2]Read Me'!$B$4&lt;=21,"Amber","Green"))))</f>
        <v>Amber</v>
      </c>
      <c r="N280" s="3"/>
      <c r="O280" t="str">
        <f>IF($I280&lt;&gt;"Complete",IF(COUNTIFS($A$4:$A279,$A280,$B$4:$B279,$B280,$I$4:$I279,"&lt;&gt;Complete")=0,$A280&amp;"|"&amp;$B280,""),"")</f>
        <v>|</v>
      </c>
      <c r="P280" t="str">
        <f ca="1">IF($K280="Yes",COUNTIFS($K$4:$K280,"Yes"),"")</f>
        <v/>
      </c>
      <c r="Q280">
        <f t="shared" ca="1" si="20"/>
        <v>0</v>
      </c>
      <c r="R280" t="str">
        <f ca="1">IF($Q280=1,SUM($Q$4:$Q280),"")</f>
        <v/>
      </c>
    </row>
    <row r="281" spans="1:18" ht="14.25" customHeight="1" x14ac:dyDescent="0.3">
      <c r="A281" s="2"/>
      <c r="B281" s="2"/>
      <c r="C281" s="3"/>
      <c r="D281" s="3"/>
      <c r="E281" s="2"/>
      <c r="F281" s="2"/>
      <c r="G281" s="5"/>
      <c r="H281" s="5"/>
      <c r="I281" s="4"/>
      <c r="J281" s="6" t="str">
        <f t="shared" si="18"/>
        <v/>
      </c>
      <c r="K281" s="4" t="str">
        <f t="shared" ca="1" si="21"/>
        <v/>
      </c>
      <c r="L281" s="7" t="str">
        <f t="shared" ca="1" si="19"/>
        <v/>
      </c>
      <c r="M281" s="4" t="str">
        <f>IF($I281="Complete","Green",IF($H281="","Amber",IF($H281&lt;'[2]Read Me'!$B$4,"Red",IF($H281-'[2]Read Me'!$B$4&lt;=21,"Amber","Green"))))</f>
        <v>Amber</v>
      </c>
      <c r="N281" s="3"/>
      <c r="O281" t="str">
        <f>IF($I281&lt;&gt;"Complete",IF(COUNTIFS($A$4:$A280,$A281,$B$4:$B280,$B281,$I$4:$I280,"&lt;&gt;Complete")=0,$A281&amp;"|"&amp;$B281,""),"")</f>
        <v>|</v>
      </c>
      <c r="P281" t="str">
        <f ca="1">IF($K281="Yes",COUNTIFS($K$4:$K281,"Yes"),"")</f>
        <v/>
      </c>
      <c r="Q281">
        <f t="shared" ca="1" si="20"/>
        <v>0</v>
      </c>
      <c r="R281" t="str">
        <f ca="1">IF($Q281=1,SUM($Q$4:$Q281),"")</f>
        <v/>
      </c>
    </row>
    <row r="282" spans="1:18" ht="14.25" customHeight="1" x14ac:dyDescent="0.3">
      <c r="A282" s="2"/>
      <c r="B282" s="2"/>
      <c r="C282" s="3"/>
      <c r="D282" s="3"/>
      <c r="E282" s="2"/>
      <c r="F282" s="2"/>
      <c r="G282" s="5"/>
      <c r="H282" s="5"/>
      <c r="I282" s="4"/>
      <c r="J282" s="6" t="str">
        <f t="shared" si="18"/>
        <v/>
      </c>
      <c r="K282" s="4" t="str">
        <f t="shared" ca="1" si="21"/>
        <v/>
      </c>
      <c r="L282" s="7" t="str">
        <f t="shared" ca="1" si="19"/>
        <v/>
      </c>
      <c r="M282" s="4" t="str">
        <f>IF($I282="Complete","Green",IF($H282="","Amber",IF($H282&lt;'[2]Read Me'!$B$4,"Red",IF($H282-'[2]Read Me'!$B$4&lt;=21,"Amber","Green"))))</f>
        <v>Amber</v>
      </c>
      <c r="N282" s="3"/>
      <c r="O282" t="str">
        <f>IF($I282&lt;&gt;"Complete",IF(COUNTIFS($A$4:$A281,$A282,$B$4:$B281,$B282,$I$4:$I281,"&lt;&gt;Complete")=0,$A282&amp;"|"&amp;$B282,""),"")</f>
        <v>|</v>
      </c>
      <c r="P282" t="str">
        <f ca="1">IF($K282="Yes",COUNTIFS($K$4:$K282,"Yes"),"")</f>
        <v/>
      </c>
      <c r="Q282">
        <f t="shared" ca="1" si="20"/>
        <v>0</v>
      </c>
      <c r="R282" t="str">
        <f ca="1">IF($Q282=1,SUM($Q$4:$Q282),"")</f>
        <v/>
      </c>
    </row>
    <row r="283" spans="1:18" ht="14.25" customHeight="1" x14ac:dyDescent="0.3">
      <c r="A283" s="2"/>
      <c r="B283" s="2"/>
      <c r="C283" s="3"/>
      <c r="D283" s="3"/>
      <c r="E283" s="2"/>
      <c r="F283" s="2"/>
      <c r="G283" s="5"/>
      <c r="H283" s="5"/>
      <c r="I283" s="4"/>
      <c r="J283" s="6" t="str">
        <f t="shared" si="18"/>
        <v/>
      </c>
      <c r="K283" s="4" t="str">
        <f t="shared" ca="1" si="21"/>
        <v/>
      </c>
      <c r="L283" s="7" t="str">
        <f t="shared" ca="1" si="19"/>
        <v/>
      </c>
      <c r="M283" s="4" t="str">
        <f>IF($I283="Complete","Green",IF($H283="","Amber",IF($H283&lt;'[2]Read Me'!$B$4,"Red",IF($H283-'[2]Read Me'!$B$4&lt;=21,"Amber","Green"))))</f>
        <v>Amber</v>
      </c>
      <c r="N283" s="3"/>
      <c r="O283" t="str">
        <f>IF($I283&lt;&gt;"Complete",IF(COUNTIFS($A$4:$A282,$A283,$B$4:$B282,$B283,$I$4:$I282,"&lt;&gt;Complete")=0,$A283&amp;"|"&amp;$B283,""),"")</f>
        <v>|</v>
      </c>
      <c r="P283" t="str">
        <f ca="1">IF($K283="Yes",COUNTIFS($K$4:$K283,"Yes"),"")</f>
        <v/>
      </c>
      <c r="Q283">
        <f t="shared" ca="1" si="20"/>
        <v>0</v>
      </c>
      <c r="R283" t="str">
        <f ca="1">IF($Q283=1,SUM($Q$4:$Q283),"")</f>
        <v/>
      </c>
    </row>
    <row r="284" spans="1:18" ht="14.25" customHeight="1" x14ac:dyDescent="0.3">
      <c r="A284" s="2"/>
      <c r="B284" s="2"/>
      <c r="C284" s="3"/>
      <c r="D284" s="3"/>
      <c r="E284" s="2"/>
      <c r="F284" s="2"/>
      <c r="G284" s="5"/>
      <c r="H284" s="5"/>
      <c r="I284" s="4"/>
      <c r="J284" s="6" t="str">
        <f t="shared" si="18"/>
        <v/>
      </c>
      <c r="K284" s="4" t="str">
        <f t="shared" ca="1" si="21"/>
        <v/>
      </c>
      <c r="L284" s="7" t="str">
        <f t="shared" ca="1" si="19"/>
        <v/>
      </c>
      <c r="M284" s="4" t="str">
        <f>IF($I284="Complete","Green",IF($H284="","Amber",IF($H284&lt;'[2]Read Me'!$B$4,"Red",IF($H284-'[2]Read Me'!$B$4&lt;=21,"Amber","Green"))))</f>
        <v>Amber</v>
      </c>
      <c r="N284" s="3"/>
      <c r="O284" t="str">
        <f>IF($I284&lt;&gt;"Complete",IF(COUNTIFS($A$4:$A283,$A284,$B$4:$B283,$B284,$I$4:$I283,"&lt;&gt;Complete")=0,$A284&amp;"|"&amp;$B284,""),"")</f>
        <v>|</v>
      </c>
      <c r="P284" t="str">
        <f ca="1">IF($K284="Yes",COUNTIFS($K$4:$K284,"Yes"),"")</f>
        <v/>
      </c>
      <c r="Q284">
        <f t="shared" ca="1" si="20"/>
        <v>0</v>
      </c>
      <c r="R284" t="str">
        <f ca="1">IF($Q284=1,SUM($Q$4:$Q284),"")</f>
        <v/>
      </c>
    </row>
    <row r="285" spans="1:18" ht="14.25" customHeight="1" x14ac:dyDescent="0.3">
      <c r="A285" s="2"/>
      <c r="B285" s="2"/>
      <c r="C285" s="3"/>
      <c r="D285" s="3"/>
      <c r="E285" s="2"/>
      <c r="F285" s="2"/>
      <c r="G285" s="5"/>
      <c r="H285" s="5"/>
      <c r="I285" s="4"/>
      <c r="J285" s="6" t="str">
        <f t="shared" si="18"/>
        <v/>
      </c>
      <c r="K285" s="4" t="str">
        <f t="shared" ca="1" si="21"/>
        <v/>
      </c>
      <c r="L285" s="7" t="str">
        <f t="shared" ca="1" si="19"/>
        <v/>
      </c>
      <c r="M285" s="4" t="str">
        <f>IF($I285="Complete","Green",IF($H285="","Amber",IF($H285&lt;'[2]Read Me'!$B$4,"Red",IF($H285-'[2]Read Me'!$B$4&lt;=21,"Amber","Green"))))</f>
        <v>Amber</v>
      </c>
      <c r="N285" s="3"/>
      <c r="O285" t="str">
        <f>IF($I285&lt;&gt;"Complete",IF(COUNTIFS($A$4:$A284,$A285,$B$4:$B284,$B285,$I$4:$I284,"&lt;&gt;Complete")=0,$A285&amp;"|"&amp;$B285,""),"")</f>
        <v>|</v>
      </c>
      <c r="P285" t="str">
        <f ca="1">IF($K285="Yes",COUNTIFS($K$4:$K285,"Yes"),"")</f>
        <v/>
      </c>
      <c r="Q285">
        <f t="shared" ca="1" si="20"/>
        <v>0</v>
      </c>
      <c r="R285" t="str">
        <f ca="1">IF($Q285=1,SUM($Q$4:$Q285),"")</f>
        <v/>
      </c>
    </row>
    <row r="286" spans="1:18" ht="14.25" customHeight="1" x14ac:dyDescent="0.3">
      <c r="A286" s="2"/>
      <c r="B286" s="2"/>
      <c r="C286" s="3"/>
      <c r="D286" s="3"/>
      <c r="E286" s="2"/>
      <c r="F286" s="2"/>
      <c r="G286" s="5"/>
      <c r="H286" s="5"/>
      <c r="I286" s="4"/>
      <c r="J286" s="6" t="str">
        <f t="shared" si="18"/>
        <v/>
      </c>
      <c r="K286" s="4" t="str">
        <f t="shared" ca="1" si="21"/>
        <v/>
      </c>
      <c r="L286" s="7" t="str">
        <f t="shared" ca="1" si="19"/>
        <v/>
      </c>
      <c r="M286" s="4" t="str">
        <f>IF($I286="Complete","Green",IF($H286="","Amber",IF($H286&lt;'[2]Read Me'!$B$4,"Red",IF($H286-'[2]Read Me'!$B$4&lt;=21,"Amber","Green"))))</f>
        <v>Amber</v>
      </c>
      <c r="N286" s="3"/>
      <c r="O286" t="str">
        <f>IF($I286&lt;&gt;"Complete",IF(COUNTIFS($A$4:$A285,$A286,$B$4:$B285,$B286,$I$4:$I285,"&lt;&gt;Complete")=0,$A286&amp;"|"&amp;$B286,""),"")</f>
        <v>|</v>
      </c>
      <c r="P286" t="str">
        <f ca="1">IF($K286="Yes",COUNTIFS($K$4:$K286,"Yes"),"")</f>
        <v/>
      </c>
      <c r="Q286">
        <f t="shared" ca="1" si="20"/>
        <v>0</v>
      </c>
      <c r="R286" t="str">
        <f ca="1">IF($Q286=1,SUM($Q$4:$Q286),"")</f>
        <v/>
      </c>
    </row>
    <row r="287" spans="1:18" ht="14.25" customHeight="1" x14ac:dyDescent="0.3">
      <c r="A287" s="2"/>
      <c r="B287" s="2"/>
      <c r="C287" s="3"/>
      <c r="D287" s="3"/>
      <c r="E287" s="2"/>
      <c r="F287" s="2"/>
      <c r="G287" s="5"/>
      <c r="H287" s="5"/>
      <c r="I287" s="4"/>
      <c r="J287" s="6" t="str">
        <f t="shared" si="18"/>
        <v/>
      </c>
      <c r="K287" s="4" t="str">
        <f t="shared" ca="1" si="21"/>
        <v/>
      </c>
      <c r="L287" s="7" t="str">
        <f t="shared" ca="1" si="19"/>
        <v/>
      </c>
      <c r="M287" s="4" t="str">
        <f>IF($I287="Complete","Green",IF($H287="","Amber",IF($H287&lt;'[2]Read Me'!$B$4,"Red",IF($H287-'[2]Read Me'!$B$4&lt;=21,"Amber","Green"))))</f>
        <v>Amber</v>
      </c>
      <c r="N287" s="3"/>
      <c r="O287" t="str">
        <f>IF($I287&lt;&gt;"Complete",IF(COUNTIFS($A$4:$A286,$A287,$B$4:$B286,$B287,$I$4:$I286,"&lt;&gt;Complete")=0,$A287&amp;"|"&amp;$B287,""),"")</f>
        <v>|</v>
      </c>
      <c r="P287" t="str">
        <f ca="1">IF($K287="Yes",COUNTIFS($K$4:$K287,"Yes"),"")</f>
        <v/>
      </c>
      <c r="Q287">
        <f t="shared" ca="1" si="20"/>
        <v>0</v>
      </c>
      <c r="R287" t="str">
        <f ca="1">IF($Q287=1,SUM($Q$4:$Q287),"")</f>
        <v/>
      </c>
    </row>
    <row r="288" spans="1:18" ht="14.25" customHeight="1" x14ac:dyDescent="0.3">
      <c r="A288" s="2"/>
      <c r="B288" s="2"/>
      <c r="C288" s="3"/>
      <c r="D288" s="3"/>
      <c r="E288" s="2"/>
      <c r="F288" s="2"/>
      <c r="G288" s="5"/>
      <c r="H288" s="5"/>
      <c r="I288" s="4"/>
      <c r="J288" s="6" t="str">
        <f t="shared" si="18"/>
        <v/>
      </c>
      <c r="K288" s="4" t="str">
        <f t="shared" ca="1" si="21"/>
        <v/>
      </c>
      <c r="L288" s="7" t="str">
        <f t="shared" ca="1" si="19"/>
        <v/>
      </c>
      <c r="M288" s="4" t="str">
        <f>IF($I288="Complete","Green",IF($H288="","Amber",IF($H288&lt;'[2]Read Me'!$B$4,"Red",IF($H288-'[2]Read Me'!$B$4&lt;=21,"Amber","Green"))))</f>
        <v>Amber</v>
      </c>
      <c r="N288" s="3"/>
      <c r="O288" t="str">
        <f>IF($I288&lt;&gt;"Complete",IF(COUNTIFS($A$4:$A287,$A288,$B$4:$B287,$B288,$I$4:$I287,"&lt;&gt;Complete")=0,$A288&amp;"|"&amp;$B288,""),"")</f>
        <v>|</v>
      </c>
      <c r="P288" t="str">
        <f ca="1">IF($K288="Yes",COUNTIFS($K$4:$K288,"Yes"),"")</f>
        <v/>
      </c>
      <c r="Q288">
        <f t="shared" ca="1" si="20"/>
        <v>0</v>
      </c>
      <c r="R288" t="str">
        <f ca="1">IF($Q288=1,SUM($Q$4:$Q288),"")</f>
        <v/>
      </c>
    </row>
    <row r="289" spans="1:18" ht="14.25" customHeight="1" x14ac:dyDescent="0.3">
      <c r="A289" s="2"/>
      <c r="B289" s="2"/>
      <c r="C289" s="3"/>
      <c r="D289" s="3"/>
      <c r="E289" s="2"/>
      <c r="F289" s="2"/>
      <c r="G289" s="5"/>
      <c r="H289" s="5"/>
      <c r="I289" s="4"/>
      <c r="J289" s="6" t="str">
        <f t="shared" si="18"/>
        <v/>
      </c>
      <c r="K289" s="4" t="str">
        <f t="shared" ca="1" si="21"/>
        <v/>
      </c>
      <c r="L289" s="7" t="str">
        <f t="shared" ca="1" si="19"/>
        <v/>
      </c>
      <c r="M289" s="4" t="str">
        <f>IF($I289="Complete","Green",IF($H289="","Amber",IF($H289&lt;'[2]Read Me'!$B$4,"Red",IF($H289-'[2]Read Me'!$B$4&lt;=21,"Amber","Green"))))</f>
        <v>Amber</v>
      </c>
      <c r="N289" s="3"/>
      <c r="O289" t="str">
        <f>IF($I289&lt;&gt;"Complete",IF(COUNTIFS($A$4:$A288,$A289,$B$4:$B288,$B289,$I$4:$I288,"&lt;&gt;Complete")=0,$A289&amp;"|"&amp;$B289,""),"")</f>
        <v>|</v>
      </c>
      <c r="P289" t="str">
        <f ca="1">IF($K289="Yes",COUNTIFS($K$4:$K289,"Yes"),"")</f>
        <v/>
      </c>
      <c r="Q289">
        <f t="shared" ca="1" si="20"/>
        <v>0</v>
      </c>
      <c r="R289" t="str">
        <f ca="1">IF($Q289=1,SUM($Q$4:$Q289),"")</f>
        <v/>
      </c>
    </row>
    <row r="290" spans="1:18" ht="14.25" customHeight="1" x14ac:dyDescent="0.3">
      <c r="A290" s="2"/>
      <c r="B290" s="2"/>
      <c r="C290" s="3"/>
      <c r="D290" s="3"/>
      <c r="E290" s="2"/>
      <c r="F290" s="2"/>
      <c r="G290" s="5"/>
      <c r="H290" s="5"/>
      <c r="I290" s="4"/>
      <c r="J290" s="6" t="str">
        <f t="shared" si="18"/>
        <v/>
      </c>
      <c r="K290" s="4" t="str">
        <f t="shared" ca="1" si="21"/>
        <v/>
      </c>
      <c r="L290" s="7" t="str">
        <f t="shared" ca="1" si="19"/>
        <v/>
      </c>
      <c r="M290" s="4" t="str">
        <f>IF($I290="Complete","Green",IF($H290="","Amber",IF($H290&lt;'[2]Read Me'!$B$4,"Red",IF($H290-'[2]Read Me'!$B$4&lt;=21,"Amber","Green"))))</f>
        <v>Amber</v>
      </c>
      <c r="N290" s="3"/>
      <c r="O290" t="str">
        <f>IF($I290&lt;&gt;"Complete",IF(COUNTIFS($A$4:$A289,$A290,$B$4:$B289,$B290,$I$4:$I289,"&lt;&gt;Complete")=0,$A290&amp;"|"&amp;$B290,""),"")</f>
        <v>|</v>
      </c>
      <c r="P290" t="str">
        <f ca="1">IF($K290="Yes",COUNTIFS($K$4:$K290,"Yes"),"")</f>
        <v/>
      </c>
      <c r="Q290">
        <f t="shared" ca="1" si="20"/>
        <v>0</v>
      </c>
      <c r="R290" t="str">
        <f ca="1">IF($Q290=1,SUM($Q$4:$Q290),"")</f>
        <v/>
      </c>
    </row>
    <row r="291" spans="1:18" ht="14.25" customHeight="1" x14ac:dyDescent="0.3">
      <c r="A291" s="2"/>
      <c r="B291" s="2"/>
      <c r="C291" s="3"/>
      <c r="D291" s="3"/>
      <c r="E291" s="2"/>
      <c r="F291" s="2"/>
      <c r="G291" s="5"/>
      <c r="H291" s="5"/>
      <c r="I291" s="4"/>
      <c r="J291" s="6" t="str">
        <f t="shared" si="18"/>
        <v/>
      </c>
      <c r="K291" s="4" t="str">
        <f t="shared" ca="1" si="21"/>
        <v/>
      </c>
      <c r="L291" s="7" t="str">
        <f t="shared" ca="1" si="19"/>
        <v/>
      </c>
      <c r="M291" s="4" t="str">
        <f>IF($I291="Complete","Green",IF($H291="","Amber",IF($H291&lt;'[2]Read Me'!$B$4,"Red",IF($H291-'[2]Read Me'!$B$4&lt;=21,"Amber","Green"))))</f>
        <v>Amber</v>
      </c>
      <c r="N291" s="3"/>
      <c r="O291" t="str">
        <f>IF($I291&lt;&gt;"Complete",IF(COUNTIFS($A$4:$A290,$A291,$B$4:$B290,$B291,$I$4:$I290,"&lt;&gt;Complete")=0,$A291&amp;"|"&amp;$B291,""),"")</f>
        <v>|</v>
      </c>
      <c r="P291" t="str">
        <f ca="1">IF($K291="Yes",COUNTIFS($K$4:$K291,"Yes"),"")</f>
        <v/>
      </c>
      <c r="Q291">
        <f t="shared" ca="1" si="20"/>
        <v>0</v>
      </c>
      <c r="R291" t="str">
        <f ca="1">IF($Q291=1,SUM($Q$4:$Q291),"")</f>
        <v/>
      </c>
    </row>
    <row r="292" spans="1:18" ht="14.25" customHeight="1" x14ac:dyDescent="0.3">
      <c r="A292" s="2"/>
      <c r="B292" s="2"/>
      <c r="C292" s="3"/>
      <c r="D292" s="3"/>
      <c r="E292" s="2"/>
      <c r="F292" s="2"/>
      <c r="G292" s="5"/>
      <c r="H292" s="5"/>
      <c r="I292" s="4"/>
      <c r="J292" s="6" t="str">
        <f t="shared" si="18"/>
        <v/>
      </c>
      <c r="K292" s="4" t="str">
        <f t="shared" ca="1" si="21"/>
        <v/>
      </c>
      <c r="L292" s="7" t="str">
        <f t="shared" ca="1" si="19"/>
        <v/>
      </c>
      <c r="M292" s="4" t="str">
        <f>IF($I292="Complete","Green",IF($H292="","Amber",IF($H292&lt;'[2]Read Me'!$B$4,"Red",IF($H292-'[2]Read Me'!$B$4&lt;=21,"Amber","Green"))))</f>
        <v>Amber</v>
      </c>
      <c r="N292" s="3"/>
      <c r="O292" t="str">
        <f>IF($I292&lt;&gt;"Complete",IF(COUNTIFS($A$4:$A291,$A292,$B$4:$B291,$B292,$I$4:$I291,"&lt;&gt;Complete")=0,$A292&amp;"|"&amp;$B292,""),"")</f>
        <v>|</v>
      </c>
      <c r="P292" t="str">
        <f ca="1">IF($K292="Yes",COUNTIFS($K$4:$K292,"Yes"),"")</f>
        <v/>
      </c>
      <c r="Q292">
        <f t="shared" ca="1" si="20"/>
        <v>0</v>
      </c>
      <c r="R292" t="str">
        <f ca="1">IF($Q292=1,SUM($Q$4:$Q292),"")</f>
        <v/>
      </c>
    </row>
    <row r="293" spans="1:18" ht="22.5" customHeight="1" x14ac:dyDescent="0.3">
      <c r="A293" s="2"/>
      <c r="B293" s="2"/>
      <c r="C293" s="3"/>
      <c r="D293" s="3"/>
      <c r="E293" s="2"/>
      <c r="F293" s="2"/>
      <c r="G293" s="5"/>
      <c r="H293" s="5"/>
      <c r="I293" s="4"/>
      <c r="J293" s="6" t="str">
        <f t="shared" si="18"/>
        <v/>
      </c>
      <c r="K293" s="4" t="str">
        <f t="shared" ca="1" si="21"/>
        <v/>
      </c>
      <c r="L293" s="7" t="str">
        <f t="shared" ca="1" si="19"/>
        <v/>
      </c>
      <c r="M293" s="4" t="str">
        <f>IF($I293="Complete","Green",IF($H293="","Amber",IF($H293&lt;'[2]Read Me'!$B$4,"Red",IF($H293-'[2]Read Me'!$B$4&lt;=21,"Amber","Green"))))</f>
        <v>Amber</v>
      </c>
      <c r="N293" s="3"/>
      <c r="O293" t="str">
        <f>IF($I293&lt;&gt;"Complete",IF(COUNTIFS($A$4:$A292,$A293,$B$4:$B292,$B293,$I$4:$I292,"&lt;&gt;Complete")=0,$A293&amp;"|"&amp;$B293,""),"")</f>
        <v>|</v>
      </c>
      <c r="P293" t="str">
        <f ca="1">IF($K293="Yes",COUNTIFS($K$4:$K293,"Yes"),"")</f>
        <v/>
      </c>
      <c r="Q293">
        <f t="shared" ca="1" si="20"/>
        <v>0</v>
      </c>
      <c r="R293" t="str">
        <f ca="1">IF($Q293=1,SUM($Q$4:$Q293),"")</f>
        <v/>
      </c>
    </row>
    <row r="294" spans="1:18" ht="22.5" customHeight="1" x14ac:dyDescent="0.3">
      <c r="A294" s="2"/>
      <c r="B294" s="2"/>
      <c r="C294" s="3"/>
      <c r="D294" s="3"/>
      <c r="E294" s="2"/>
      <c r="F294" s="2"/>
      <c r="G294" s="5"/>
      <c r="H294" s="5"/>
      <c r="I294" s="4"/>
      <c r="J294" s="6" t="str">
        <f t="shared" si="18"/>
        <v/>
      </c>
      <c r="K294" s="4" t="str">
        <f t="shared" ca="1" si="21"/>
        <v/>
      </c>
      <c r="L294" s="7" t="str">
        <f t="shared" ca="1" si="19"/>
        <v/>
      </c>
      <c r="M294" s="4" t="str">
        <f>IF($I294="Complete","Green",IF($H294="","Amber",IF($H294&lt;'[2]Read Me'!$B$4,"Red",IF($H294-'[2]Read Me'!$B$4&lt;=21,"Amber","Green"))))</f>
        <v>Amber</v>
      </c>
      <c r="N294" s="3"/>
      <c r="O294" t="str">
        <f>IF($I294&lt;&gt;"Complete",IF(COUNTIFS($A$4:$A293,$A294,$B$4:$B293,$B294,$I$4:$I293,"&lt;&gt;Complete")=0,$A294&amp;"|"&amp;$B294,""),"")</f>
        <v>|</v>
      </c>
      <c r="P294" t="str">
        <f ca="1">IF($K294="Yes",COUNTIFS($K$4:$K294,"Yes"),"")</f>
        <v/>
      </c>
      <c r="Q294">
        <f t="shared" ca="1" si="20"/>
        <v>0</v>
      </c>
      <c r="R294" t="str">
        <f ca="1">IF($Q294=1,SUM($Q$4:$Q294),"")</f>
        <v/>
      </c>
    </row>
    <row r="295" spans="1:18" ht="22.5" customHeight="1" x14ac:dyDescent="0.3">
      <c r="A295" s="2"/>
      <c r="B295" s="2"/>
      <c r="C295" s="3"/>
      <c r="D295" s="3"/>
      <c r="E295" s="2"/>
      <c r="F295" s="2"/>
      <c r="G295" s="5"/>
      <c r="H295" s="5"/>
      <c r="I295" s="4"/>
      <c r="J295" s="6" t="str">
        <f t="shared" si="18"/>
        <v/>
      </c>
      <c r="K295" s="4" t="str">
        <f t="shared" ca="1" si="21"/>
        <v/>
      </c>
      <c r="L295" s="7" t="str">
        <f t="shared" ca="1" si="19"/>
        <v/>
      </c>
      <c r="M295" s="4" t="str">
        <f>IF($I295="Complete","Green",IF($H295="","Amber",IF($H295&lt;'[2]Read Me'!$B$4,"Red",IF($H295-'[2]Read Me'!$B$4&lt;=21,"Amber","Green"))))</f>
        <v>Amber</v>
      </c>
      <c r="N295" s="3"/>
      <c r="O295" t="str">
        <f>IF($I295&lt;&gt;"Complete",IF(COUNTIFS($A$4:$A294,$A295,$B$4:$B294,$B295,$I$4:$I294,"&lt;&gt;Complete")=0,$A295&amp;"|"&amp;$B295,""),"")</f>
        <v>|</v>
      </c>
      <c r="P295" t="str">
        <f ca="1">IF($K295="Yes",COUNTIFS($K$4:$K295,"Yes"),"")</f>
        <v/>
      </c>
      <c r="Q295">
        <f t="shared" ca="1" si="20"/>
        <v>0</v>
      </c>
      <c r="R295" t="str">
        <f ca="1">IF($Q295=1,SUM($Q$4:$Q295),"")</f>
        <v/>
      </c>
    </row>
    <row r="296" spans="1:18" ht="22.5" customHeight="1" x14ac:dyDescent="0.3">
      <c r="A296" s="2"/>
      <c r="B296" s="2"/>
      <c r="C296" s="3"/>
      <c r="D296" s="3"/>
      <c r="E296" s="2"/>
      <c r="F296" s="2"/>
      <c r="G296" s="5"/>
      <c r="H296" s="5"/>
      <c r="I296" s="4"/>
      <c r="J296" s="6" t="str">
        <f t="shared" si="18"/>
        <v/>
      </c>
      <c r="K296" s="4" t="str">
        <f t="shared" ca="1" si="21"/>
        <v/>
      </c>
      <c r="L296" s="7" t="str">
        <f t="shared" ca="1" si="19"/>
        <v/>
      </c>
      <c r="M296" s="4" t="str">
        <f>IF($I296="Complete","Green",IF($H296="","Amber",IF($H296&lt;'[2]Read Me'!$B$4,"Red",IF($H296-'[2]Read Me'!$B$4&lt;=21,"Amber","Green"))))</f>
        <v>Amber</v>
      </c>
      <c r="N296" s="3"/>
      <c r="O296" t="str">
        <f>IF($I296&lt;&gt;"Complete",IF(COUNTIFS($A$4:$A295,$A296,$B$4:$B295,$B296,$I$4:$I295,"&lt;&gt;Complete")=0,$A296&amp;"|"&amp;$B296,""),"")</f>
        <v>|</v>
      </c>
      <c r="P296" t="str">
        <f ca="1">IF($K296="Yes",COUNTIFS($K$4:$K296,"Yes"),"")</f>
        <v/>
      </c>
      <c r="Q296">
        <f t="shared" ca="1" si="20"/>
        <v>0</v>
      </c>
      <c r="R296" t="str">
        <f ca="1">IF($Q296=1,SUM($Q$4:$Q296),"")</f>
        <v/>
      </c>
    </row>
    <row r="297" spans="1:18" ht="22.5" customHeight="1" x14ac:dyDescent="0.3">
      <c r="A297" s="2"/>
      <c r="B297" s="2"/>
      <c r="C297" s="3"/>
      <c r="D297" s="3"/>
      <c r="E297" s="2"/>
      <c r="F297" s="2"/>
      <c r="G297" s="5"/>
      <c r="H297" s="5"/>
      <c r="I297" s="4"/>
      <c r="J297" s="6" t="str">
        <f t="shared" si="18"/>
        <v/>
      </c>
      <c r="K297" s="4" t="str">
        <f t="shared" ca="1" si="21"/>
        <v/>
      </c>
      <c r="L297" s="7" t="str">
        <f t="shared" ca="1" si="19"/>
        <v/>
      </c>
      <c r="M297" s="4" t="str">
        <f>IF($I297="Complete","Green",IF($H297="","Amber",IF($H297&lt;'[2]Read Me'!$B$4,"Red",IF($H297-'[2]Read Me'!$B$4&lt;=21,"Amber","Green"))))</f>
        <v>Amber</v>
      </c>
      <c r="N297" s="3"/>
      <c r="O297" t="str">
        <f>IF($I297&lt;&gt;"Complete",IF(COUNTIFS($A$4:$A296,$A297,$B$4:$B296,$B297,$I$4:$I296,"&lt;&gt;Complete")=0,$A297&amp;"|"&amp;$B297,""),"")</f>
        <v>|</v>
      </c>
      <c r="P297" t="str">
        <f ca="1">IF($K297="Yes",COUNTIFS($K$4:$K297,"Yes"),"")</f>
        <v/>
      </c>
      <c r="Q297">
        <f t="shared" ca="1" si="20"/>
        <v>0</v>
      </c>
      <c r="R297" t="str">
        <f ca="1">IF($Q297=1,SUM($Q$4:$Q297),"")</f>
        <v/>
      </c>
    </row>
    <row r="298" spans="1:18" ht="22.5" customHeight="1" x14ac:dyDescent="0.3">
      <c r="A298" s="2"/>
      <c r="B298" s="2"/>
      <c r="C298" s="3"/>
      <c r="D298" s="3"/>
      <c r="E298" s="2"/>
      <c r="F298" s="2"/>
      <c r="G298" s="5"/>
      <c r="H298" s="5"/>
      <c r="I298" s="4"/>
      <c r="J298" s="6" t="str">
        <f t="shared" si="18"/>
        <v/>
      </c>
      <c r="K298" s="4" t="str">
        <f t="shared" ca="1" si="21"/>
        <v/>
      </c>
      <c r="L298" s="7" t="str">
        <f t="shared" ca="1" si="19"/>
        <v/>
      </c>
      <c r="M298" s="4" t="str">
        <f>IF($I298="Complete","Green",IF($H298="","Amber",IF($H298&lt;'[2]Read Me'!$B$4,"Red",IF($H298-'[2]Read Me'!$B$4&lt;=21,"Amber","Green"))))</f>
        <v>Amber</v>
      </c>
      <c r="N298" s="3"/>
      <c r="O298" t="str">
        <f>IF($I298&lt;&gt;"Complete",IF(COUNTIFS($A$4:$A297,$A298,$B$4:$B297,$B298,$I$4:$I297,"&lt;&gt;Complete")=0,$A298&amp;"|"&amp;$B298,""),"")</f>
        <v>|</v>
      </c>
      <c r="P298" t="str">
        <f ca="1">IF($K298="Yes",COUNTIFS($K$4:$K298,"Yes"),"")</f>
        <v/>
      </c>
      <c r="Q298">
        <f t="shared" ca="1" si="20"/>
        <v>0</v>
      </c>
      <c r="R298" t="str">
        <f ca="1">IF($Q298=1,SUM($Q$4:$Q298),"")</f>
        <v/>
      </c>
    </row>
    <row r="299" spans="1:18" ht="22.5" customHeight="1" x14ac:dyDescent="0.3">
      <c r="A299" s="2"/>
      <c r="B299" s="2"/>
      <c r="C299" s="3"/>
      <c r="D299" s="3"/>
      <c r="E299" s="2"/>
      <c r="F299" s="2"/>
      <c r="G299" s="5"/>
      <c r="H299" s="5"/>
      <c r="I299" s="4"/>
      <c r="J299" s="6" t="str">
        <f t="shared" si="18"/>
        <v/>
      </c>
      <c r="K299" s="4" t="str">
        <f t="shared" ca="1" si="21"/>
        <v/>
      </c>
      <c r="L299" s="7" t="str">
        <f t="shared" ca="1" si="19"/>
        <v/>
      </c>
      <c r="M299" s="4" t="str">
        <f>IF($I299="Complete","Green",IF($H299="","Amber",IF($H299&lt;'[2]Read Me'!$B$4,"Red",IF($H299-'[2]Read Me'!$B$4&lt;=21,"Amber","Green"))))</f>
        <v>Amber</v>
      </c>
      <c r="N299" s="3"/>
      <c r="O299" t="str">
        <f>IF($I299&lt;&gt;"Complete",IF(COUNTIFS($A$4:$A298,$A299,$B$4:$B298,$B299,$I$4:$I298,"&lt;&gt;Complete")=0,$A299&amp;"|"&amp;$B299,""),"")</f>
        <v>|</v>
      </c>
      <c r="P299" t="str">
        <f ca="1">IF($K299="Yes",COUNTIFS($K$4:$K299,"Yes"),"")</f>
        <v/>
      </c>
      <c r="Q299">
        <f t="shared" ca="1" si="20"/>
        <v>0</v>
      </c>
      <c r="R299" t="str">
        <f ca="1">IF($Q299=1,SUM($Q$4:$Q299),"")</f>
        <v/>
      </c>
    </row>
    <row r="300" spans="1:18" ht="22.5" customHeight="1" x14ac:dyDescent="0.3">
      <c r="A300" s="2"/>
      <c r="B300" s="2"/>
      <c r="C300" s="3"/>
      <c r="D300" s="3"/>
      <c r="E300" s="2"/>
      <c r="F300" s="2"/>
      <c r="G300" s="5"/>
      <c r="H300" s="5"/>
      <c r="I300" s="4"/>
      <c r="J300" s="6" t="str">
        <f t="shared" si="18"/>
        <v/>
      </c>
      <c r="K300" s="4" t="str">
        <f t="shared" ca="1" si="21"/>
        <v/>
      </c>
      <c r="L300" s="7" t="str">
        <f t="shared" ca="1" si="19"/>
        <v/>
      </c>
      <c r="M300" s="4" t="str">
        <f>IF($I300="Complete","Green",IF($H300="","Amber",IF($H300&lt;'[2]Read Me'!$B$4,"Red",IF($H300-'[2]Read Me'!$B$4&lt;=21,"Amber","Green"))))</f>
        <v>Amber</v>
      </c>
      <c r="N300" s="3"/>
      <c r="O300" t="str">
        <f>IF($I300&lt;&gt;"Complete",IF(COUNTIFS($A$4:$A299,$A300,$B$4:$B299,$B300,$I$4:$I299,"&lt;&gt;Complete")=0,$A300&amp;"|"&amp;$B300,""),"")</f>
        <v>|</v>
      </c>
      <c r="P300" t="str">
        <f ca="1">IF($K300="Yes",COUNTIFS($K$4:$K300,"Yes"),"")</f>
        <v/>
      </c>
      <c r="Q300">
        <f t="shared" ca="1" si="20"/>
        <v>0</v>
      </c>
      <c r="R300" t="str">
        <f ca="1">IF($Q300=1,SUM($Q$4:$Q300),"")</f>
        <v/>
      </c>
    </row>
    <row r="301" spans="1:18" ht="22.5" customHeight="1" x14ac:dyDescent="0.3">
      <c r="A301" s="2"/>
      <c r="B301" s="2"/>
      <c r="C301" s="3"/>
      <c r="D301" s="3"/>
      <c r="E301" s="2"/>
      <c r="F301" s="2"/>
      <c r="G301" s="5"/>
      <c r="H301" s="5"/>
      <c r="I301" s="4"/>
      <c r="J301" s="6" t="str">
        <f t="shared" si="18"/>
        <v/>
      </c>
      <c r="K301" s="4" t="str">
        <f t="shared" ca="1" si="21"/>
        <v/>
      </c>
      <c r="L301" s="7" t="str">
        <f t="shared" ca="1" si="19"/>
        <v/>
      </c>
      <c r="M301" s="4" t="str">
        <f>IF($I301="Complete","Green",IF($H301="","Amber",IF($H301&lt;'[2]Read Me'!$B$4,"Red",IF($H301-'[2]Read Me'!$B$4&lt;=21,"Amber","Green"))))</f>
        <v>Amber</v>
      </c>
      <c r="N301" s="3"/>
      <c r="O301" t="str">
        <f>IF($I301&lt;&gt;"Complete",IF(COUNTIFS($A$4:$A300,$A301,$B$4:$B300,$B301,$I$4:$I300,"&lt;&gt;Complete")=0,$A301&amp;"|"&amp;$B301,""),"")</f>
        <v>|</v>
      </c>
      <c r="P301" t="str">
        <f ca="1">IF($K301="Yes",COUNTIFS($K$4:$K301,"Yes"),"")</f>
        <v/>
      </c>
      <c r="Q301">
        <f t="shared" ca="1" si="20"/>
        <v>0</v>
      </c>
      <c r="R301" t="str">
        <f ca="1">IF($Q301=1,SUM($Q$4:$Q301),"")</f>
        <v/>
      </c>
    </row>
    <row r="302" spans="1:18" ht="22.5" customHeight="1" x14ac:dyDescent="0.3">
      <c r="A302" s="2"/>
      <c r="B302" s="2"/>
      <c r="C302" s="3"/>
      <c r="D302" s="3"/>
      <c r="E302" s="2"/>
      <c r="F302" s="2"/>
      <c r="G302" s="5"/>
      <c r="H302" s="5"/>
      <c r="I302" s="4"/>
      <c r="J302" s="6" t="str">
        <f t="shared" si="18"/>
        <v/>
      </c>
      <c r="K302" s="4" t="str">
        <f t="shared" ca="1" si="21"/>
        <v/>
      </c>
      <c r="L302" s="7" t="str">
        <f t="shared" ca="1" si="19"/>
        <v/>
      </c>
      <c r="M302" s="4" t="str">
        <f>IF($I302="Complete","Green",IF($H302="","Amber",IF($H302&lt;'[2]Read Me'!$B$4,"Red",IF($H302-'[2]Read Me'!$B$4&lt;=21,"Amber","Green"))))</f>
        <v>Amber</v>
      </c>
      <c r="N302" s="3"/>
      <c r="O302" t="str">
        <f>IF($I302&lt;&gt;"Complete",IF(COUNTIFS($A$4:$A301,$A302,$B$4:$B301,$B302,$I$4:$I301,"&lt;&gt;Complete")=0,$A302&amp;"|"&amp;$B302,""),"")</f>
        <v>|</v>
      </c>
      <c r="P302" t="str">
        <f ca="1">IF($K302="Yes",COUNTIFS($K$4:$K302,"Yes"),"")</f>
        <v/>
      </c>
      <c r="Q302">
        <f t="shared" ca="1" si="20"/>
        <v>0</v>
      </c>
      <c r="R302" t="str">
        <f ca="1">IF($Q302=1,SUM($Q$4:$Q302),"")</f>
        <v/>
      </c>
    </row>
    <row r="303" spans="1:18" ht="22.5" customHeight="1" x14ac:dyDescent="0.3">
      <c r="A303" s="2"/>
      <c r="B303" s="2"/>
      <c r="C303" s="3"/>
      <c r="D303" s="3"/>
      <c r="E303" s="2"/>
      <c r="F303" s="2"/>
      <c r="G303" s="5"/>
      <c r="H303" s="5"/>
      <c r="I303" s="4"/>
      <c r="J303" s="6" t="str">
        <f t="shared" si="18"/>
        <v/>
      </c>
      <c r="K303" s="4" t="str">
        <f t="shared" ca="1" si="21"/>
        <v/>
      </c>
      <c r="L303" s="7" t="str">
        <f t="shared" ca="1" si="19"/>
        <v/>
      </c>
      <c r="M303" s="4" t="str">
        <f>IF($I303="Complete","Green",IF($H303="","Amber",IF($H303&lt;'[2]Read Me'!$B$4,"Red",IF($H303-'[2]Read Me'!$B$4&lt;=21,"Amber","Green"))))</f>
        <v>Amber</v>
      </c>
      <c r="N303" s="3"/>
      <c r="O303" t="str">
        <f>IF($I303&lt;&gt;"Complete",IF(COUNTIFS($A$4:$A302,$A303,$B$4:$B302,$B303,$I$4:$I302,"&lt;&gt;Complete")=0,$A303&amp;"|"&amp;$B303,""),"")</f>
        <v>|</v>
      </c>
      <c r="P303" t="str">
        <f ca="1">IF($K303="Yes",COUNTIFS($K$4:$K303,"Yes"),"")</f>
        <v/>
      </c>
      <c r="Q303">
        <f t="shared" ca="1" si="20"/>
        <v>0</v>
      </c>
      <c r="R303" t="str">
        <f ca="1">IF($Q303=1,SUM($Q$4:$Q303),"")</f>
        <v/>
      </c>
    </row>
    <row r="304" spans="1:18" ht="22.5" customHeight="1" x14ac:dyDescent="0.3">
      <c r="A304" s="2"/>
      <c r="B304" s="2"/>
      <c r="C304" s="3"/>
      <c r="D304" s="3"/>
      <c r="E304" s="2"/>
      <c r="F304" s="2"/>
      <c r="G304" s="5"/>
      <c r="H304" s="5"/>
      <c r="I304" s="4"/>
      <c r="J304" s="6" t="str">
        <f t="shared" si="18"/>
        <v/>
      </c>
      <c r="K304" s="4" t="str">
        <f t="shared" ca="1" si="21"/>
        <v/>
      </c>
      <c r="L304" s="7" t="str">
        <f t="shared" ca="1" si="19"/>
        <v/>
      </c>
      <c r="M304" s="4" t="str">
        <f>IF($I304="Complete","Green",IF($H304="","Amber",IF($H304&lt;'[2]Read Me'!$B$4,"Red",IF($H304-'[2]Read Me'!$B$4&lt;=21,"Amber","Green"))))</f>
        <v>Amber</v>
      </c>
      <c r="N304" s="3"/>
      <c r="O304" t="str">
        <f>IF($I304&lt;&gt;"Complete",IF(COUNTIFS($A$4:$A303,$A304,$B$4:$B303,$B304,$I$4:$I303,"&lt;&gt;Complete")=0,$A304&amp;"|"&amp;$B304,""),"")</f>
        <v>|</v>
      </c>
      <c r="P304" t="str">
        <f ca="1">IF($K304="Yes",COUNTIFS($K$4:$K304,"Yes"),"")</f>
        <v/>
      </c>
      <c r="Q304">
        <f t="shared" ca="1" si="20"/>
        <v>0</v>
      </c>
      <c r="R304" t="str">
        <f ca="1">IF($Q304=1,SUM($Q$4:$Q304),"")</f>
        <v/>
      </c>
    </row>
    <row r="305" spans="1:18" ht="22.5" customHeight="1" x14ac:dyDescent="0.3">
      <c r="A305" s="2"/>
      <c r="B305" s="2"/>
      <c r="C305" s="3"/>
      <c r="D305" s="3"/>
      <c r="E305" s="2"/>
      <c r="F305" s="2"/>
      <c r="G305" s="5"/>
      <c r="H305" s="5"/>
      <c r="I305" s="4"/>
      <c r="J305" s="6" t="str">
        <f t="shared" si="18"/>
        <v/>
      </c>
      <c r="K305" s="4" t="str">
        <f t="shared" ca="1" si="21"/>
        <v/>
      </c>
      <c r="L305" s="7" t="str">
        <f t="shared" ca="1" si="19"/>
        <v/>
      </c>
      <c r="M305" s="4" t="str">
        <f>IF($I305="Complete","Green",IF($H305="","Amber",IF($H305&lt;'[2]Read Me'!$B$4,"Red",IF($H305-'[2]Read Me'!$B$4&lt;=21,"Amber","Green"))))</f>
        <v>Amber</v>
      </c>
      <c r="N305" s="3"/>
      <c r="O305" t="str">
        <f>IF($I305&lt;&gt;"Complete",IF(COUNTIFS($A$4:$A304,$A305,$B$4:$B304,$B305,$I$4:$I304,"&lt;&gt;Complete")=0,$A305&amp;"|"&amp;$B305,""),"")</f>
        <v>|</v>
      </c>
      <c r="P305" t="str">
        <f ca="1">IF($K305="Yes",COUNTIFS($K$4:$K305,"Yes"),"")</f>
        <v/>
      </c>
      <c r="Q305">
        <f t="shared" ca="1" si="20"/>
        <v>0</v>
      </c>
      <c r="R305" t="str">
        <f ca="1">IF($Q305=1,SUM($Q$4:$Q305),"")</f>
        <v/>
      </c>
    </row>
    <row r="306" spans="1:18" ht="22.5" customHeight="1" x14ac:dyDescent="0.3">
      <c r="A306" s="2"/>
      <c r="B306" s="2"/>
      <c r="C306" s="3"/>
      <c r="D306" s="3"/>
      <c r="E306" s="2"/>
      <c r="F306" s="2"/>
      <c r="G306" s="5"/>
      <c r="H306" s="5"/>
      <c r="I306" s="4"/>
      <c r="J306" s="6" t="str">
        <f t="shared" si="18"/>
        <v/>
      </c>
      <c r="K306" s="4" t="str">
        <f t="shared" ca="1" si="21"/>
        <v/>
      </c>
      <c r="L306" s="7" t="str">
        <f t="shared" ca="1" si="19"/>
        <v/>
      </c>
      <c r="M306" s="4" t="str">
        <f>IF($I306="Complete","Green",IF($H306="","Amber",IF($H306&lt;'[2]Read Me'!$B$4,"Red",IF($H306-'[2]Read Me'!$B$4&lt;=21,"Amber","Green"))))</f>
        <v>Amber</v>
      </c>
      <c r="N306" s="3"/>
      <c r="O306" t="str">
        <f>IF($I306&lt;&gt;"Complete",IF(COUNTIFS($A$4:$A305,$A306,$B$4:$B305,$B306,$I$4:$I305,"&lt;&gt;Complete")=0,$A306&amp;"|"&amp;$B306,""),"")</f>
        <v>|</v>
      </c>
      <c r="P306" t="str">
        <f ca="1">IF($K306="Yes",COUNTIFS($K$4:$K306,"Yes"),"")</f>
        <v/>
      </c>
      <c r="Q306">
        <f t="shared" ca="1" si="20"/>
        <v>0</v>
      </c>
      <c r="R306" t="str">
        <f ca="1">IF($Q306=1,SUM($Q$4:$Q306),"")</f>
        <v/>
      </c>
    </row>
    <row r="307" spans="1:18" ht="22.5" customHeight="1" x14ac:dyDescent="0.3">
      <c r="A307" s="2"/>
      <c r="B307" s="2"/>
      <c r="C307" s="3"/>
      <c r="D307" s="3"/>
      <c r="E307" s="2"/>
      <c r="F307" s="2"/>
      <c r="G307" s="5"/>
      <c r="H307" s="5"/>
      <c r="I307" s="4"/>
      <c r="J307" s="6" t="str">
        <f t="shared" si="18"/>
        <v/>
      </c>
      <c r="K307" s="4" t="str">
        <f t="shared" ca="1" si="21"/>
        <v/>
      </c>
      <c r="L307" s="7" t="str">
        <f t="shared" ca="1" si="19"/>
        <v/>
      </c>
      <c r="M307" s="4" t="str">
        <f>IF($I307="Complete","Green",IF($H307="","Amber",IF($H307&lt;'[2]Read Me'!$B$4,"Red",IF($H307-'[2]Read Me'!$B$4&lt;=21,"Amber","Green"))))</f>
        <v>Amber</v>
      </c>
      <c r="N307" s="3"/>
      <c r="O307" t="str">
        <f>IF($I307&lt;&gt;"Complete",IF(COUNTIFS($A$4:$A306,$A307,$B$4:$B306,$B307,$I$4:$I306,"&lt;&gt;Complete")=0,$A307&amp;"|"&amp;$B307,""),"")</f>
        <v>|</v>
      </c>
      <c r="P307" t="str">
        <f ca="1">IF($K307="Yes",COUNTIFS($K$4:$K307,"Yes"),"")</f>
        <v/>
      </c>
      <c r="Q307">
        <f t="shared" ca="1" si="20"/>
        <v>0</v>
      </c>
      <c r="R307" t="str">
        <f ca="1">IF($Q307=1,SUM($Q$4:$Q307),"")</f>
        <v/>
      </c>
    </row>
    <row r="308" spans="1:18" ht="22.5" customHeight="1" x14ac:dyDescent="0.3">
      <c r="A308" s="2"/>
      <c r="B308" s="2"/>
      <c r="C308" s="3"/>
      <c r="D308" s="3"/>
      <c r="E308" s="2"/>
      <c r="F308" s="2"/>
      <c r="G308" s="5"/>
      <c r="H308" s="5"/>
      <c r="I308" s="4"/>
      <c r="J308" s="6" t="str">
        <f t="shared" si="18"/>
        <v/>
      </c>
      <c r="K308" s="4" t="str">
        <f t="shared" ca="1" si="21"/>
        <v/>
      </c>
      <c r="L308" s="7" t="str">
        <f t="shared" ca="1" si="19"/>
        <v/>
      </c>
      <c r="M308" s="4" t="str">
        <f>IF($I308="Complete","Green",IF($H308="","Amber",IF($H308&lt;'[2]Read Me'!$B$4,"Red",IF($H308-'[2]Read Me'!$B$4&lt;=21,"Amber","Green"))))</f>
        <v>Amber</v>
      </c>
      <c r="N308" s="3"/>
      <c r="O308" t="str">
        <f>IF($I308&lt;&gt;"Complete",IF(COUNTIFS($A$4:$A307,$A308,$B$4:$B307,$B308,$I$4:$I307,"&lt;&gt;Complete")=0,$A308&amp;"|"&amp;$B308,""),"")</f>
        <v>|</v>
      </c>
      <c r="P308" t="str">
        <f ca="1">IF($K308="Yes",COUNTIFS($K$4:$K308,"Yes"),"")</f>
        <v/>
      </c>
      <c r="Q308">
        <f t="shared" ca="1" si="20"/>
        <v>0</v>
      </c>
      <c r="R308" t="str">
        <f ca="1">IF($Q308=1,SUM($Q$4:$Q308),"")</f>
        <v/>
      </c>
    </row>
    <row r="309" spans="1:18" ht="22.5" customHeight="1" x14ac:dyDescent="0.3">
      <c r="A309" s="2"/>
      <c r="B309" s="2"/>
      <c r="C309" s="3"/>
      <c r="D309" s="3"/>
      <c r="E309" s="2"/>
      <c r="F309" s="2"/>
      <c r="G309" s="5"/>
      <c r="H309" s="5"/>
      <c r="I309" s="4"/>
      <c r="J309" s="6" t="str">
        <f t="shared" si="18"/>
        <v/>
      </c>
      <c r="K309" s="4" t="str">
        <f t="shared" ca="1" si="21"/>
        <v/>
      </c>
      <c r="L309" s="7" t="str">
        <f t="shared" ca="1" si="19"/>
        <v/>
      </c>
      <c r="M309" s="4" t="str">
        <f>IF($I309="Complete","Green",IF($H309="","Amber",IF($H309&lt;'[2]Read Me'!$B$4,"Red",IF($H309-'[2]Read Me'!$B$4&lt;=21,"Amber","Green"))))</f>
        <v>Amber</v>
      </c>
      <c r="N309" s="3"/>
      <c r="O309" t="str">
        <f>IF($I309&lt;&gt;"Complete",IF(COUNTIFS($A$4:$A308,$A309,$B$4:$B308,$B309,$I$4:$I308,"&lt;&gt;Complete")=0,$A309&amp;"|"&amp;$B309,""),"")</f>
        <v>|</v>
      </c>
      <c r="P309" t="str">
        <f ca="1">IF($K309="Yes",COUNTIFS($K$4:$K309,"Yes"),"")</f>
        <v/>
      </c>
      <c r="Q309">
        <f t="shared" ca="1" si="20"/>
        <v>0</v>
      </c>
      <c r="R309" t="str">
        <f ca="1">IF($Q309=1,SUM($Q$4:$Q309),"")</f>
        <v/>
      </c>
    </row>
    <row r="310" spans="1:18" ht="14.25" customHeight="1" x14ac:dyDescent="0.3">
      <c r="A310" s="2"/>
      <c r="B310" s="2"/>
      <c r="C310" s="3"/>
      <c r="D310" s="3"/>
      <c r="E310" s="2"/>
      <c r="F310" s="2"/>
      <c r="G310" s="5"/>
      <c r="H310" s="5"/>
      <c r="I310" s="4"/>
      <c r="J310" s="6" t="str">
        <f t="shared" si="18"/>
        <v/>
      </c>
      <c r="K310" s="4" t="str">
        <f t="shared" ca="1" si="21"/>
        <v/>
      </c>
      <c r="L310" s="7" t="str">
        <f t="shared" ca="1" si="19"/>
        <v/>
      </c>
      <c r="M310" s="4" t="str">
        <f>IF($I310="Complete","Green",IF($H310="","Amber",IF($H310&lt;'[2]Read Me'!$B$4,"Red",IF($H310-'[2]Read Me'!$B$4&lt;=21,"Amber","Green"))))</f>
        <v>Amber</v>
      </c>
      <c r="N310" s="3"/>
      <c r="O310" t="str">
        <f>IF($I310&lt;&gt;"Complete",IF(COUNTIFS($A$4:$A309,$A310,$B$4:$B309,$B310,$I$4:$I309,"&lt;&gt;Complete")=0,$A310&amp;"|"&amp;$B310,""),"")</f>
        <v>|</v>
      </c>
      <c r="P310" t="str">
        <f ca="1">IF($K310="Yes",COUNTIFS($K$4:$K310,"Yes"),"")</f>
        <v/>
      </c>
      <c r="Q310">
        <f t="shared" ca="1" si="20"/>
        <v>0</v>
      </c>
      <c r="R310" t="str">
        <f ca="1">IF($Q310=1,SUM($Q$4:$Q310),"")</f>
        <v/>
      </c>
    </row>
    <row r="311" spans="1:18" ht="14.25" customHeight="1" x14ac:dyDescent="0.3">
      <c r="A311" s="2"/>
      <c r="B311" s="2"/>
      <c r="C311" s="3"/>
      <c r="D311" s="3"/>
      <c r="E311" s="2"/>
      <c r="F311" s="2"/>
      <c r="G311" s="5"/>
      <c r="H311" s="5"/>
      <c r="I311" s="4"/>
      <c r="J311" s="6" t="str">
        <f t="shared" si="18"/>
        <v/>
      </c>
      <c r="K311" s="4" t="str">
        <f t="shared" ca="1" si="21"/>
        <v/>
      </c>
      <c r="L311" s="7" t="str">
        <f t="shared" ca="1" si="19"/>
        <v/>
      </c>
      <c r="M311" s="4" t="str">
        <f>IF($I311="Complete","Green",IF($H311="","Amber",IF($H311&lt;'[2]Read Me'!$B$4,"Red",IF($H311-'[2]Read Me'!$B$4&lt;=21,"Amber","Green"))))</f>
        <v>Amber</v>
      </c>
      <c r="N311" s="3"/>
      <c r="O311" t="str">
        <f>IF($I311&lt;&gt;"Complete",IF(COUNTIFS($A$4:$A310,$A311,$B$4:$B310,$B311,$I$4:$I310,"&lt;&gt;Complete")=0,$A311&amp;"|"&amp;$B311,""),"")</f>
        <v>|</v>
      </c>
      <c r="P311" t="str">
        <f ca="1">IF($K311="Yes",COUNTIFS($K$4:$K311,"Yes"),"")</f>
        <v/>
      </c>
      <c r="Q311">
        <f t="shared" ca="1" si="20"/>
        <v>0</v>
      </c>
      <c r="R311" t="str">
        <f ca="1">IF($Q311=1,SUM($Q$4:$Q311),"")</f>
        <v/>
      </c>
    </row>
    <row r="312" spans="1:18" ht="14.25" customHeight="1" x14ac:dyDescent="0.3">
      <c r="A312" s="2"/>
      <c r="B312" s="2"/>
      <c r="C312" s="3"/>
      <c r="D312" s="3"/>
      <c r="E312" s="2"/>
      <c r="F312" s="2"/>
      <c r="G312" s="5"/>
      <c r="H312" s="5"/>
      <c r="I312" s="4"/>
      <c r="J312" s="6" t="str">
        <f t="shared" si="18"/>
        <v/>
      </c>
      <c r="K312" s="4" t="str">
        <f t="shared" ca="1" si="21"/>
        <v/>
      </c>
      <c r="L312" s="7" t="str">
        <f t="shared" ca="1" si="19"/>
        <v/>
      </c>
      <c r="M312" s="4" t="str">
        <f>IF($I312="Complete","Green",IF($H312="","Amber",IF($H312&lt;'[2]Read Me'!$B$4,"Red",IF($H312-'[2]Read Me'!$B$4&lt;=21,"Amber","Green"))))</f>
        <v>Amber</v>
      </c>
      <c r="N312" s="3"/>
      <c r="O312" t="str">
        <f>IF($I312&lt;&gt;"Complete",IF(COUNTIFS($A$4:$A311,$A312,$B$4:$B311,$B312,$I$4:$I311,"&lt;&gt;Complete")=0,$A312&amp;"|"&amp;$B312,""),"")</f>
        <v>|</v>
      </c>
      <c r="P312" t="str">
        <f ca="1">IF($K312="Yes",COUNTIFS($K$4:$K312,"Yes"),"")</f>
        <v/>
      </c>
      <c r="Q312">
        <f t="shared" ca="1" si="20"/>
        <v>0</v>
      </c>
      <c r="R312" t="str">
        <f ca="1">IF($Q312=1,SUM($Q$4:$Q312),"")</f>
        <v/>
      </c>
    </row>
    <row r="313" spans="1:18" x14ac:dyDescent="0.3">
      <c r="G313" s="9"/>
      <c r="H313" s="9"/>
      <c r="L313" s="7" t="str">
        <f t="shared" ca="1" si="19"/>
        <v/>
      </c>
    </row>
    <row r="314" spans="1:18" x14ac:dyDescent="0.3">
      <c r="G314" s="9"/>
      <c r="H314" s="9"/>
      <c r="L314" s="7" t="str">
        <f t="shared" ca="1" si="19"/>
        <v/>
      </c>
    </row>
    <row r="315" spans="1:18" x14ac:dyDescent="0.3">
      <c r="G315" s="9"/>
      <c r="H315" s="9"/>
      <c r="L315" s="7" t="str">
        <f t="shared" ca="1" si="19"/>
        <v/>
      </c>
    </row>
    <row r="316" spans="1:18" x14ac:dyDescent="0.3">
      <c r="G316" s="9"/>
      <c r="H316" s="9"/>
      <c r="L316" s="7" t="str">
        <f t="shared" ca="1" si="19"/>
        <v/>
      </c>
    </row>
    <row r="317" spans="1:18" x14ac:dyDescent="0.3">
      <c r="G317" s="9"/>
      <c r="H317" s="9"/>
      <c r="L317" s="7" t="str">
        <f t="shared" ca="1" si="19"/>
        <v/>
      </c>
    </row>
    <row r="318" spans="1:18" x14ac:dyDescent="0.3">
      <c r="G318" s="9"/>
      <c r="H318" s="9"/>
      <c r="L318" s="7" t="str">
        <f t="shared" ca="1" si="19"/>
        <v/>
      </c>
    </row>
    <row r="319" spans="1:18" x14ac:dyDescent="0.3">
      <c r="G319" s="9"/>
      <c r="H319" s="9"/>
      <c r="L319" s="7" t="str">
        <f t="shared" ca="1" si="19"/>
        <v/>
      </c>
    </row>
    <row r="320" spans="1:18" x14ac:dyDescent="0.3">
      <c r="G320" s="9"/>
      <c r="H320" s="9"/>
      <c r="L320" s="7" t="str">
        <f t="shared" ca="1" si="19"/>
        <v/>
      </c>
    </row>
    <row r="321" spans="7:12" x14ac:dyDescent="0.3">
      <c r="G321" s="9"/>
      <c r="H321" s="9"/>
      <c r="L321" s="7" t="str">
        <f t="shared" ca="1" si="19"/>
        <v/>
      </c>
    </row>
    <row r="322" spans="7:12" x14ac:dyDescent="0.3">
      <c r="G322" s="9"/>
      <c r="H322" s="9"/>
      <c r="L322" s="7" t="str">
        <f t="shared" ca="1" si="19"/>
        <v/>
      </c>
    </row>
    <row r="323" spans="7:12" x14ac:dyDescent="0.3">
      <c r="G323" s="9"/>
      <c r="H323" s="9"/>
      <c r="L323" s="7" t="str">
        <f t="shared" ca="1" si="19"/>
        <v/>
      </c>
    </row>
    <row r="324" spans="7:12" x14ac:dyDescent="0.3">
      <c r="G324" s="9"/>
      <c r="H324" s="9"/>
      <c r="L324" s="7" t="str">
        <f t="shared" ref="L324:L387" ca="1" si="22">IF(I324="Completed",0,IF(H324="","",H324-TODAY()))</f>
        <v/>
      </c>
    </row>
    <row r="325" spans="7:12" x14ac:dyDescent="0.3">
      <c r="G325" s="9"/>
      <c r="H325" s="9"/>
      <c r="L325" s="7" t="str">
        <f t="shared" ca="1" si="22"/>
        <v/>
      </c>
    </row>
    <row r="326" spans="7:12" x14ac:dyDescent="0.3">
      <c r="G326" s="9"/>
      <c r="H326" s="9"/>
      <c r="L326" s="7" t="str">
        <f t="shared" ca="1" si="22"/>
        <v/>
      </c>
    </row>
    <row r="327" spans="7:12" x14ac:dyDescent="0.3">
      <c r="G327" s="9"/>
      <c r="H327" s="9"/>
      <c r="L327" s="7" t="str">
        <f t="shared" ca="1" si="22"/>
        <v/>
      </c>
    </row>
    <row r="328" spans="7:12" x14ac:dyDescent="0.3">
      <c r="G328" s="9"/>
      <c r="H328" s="9"/>
      <c r="L328" s="7" t="str">
        <f t="shared" ca="1" si="22"/>
        <v/>
      </c>
    </row>
    <row r="329" spans="7:12" x14ac:dyDescent="0.3">
      <c r="G329" s="9"/>
      <c r="H329" s="9"/>
      <c r="L329" s="7" t="str">
        <f t="shared" ca="1" si="22"/>
        <v/>
      </c>
    </row>
    <row r="330" spans="7:12" x14ac:dyDescent="0.3">
      <c r="G330" s="9"/>
      <c r="H330" s="9"/>
      <c r="L330" s="7" t="str">
        <f t="shared" ca="1" si="22"/>
        <v/>
      </c>
    </row>
    <row r="331" spans="7:12" x14ac:dyDescent="0.3">
      <c r="G331" s="9"/>
      <c r="H331" s="9"/>
      <c r="L331" s="7" t="str">
        <f t="shared" ca="1" si="22"/>
        <v/>
      </c>
    </row>
    <row r="332" spans="7:12" x14ac:dyDescent="0.3">
      <c r="G332" s="9"/>
      <c r="H332" s="9"/>
      <c r="L332" s="7" t="str">
        <f t="shared" ca="1" si="22"/>
        <v/>
      </c>
    </row>
    <row r="333" spans="7:12" x14ac:dyDescent="0.3">
      <c r="G333" s="9"/>
      <c r="H333" s="9"/>
      <c r="L333" s="7" t="str">
        <f t="shared" ca="1" si="22"/>
        <v/>
      </c>
    </row>
    <row r="334" spans="7:12" x14ac:dyDescent="0.3">
      <c r="G334" s="9"/>
      <c r="H334" s="9"/>
      <c r="L334" s="7" t="str">
        <f t="shared" ca="1" si="22"/>
        <v/>
      </c>
    </row>
    <row r="335" spans="7:12" x14ac:dyDescent="0.3">
      <c r="G335" s="9"/>
      <c r="H335" s="9"/>
      <c r="L335" s="7" t="str">
        <f t="shared" ca="1" si="22"/>
        <v/>
      </c>
    </row>
    <row r="336" spans="7:12" x14ac:dyDescent="0.3">
      <c r="G336" s="9"/>
      <c r="H336" s="9"/>
      <c r="L336" s="7" t="str">
        <f t="shared" ca="1" si="22"/>
        <v/>
      </c>
    </row>
    <row r="337" spans="7:12" x14ac:dyDescent="0.3">
      <c r="G337" s="9"/>
      <c r="H337" s="9"/>
      <c r="L337" s="7" t="str">
        <f t="shared" ca="1" si="22"/>
        <v/>
      </c>
    </row>
    <row r="338" spans="7:12" x14ac:dyDescent="0.3">
      <c r="G338" s="9"/>
      <c r="H338" s="9"/>
      <c r="L338" s="7" t="str">
        <f t="shared" ca="1" si="22"/>
        <v/>
      </c>
    </row>
    <row r="339" spans="7:12" x14ac:dyDescent="0.3">
      <c r="G339" s="9"/>
      <c r="H339" s="9"/>
      <c r="L339" s="7" t="str">
        <f t="shared" ca="1" si="22"/>
        <v/>
      </c>
    </row>
    <row r="340" spans="7:12" x14ac:dyDescent="0.3">
      <c r="G340" s="9"/>
      <c r="H340" s="9"/>
      <c r="L340" s="7" t="str">
        <f t="shared" ca="1" si="22"/>
        <v/>
      </c>
    </row>
    <row r="341" spans="7:12" x14ac:dyDescent="0.3">
      <c r="G341" s="9"/>
      <c r="H341" s="9"/>
      <c r="L341" s="7" t="str">
        <f t="shared" ca="1" si="22"/>
        <v/>
      </c>
    </row>
    <row r="342" spans="7:12" x14ac:dyDescent="0.3">
      <c r="G342" s="9"/>
      <c r="H342" s="9"/>
      <c r="L342" s="7" t="str">
        <f t="shared" ca="1" si="22"/>
        <v/>
      </c>
    </row>
    <row r="343" spans="7:12" x14ac:dyDescent="0.3">
      <c r="G343" s="9"/>
      <c r="H343" s="9"/>
      <c r="L343" s="7" t="str">
        <f t="shared" ca="1" si="22"/>
        <v/>
      </c>
    </row>
    <row r="344" spans="7:12" x14ac:dyDescent="0.3">
      <c r="G344" s="9"/>
      <c r="H344" s="9"/>
      <c r="L344" s="7" t="str">
        <f t="shared" ca="1" si="22"/>
        <v/>
      </c>
    </row>
    <row r="345" spans="7:12" x14ac:dyDescent="0.3">
      <c r="G345" s="9"/>
      <c r="H345" s="9"/>
      <c r="L345" s="7" t="str">
        <f t="shared" ca="1" si="22"/>
        <v/>
      </c>
    </row>
    <row r="346" spans="7:12" x14ac:dyDescent="0.3">
      <c r="G346" s="9"/>
      <c r="H346" s="9"/>
      <c r="L346" s="7" t="str">
        <f t="shared" ca="1" si="22"/>
        <v/>
      </c>
    </row>
    <row r="347" spans="7:12" x14ac:dyDescent="0.3">
      <c r="G347" s="9"/>
      <c r="H347" s="9"/>
      <c r="L347" s="7" t="str">
        <f t="shared" ca="1" si="22"/>
        <v/>
      </c>
    </row>
    <row r="348" spans="7:12" x14ac:dyDescent="0.3">
      <c r="G348" s="9"/>
      <c r="H348" s="9"/>
      <c r="L348" s="7" t="str">
        <f t="shared" ca="1" si="22"/>
        <v/>
      </c>
    </row>
    <row r="349" spans="7:12" x14ac:dyDescent="0.3">
      <c r="G349" s="9"/>
      <c r="H349" s="9"/>
      <c r="L349" s="7" t="str">
        <f t="shared" ca="1" si="22"/>
        <v/>
      </c>
    </row>
    <row r="350" spans="7:12" x14ac:dyDescent="0.3">
      <c r="G350" s="9"/>
      <c r="H350" s="9"/>
      <c r="L350" s="7" t="str">
        <f t="shared" ca="1" si="22"/>
        <v/>
      </c>
    </row>
    <row r="351" spans="7:12" x14ac:dyDescent="0.3">
      <c r="G351" s="9"/>
      <c r="H351" s="9"/>
      <c r="L351" s="7" t="str">
        <f t="shared" ca="1" si="22"/>
        <v/>
      </c>
    </row>
    <row r="352" spans="7:12" x14ac:dyDescent="0.3">
      <c r="G352" s="9"/>
      <c r="H352" s="9"/>
      <c r="L352" s="7" t="str">
        <f t="shared" ca="1" si="22"/>
        <v/>
      </c>
    </row>
    <row r="353" spans="7:12" x14ac:dyDescent="0.3">
      <c r="G353" s="9"/>
      <c r="H353" s="9"/>
      <c r="L353" s="7" t="str">
        <f t="shared" ca="1" si="22"/>
        <v/>
      </c>
    </row>
    <row r="354" spans="7:12" x14ac:dyDescent="0.3">
      <c r="G354" s="9"/>
      <c r="H354" s="9"/>
      <c r="L354" s="7" t="str">
        <f t="shared" ca="1" si="22"/>
        <v/>
      </c>
    </row>
    <row r="355" spans="7:12" x14ac:dyDescent="0.3">
      <c r="G355" s="9"/>
      <c r="H355" s="9"/>
      <c r="L355" s="7" t="str">
        <f t="shared" ca="1" si="22"/>
        <v/>
      </c>
    </row>
    <row r="356" spans="7:12" x14ac:dyDescent="0.3">
      <c r="G356" s="9"/>
      <c r="H356" s="9"/>
      <c r="L356" s="7" t="str">
        <f t="shared" ca="1" si="22"/>
        <v/>
      </c>
    </row>
    <row r="357" spans="7:12" x14ac:dyDescent="0.3">
      <c r="G357" s="9"/>
      <c r="H357" s="9"/>
      <c r="L357" s="7" t="str">
        <f t="shared" ca="1" si="22"/>
        <v/>
      </c>
    </row>
    <row r="358" spans="7:12" x14ac:dyDescent="0.3">
      <c r="G358" s="9"/>
      <c r="H358" s="9"/>
      <c r="L358" s="7" t="str">
        <f t="shared" ca="1" si="22"/>
        <v/>
      </c>
    </row>
    <row r="359" spans="7:12" x14ac:dyDescent="0.3">
      <c r="G359" s="9"/>
      <c r="H359" s="9"/>
      <c r="L359" s="7" t="str">
        <f t="shared" ca="1" si="22"/>
        <v/>
      </c>
    </row>
    <row r="360" spans="7:12" x14ac:dyDescent="0.3">
      <c r="G360" s="9"/>
      <c r="H360" s="9"/>
      <c r="L360" s="7" t="str">
        <f t="shared" ca="1" si="22"/>
        <v/>
      </c>
    </row>
    <row r="361" spans="7:12" x14ac:dyDescent="0.3">
      <c r="G361" s="9"/>
      <c r="H361" s="9"/>
      <c r="L361" s="7" t="str">
        <f t="shared" ca="1" si="22"/>
        <v/>
      </c>
    </row>
    <row r="362" spans="7:12" x14ac:dyDescent="0.3">
      <c r="G362" s="9"/>
      <c r="H362" s="9"/>
      <c r="L362" s="7" t="str">
        <f t="shared" ca="1" si="22"/>
        <v/>
      </c>
    </row>
    <row r="363" spans="7:12" x14ac:dyDescent="0.3">
      <c r="G363" s="9"/>
      <c r="H363" s="9"/>
      <c r="L363" s="7" t="str">
        <f t="shared" ca="1" si="22"/>
        <v/>
      </c>
    </row>
    <row r="364" spans="7:12" x14ac:dyDescent="0.3">
      <c r="G364" s="9"/>
      <c r="H364" s="9"/>
      <c r="L364" s="7" t="str">
        <f t="shared" ca="1" si="22"/>
        <v/>
      </c>
    </row>
    <row r="365" spans="7:12" x14ac:dyDescent="0.3">
      <c r="G365" s="9"/>
      <c r="H365" s="9"/>
      <c r="L365" s="7" t="str">
        <f t="shared" ca="1" si="22"/>
        <v/>
      </c>
    </row>
    <row r="366" spans="7:12" x14ac:dyDescent="0.3">
      <c r="G366" s="9"/>
      <c r="H366" s="9"/>
      <c r="L366" s="7" t="str">
        <f t="shared" ca="1" si="22"/>
        <v/>
      </c>
    </row>
    <row r="367" spans="7:12" x14ac:dyDescent="0.3">
      <c r="G367" s="9"/>
      <c r="H367" s="9"/>
      <c r="L367" s="7" t="str">
        <f t="shared" ca="1" si="22"/>
        <v/>
      </c>
    </row>
    <row r="368" spans="7:12" x14ac:dyDescent="0.3">
      <c r="G368" s="9"/>
      <c r="H368" s="9"/>
      <c r="L368" s="7" t="str">
        <f t="shared" ca="1" si="22"/>
        <v/>
      </c>
    </row>
    <row r="369" spans="7:12" x14ac:dyDescent="0.3">
      <c r="G369" s="9"/>
      <c r="H369" s="9"/>
      <c r="L369" s="7" t="str">
        <f t="shared" ca="1" si="22"/>
        <v/>
      </c>
    </row>
    <row r="370" spans="7:12" x14ac:dyDescent="0.3">
      <c r="G370" s="9"/>
      <c r="H370" s="9"/>
      <c r="L370" s="7" t="str">
        <f t="shared" ca="1" si="22"/>
        <v/>
      </c>
    </row>
    <row r="371" spans="7:12" x14ac:dyDescent="0.3">
      <c r="G371" s="9"/>
      <c r="H371" s="9"/>
      <c r="L371" s="7" t="str">
        <f t="shared" ca="1" si="22"/>
        <v/>
      </c>
    </row>
    <row r="372" spans="7:12" x14ac:dyDescent="0.3">
      <c r="G372" s="9"/>
      <c r="H372" s="9"/>
      <c r="L372" s="7" t="str">
        <f t="shared" ca="1" si="22"/>
        <v/>
      </c>
    </row>
    <row r="373" spans="7:12" x14ac:dyDescent="0.3">
      <c r="G373" s="9"/>
      <c r="H373" s="9"/>
      <c r="L373" s="7" t="str">
        <f t="shared" ca="1" si="22"/>
        <v/>
      </c>
    </row>
    <row r="374" spans="7:12" x14ac:dyDescent="0.3">
      <c r="G374" s="9"/>
      <c r="H374" s="9"/>
      <c r="L374" s="7" t="str">
        <f t="shared" ca="1" si="22"/>
        <v/>
      </c>
    </row>
    <row r="375" spans="7:12" x14ac:dyDescent="0.3">
      <c r="G375" s="9"/>
      <c r="H375" s="9"/>
      <c r="L375" s="7" t="str">
        <f t="shared" ca="1" si="22"/>
        <v/>
      </c>
    </row>
    <row r="376" spans="7:12" x14ac:dyDescent="0.3">
      <c r="G376" s="9"/>
      <c r="H376" s="9"/>
      <c r="L376" s="7" t="str">
        <f t="shared" ca="1" si="22"/>
        <v/>
      </c>
    </row>
    <row r="377" spans="7:12" x14ac:dyDescent="0.3">
      <c r="G377" s="9"/>
      <c r="H377" s="9"/>
      <c r="L377" s="7" t="str">
        <f t="shared" ca="1" si="22"/>
        <v/>
      </c>
    </row>
    <row r="378" spans="7:12" x14ac:dyDescent="0.3">
      <c r="G378" s="9"/>
      <c r="H378" s="9"/>
      <c r="L378" s="7" t="str">
        <f t="shared" ca="1" si="22"/>
        <v/>
      </c>
    </row>
    <row r="379" spans="7:12" x14ac:dyDescent="0.3">
      <c r="G379" s="9"/>
      <c r="H379" s="9"/>
      <c r="L379" s="7" t="str">
        <f t="shared" ca="1" si="22"/>
        <v/>
      </c>
    </row>
    <row r="380" spans="7:12" x14ac:dyDescent="0.3">
      <c r="G380" s="9"/>
      <c r="H380" s="9"/>
      <c r="L380" s="7" t="str">
        <f t="shared" ca="1" si="22"/>
        <v/>
      </c>
    </row>
    <row r="381" spans="7:12" x14ac:dyDescent="0.3">
      <c r="G381" s="9"/>
      <c r="H381" s="9"/>
      <c r="L381" s="7" t="str">
        <f t="shared" ca="1" si="22"/>
        <v/>
      </c>
    </row>
    <row r="382" spans="7:12" x14ac:dyDescent="0.3">
      <c r="G382" s="9"/>
      <c r="H382" s="9"/>
      <c r="L382" s="7" t="str">
        <f t="shared" ca="1" si="22"/>
        <v/>
      </c>
    </row>
    <row r="383" spans="7:12" x14ac:dyDescent="0.3">
      <c r="G383" s="9"/>
      <c r="H383" s="9"/>
      <c r="L383" s="7" t="str">
        <f t="shared" ca="1" si="22"/>
        <v/>
      </c>
    </row>
    <row r="384" spans="7:12" x14ac:dyDescent="0.3">
      <c r="G384" s="9"/>
      <c r="H384" s="9"/>
      <c r="L384" s="7" t="str">
        <f t="shared" ca="1" si="22"/>
        <v/>
      </c>
    </row>
    <row r="385" spans="7:12" x14ac:dyDescent="0.3">
      <c r="G385" s="9"/>
      <c r="H385" s="9"/>
      <c r="L385" s="7" t="str">
        <f t="shared" ca="1" si="22"/>
        <v/>
      </c>
    </row>
    <row r="386" spans="7:12" x14ac:dyDescent="0.3">
      <c r="G386" s="9"/>
      <c r="H386" s="9"/>
      <c r="L386" s="7" t="str">
        <f t="shared" ca="1" si="22"/>
        <v/>
      </c>
    </row>
    <row r="387" spans="7:12" x14ac:dyDescent="0.3">
      <c r="G387" s="9"/>
      <c r="H387" s="9"/>
      <c r="L387" s="7" t="str">
        <f t="shared" ca="1" si="22"/>
        <v/>
      </c>
    </row>
    <row r="388" spans="7:12" x14ac:dyDescent="0.3">
      <c r="G388" s="9"/>
      <c r="H388" s="9"/>
      <c r="L388" s="7" t="str">
        <f t="shared" ref="L388:L451" ca="1" si="23">IF(I388="Completed",0,IF(H388="","",H388-TODAY()))</f>
        <v/>
      </c>
    </row>
    <row r="389" spans="7:12" x14ac:dyDescent="0.3">
      <c r="G389" s="9"/>
      <c r="H389" s="9"/>
      <c r="L389" s="7" t="str">
        <f t="shared" ca="1" si="23"/>
        <v/>
      </c>
    </row>
    <row r="390" spans="7:12" x14ac:dyDescent="0.3">
      <c r="G390" s="9"/>
      <c r="H390" s="9"/>
      <c r="L390" s="7" t="str">
        <f t="shared" ca="1" si="23"/>
        <v/>
      </c>
    </row>
    <row r="391" spans="7:12" x14ac:dyDescent="0.3">
      <c r="G391" s="9"/>
      <c r="H391" s="9"/>
      <c r="L391" s="7" t="str">
        <f t="shared" ca="1" si="23"/>
        <v/>
      </c>
    </row>
    <row r="392" spans="7:12" x14ac:dyDescent="0.3">
      <c r="G392" s="9"/>
      <c r="H392" s="9"/>
      <c r="L392" s="7" t="str">
        <f t="shared" ca="1" si="23"/>
        <v/>
      </c>
    </row>
    <row r="393" spans="7:12" x14ac:dyDescent="0.3">
      <c r="G393" s="9"/>
      <c r="H393" s="9"/>
      <c r="L393" s="7" t="str">
        <f t="shared" ca="1" si="23"/>
        <v/>
      </c>
    </row>
    <row r="394" spans="7:12" x14ac:dyDescent="0.3">
      <c r="G394" s="9"/>
      <c r="H394" s="9"/>
      <c r="L394" s="7" t="str">
        <f t="shared" ca="1" si="23"/>
        <v/>
      </c>
    </row>
    <row r="395" spans="7:12" x14ac:dyDescent="0.3">
      <c r="G395" s="9"/>
      <c r="H395" s="9"/>
      <c r="L395" s="7" t="str">
        <f t="shared" ca="1" si="23"/>
        <v/>
      </c>
    </row>
    <row r="396" spans="7:12" x14ac:dyDescent="0.3">
      <c r="G396" s="9"/>
      <c r="H396" s="9"/>
      <c r="L396" s="7" t="str">
        <f t="shared" ca="1" si="23"/>
        <v/>
      </c>
    </row>
    <row r="397" spans="7:12" x14ac:dyDescent="0.3">
      <c r="G397" s="9"/>
      <c r="H397" s="9"/>
      <c r="L397" s="7" t="str">
        <f t="shared" ca="1" si="23"/>
        <v/>
      </c>
    </row>
    <row r="398" spans="7:12" x14ac:dyDescent="0.3">
      <c r="G398" s="9"/>
      <c r="H398" s="9"/>
      <c r="L398" s="7" t="str">
        <f t="shared" ca="1" si="23"/>
        <v/>
      </c>
    </row>
    <row r="399" spans="7:12" x14ac:dyDescent="0.3">
      <c r="G399" s="9"/>
      <c r="H399" s="9"/>
      <c r="L399" s="7" t="str">
        <f t="shared" ca="1" si="23"/>
        <v/>
      </c>
    </row>
    <row r="400" spans="7:12" x14ac:dyDescent="0.3">
      <c r="G400" s="9"/>
      <c r="H400" s="9"/>
      <c r="L400" s="7" t="str">
        <f t="shared" ca="1" si="23"/>
        <v/>
      </c>
    </row>
    <row r="401" spans="7:12" x14ac:dyDescent="0.3">
      <c r="G401" s="9"/>
      <c r="H401" s="9"/>
      <c r="L401" s="7" t="str">
        <f t="shared" ca="1" si="23"/>
        <v/>
      </c>
    </row>
    <row r="402" spans="7:12" x14ac:dyDescent="0.3">
      <c r="G402" s="9"/>
      <c r="H402" s="9"/>
      <c r="L402" s="7" t="str">
        <f t="shared" ca="1" si="23"/>
        <v/>
      </c>
    </row>
    <row r="403" spans="7:12" x14ac:dyDescent="0.3">
      <c r="G403" s="9"/>
      <c r="H403" s="9"/>
      <c r="L403" s="7" t="str">
        <f t="shared" ca="1" si="23"/>
        <v/>
      </c>
    </row>
    <row r="404" spans="7:12" x14ac:dyDescent="0.3">
      <c r="G404" s="9"/>
      <c r="H404" s="9"/>
      <c r="L404" s="7" t="str">
        <f t="shared" ca="1" si="23"/>
        <v/>
      </c>
    </row>
    <row r="405" spans="7:12" x14ac:dyDescent="0.3">
      <c r="G405" s="9"/>
      <c r="H405" s="9"/>
      <c r="L405" s="7" t="str">
        <f t="shared" ca="1" si="23"/>
        <v/>
      </c>
    </row>
    <row r="406" spans="7:12" x14ac:dyDescent="0.3">
      <c r="G406" s="9"/>
      <c r="H406" s="9"/>
      <c r="L406" s="7" t="str">
        <f t="shared" ca="1" si="23"/>
        <v/>
      </c>
    </row>
    <row r="407" spans="7:12" x14ac:dyDescent="0.3">
      <c r="G407" s="9"/>
      <c r="H407" s="9"/>
      <c r="L407" s="7" t="str">
        <f t="shared" ca="1" si="23"/>
        <v/>
      </c>
    </row>
    <row r="408" spans="7:12" x14ac:dyDescent="0.3">
      <c r="G408" s="9"/>
      <c r="H408" s="9"/>
      <c r="L408" s="7" t="str">
        <f t="shared" ca="1" si="23"/>
        <v/>
      </c>
    </row>
    <row r="409" spans="7:12" x14ac:dyDescent="0.3">
      <c r="G409" s="9"/>
      <c r="H409" s="9"/>
      <c r="L409" s="7" t="str">
        <f t="shared" ca="1" si="23"/>
        <v/>
      </c>
    </row>
    <row r="410" spans="7:12" x14ac:dyDescent="0.3">
      <c r="L410" s="7" t="str">
        <f t="shared" ca="1" si="23"/>
        <v/>
      </c>
    </row>
    <row r="411" spans="7:12" x14ac:dyDescent="0.3">
      <c r="L411" s="7" t="str">
        <f t="shared" ca="1" si="23"/>
        <v/>
      </c>
    </row>
    <row r="412" spans="7:12" x14ac:dyDescent="0.3">
      <c r="L412" s="7" t="str">
        <f t="shared" ca="1" si="23"/>
        <v/>
      </c>
    </row>
    <row r="413" spans="7:12" x14ac:dyDescent="0.3">
      <c r="L413" s="7" t="str">
        <f t="shared" ca="1" si="23"/>
        <v/>
      </c>
    </row>
    <row r="414" spans="7:12" x14ac:dyDescent="0.3">
      <c r="L414" s="7" t="str">
        <f t="shared" ca="1" si="23"/>
        <v/>
      </c>
    </row>
    <row r="415" spans="7:12" x14ac:dyDescent="0.3">
      <c r="L415" s="7" t="str">
        <f t="shared" ca="1" si="23"/>
        <v/>
      </c>
    </row>
    <row r="416" spans="7:12" x14ac:dyDescent="0.3">
      <c r="L416" s="7" t="str">
        <f t="shared" ca="1" si="23"/>
        <v/>
      </c>
    </row>
    <row r="417" spans="12:12" x14ac:dyDescent="0.3">
      <c r="L417" s="7" t="str">
        <f t="shared" ca="1" si="23"/>
        <v/>
      </c>
    </row>
    <row r="418" spans="12:12" x14ac:dyDescent="0.3">
      <c r="L418" s="7" t="str">
        <f t="shared" ca="1" si="23"/>
        <v/>
      </c>
    </row>
    <row r="419" spans="12:12" x14ac:dyDescent="0.3">
      <c r="L419" s="7" t="str">
        <f t="shared" ca="1" si="23"/>
        <v/>
      </c>
    </row>
    <row r="420" spans="12:12" x14ac:dyDescent="0.3">
      <c r="L420" s="7" t="str">
        <f t="shared" ca="1" si="23"/>
        <v/>
      </c>
    </row>
    <row r="421" spans="12:12" x14ac:dyDescent="0.3">
      <c r="L421" s="7" t="str">
        <f t="shared" ca="1" si="23"/>
        <v/>
      </c>
    </row>
    <row r="422" spans="12:12" x14ac:dyDescent="0.3">
      <c r="L422" s="7" t="str">
        <f t="shared" ca="1" si="23"/>
        <v/>
      </c>
    </row>
    <row r="423" spans="12:12" x14ac:dyDescent="0.3">
      <c r="L423" s="7" t="str">
        <f t="shared" ca="1" si="23"/>
        <v/>
      </c>
    </row>
    <row r="424" spans="12:12" x14ac:dyDescent="0.3">
      <c r="L424" s="7" t="str">
        <f t="shared" ca="1" si="23"/>
        <v/>
      </c>
    </row>
    <row r="425" spans="12:12" x14ac:dyDescent="0.3">
      <c r="L425" s="7" t="str">
        <f t="shared" ca="1" si="23"/>
        <v/>
      </c>
    </row>
    <row r="426" spans="12:12" x14ac:dyDescent="0.3">
      <c r="L426" s="7" t="str">
        <f t="shared" ca="1" si="23"/>
        <v/>
      </c>
    </row>
    <row r="427" spans="12:12" x14ac:dyDescent="0.3">
      <c r="L427" s="7" t="str">
        <f t="shared" ca="1" si="23"/>
        <v/>
      </c>
    </row>
    <row r="428" spans="12:12" x14ac:dyDescent="0.3">
      <c r="L428" s="7" t="str">
        <f t="shared" ca="1" si="23"/>
        <v/>
      </c>
    </row>
    <row r="429" spans="12:12" x14ac:dyDescent="0.3">
      <c r="L429" s="7" t="str">
        <f t="shared" ca="1" si="23"/>
        <v/>
      </c>
    </row>
    <row r="430" spans="12:12" x14ac:dyDescent="0.3">
      <c r="L430" s="7" t="str">
        <f t="shared" ca="1" si="23"/>
        <v/>
      </c>
    </row>
    <row r="431" spans="12:12" x14ac:dyDescent="0.3">
      <c r="L431" s="7" t="str">
        <f t="shared" ca="1" si="23"/>
        <v/>
      </c>
    </row>
    <row r="432" spans="12:12" x14ac:dyDescent="0.3">
      <c r="L432" s="7" t="str">
        <f t="shared" ca="1" si="23"/>
        <v/>
      </c>
    </row>
    <row r="433" spans="12:12" x14ac:dyDescent="0.3">
      <c r="L433" s="7" t="str">
        <f t="shared" ca="1" si="23"/>
        <v/>
      </c>
    </row>
    <row r="434" spans="12:12" x14ac:dyDescent="0.3">
      <c r="L434" s="7" t="str">
        <f t="shared" ca="1" si="23"/>
        <v/>
      </c>
    </row>
    <row r="435" spans="12:12" x14ac:dyDescent="0.3">
      <c r="L435" s="7" t="str">
        <f t="shared" ca="1" si="23"/>
        <v/>
      </c>
    </row>
    <row r="436" spans="12:12" x14ac:dyDescent="0.3">
      <c r="L436" s="7" t="str">
        <f t="shared" ca="1" si="23"/>
        <v/>
      </c>
    </row>
    <row r="437" spans="12:12" x14ac:dyDescent="0.3">
      <c r="L437" s="7" t="str">
        <f t="shared" ca="1" si="23"/>
        <v/>
      </c>
    </row>
    <row r="438" spans="12:12" x14ac:dyDescent="0.3">
      <c r="L438" s="7" t="str">
        <f t="shared" ca="1" si="23"/>
        <v/>
      </c>
    </row>
    <row r="439" spans="12:12" x14ac:dyDescent="0.3">
      <c r="L439" s="7" t="str">
        <f t="shared" ca="1" si="23"/>
        <v/>
      </c>
    </row>
    <row r="440" spans="12:12" x14ac:dyDescent="0.3">
      <c r="L440" s="7" t="str">
        <f t="shared" ca="1" si="23"/>
        <v/>
      </c>
    </row>
    <row r="441" spans="12:12" x14ac:dyDescent="0.3">
      <c r="L441" s="7" t="str">
        <f t="shared" ca="1" si="23"/>
        <v/>
      </c>
    </row>
    <row r="442" spans="12:12" x14ac:dyDescent="0.3">
      <c r="L442" s="7" t="str">
        <f t="shared" ca="1" si="23"/>
        <v/>
      </c>
    </row>
    <row r="443" spans="12:12" x14ac:dyDescent="0.3">
      <c r="L443" s="7" t="str">
        <f t="shared" ca="1" si="23"/>
        <v/>
      </c>
    </row>
    <row r="444" spans="12:12" x14ac:dyDescent="0.3">
      <c r="L444" s="7" t="str">
        <f t="shared" ca="1" si="23"/>
        <v/>
      </c>
    </row>
    <row r="445" spans="12:12" x14ac:dyDescent="0.3">
      <c r="L445" s="7" t="str">
        <f t="shared" ca="1" si="23"/>
        <v/>
      </c>
    </row>
    <row r="446" spans="12:12" x14ac:dyDescent="0.3">
      <c r="L446" s="7" t="str">
        <f t="shared" ca="1" si="23"/>
        <v/>
      </c>
    </row>
    <row r="447" spans="12:12" x14ac:dyDescent="0.3">
      <c r="L447" s="7" t="str">
        <f t="shared" ca="1" si="23"/>
        <v/>
      </c>
    </row>
    <row r="448" spans="12:12" x14ac:dyDescent="0.3">
      <c r="L448" s="7" t="str">
        <f t="shared" ca="1" si="23"/>
        <v/>
      </c>
    </row>
    <row r="449" spans="12:12" x14ac:dyDescent="0.3">
      <c r="L449" s="7" t="str">
        <f t="shared" ca="1" si="23"/>
        <v/>
      </c>
    </row>
    <row r="450" spans="12:12" x14ac:dyDescent="0.3">
      <c r="L450" s="7" t="str">
        <f t="shared" ca="1" si="23"/>
        <v/>
      </c>
    </row>
    <row r="451" spans="12:12" x14ac:dyDescent="0.3">
      <c r="L451" s="7" t="str">
        <f t="shared" ca="1" si="23"/>
        <v/>
      </c>
    </row>
    <row r="452" spans="12:12" x14ac:dyDescent="0.3">
      <c r="L452" s="7" t="str">
        <f t="shared" ref="L452:L515" ca="1" si="24">IF(I452="Completed",0,IF(H452="","",H452-TODAY()))</f>
        <v/>
      </c>
    </row>
    <row r="453" spans="12:12" x14ac:dyDescent="0.3">
      <c r="L453" s="7" t="str">
        <f t="shared" ca="1" si="24"/>
        <v/>
      </c>
    </row>
    <row r="454" spans="12:12" x14ac:dyDescent="0.3">
      <c r="L454" s="7" t="str">
        <f t="shared" ca="1" si="24"/>
        <v/>
      </c>
    </row>
    <row r="455" spans="12:12" x14ac:dyDescent="0.3">
      <c r="L455" s="7" t="str">
        <f t="shared" ca="1" si="24"/>
        <v/>
      </c>
    </row>
    <row r="456" spans="12:12" x14ac:dyDescent="0.3">
      <c r="L456" s="7" t="str">
        <f t="shared" ca="1" si="24"/>
        <v/>
      </c>
    </row>
    <row r="457" spans="12:12" x14ac:dyDescent="0.3">
      <c r="L457" s="7" t="str">
        <f t="shared" ca="1" si="24"/>
        <v/>
      </c>
    </row>
    <row r="458" spans="12:12" x14ac:dyDescent="0.3">
      <c r="L458" s="7" t="str">
        <f t="shared" ca="1" si="24"/>
        <v/>
      </c>
    </row>
    <row r="459" spans="12:12" x14ac:dyDescent="0.3">
      <c r="L459" s="7" t="str">
        <f t="shared" ca="1" si="24"/>
        <v/>
      </c>
    </row>
    <row r="460" spans="12:12" x14ac:dyDescent="0.3">
      <c r="L460" s="7" t="str">
        <f t="shared" ca="1" si="24"/>
        <v/>
      </c>
    </row>
    <row r="461" spans="12:12" x14ac:dyDescent="0.3">
      <c r="L461" s="7" t="str">
        <f t="shared" ca="1" si="24"/>
        <v/>
      </c>
    </row>
    <row r="462" spans="12:12" x14ac:dyDescent="0.3">
      <c r="L462" s="7" t="str">
        <f t="shared" ca="1" si="24"/>
        <v/>
      </c>
    </row>
    <row r="463" spans="12:12" x14ac:dyDescent="0.3">
      <c r="L463" s="7" t="str">
        <f t="shared" ca="1" si="24"/>
        <v/>
      </c>
    </row>
    <row r="464" spans="12:12" x14ac:dyDescent="0.3">
      <c r="L464" s="7" t="str">
        <f t="shared" ca="1" si="24"/>
        <v/>
      </c>
    </row>
    <row r="465" spans="12:12" x14ac:dyDescent="0.3">
      <c r="L465" s="7" t="str">
        <f t="shared" ca="1" si="24"/>
        <v/>
      </c>
    </row>
    <row r="466" spans="12:12" x14ac:dyDescent="0.3">
      <c r="L466" s="7" t="str">
        <f t="shared" ca="1" si="24"/>
        <v/>
      </c>
    </row>
    <row r="467" spans="12:12" x14ac:dyDescent="0.3">
      <c r="L467" s="7" t="str">
        <f t="shared" ca="1" si="24"/>
        <v/>
      </c>
    </row>
    <row r="468" spans="12:12" x14ac:dyDescent="0.3">
      <c r="L468" s="7" t="str">
        <f t="shared" ca="1" si="24"/>
        <v/>
      </c>
    </row>
    <row r="469" spans="12:12" x14ac:dyDescent="0.3">
      <c r="L469" s="7" t="str">
        <f t="shared" ca="1" si="24"/>
        <v/>
      </c>
    </row>
    <row r="470" spans="12:12" x14ac:dyDescent="0.3">
      <c r="L470" s="7" t="str">
        <f t="shared" ca="1" si="24"/>
        <v/>
      </c>
    </row>
    <row r="471" spans="12:12" x14ac:dyDescent="0.3">
      <c r="L471" s="7" t="str">
        <f t="shared" ca="1" si="24"/>
        <v/>
      </c>
    </row>
    <row r="472" spans="12:12" x14ac:dyDescent="0.3">
      <c r="L472" s="7" t="str">
        <f t="shared" ca="1" si="24"/>
        <v/>
      </c>
    </row>
    <row r="473" spans="12:12" x14ac:dyDescent="0.3">
      <c r="L473" s="7" t="str">
        <f t="shared" ca="1" si="24"/>
        <v/>
      </c>
    </row>
    <row r="474" spans="12:12" x14ac:dyDescent="0.3">
      <c r="L474" s="7" t="str">
        <f t="shared" ca="1" si="24"/>
        <v/>
      </c>
    </row>
    <row r="475" spans="12:12" x14ac:dyDescent="0.3">
      <c r="L475" s="7" t="str">
        <f t="shared" ca="1" si="24"/>
        <v/>
      </c>
    </row>
    <row r="476" spans="12:12" x14ac:dyDescent="0.3">
      <c r="L476" s="7" t="str">
        <f t="shared" ca="1" si="24"/>
        <v/>
      </c>
    </row>
    <row r="477" spans="12:12" x14ac:dyDescent="0.3">
      <c r="L477" s="7" t="str">
        <f t="shared" ca="1" si="24"/>
        <v/>
      </c>
    </row>
    <row r="478" spans="12:12" x14ac:dyDescent="0.3">
      <c r="L478" s="7" t="str">
        <f t="shared" ca="1" si="24"/>
        <v/>
      </c>
    </row>
    <row r="479" spans="12:12" x14ac:dyDescent="0.3">
      <c r="L479" s="7" t="str">
        <f t="shared" ca="1" si="24"/>
        <v/>
      </c>
    </row>
    <row r="480" spans="12:12" x14ac:dyDescent="0.3">
      <c r="L480" s="7" t="str">
        <f t="shared" ca="1" si="24"/>
        <v/>
      </c>
    </row>
    <row r="481" spans="12:12" x14ac:dyDescent="0.3">
      <c r="L481" s="7" t="str">
        <f t="shared" ca="1" si="24"/>
        <v/>
      </c>
    </row>
    <row r="482" spans="12:12" x14ac:dyDescent="0.3">
      <c r="L482" s="7" t="str">
        <f t="shared" ca="1" si="24"/>
        <v/>
      </c>
    </row>
    <row r="483" spans="12:12" x14ac:dyDescent="0.3">
      <c r="L483" s="7" t="str">
        <f t="shared" ca="1" si="24"/>
        <v/>
      </c>
    </row>
    <row r="484" spans="12:12" x14ac:dyDescent="0.3">
      <c r="L484" s="7" t="str">
        <f t="shared" ca="1" si="24"/>
        <v/>
      </c>
    </row>
    <row r="485" spans="12:12" x14ac:dyDescent="0.3">
      <c r="L485" s="7" t="str">
        <f t="shared" ca="1" si="24"/>
        <v/>
      </c>
    </row>
    <row r="486" spans="12:12" x14ac:dyDescent="0.3">
      <c r="L486" s="7" t="str">
        <f t="shared" ca="1" si="24"/>
        <v/>
      </c>
    </row>
    <row r="487" spans="12:12" x14ac:dyDescent="0.3">
      <c r="L487" s="7" t="str">
        <f t="shared" ca="1" si="24"/>
        <v/>
      </c>
    </row>
    <row r="488" spans="12:12" x14ac:dyDescent="0.3">
      <c r="L488" s="7" t="str">
        <f t="shared" ca="1" si="24"/>
        <v/>
      </c>
    </row>
    <row r="489" spans="12:12" x14ac:dyDescent="0.3">
      <c r="L489" s="7" t="str">
        <f t="shared" ca="1" si="24"/>
        <v/>
      </c>
    </row>
    <row r="490" spans="12:12" x14ac:dyDescent="0.3">
      <c r="L490" s="7" t="str">
        <f t="shared" ca="1" si="24"/>
        <v/>
      </c>
    </row>
    <row r="491" spans="12:12" x14ac:dyDescent="0.3">
      <c r="L491" s="7" t="str">
        <f t="shared" ca="1" si="24"/>
        <v/>
      </c>
    </row>
    <row r="492" spans="12:12" x14ac:dyDescent="0.3">
      <c r="L492" s="7" t="str">
        <f t="shared" ca="1" si="24"/>
        <v/>
      </c>
    </row>
    <row r="493" spans="12:12" x14ac:dyDescent="0.3">
      <c r="L493" s="7" t="str">
        <f t="shared" ca="1" si="24"/>
        <v/>
      </c>
    </row>
    <row r="494" spans="12:12" x14ac:dyDescent="0.3">
      <c r="L494" s="7" t="str">
        <f t="shared" ca="1" si="24"/>
        <v/>
      </c>
    </row>
    <row r="495" spans="12:12" x14ac:dyDescent="0.3">
      <c r="L495" s="7" t="str">
        <f t="shared" ca="1" si="24"/>
        <v/>
      </c>
    </row>
    <row r="496" spans="12:12" x14ac:dyDescent="0.3">
      <c r="L496" s="7" t="str">
        <f t="shared" ca="1" si="24"/>
        <v/>
      </c>
    </row>
    <row r="497" spans="12:12" x14ac:dyDescent="0.3">
      <c r="L497" s="7" t="str">
        <f t="shared" ca="1" si="24"/>
        <v/>
      </c>
    </row>
    <row r="498" spans="12:12" x14ac:dyDescent="0.3">
      <c r="L498" s="7" t="str">
        <f t="shared" ca="1" si="24"/>
        <v/>
      </c>
    </row>
    <row r="499" spans="12:12" x14ac:dyDescent="0.3">
      <c r="L499" s="7" t="str">
        <f t="shared" ca="1" si="24"/>
        <v/>
      </c>
    </row>
    <row r="500" spans="12:12" x14ac:dyDescent="0.3">
      <c r="L500" s="7" t="str">
        <f t="shared" ca="1" si="24"/>
        <v/>
      </c>
    </row>
    <row r="501" spans="12:12" x14ac:dyDescent="0.3">
      <c r="L501" s="7" t="str">
        <f t="shared" ca="1" si="24"/>
        <v/>
      </c>
    </row>
    <row r="502" spans="12:12" x14ac:dyDescent="0.3">
      <c r="L502" s="7" t="str">
        <f t="shared" ca="1" si="24"/>
        <v/>
      </c>
    </row>
    <row r="503" spans="12:12" x14ac:dyDescent="0.3">
      <c r="L503" s="7" t="str">
        <f t="shared" ca="1" si="24"/>
        <v/>
      </c>
    </row>
    <row r="504" spans="12:12" x14ac:dyDescent="0.3">
      <c r="L504" s="7" t="str">
        <f t="shared" ca="1" si="24"/>
        <v/>
      </c>
    </row>
    <row r="505" spans="12:12" x14ac:dyDescent="0.3">
      <c r="L505" s="7" t="str">
        <f t="shared" ca="1" si="24"/>
        <v/>
      </c>
    </row>
    <row r="506" spans="12:12" x14ac:dyDescent="0.3">
      <c r="L506" s="7" t="str">
        <f t="shared" ca="1" si="24"/>
        <v/>
      </c>
    </row>
    <row r="507" spans="12:12" x14ac:dyDescent="0.3">
      <c r="L507" s="7" t="str">
        <f t="shared" ca="1" si="24"/>
        <v/>
      </c>
    </row>
    <row r="508" spans="12:12" x14ac:dyDescent="0.3">
      <c r="L508" s="7" t="str">
        <f t="shared" ca="1" si="24"/>
        <v/>
      </c>
    </row>
    <row r="509" spans="12:12" x14ac:dyDescent="0.3">
      <c r="L509" s="7" t="str">
        <f t="shared" ca="1" si="24"/>
        <v/>
      </c>
    </row>
    <row r="510" spans="12:12" x14ac:dyDescent="0.3">
      <c r="L510" s="7" t="str">
        <f t="shared" ca="1" si="24"/>
        <v/>
      </c>
    </row>
    <row r="511" spans="12:12" x14ac:dyDescent="0.3">
      <c r="L511" s="7" t="str">
        <f t="shared" ca="1" si="24"/>
        <v/>
      </c>
    </row>
    <row r="512" spans="12:12" x14ac:dyDescent="0.3">
      <c r="L512" s="7" t="str">
        <f t="shared" ca="1" si="24"/>
        <v/>
      </c>
    </row>
    <row r="513" spans="12:12" x14ac:dyDescent="0.3">
      <c r="L513" s="7" t="str">
        <f t="shared" ca="1" si="24"/>
        <v/>
      </c>
    </row>
    <row r="514" spans="12:12" x14ac:dyDescent="0.3">
      <c r="L514" s="7" t="str">
        <f t="shared" ca="1" si="24"/>
        <v/>
      </c>
    </row>
    <row r="515" spans="12:12" x14ac:dyDescent="0.3">
      <c r="L515" s="7" t="str">
        <f t="shared" ca="1" si="24"/>
        <v/>
      </c>
    </row>
    <row r="516" spans="12:12" x14ac:dyDescent="0.3">
      <c r="L516" s="7" t="str">
        <f t="shared" ref="L516:L579" ca="1" si="25">IF(I516="Completed",0,IF(H516="","",H516-TODAY()))</f>
        <v/>
      </c>
    </row>
    <row r="517" spans="12:12" x14ac:dyDescent="0.3">
      <c r="L517" s="7" t="str">
        <f t="shared" ca="1" si="25"/>
        <v/>
      </c>
    </row>
    <row r="518" spans="12:12" x14ac:dyDescent="0.3">
      <c r="L518" s="7" t="str">
        <f t="shared" ca="1" si="25"/>
        <v/>
      </c>
    </row>
    <row r="519" spans="12:12" x14ac:dyDescent="0.3">
      <c r="L519" s="7" t="str">
        <f t="shared" ca="1" si="25"/>
        <v/>
      </c>
    </row>
    <row r="520" spans="12:12" x14ac:dyDescent="0.3">
      <c r="L520" s="7" t="str">
        <f t="shared" ca="1" si="25"/>
        <v/>
      </c>
    </row>
    <row r="521" spans="12:12" x14ac:dyDescent="0.3">
      <c r="L521" s="7" t="str">
        <f t="shared" ca="1" si="25"/>
        <v/>
      </c>
    </row>
    <row r="522" spans="12:12" x14ac:dyDescent="0.3">
      <c r="L522" s="7" t="str">
        <f t="shared" ca="1" si="25"/>
        <v/>
      </c>
    </row>
    <row r="523" spans="12:12" x14ac:dyDescent="0.3">
      <c r="L523" s="7" t="str">
        <f t="shared" ca="1" si="25"/>
        <v/>
      </c>
    </row>
    <row r="524" spans="12:12" x14ac:dyDescent="0.3">
      <c r="L524" s="7" t="str">
        <f t="shared" ca="1" si="25"/>
        <v/>
      </c>
    </row>
    <row r="525" spans="12:12" x14ac:dyDescent="0.3">
      <c r="L525" s="7" t="str">
        <f t="shared" ca="1" si="25"/>
        <v/>
      </c>
    </row>
    <row r="526" spans="12:12" x14ac:dyDescent="0.3">
      <c r="L526" s="7" t="str">
        <f t="shared" ca="1" si="25"/>
        <v/>
      </c>
    </row>
    <row r="527" spans="12:12" x14ac:dyDescent="0.3">
      <c r="L527" s="7" t="str">
        <f t="shared" ca="1" si="25"/>
        <v/>
      </c>
    </row>
    <row r="528" spans="12:12" x14ac:dyDescent="0.3">
      <c r="L528" s="7" t="str">
        <f t="shared" ca="1" si="25"/>
        <v/>
      </c>
    </row>
    <row r="529" spans="12:12" x14ac:dyDescent="0.3">
      <c r="L529" s="7" t="str">
        <f t="shared" ca="1" si="25"/>
        <v/>
      </c>
    </row>
    <row r="530" spans="12:12" x14ac:dyDescent="0.3">
      <c r="L530" s="7" t="str">
        <f t="shared" ca="1" si="25"/>
        <v/>
      </c>
    </row>
    <row r="531" spans="12:12" x14ac:dyDescent="0.3">
      <c r="L531" s="7" t="str">
        <f t="shared" ca="1" si="25"/>
        <v/>
      </c>
    </row>
    <row r="532" spans="12:12" x14ac:dyDescent="0.3">
      <c r="L532" s="7" t="str">
        <f t="shared" ca="1" si="25"/>
        <v/>
      </c>
    </row>
    <row r="533" spans="12:12" x14ac:dyDescent="0.3">
      <c r="L533" s="7" t="str">
        <f t="shared" ca="1" si="25"/>
        <v/>
      </c>
    </row>
    <row r="534" spans="12:12" x14ac:dyDescent="0.3">
      <c r="L534" s="7" t="str">
        <f t="shared" ca="1" si="25"/>
        <v/>
      </c>
    </row>
    <row r="535" spans="12:12" x14ac:dyDescent="0.3">
      <c r="L535" s="7" t="str">
        <f t="shared" ca="1" si="25"/>
        <v/>
      </c>
    </row>
    <row r="536" spans="12:12" x14ac:dyDescent="0.3">
      <c r="L536" s="7" t="str">
        <f t="shared" ca="1" si="25"/>
        <v/>
      </c>
    </row>
    <row r="537" spans="12:12" x14ac:dyDescent="0.3">
      <c r="L537" s="7" t="str">
        <f t="shared" ca="1" si="25"/>
        <v/>
      </c>
    </row>
    <row r="538" spans="12:12" x14ac:dyDescent="0.3">
      <c r="L538" s="7" t="str">
        <f t="shared" ca="1" si="25"/>
        <v/>
      </c>
    </row>
    <row r="539" spans="12:12" x14ac:dyDescent="0.3">
      <c r="L539" s="7" t="str">
        <f t="shared" ca="1" si="25"/>
        <v/>
      </c>
    </row>
    <row r="540" spans="12:12" x14ac:dyDescent="0.3">
      <c r="L540" s="7" t="str">
        <f t="shared" ca="1" si="25"/>
        <v/>
      </c>
    </row>
    <row r="541" spans="12:12" x14ac:dyDescent="0.3">
      <c r="L541" s="7" t="str">
        <f t="shared" ca="1" si="25"/>
        <v/>
      </c>
    </row>
    <row r="542" spans="12:12" x14ac:dyDescent="0.3">
      <c r="L542" s="7" t="str">
        <f t="shared" ca="1" si="25"/>
        <v/>
      </c>
    </row>
    <row r="543" spans="12:12" x14ac:dyDescent="0.3">
      <c r="L543" s="7" t="str">
        <f t="shared" ca="1" si="25"/>
        <v/>
      </c>
    </row>
    <row r="544" spans="12:12" x14ac:dyDescent="0.3">
      <c r="L544" s="7" t="str">
        <f t="shared" ca="1" si="25"/>
        <v/>
      </c>
    </row>
    <row r="545" spans="12:12" x14ac:dyDescent="0.3">
      <c r="L545" s="7" t="str">
        <f t="shared" ca="1" si="25"/>
        <v/>
      </c>
    </row>
    <row r="546" spans="12:12" x14ac:dyDescent="0.3">
      <c r="L546" s="7" t="str">
        <f t="shared" ca="1" si="25"/>
        <v/>
      </c>
    </row>
    <row r="547" spans="12:12" x14ac:dyDescent="0.3">
      <c r="L547" s="7" t="str">
        <f t="shared" ca="1" si="25"/>
        <v/>
      </c>
    </row>
    <row r="548" spans="12:12" x14ac:dyDescent="0.3">
      <c r="L548" s="7" t="str">
        <f t="shared" ca="1" si="25"/>
        <v/>
      </c>
    </row>
    <row r="549" spans="12:12" x14ac:dyDescent="0.3">
      <c r="L549" s="7" t="str">
        <f t="shared" ca="1" si="25"/>
        <v/>
      </c>
    </row>
    <row r="550" spans="12:12" x14ac:dyDescent="0.3">
      <c r="L550" s="7" t="str">
        <f t="shared" ca="1" si="25"/>
        <v/>
      </c>
    </row>
    <row r="551" spans="12:12" x14ac:dyDescent="0.3">
      <c r="L551" s="7" t="str">
        <f t="shared" ca="1" si="25"/>
        <v/>
      </c>
    </row>
    <row r="552" spans="12:12" x14ac:dyDescent="0.3">
      <c r="L552" s="7" t="str">
        <f t="shared" ca="1" si="25"/>
        <v/>
      </c>
    </row>
    <row r="553" spans="12:12" x14ac:dyDescent="0.3">
      <c r="L553" s="7" t="str">
        <f t="shared" ca="1" si="25"/>
        <v/>
      </c>
    </row>
    <row r="554" spans="12:12" x14ac:dyDescent="0.3">
      <c r="L554" s="7" t="str">
        <f t="shared" ca="1" si="25"/>
        <v/>
      </c>
    </row>
    <row r="555" spans="12:12" x14ac:dyDescent="0.3">
      <c r="L555" s="7" t="str">
        <f t="shared" ca="1" si="25"/>
        <v/>
      </c>
    </row>
    <row r="556" spans="12:12" x14ac:dyDescent="0.3">
      <c r="L556" s="7" t="str">
        <f t="shared" ca="1" si="25"/>
        <v/>
      </c>
    </row>
    <row r="557" spans="12:12" x14ac:dyDescent="0.3">
      <c r="L557" s="7" t="str">
        <f t="shared" ca="1" si="25"/>
        <v/>
      </c>
    </row>
    <row r="558" spans="12:12" x14ac:dyDescent="0.3">
      <c r="L558" s="7" t="str">
        <f t="shared" ca="1" si="25"/>
        <v/>
      </c>
    </row>
    <row r="559" spans="12:12" x14ac:dyDescent="0.3">
      <c r="L559" s="7" t="str">
        <f t="shared" ca="1" si="25"/>
        <v/>
      </c>
    </row>
    <row r="560" spans="12:12" x14ac:dyDescent="0.3">
      <c r="L560" s="7" t="str">
        <f t="shared" ca="1" si="25"/>
        <v/>
      </c>
    </row>
    <row r="561" spans="12:12" x14ac:dyDescent="0.3">
      <c r="L561" s="7" t="str">
        <f t="shared" ca="1" si="25"/>
        <v/>
      </c>
    </row>
    <row r="562" spans="12:12" x14ac:dyDescent="0.3">
      <c r="L562" s="7" t="str">
        <f t="shared" ca="1" si="25"/>
        <v/>
      </c>
    </row>
    <row r="563" spans="12:12" x14ac:dyDescent="0.3">
      <c r="L563" s="7" t="str">
        <f t="shared" ca="1" si="25"/>
        <v/>
      </c>
    </row>
    <row r="564" spans="12:12" x14ac:dyDescent="0.3">
      <c r="L564" s="7" t="str">
        <f t="shared" ca="1" si="25"/>
        <v/>
      </c>
    </row>
    <row r="565" spans="12:12" x14ac:dyDescent="0.3">
      <c r="L565" s="7" t="str">
        <f t="shared" ca="1" si="25"/>
        <v/>
      </c>
    </row>
    <row r="566" spans="12:12" x14ac:dyDescent="0.3">
      <c r="L566" s="7" t="str">
        <f t="shared" ca="1" si="25"/>
        <v/>
      </c>
    </row>
    <row r="567" spans="12:12" x14ac:dyDescent="0.3">
      <c r="L567" s="7" t="str">
        <f t="shared" ca="1" si="25"/>
        <v/>
      </c>
    </row>
    <row r="568" spans="12:12" x14ac:dyDescent="0.3">
      <c r="L568" s="7" t="str">
        <f t="shared" ca="1" si="25"/>
        <v/>
      </c>
    </row>
    <row r="569" spans="12:12" x14ac:dyDescent="0.3">
      <c r="L569" s="7" t="str">
        <f t="shared" ca="1" si="25"/>
        <v/>
      </c>
    </row>
    <row r="570" spans="12:12" x14ac:dyDescent="0.3">
      <c r="L570" s="7" t="str">
        <f t="shared" ca="1" si="25"/>
        <v/>
      </c>
    </row>
    <row r="571" spans="12:12" x14ac:dyDescent="0.3">
      <c r="L571" s="7" t="str">
        <f t="shared" ca="1" si="25"/>
        <v/>
      </c>
    </row>
    <row r="572" spans="12:12" x14ac:dyDescent="0.3">
      <c r="L572" s="7" t="str">
        <f t="shared" ca="1" si="25"/>
        <v/>
      </c>
    </row>
    <row r="573" spans="12:12" x14ac:dyDescent="0.3">
      <c r="L573" s="7" t="str">
        <f t="shared" ca="1" si="25"/>
        <v/>
      </c>
    </row>
    <row r="574" spans="12:12" x14ac:dyDescent="0.3">
      <c r="L574" s="7" t="str">
        <f t="shared" ca="1" si="25"/>
        <v/>
      </c>
    </row>
    <row r="575" spans="12:12" x14ac:dyDescent="0.3">
      <c r="L575" s="7" t="str">
        <f t="shared" ca="1" si="25"/>
        <v/>
      </c>
    </row>
    <row r="576" spans="12:12" x14ac:dyDescent="0.3">
      <c r="L576" s="7" t="str">
        <f t="shared" ca="1" si="25"/>
        <v/>
      </c>
    </row>
    <row r="577" spans="12:12" x14ac:dyDescent="0.3">
      <c r="L577" s="7" t="str">
        <f t="shared" ca="1" si="25"/>
        <v/>
      </c>
    </row>
    <row r="578" spans="12:12" x14ac:dyDescent="0.3">
      <c r="L578" s="7" t="str">
        <f t="shared" ca="1" si="25"/>
        <v/>
      </c>
    </row>
    <row r="579" spans="12:12" x14ac:dyDescent="0.3">
      <c r="L579" s="7" t="str">
        <f t="shared" ca="1" si="25"/>
        <v/>
      </c>
    </row>
    <row r="580" spans="12:12" x14ac:dyDescent="0.3">
      <c r="L580" s="7" t="str">
        <f t="shared" ref="L580:L643" ca="1" si="26">IF(I580="Completed",0,IF(H580="","",H580-TODAY()))</f>
        <v/>
      </c>
    </row>
    <row r="581" spans="12:12" x14ac:dyDescent="0.3">
      <c r="L581" s="7" t="str">
        <f t="shared" ca="1" si="26"/>
        <v/>
      </c>
    </row>
    <row r="582" spans="12:12" x14ac:dyDescent="0.3">
      <c r="L582" s="7" t="str">
        <f t="shared" ca="1" si="26"/>
        <v/>
      </c>
    </row>
    <row r="583" spans="12:12" x14ac:dyDescent="0.3">
      <c r="L583" s="7" t="str">
        <f t="shared" ca="1" si="26"/>
        <v/>
      </c>
    </row>
    <row r="584" spans="12:12" x14ac:dyDescent="0.3">
      <c r="L584" s="7" t="str">
        <f t="shared" ca="1" si="26"/>
        <v/>
      </c>
    </row>
    <row r="585" spans="12:12" x14ac:dyDescent="0.3">
      <c r="L585" s="7" t="str">
        <f t="shared" ca="1" si="26"/>
        <v/>
      </c>
    </row>
    <row r="586" spans="12:12" x14ac:dyDescent="0.3">
      <c r="L586" s="7" t="str">
        <f t="shared" ca="1" si="26"/>
        <v/>
      </c>
    </row>
    <row r="587" spans="12:12" x14ac:dyDescent="0.3">
      <c r="L587" s="7" t="str">
        <f t="shared" ca="1" si="26"/>
        <v/>
      </c>
    </row>
    <row r="588" spans="12:12" x14ac:dyDescent="0.3">
      <c r="L588" s="7" t="str">
        <f t="shared" ca="1" si="26"/>
        <v/>
      </c>
    </row>
    <row r="589" spans="12:12" x14ac:dyDescent="0.3">
      <c r="L589" s="7" t="str">
        <f t="shared" ca="1" si="26"/>
        <v/>
      </c>
    </row>
    <row r="590" spans="12:12" x14ac:dyDescent="0.3">
      <c r="L590" s="7" t="str">
        <f t="shared" ca="1" si="26"/>
        <v/>
      </c>
    </row>
    <row r="591" spans="12:12" x14ac:dyDescent="0.3">
      <c r="L591" s="7" t="str">
        <f t="shared" ca="1" si="26"/>
        <v/>
      </c>
    </row>
    <row r="592" spans="12:12" x14ac:dyDescent="0.3">
      <c r="L592" s="7" t="str">
        <f t="shared" ca="1" si="26"/>
        <v/>
      </c>
    </row>
    <row r="593" spans="12:12" x14ac:dyDescent="0.3">
      <c r="L593" s="7" t="str">
        <f t="shared" ca="1" si="26"/>
        <v/>
      </c>
    </row>
    <row r="594" spans="12:12" x14ac:dyDescent="0.3">
      <c r="L594" s="7" t="str">
        <f t="shared" ca="1" si="26"/>
        <v/>
      </c>
    </row>
    <row r="595" spans="12:12" x14ac:dyDescent="0.3">
      <c r="L595" s="7" t="str">
        <f t="shared" ca="1" si="26"/>
        <v/>
      </c>
    </row>
    <row r="596" spans="12:12" x14ac:dyDescent="0.3">
      <c r="L596" s="7" t="str">
        <f t="shared" ca="1" si="26"/>
        <v/>
      </c>
    </row>
    <row r="597" spans="12:12" x14ac:dyDescent="0.3">
      <c r="L597" s="7" t="str">
        <f t="shared" ca="1" si="26"/>
        <v/>
      </c>
    </row>
    <row r="598" spans="12:12" x14ac:dyDescent="0.3">
      <c r="L598" s="7" t="str">
        <f t="shared" ca="1" si="26"/>
        <v/>
      </c>
    </row>
    <row r="599" spans="12:12" x14ac:dyDescent="0.3">
      <c r="L599" s="7" t="str">
        <f t="shared" ca="1" si="26"/>
        <v/>
      </c>
    </row>
    <row r="600" spans="12:12" x14ac:dyDescent="0.3">
      <c r="L600" s="7" t="str">
        <f t="shared" ca="1" si="26"/>
        <v/>
      </c>
    </row>
    <row r="601" spans="12:12" x14ac:dyDescent="0.3">
      <c r="L601" s="7" t="str">
        <f t="shared" ca="1" si="26"/>
        <v/>
      </c>
    </row>
    <row r="602" spans="12:12" x14ac:dyDescent="0.3">
      <c r="L602" s="7" t="str">
        <f t="shared" ca="1" si="26"/>
        <v/>
      </c>
    </row>
    <row r="603" spans="12:12" x14ac:dyDescent="0.3">
      <c r="L603" s="7" t="str">
        <f t="shared" ca="1" si="26"/>
        <v/>
      </c>
    </row>
    <row r="604" spans="12:12" x14ac:dyDescent="0.3">
      <c r="L604" s="7" t="str">
        <f t="shared" ca="1" si="26"/>
        <v/>
      </c>
    </row>
    <row r="605" spans="12:12" x14ac:dyDescent="0.3">
      <c r="L605" s="7" t="str">
        <f t="shared" ca="1" si="26"/>
        <v/>
      </c>
    </row>
    <row r="606" spans="12:12" x14ac:dyDescent="0.3">
      <c r="L606" s="7" t="str">
        <f t="shared" ca="1" si="26"/>
        <v/>
      </c>
    </row>
    <row r="607" spans="12:12" x14ac:dyDescent="0.3">
      <c r="L607" s="7" t="str">
        <f t="shared" ca="1" si="26"/>
        <v/>
      </c>
    </row>
    <row r="608" spans="12:12" x14ac:dyDescent="0.3">
      <c r="L608" s="7" t="str">
        <f t="shared" ca="1" si="26"/>
        <v/>
      </c>
    </row>
    <row r="609" spans="12:12" x14ac:dyDescent="0.3">
      <c r="L609" s="7" t="str">
        <f t="shared" ca="1" si="26"/>
        <v/>
      </c>
    </row>
    <row r="610" spans="12:12" x14ac:dyDescent="0.3">
      <c r="L610" s="7" t="str">
        <f t="shared" ca="1" si="26"/>
        <v/>
      </c>
    </row>
    <row r="611" spans="12:12" x14ac:dyDescent="0.3">
      <c r="L611" s="7" t="str">
        <f t="shared" ca="1" si="26"/>
        <v/>
      </c>
    </row>
    <row r="612" spans="12:12" x14ac:dyDescent="0.3">
      <c r="L612" s="7" t="str">
        <f t="shared" ca="1" si="26"/>
        <v/>
      </c>
    </row>
    <row r="613" spans="12:12" x14ac:dyDescent="0.3">
      <c r="L613" s="7" t="str">
        <f t="shared" ca="1" si="26"/>
        <v/>
      </c>
    </row>
    <row r="614" spans="12:12" x14ac:dyDescent="0.3">
      <c r="L614" s="7" t="str">
        <f t="shared" ca="1" si="26"/>
        <v/>
      </c>
    </row>
    <row r="615" spans="12:12" x14ac:dyDescent="0.3">
      <c r="L615" s="7" t="str">
        <f t="shared" ca="1" si="26"/>
        <v/>
      </c>
    </row>
    <row r="616" spans="12:12" x14ac:dyDescent="0.3">
      <c r="L616" s="7" t="str">
        <f t="shared" ca="1" si="26"/>
        <v/>
      </c>
    </row>
    <row r="617" spans="12:12" x14ac:dyDescent="0.3">
      <c r="L617" s="7" t="str">
        <f t="shared" ca="1" si="26"/>
        <v/>
      </c>
    </row>
    <row r="618" spans="12:12" x14ac:dyDescent="0.3">
      <c r="L618" s="7" t="str">
        <f t="shared" ca="1" si="26"/>
        <v/>
      </c>
    </row>
    <row r="619" spans="12:12" x14ac:dyDescent="0.3">
      <c r="L619" s="7" t="str">
        <f t="shared" ca="1" si="26"/>
        <v/>
      </c>
    </row>
    <row r="620" spans="12:12" x14ac:dyDescent="0.3">
      <c r="L620" s="7" t="str">
        <f t="shared" ca="1" si="26"/>
        <v/>
      </c>
    </row>
    <row r="621" spans="12:12" x14ac:dyDescent="0.3">
      <c r="L621" s="7" t="str">
        <f t="shared" ca="1" si="26"/>
        <v/>
      </c>
    </row>
    <row r="622" spans="12:12" x14ac:dyDescent="0.3">
      <c r="L622" s="7" t="str">
        <f t="shared" ca="1" si="26"/>
        <v/>
      </c>
    </row>
    <row r="623" spans="12:12" x14ac:dyDescent="0.3">
      <c r="L623" s="7" t="str">
        <f t="shared" ca="1" si="26"/>
        <v/>
      </c>
    </row>
    <row r="624" spans="12:12" x14ac:dyDescent="0.3">
      <c r="L624" s="7" t="str">
        <f t="shared" ca="1" si="26"/>
        <v/>
      </c>
    </row>
    <row r="625" spans="12:12" x14ac:dyDescent="0.3">
      <c r="L625" s="7" t="str">
        <f t="shared" ca="1" si="26"/>
        <v/>
      </c>
    </row>
    <row r="626" spans="12:12" x14ac:dyDescent="0.3">
      <c r="L626" s="7" t="str">
        <f t="shared" ca="1" si="26"/>
        <v/>
      </c>
    </row>
    <row r="627" spans="12:12" x14ac:dyDescent="0.3">
      <c r="L627" s="7" t="str">
        <f t="shared" ca="1" si="26"/>
        <v/>
      </c>
    </row>
    <row r="628" spans="12:12" x14ac:dyDescent="0.3">
      <c r="L628" s="7" t="str">
        <f t="shared" ca="1" si="26"/>
        <v/>
      </c>
    </row>
    <row r="629" spans="12:12" x14ac:dyDescent="0.3">
      <c r="L629" s="7" t="str">
        <f t="shared" ca="1" si="26"/>
        <v/>
      </c>
    </row>
    <row r="630" spans="12:12" x14ac:dyDescent="0.3">
      <c r="L630" s="7" t="str">
        <f t="shared" ca="1" si="26"/>
        <v/>
      </c>
    </row>
    <row r="631" spans="12:12" x14ac:dyDescent="0.3">
      <c r="L631" s="7" t="str">
        <f t="shared" ca="1" si="26"/>
        <v/>
      </c>
    </row>
    <row r="632" spans="12:12" x14ac:dyDescent="0.3">
      <c r="L632" s="7" t="str">
        <f t="shared" ca="1" si="26"/>
        <v/>
      </c>
    </row>
    <row r="633" spans="12:12" x14ac:dyDescent="0.3">
      <c r="L633" s="7" t="str">
        <f t="shared" ca="1" si="26"/>
        <v/>
      </c>
    </row>
    <row r="634" spans="12:12" x14ac:dyDescent="0.3">
      <c r="L634" s="7" t="str">
        <f t="shared" ca="1" si="26"/>
        <v/>
      </c>
    </row>
    <row r="635" spans="12:12" x14ac:dyDescent="0.3">
      <c r="L635" s="7" t="str">
        <f t="shared" ca="1" si="26"/>
        <v/>
      </c>
    </row>
    <row r="636" spans="12:12" x14ac:dyDescent="0.3">
      <c r="L636" s="7" t="str">
        <f t="shared" ca="1" si="26"/>
        <v/>
      </c>
    </row>
    <row r="637" spans="12:12" x14ac:dyDescent="0.3">
      <c r="L637" s="7" t="str">
        <f t="shared" ca="1" si="26"/>
        <v/>
      </c>
    </row>
    <row r="638" spans="12:12" x14ac:dyDescent="0.3">
      <c r="L638" s="7" t="str">
        <f t="shared" ca="1" si="26"/>
        <v/>
      </c>
    </row>
    <row r="639" spans="12:12" x14ac:dyDescent="0.3">
      <c r="L639" s="7" t="str">
        <f t="shared" ca="1" si="26"/>
        <v/>
      </c>
    </row>
    <row r="640" spans="12:12" x14ac:dyDescent="0.3">
      <c r="L640" s="7" t="str">
        <f t="shared" ca="1" si="26"/>
        <v/>
      </c>
    </row>
    <row r="641" spans="12:12" x14ac:dyDescent="0.3">
      <c r="L641" s="7" t="str">
        <f t="shared" ca="1" si="26"/>
        <v/>
      </c>
    </row>
    <row r="642" spans="12:12" x14ac:dyDescent="0.3">
      <c r="L642" s="7" t="str">
        <f t="shared" ca="1" si="26"/>
        <v/>
      </c>
    </row>
    <row r="643" spans="12:12" x14ac:dyDescent="0.3">
      <c r="L643" s="7" t="str">
        <f t="shared" ca="1" si="26"/>
        <v/>
      </c>
    </row>
    <row r="644" spans="12:12" x14ac:dyDescent="0.3">
      <c r="L644" s="7" t="str">
        <f t="shared" ref="L644:L707" ca="1" si="27">IF(I644="Completed",0,IF(H644="","",H644-TODAY()))</f>
        <v/>
      </c>
    </row>
    <row r="645" spans="12:12" x14ac:dyDescent="0.3">
      <c r="L645" s="7" t="str">
        <f t="shared" ca="1" si="27"/>
        <v/>
      </c>
    </row>
    <row r="646" spans="12:12" x14ac:dyDescent="0.3">
      <c r="L646" s="7" t="str">
        <f t="shared" ca="1" si="27"/>
        <v/>
      </c>
    </row>
    <row r="647" spans="12:12" x14ac:dyDescent="0.3">
      <c r="L647" s="7" t="str">
        <f t="shared" ca="1" si="27"/>
        <v/>
      </c>
    </row>
    <row r="648" spans="12:12" x14ac:dyDescent="0.3">
      <c r="L648" s="7" t="str">
        <f t="shared" ca="1" si="27"/>
        <v/>
      </c>
    </row>
    <row r="649" spans="12:12" x14ac:dyDescent="0.3">
      <c r="L649" s="7" t="str">
        <f t="shared" ca="1" si="27"/>
        <v/>
      </c>
    </row>
    <row r="650" spans="12:12" x14ac:dyDescent="0.3">
      <c r="L650" s="7" t="str">
        <f t="shared" ca="1" si="27"/>
        <v/>
      </c>
    </row>
    <row r="651" spans="12:12" x14ac:dyDescent="0.3">
      <c r="L651" s="7" t="str">
        <f t="shared" ca="1" si="27"/>
        <v/>
      </c>
    </row>
    <row r="652" spans="12:12" x14ac:dyDescent="0.3">
      <c r="L652" s="7" t="str">
        <f t="shared" ca="1" si="27"/>
        <v/>
      </c>
    </row>
    <row r="653" spans="12:12" x14ac:dyDescent="0.3">
      <c r="L653" s="7" t="str">
        <f t="shared" ca="1" si="27"/>
        <v/>
      </c>
    </row>
    <row r="654" spans="12:12" x14ac:dyDescent="0.3">
      <c r="L654" s="7" t="str">
        <f t="shared" ca="1" si="27"/>
        <v/>
      </c>
    </row>
    <row r="655" spans="12:12" x14ac:dyDescent="0.3">
      <c r="L655" s="7" t="str">
        <f t="shared" ca="1" si="27"/>
        <v/>
      </c>
    </row>
    <row r="656" spans="12:12" x14ac:dyDescent="0.3">
      <c r="L656" s="7" t="str">
        <f t="shared" ca="1" si="27"/>
        <v/>
      </c>
    </row>
    <row r="657" spans="12:12" x14ac:dyDescent="0.3">
      <c r="L657" s="7" t="str">
        <f t="shared" ca="1" si="27"/>
        <v/>
      </c>
    </row>
    <row r="658" spans="12:12" x14ac:dyDescent="0.3">
      <c r="L658" s="7" t="str">
        <f t="shared" ca="1" si="27"/>
        <v/>
      </c>
    </row>
    <row r="659" spans="12:12" x14ac:dyDescent="0.3">
      <c r="L659" s="7" t="str">
        <f t="shared" ca="1" si="27"/>
        <v/>
      </c>
    </row>
    <row r="660" spans="12:12" x14ac:dyDescent="0.3">
      <c r="L660" s="7" t="str">
        <f t="shared" ca="1" si="27"/>
        <v/>
      </c>
    </row>
    <row r="661" spans="12:12" x14ac:dyDescent="0.3">
      <c r="L661" s="7" t="str">
        <f t="shared" ca="1" si="27"/>
        <v/>
      </c>
    </row>
    <row r="662" spans="12:12" x14ac:dyDescent="0.3">
      <c r="L662" s="7" t="str">
        <f t="shared" ca="1" si="27"/>
        <v/>
      </c>
    </row>
    <row r="663" spans="12:12" x14ac:dyDescent="0.3">
      <c r="L663" s="7" t="str">
        <f t="shared" ca="1" si="27"/>
        <v/>
      </c>
    </row>
    <row r="664" spans="12:12" x14ac:dyDescent="0.3">
      <c r="L664" s="7" t="str">
        <f t="shared" ca="1" si="27"/>
        <v/>
      </c>
    </row>
    <row r="665" spans="12:12" x14ac:dyDescent="0.3">
      <c r="L665" s="7" t="str">
        <f t="shared" ca="1" si="27"/>
        <v/>
      </c>
    </row>
    <row r="666" spans="12:12" x14ac:dyDescent="0.3">
      <c r="L666" s="7" t="str">
        <f t="shared" ca="1" si="27"/>
        <v/>
      </c>
    </row>
    <row r="667" spans="12:12" x14ac:dyDescent="0.3">
      <c r="L667" s="7" t="str">
        <f t="shared" ca="1" si="27"/>
        <v/>
      </c>
    </row>
    <row r="668" spans="12:12" x14ac:dyDescent="0.3">
      <c r="L668" s="7" t="str">
        <f t="shared" ca="1" si="27"/>
        <v/>
      </c>
    </row>
    <row r="669" spans="12:12" x14ac:dyDescent="0.3">
      <c r="L669" s="7" t="str">
        <f t="shared" ca="1" si="27"/>
        <v/>
      </c>
    </row>
    <row r="670" spans="12:12" x14ac:dyDescent="0.3">
      <c r="L670" s="7" t="str">
        <f t="shared" ca="1" si="27"/>
        <v/>
      </c>
    </row>
    <row r="671" spans="12:12" x14ac:dyDescent="0.3">
      <c r="L671" s="7" t="str">
        <f t="shared" ca="1" si="27"/>
        <v/>
      </c>
    </row>
    <row r="672" spans="12:12" x14ac:dyDescent="0.3">
      <c r="L672" s="7" t="str">
        <f t="shared" ca="1" si="27"/>
        <v/>
      </c>
    </row>
    <row r="673" spans="12:12" x14ac:dyDescent="0.3">
      <c r="L673" s="7" t="str">
        <f t="shared" ca="1" si="27"/>
        <v/>
      </c>
    </row>
    <row r="674" spans="12:12" x14ac:dyDescent="0.3">
      <c r="L674" s="7" t="str">
        <f t="shared" ca="1" si="27"/>
        <v/>
      </c>
    </row>
    <row r="675" spans="12:12" x14ac:dyDescent="0.3">
      <c r="L675" s="7" t="str">
        <f t="shared" ca="1" si="27"/>
        <v/>
      </c>
    </row>
    <row r="676" spans="12:12" x14ac:dyDescent="0.3">
      <c r="L676" s="7" t="str">
        <f t="shared" ca="1" si="27"/>
        <v/>
      </c>
    </row>
    <row r="677" spans="12:12" x14ac:dyDescent="0.3">
      <c r="L677" s="7" t="str">
        <f t="shared" ca="1" si="27"/>
        <v/>
      </c>
    </row>
    <row r="678" spans="12:12" x14ac:dyDescent="0.3">
      <c r="L678" s="7" t="str">
        <f t="shared" ca="1" si="27"/>
        <v/>
      </c>
    </row>
    <row r="679" spans="12:12" x14ac:dyDescent="0.3">
      <c r="L679" s="7" t="str">
        <f t="shared" ca="1" si="27"/>
        <v/>
      </c>
    </row>
    <row r="680" spans="12:12" x14ac:dyDescent="0.3">
      <c r="L680" s="7" t="str">
        <f t="shared" ca="1" si="27"/>
        <v/>
      </c>
    </row>
    <row r="681" spans="12:12" x14ac:dyDescent="0.3">
      <c r="L681" s="7" t="str">
        <f t="shared" ca="1" si="27"/>
        <v/>
      </c>
    </row>
    <row r="682" spans="12:12" x14ac:dyDescent="0.3">
      <c r="L682" s="7" t="str">
        <f t="shared" ca="1" si="27"/>
        <v/>
      </c>
    </row>
    <row r="683" spans="12:12" x14ac:dyDescent="0.3">
      <c r="L683" s="7" t="str">
        <f t="shared" ca="1" si="27"/>
        <v/>
      </c>
    </row>
    <row r="684" spans="12:12" x14ac:dyDescent="0.3">
      <c r="L684" s="7" t="str">
        <f t="shared" ca="1" si="27"/>
        <v/>
      </c>
    </row>
    <row r="685" spans="12:12" x14ac:dyDescent="0.3">
      <c r="L685" s="7" t="str">
        <f t="shared" ca="1" si="27"/>
        <v/>
      </c>
    </row>
    <row r="686" spans="12:12" x14ac:dyDescent="0.3">
      <c r="L686" s="7" t="str">
        <f t="shared" ca="1" si="27"/>
        <v/>
      </c>
    </row>
    <row r="687" spans="12:12" x14ac:dyDescent="0.3">
      <c r="L687" s="7" t="str">
        <f t="shared" ca="1" si="27"/>
        <v/>
      </c>
    </row>
    <row r="688" spans="12:12" x14ac:dyDescent="0.3">
      <c r="L688" s="7" t="str">
        <f t="shared" ca="1" si="27"/>
        <v/>
      </c>
    </row>
    <row r="689" spans="12:12" x14ac:dyDescent="0.3">
      <c r="L689" s="7" t="str">
        <f t="shared" ca="1" si="27"/>
        <v/>
      </c>
    </row>
    <row r="690" spans="12:12" x14ac:dyDescent="0.3">
      <c r="L690" s="7" t="str">
        <f t="shared" ca="1" si="27"/>
        <v/>
      </c>
    </row>
    <row r="691" spans="12:12" x14ac:dyDescent="0.3">
      <c r="L691" s="7" t="str">
        <f t="shared" ca="1" si="27"/>
        <v/>
      </c>
    </row>
    <row r="692" spans="12:12" x14ac:dyDescent="0.3">
      <c r="L692" s="7" t="str">
        <f t="shared" ca="1" si="27"/>
        <v/>
      </c>
    </row>
    <row r="693" spans="12:12" x14ac:dyDescent="0.3">
      <c r="L693" s="7" t="str">
        <f t="shared" ca="1" si="27"/>
        <v/>
      </c>
    </row>
    <row r="694" spans="12:12" x14ac:dyDescent="0.3">
      <c r="L694" s="7" t="str">
        <f t="shared" ca="1" si="27"/>
        <v/>
      </c>
    </row>
    <row r="695" spans="12:12" x14ac:dyDescent="0.3">
      <c r="L695" s="7" t="str">
        <f t="shared" ca="1" si="27"/>
        <v/>
      </c>
    </row>
    <row r="696" spans="12:12" x14ac:dyDescent="0.3">
      <c r="L696" s="7" t="str">
        <f t="shared" ca="1" si="27"/>
        <v/>
      </c>
    </row>
    <row r="697" spans="12:12" x14ac:dyDescent="0.3">
      <c r="L697" s="7" t="str">
        <f t="shared" ca="1" si="27"/>
        <v/>
      </c>
    </row>
    <row r="698" spans="12:12" x14ac:dyDescent="0.3">
      <c r="L698" s="7" t="str">
        <f t="shared" ca="1" si="27"/>
        <v/>
      </c>
    </row>
    <row r="699" spans="12:12" x14ac:dyDescent="0.3">
      <c r="L699" s="7" t="str">
        <f t="shared" ca="1" si="27"/>
        <v/>
      </c>
    </row>
    <row r="700" spans="12:12" x14ac:dyDescent="0.3">
      <c r="L700" s="7" t="str">
        <f t="shared" ca="1" si="27"/>
        <v/>
      </c>
    </row>
    <row r="701" spans="12:12" x14ac:dyDescent="0.3">
      <c r="L701" s="7" t="str">
        <f t="shared" ca="1" si="27"/>
        <v/>
      </c>
    </row>
    <row r="702" spans="12:12" x14ac:dyDescent="0.3">
      <c r="L702" s="7" t="str">
        <f t="shared" ca="1" si="27"/>
        <v/>
      </c>
    </row>
    <row r="703" spans="12:12" x14ac:dyDescent="0.3">
      <c r="L703" s="7" t="str">
        <f t="shared" ca="1" si="27"/>
        <v/>
      </c>
    </row>
    <row r="704" spans="12:12" x14ac:dyDescent="0.3">
      <c r="L704" s="7" t="str">
        <f t="shared" ca="1" si="27"/>
        <v/>
      </c>
    </row>
    <row r="705" spans="12:12" x14ac:dyDescent="0.3">
      <c r="L705" s="7" t="str">
        <f t="shared" ca="1" si="27"/>
        <v/>
      </c>
    </row>
    <row r="706" spans="12:12" x14ac:dyDescent="0.3">
      <c r="L706" s="7" t="str">
        <f t="shared" ca="1" si="27"/>
        <v/>
      </c>
    </row>
    <row r="707" spans="12:12" x14ac:dyDescent="0.3">
      <c r="L707" s="7" t="str">
        <f t="shared" ca="1" si="27"/>
        <v/>
      </c>
    </row>
    <row r="708" spans="12:12" x14ac:dyDescent="0.3">
      <c r="L708" s="7" t="str">
        <f t="shared" ref="L708:L771" ca="1" si="28">IF(I708="Completed",0,IF(H708="","",H708-TODAY()))</f>
        <v/>
      </c>
    </row>
    <row r="709" spans="12:12" x14ac:dyDescent="0.3">
      <c r="L709" s="7" t="str">
        <f t="shared" ca="1" si="28"/>
        <v/>
      </c>
    </row>
    <row r="710" spans="12:12" x14ac:dyDescent="0.3">
      <c r="L710" s="7" t="str">
        <f t="shared" ca="1" si="28"/>
        <v/>
      </c>
    </row>
    <row r="711" spans="12:12" x14ac:dyDescent="0.3">
      <c r="L711" s="7" t="str">
        <f t="shared" ca="1" si="28"/>
        <v/>
      </c>
    </row>
    <row r="712" spans="12:12" x14ac:dyDescent="0.3">
      <c r="L712" s="7" t="str">
        <f t="shared" ca="1" si="28"/>
        <v/>
      </c>
    </row>
    <row r="713" spans="12:12" x14ac:dyDescent="0.3">
      <c r="L713" s="7" t="str">
        <f t="shared" ca="1" si="28"/>
        <v/>
      </c>
    </row>
    <row r="714" spans="12:12" x14ac:dyDescent="0.3">
      <c r="L714" s="7" t="str">
        <f t="shared" ca="1" si="28"/>
        <v/>
      </c>
    </row>
    <row r="715" spans="12:12" x14ac:dyDescent="0.3">
      <c r="L715" s="7" t="str">
        <f t="shared" ca="1" si="28"/>
        <v/>
      </c>
    </row>
    <row r="716" spans="12:12" x14ac:dyDescent="0.3">
      <c r="L716" s="7" t="str">
        <f t="shared" ca="1" si="28"/>
        <v/>
      </c>
    </row>
    <row r="717" spans="12:12" x14ac:dyDescent="0.3">
      <c r="L717" s="7" t="str">
        <f t="shared" ca="1" si="28"/>
        <v/>
      </c>
    </row>
    <row r="718" spans="12:12" x14ac:dyDescent="0.3">
      <c r="L718" s="7" t="str">
        <f t="shared" ca="1" si="28"/>
        <v/>
      </c>
    </row>
    <row r="719" spans="12:12" x14ac:dyDescent="0.3">
      <c r="L719" s="7" t="str">
        <f t="shared" ca="1" si="28"/>
        <v/>
      </c>
    </row>
    <row r="720" spans="12:12" x14ac:dyDescent="0.3">
      <c r="L720" s="7" t="str">
        <f t="shared" ca="1" si="28"/>
        <v/>
      </c>
    </row>
    <row r="721" spans="12:12" x14ac:dyDescent="0.3">
      <c r="L721" s="7" t="str">
        <f t="shared" ca="1" si="28"/>
        <v/>
      </c>
    </row>
    <row r="722" spans="12:12" x14ac:dyDescent="0.3">
      <c r="L722" s="7" t="str">
        <f t="shared" ca="1" si="28"/>
        <v/>
      </c>
    </row>
    <row r="723" spans="12:12" x14ac:dyDescent="0.3">
      <c r="L723" s="7" t="str">
        <f t="shared" ca="1" si="28"/>
        <v/>
      </c>
    </row>
    <row r="724" spans="12:12" x14ac:dyDescent="0.3">
      <c r="L724" s="7" t="str">
        <f t="shared" ca="1" si="28"/>
        <v/>
      </c>
    </row>
    <row r="725" spans="12:12" x14ac:dyDescent="0.3">
      <c r="L725" s="7" t="str">
        <f t="shared" ca="1" si="28"/>
        <v/>
      </c>
    </row>
    <row r="726" spans="12:12" x14ac:dyDescent="0.3">
      <c r="L726" s="7" t="str">
        <f t="shared" ca="1" si="28"/>
        <v/>
      </c>
    </row>
    <row r="727" spans="12:12" x14ac:dyDescent="0.3">
      <c r="L727" s="7" t="str">
        <f t="shared" ca="1" si="28"/>
        <v/>
      </c>
    </row>
    <row r="728" spans="12:12" x14ac:dyDescent="0.3">
      <c r="L728" s="7" t="str">
        <f t="shared" ca="1" si="28"/>
        <v/>
      </c>
    </row>
    <row r="729" spans="12:12" x14ac:dyDescent="0.3">
      <c r="L729" s="7" t="str">
        <f t="shared" ca="1" si="28"/>
        <v/>
      </c>
    </row>
    <row r="730" spans="12:12" x14ac:dyDescent="0.3">
      <c r="L730" s="7" t="str">
        <f t="shared" ca="1" si="28"/>
        <v/>
      </c>
    </row>
    <row r="731" spans="12:12" x14ac:dyDescent="0.3">
      <c r="L731" s="7" t="str">
        <f t="shared" ca="1" si="28"/>
        <v/>
      </c>
    </row>
    <row r="732" spans="12:12" x14ac:dyDescent="0.3">
      <c r="L732" s="7" t="str">
        <f t="shared" ca="1" si="28"/>
        <v/>
      </c>
    </row>
    <row r="733" spans="12:12" x14ac:dyDescent="0.3">
      <c r="L733" s="7" t="str">
        <f t="shared" ca="1" si="28"/>
        <v/>
      </c>
    </row>
    <row r="734" spans="12:12" x14ac:dyDescent="0.3">
      <c r="L734" s="7" t="str">
        <f t="shared" ca="1" si="28"/>
        <v/>
      </c>
    </row>
    <row r="735" spans="12:12" x14ac:dyDescent="0.3">
      <c r="L735" s="7" t="str">
        <f t="shared" ca="1" si="28"/>
        <v/>
      </c>
    </row>
    <row r="736" spans="12:12" x14ac:dyDescent="0.3">
      <c r="L736" s="7" t="str">
        <f t="shared" ca="1" si="28"/>
        <v/>
      </c>
    </row>
    <row r="737" spans="12:12" x14ac:dyDescent="0.3">
      <c r="L737" s="7" t="str">
        <f t="shared" ca="1" si="28"/>
        <v/>
      </c>
    </row>
    <row r="738" spans="12:12" x14ac:dyDescent="0.3">
      <c r="L738" s="7" t="str">
        <f t="shared" ca="1" si="28"/>
        <v/>
      </c>
    </row>
    <row r="739" spans="12:12" x14ac:dyDescent="0.3">
      <c r="L739" s="7" t="str">
        <f t="shared" ca="1" si="28"/>
        <v/>
      </c>
    </row>
    <row r="740" spans="12:12" x14ac:dyDescent="0.3">
      <c r="L740" s="7" t="str">
        <f t="shared" ca="1" si="28"/>
        <v/>
      </c>
    </row>
    <row r="741" spans="12:12" x14ac:dyDescent="0.3">
      <c r="L741" s="7" t="str">
        <f t="shared" ca="1" si="28"/>
        <v/>
      </c>
    </row>
    <row r="742" spans="12:12" x14ac:dyDescent="0.3">
      <c r="L742" s="7" t="str">
        <f t="shared" ca="1" si="28"/>
        <v/>
      </c>
    </row>
    <row r="743" spans="12:12" x14ac:dyDescent="0.3">
      <c r="L743" s="7" t="str">
        <f t="shared" ca="1" si="28"/>
        <v/>
      </c>
    </row>
    <row r="744" spans="12:12" x14ac:dyDescent="0.3">
      <c r="L744" s="7" t="str">
        <f t="shared" ca="1" si="28"/>
        <v/>
      </c>
    </row>
    <row r="745" spans="12:12" x14ac:dyDescent="0.3">
      <c r="L745" s="7" t="str">
        <f t="shared" ca="1" si="28"/>
        <v/>
      </c>
    </row>
    <row r="746" spans="12:12" x14ac:dyDescent="0.3">
      <c r="L746" s="7" t="str">
        <f t="shared" ca="1" si="28"/>
        <v/>
      </c>
    </row>
    <row r="747" spans="12:12" x14ac:dyDescent="0.3">
      <c r="L747" s="7" t="str">
        <f t="shared" ca="1" si="28"/>
        <v/>
      </c>
    </row>
    <row r="748" spans="12:12" x14ac:dyDescent="0.3">
      <c r="L748" s="7" t="str">
        <f t="shared" ca="1" si="28"/>
        <v/>
      </c>
    </row>
    <row r="749" spans="12:12" x14ac:dyDescent="0.3">
      <c r="L749" s="7" t="str">
        <f t="shared" ca="1" si="28"/>
        <v/>
      </c>
    </row>
    <row r="750" spans="12:12" x14ac:dyDescent="0.3">
      <c r="L750" s="7" t="str">
        <f t="shared" ca="1" si="28"/>
        <v/>
      </c>
    </row>
    <row r="751" spans="12:12" x14ac:dyDescent="0.3">
      <c r="L751" s="7" t="str">
        <f t="shared" ca="1" si="28"/>
        <v/>
      </c>
    </row>
    <row r="752" spans="12:12" x14ac:dyDescent="0.3">
      <c r="L752" s="7" t="str">
        <f t="shared" ca="1" si="28"/>
        <v/>
      </c>
    </row>
    <row r="753" spans="12:12" x14ac:dyDescent="0.3">
      <c r="L753" s="7" t="str">
        <f t="shared" ca="1" si="28"/>
        <v/>
      </c>
    </row>
    <row r="754" spans="12:12" x14ac:dyDescent="0.3">
      <c r="L754" s="7" t="str">
        <f t="shared" ca="1" si="28"/>
        <v/>
      </c>
    </row>
    <row r="755" spans="12:12" x14ac:dyDescent="0.3">
      <c r="L755" s="7" t="str">
        <f t="shared" ca="1" si="28"/>
        <v/>
      </c>
    </row>
    <row r="756" spans="12:12" x14ac:dyDescent="0.3">
      <c r="L756" s="7" t="str">
        <f t="shared" ca="1" si="28"/>
        <v/>
      </c>
    </row>
    <row r="757" spans="12:12" x14ac:dyDescent="0.3">
      <c r="L757" s="7" t="str">
        <f t="shared" ca="1" si="28"/>
        <v/>
      </c>
    </row>
    <row r="758" spans="12:12" x14ac:dyDescent="0.3">
      <c r="L758" s="7" t="str">
        <f t="shared" ca="1" si="28"/>
        <v/>
      </c>
    </row>
    <row r="759" spans="12:12" x14ac:dyDescent="0.3">
      <c r="L759" s="7" t="str">
        <f t="shared" ca="1" si="28"/>
        <v/>
      </c>
    </row>
    <row r="760" spans="12:12" x14ac:dyDescent="0.3">
      <c r="L760" s="7" t="str">
        <f t="shared" ca="1" si="28"/>
        <v/>
      </c>
    </row>
    <row r="761" spans="12:12" x14ac:dyDescent="0.3">
      <c r="L761" s="7" t="str">
        <f t="shared" ca="1" si="28"/>
        <v/>
      </c>
    </row>
    <row r="762" spans="12:12" x14ac:dyDescent="0.3">
      <c r="L762" s="7" t="str">
        <f t="shared" ca="1" si="28"/>
        <v/>
      </c>
    </row>
    <row r="763" spans="12:12" x14ac:dyDescent="0.3">
      <c r="L763" s="7" t="str">
        <f t="shared" ca="1" si="28"/>
        <v/>
      </c>
    </row>
    <row r="764" spans="12:12" x14ac:dyDescent="0.3">
      <c r="L764" s="7" t="str">
        <f t="shared" ca="1" si="28"/>
        <v/>
      </c>
    </row>
    <row r="765" spans="12:12" x14ac:dyDescent="0.3">
      <c r="L765" s="7" t="str">
        <f t="shared" ca="1" si="28"/>
        <v/>
      </c>
    </row>
    <row r="766" spans="12:12" x14ac:dyDescent="0.3">
      <c r="L766" s="7" t="str">
        <f t="shared" ca="1" si="28"/>
        <v/>
      </c>
    </row>
    <row r="767" spans="12:12" x14ac:dyDescent="0.3">
      <c r="L767" s="7" t="str">
        <f t="shared" ca="1" si="28"/>
        <v/>
      </c>
    </row>
    <row r="768" spans="12:12" x14ac:dyDescent="0.3">
      <c r="L768" s="7" t="str">
        <f t="shared" ca="1" si="28"/>
        <v/>
      </c>
    </row>
    <row r="769" spans="12:12" x14ac:dyDescent="0.3">
      <c r="L769" s="7" t="str">
        <f t="shared" ca="1" si="28"/>
        <v/>
      </c>
    </row>
    <row r="770" spans="12:12" x14ac:dyDescent="0.3">
      <c r="L770" s="7" t="str">
        <f t="shared" ca="1" si="28"/>
        <v/>
      </c>
    </row>
    <row r="771" spans="12:12" x14ac:dyDescent="0.3">
      <c r="L771" s="7" t="str">
        <f t="shared" ca="1" si="28"/>
        <v/>
      </c>
    </row>
    <row r="772" spans="12:12" x14ac:dyDescent="0.3">
      <c r="L772" s="7" t="str">
        <f t="shared" ref="L772:L835" ca="1" si="29">IF(I772="Completed",0,IF(H772="","",H772-TODAY()))</f>
        <v/>
      </c>
    </row>
    <row r="773" spans="12:12" x14ac:dyDescent="0.3">
      <c r="L773" s="7" t="str">
        <f t="shared" ca="1" si="29"/>
        <v/>
      </c>
    </row>
    <row r="774" spans="12:12" x14ac:dyDescent="0.3">
      <c r="L774" s="7" t="str">
        <f t="shared" ca="1" si="29"/>
        <v/>
      </c>
    </row>
    <row r="775" spans="12:12" x14ac:dyDescent="0.3">
      <c r="L775" s="7" t="str">
        <f t="shared" ca="1" si="29"/>
        <v/>
      </c>
    </row>
    <row r="776" spans="12:12" x14ac:dyDescent="0.3">
      <c r="L776" s="7" t="str">
        <f t="shared" ca="1" si="29"/>
        <v/>
      </c>
    </row>
    <row r="777" spans="12:12" x14ac:dyDescent="0.3">
      <c r="L777" s="7" t="str">
        <f t="shared" ca="1" si="29"/>
        <v/>
      </c>
    </row>
    <row r="778" spans="12:12" x14ac:dyDescent="0.3">
      <c r="L778" s="7" t="str">
        <f t="shared" ca="1" si="29"/>
        <v/>
      </c>
    </row>
    <row r="779" spans="12:12" x14ac:dyDescent="0.3">
      <c r="L779" s="7" t="str">
        <f t="shared" ca="1" si="29"/>
        <v/>
      </c>
    </row>
    <row r="780" spans="12:12" x14ac:dyDescent="0.3">
      <c r="L780" s="7" t="str">
        <f t="shared" ca="1" si="29"/>
        <v/>
      </c>
    </row>
    <row r="781" spans="12:12" x14ac:dyDescent="0.3">
      <c r="L781" s="7" t="str">
        <f t="shared" ca="1" si="29"/>
        <v/>
      </c>
    </row>
    <row r="782" spans="12:12" x14ac:dyDescent="0.3">
      <c r="L782" s="7" t="str">
        <f t="shared" ca="1" si="29"/>
        <v/>
      </c>
    </row>
    <row r="783" spans="12:12" x14ac:dyDescent="0.3">
      <c r="L783" s="7" t="str">
        <f t="shared" ca="1" si="29"/>
        <v/>
      </c>
    </row>
    <row r="784" spans="12:12" x14ac:dyDescent="0.3">
      <c r="L784" s="7" t="str">
        <f t="shared" ca="1" si="29"/>
        <v/>
      </c>
    </row>
    <row r="785" spans="12:12" x14ac:dyDescent="0.3">
      <c r="L785" s="7" t="str">
        <f t="shared" ca="1" si="29"/>
        <v/>
      </c>
    </row>
    <row r="786" spans="12:12" x14ac:dyDescent="0.3">
      <c r="L786" s="7" t="str">
        <f t="shared" ca="1" si="29"/>
        <v/>
      </c>
    </row>
    <row r="787" spans="12:12" x14ac:dyDescent="0.3">
      <c r="L787" s="7" t="str">
        <f t="shared" ca="1" si="29"/>
        <v/>
      </c>
    </row>
    <row r="788" spans="12:12" x14ac:dyDescent="0.3">
      <c r="L788" s="7" t="str">
        <f t="shared" ca="1" si="29"/>
        <v/>
      </c>
    </row>
    <row r="789" spans="12:12" x14ac:dyDescent="0.3">
      <c r="L789" s="7" t="str">
        <f t="shared" ca="1" si="29"/>
        <v/>
      </c>
    </row>
    <row r="790" spans="12:12" x14ac:dyDescent="0.3">
      <c r="L790" s="7" t="str">
        <f t="shared" ca="1" si="29"/>
        <v/>
      </c>
    </row>
    <row r="791" spans="12:12" x14ac:dyDescent="0.3">
      <c r="L791" s="7" t="str">
        <f t="shared" ca="1" si="29"/>
        <v/>
      </c>
    </row>
    <row r="792" spans="12:12" x14ac:dyDescent="0.3">
      <c r="L792" s="7" t="str">
        <f t="shared" ca="1" si="29"/>
        <v/>
      </c>
    </row>
    <row r="793" spans="12:12" x14ac:dyDescent="0.3">
      <c r="L793" s="7" t="str">
        <f t="shared" ca="1" si="29"/>
        <v/>
      </c>
    </row>
    <row r="794" spans="12:12" x14ac:dyDescent="0.3">
      <c r="L794" s="7" t="str">
        <f t="shared" ca="1" si="29"/>
        <v/>
      </c>
    </row>
    <row r="795" spans="12:12" x14ac:dyDescent="0.3">
      <c r="L795" s="7" t="str">
        <f t="shared" ca="1" si="29"/>
        <v/>
      </c>
    </row>
    <row r="796" spans="12:12" x14ac:dyDescent="0.3">
      <c r="L796" s="7" t="str">
        <f t="shared" ca="1" si="29"/>
        <v/>
      </c>
    </row>
    <row r="797" spans="12:12" x14ac:dyDescent="0.3">
      <c r="L797" s="7" t="str">
        <f t="shared" ca="1" si="29"/>
        <v/>
      </c>
    </row>
    <row r="798" spans="12:12" x14ac:dyDescent="0.3">
      <c r="L798" s="7" t="str">
        <f t="shared" ca="1" si="29"/>
        <v/>
      </c>
    </row>
    <row r="799" spans="12:12" x14ac:dyDescent="0.3">
      <c r="L799" s="7" t="str">
        <f t="shared" ca="1" si="29"/>
        <v/>
      </c>
    </row>
    <row r="800" spans="12:12" x14ac:dyDescent="0.3">
      <c r="L800" s="7" t="str">
        <f t="shared" ca="1" si="29"/>
        <v/>
      </c>
    </row>
    <row r="801" spans="12:12" x14ac:dyDescent="0.3">
      <c r="L801" s="7" t="str">
        <f t="shared" ca="1" si="29"/>
        <v/>
      </c>
    </row>
    <row r="802" spans="12:12" x14ac:dyDescent="0.3">
      <c r="L802" s="7" t="str">
        <f t="shared" ca="1" si="29"/>
        <v/>
      </c>
    </row>
    <row r="803" spans="12:12" x14ac:dyDescent="0.3">
      <c r="L803" s="7" t="str">
        <f t="shared" ca="1" si="29"/>
        <v/>
      </c>
    </row>
    <row r="804" spans="12:12" x14ac:dyDescent="0.3">
      <c r="L804" s="7" t="str">
        <f t="shared" ca="1" si="29"/>
        <v/>
      </c>
    </row>
    <row r="805" spans="12:12" x14ac:dyDescent="0.3">
      <c r="L805" s="7" t="str">
        <f t="shared" ca="1" si="29"/>
        <v/>
      </c>
    </row>
    <row r="806" spans="12:12" x14ac:dyDescent="0.3">
      <c r="L806" s="7" t="str">
        <f t="shared" ca="1" si="29"/>
        <v/>
      </c>
    </row>
    <row r="807" spans="12:12" x14ac:dyDescent="0.3">
      <c r="L807" s="7" t="str">
        <f t="shared" ca="1" si="29"/>
        <v/>
      </c>
    </row>
    <row r="808" spans="12:12" x14ac:dyDescent="0.3">
      <c r="L808" s="7" t="str">
        <f t="shared" ca="1" si="29"/>
        <v/>
      </c>
    </row>
    <row r="809" spans="12:12" x14ac:dyDescent="0.3">
      <c r="L809" s="7" t="str">
        <f t="shared" ca="1" si="29"/>
        <v/>
      </c>
    </row>
    <row r="810" spans="12:12" x14ac:dyDescent="0.3">
      <c r="L810" s="7" t="str">
        <f t="shared" ca="1" si="29"/>
        <v/>
      </c>
    </row>
    <row r="811" spans="12:12" x14ac:dyDescent="0.3">
      <c r="L811" s="7" t="str">
        <f t="shared" ca="1" si="29"/>
        <v/>
      </c>
    </row>
    <row r="812" spans="12:12" x14ac:dyDescent="0.3">
      <c r="L812" s="7" t="str">
        <f t="shared" ca="1" si="29"/>
        <v/>
      </c>
    </row>
    <row r="813" spans="12:12" x14ac:dyDescent="0.3">
      <c r="L813" s="7" t="str">
        <f t="shared" ca="1" si="29"/>
        <v/>
      </c>
    </row>
    <row r="814" spans="12:12" x14ac:dyDescent="0.3">
      <c r="L814" s="7" t="str">
        <f t="shared" ca="1" si="29"/>
        <v/>
      </c>
    </row>
    <row r="815" spans="12:12" x14ac:dyDescent="0.3">
      <c r="L815" s="7" t="str">
        <f t="shared" ca="1" si="29"/>
        <v/>
      </c>
    </row>
    <row r="816" spans="12:12" x14ac:dyDescent="0.3">
      <c r="L816" s="7" t="str">
        <f t="shared" ca="1" si="29"/>
        <v/>
      </c>
    </row>
    <row r="817" spans="12:12" x14ac:dyDescent="0.3">
      <c r="L817" s="7" t="str">
        <f t="shared" ca="1" si="29"/>
        <v/>
      </c>
    </row>
    <row r="818" spans="12:12" x14ac:dyDescent="0.3">
      <c r="L818" s="7" t="str">
        <f t="shared" ca="1" si="29"/>
        <v/>
      </c>
    </row>
    <row r="819" spans="12:12" x14ac:dyDescent="0.3">
      <c r="L819" s="7" t="str">
        <f t="shared" ca="1" si="29"/>
        <v/>
      </c>
    </row>
    <row r="820" spans="12:12" x14ac:dyDescent="0.3">
      <c r="L820" s="7" t="str">
        <f t="shared" ca="1" si="29"/>
        <v/>
      </c>
    </row>
    <row r="821" spans="12:12" x14ac:dyDescent="0.3">
      <c r="L821" s="7" t="str">
        <f t="shared" ca="1" si="29"/>
        <v/>
      </c>
    </row>
    <row r="822" spans="12:12" x14ac:dyDescent="0.3">
      <c r="L822" s="7" t="str">
        <f t="shared" ca="1" si="29"/>
        <v/>
      </c>
    </row>
    <row r="823" spans="12:12" x14ac:dyDescent="0.3">
      <c r="L823" s="7" t="str">
        <f t="shared" ca="1" si="29"/>
        <v/>
      </c>
    </row>
    <row r="824" spans="12:12" x14ac:dyDescent="0.3">
      <c r="L824" s="7" t="str">
        <f t="shared" ca="1" si="29"/>
        <v/>
      </c>
    </row>
    <row r="825" spans="12:12" x14ac:dyDescent="0.3">
      <c r="L825" s="7" t="str">
        <f t="shared" ca="1" si="29"/>
        <v/>
      </c>
    </row>
    <row r="826" spans="12:12" x14ac:dyDescent="0.3">
      <c r="L826" s="7" t="str">
        <f t="shared" ca="1" si="29"/>
        <v/>
      </c>
    </row>
    <row r="827" spans="12:12" x14ac:dyDescent="0.3">
      <c r="L827" s="7" t="str">
        <f t="shared" ca="1" si="29"/>
        <v/>
      </c>
    </row>
    <row r="828" spans="12:12" x14ac:dyDescent="0.3">
      <c r="L828" s="7" t="str">
        <f t="shared" ca="1" si="29"/>
        <v/>
      </c>
    </row>
    <row r="829" spans="12:12" x14ac:dyDescent="0.3">
      <c r="L829" s="7" t="str">
        <f t="shared" ca="1" si="29"/>
        <v/>
      </c>
    </row>
    <row r="830" spans="12:12" x14ac:dyDescent="0.3">
      <c r="L830" s="7" t="str">
        <f t="shared" ca="1" si="29"/>
        <v/>
      </c>
    </row>
    <row r="831" spans="12:12" x14ac:dyDescent="0.3">
      <c r="L831" s="7" t="str">
        <f t="shared" ca="1" si="29"/>
        <v/>
      </c>
    </row>
    <row r="832" spans="12:12" x14ac:dyDescent="0.3">
      <c r="L832" s="7" t="str">
        <f t="shared" ca="1" si="29"/>
        <v/>
      </c>
    </row>
    <row r="833" spans="12:12" x14ac:dyDescent="0.3">
      <c r="L833" s="7" t="str">
        <f t="shared" ca="1" si="29"/>
        <v/>
      </c>
    </row>
    <row r="834" spans="12:12" x14ac:dyDescent="0.3">
      <c r="L834" s="7" t="str">
        <f t="shared" ca="1" si="29"/>
        <v/>
      </c>
    </row>
    <row r="835" spans="12:12" x14ac:dyDescent="0.3">
      <c r="L835" s="7" t="str">
        <f t="shared" ca="1" si="29"/>
        <v/>
      </c>
    </row>
    <row r="836" spans="12:12" x14ac:dyDescent="0.3">
      <c r="L836" s="7" t="str">
        <f t="shared" ref="L836:L899" ca="1" si="30">IF(I836="Completed",0,IF(H836="","",H836-TODAY()))</f>
        <v/>
      </c>
    </row>
    <row r="837" spans="12:12" x14ac:dyDescent="0.3">
      <c r="L837" s="7" t="str">
        <f t="shared" ca="1" si="30"/>
        <v/>
      </c>
    </row>
    <row r="838" spans="12:12" x14ac:dyDescent="0.3">
      <c r="L838" s="7" t="str">
        <f t="shared" ca="1" si="30"/>
        <v/>
      </c>
    </row>
    <row r="839" spans="12:12" x14ac:dyDescent="0.3">
      <c r="L839" s="7" t="str">
        <f t="shared" ca="1" si="30"/>
        <v/>
      </c>
    </row>
    <row r="840" spans="12:12" x14ac:dyDescent="0.3">
      <c r="L840" s="7" t="str">
        <f t="shared" ca="1" si="30"/>
        <v/>
      </c>
    </row>
    <row r="841" spans="12:12" x14ac:dyDescent="0.3">
      <c r="L841" s="7" t="str">
        <f t="shared" ca="1" si="30"/>
        <v/>
      </c>
    </row>
    <row r="842" spans="12:12" x14ac:dyDescent="0.3">
      <c r="L842" s="7" t="str">
        <f t="shared" ca="1" si="30"/>
        <v/>
      </c>
    </row>
    <row r="843" spans="12:12" x14ac:dyDescent="0.3">
      <c r="L843" s="7" t="str">
        <f t="shared" ca="1" si="30"/>
        <v/>
      </c>
    </row>
    <row r="844" spans="12:12" x14ac:dyDescent="0.3">
      <c r="L844" s="7" t="str">
        <f t="shared" ca="1" si="30"/>
        <v/>
      </c>
    </row>
    <row r="845" spans="12:12" x14ac:dyDescent="0.3">
      <c r="L845" s="7" t="str">
        <f t="shared" ca="1" si="30"/>
        <v/>
      </c>
    </row>
    <row r="846" spans="12:12" x14ac:dyDescent="0.3">
      <c r="L846" s="7" t="str">
        <f t="shared" ca="1" si="30"/>
        <v/>
      </c>
    </row>
    <row r="847" spans="12:12" x14ac:dyDescent="0.3">
      <c r="L847" s="7" t="str">
        <f t="shared" ca="1" si="30"/>
        <v/>
      </c>
    </row>
    <row r="848" spans="12:12" x14ac:dyDescent="0.3">
      <c r="L848" s="7" t="str">
        <f t="shared" ca="1" si="30"/>
        <v/>
      </c>
    </row>
    <row r="849" spans="12:12" x14ac:dyDescent="0.3">
      <c r="L849" s="7" t="str">
        <f t="shared" ca="1" si="30"/>
        <v/>
      </c>
    </row>
    <row r="850" spans="12:12" x14ac:dyDescent="0.3">
      <c r="L850" s="7" t="str">
        <f t="shared" ca="1" si="30"/>
        <v/>
      </c>
    </row>
    <row r="851" spans="12:12" x14ac:dyDescent="0.3">
      <c r="L851" s="7" t="str">
        <f t="shared" ca="1" si="30"/>
        <v/>
      </c>
    </row>
    <row r="852" spans="12:12" x14ac:dyDescent="0.3">
      <c r="L852" s="7" t="str">
        <f t="shared" ca="1" si="30"/>
        <v/>
      </c>
    </row>
    <row r="853" spans="12:12" x14ac:dyDescent="0.3">
      <c r="L853" s="7" t="str">
        <f t="shared" ca="1" si="30"/>
        <v/>
      </c>
    </row>
    <row r="854" spans="12:12" x14ac:dyDescent="0.3">
      <c r="L854" s="7" t="str">
        <f t="shared" ca="1" si="30"/>
        <v/>
      </c>
    </row>
    <row r="855" spans="12:12" x14ac:dyDescent="0.3">
      <c r="L855" s="7" t="str">
        <f t="shared" ca="1" si="30"/>
        <v/>
      </c>
    </row>
    <row r="856" spans="12:12" x14ac:dyDescent="0.3">
      <c r="L856" s="7" t="str">
        <f t="shared" ca="1" si="30"/>
        <v/>
      </c>
    </row>
    <row r="857" spans="12:12" x14ac:dyDescent="0.3">
      <c r="L857" s="7" t="str">
        <f t="shared" ca="1" si="30"/>
        <v/>
      </c>
    </row>
    <row r="858" spans="12:12" x14ac:dyDescent="0.3">
      <c r="L858" s="7" t="str">
        <f t="shared" ca="1" si="30"/>
        <v/>
      </c>
    </row>
    <row r="859" spans="12:12" x14ac:dyDescent="0.3">
      <c r="L859" s="7" t="str">
        <f t="shared" ca="1" si="30"/>
        <v/>
      </c>
    </row>
    <row r="860" spans="12:12" x14ac:dyDescent="0.3">
      <c r="L860" s="7" t="str">
        <f t="shared" ca="1" si="30"/>
        <v/>
      </c>
    </row>
    <row r="861" spans="12:12" x14ac:dyDescent="0.3">
      <c r="L861" s="7" t="str">
        <f t="shared" ca="1" si="30"/>
        <v/>
      </c>
    </row>
    <row r="862" spans="12:12" x14ac:dyDescent="0.3">
      <c r="L862" s="7" t="str">
        <f t="shared" ca="1" si="30"/>
        <v/>
      </c>
    </row>
    <row r="863" spans="12:12" x14ac:dyDescent="0.3">
      <c r="L863" s="7" t="str">
        <f t="shared" ca="1" si="30"/>
        <v/>
      </c>
    </row>
    <row r="864" spans="12:12" x14ac:dyDescent="0.3">
      <c r="L864" s="7" t="str">
        <f t="shared" ca="1" si="30"/>
        <v/>
      </c>
    </row>
    <row r="865" spans="12:12" x14ac:dyDescent="0.3">
      <c r="L865" s="7" t="str">
        <f t="shared" ca="1" si="30"/>
        <v/>
      </c>
    </row>
    <row r="866" spans="12:12" x14ac:dyDescent="0.3">
      <c r="L866" s="7" t="str">
        <f t="shared" ca="1" si="30"/>
        <v/>
      </c>
    </row>
    <row r="867" spans="12:12" x14ac:dyDescent="0.3">
      <c r="L867" s="7" t="str">
        <f t="shared" ca="1" si="30"/>
        <v/>
      </c>
    </row>
    <row r="868" spans="12:12" x14ac:dyDescent="0.3">
      <c r="L868" s="7" t="str">
        <f t="shared" ca="1" si="30"/>
        <v/>
      </c>
    </row>
    <row r="869" spans="12:12" x14ac:dyDescent="0.3">
      <c r="L869" s="7" t="str">
        <f t="shared" ca="1" si="30"/>
        <v/>
      </c>
    </row>
    <row r="870" spans="12:12" x14ac:dyDescent="0.3">
      <c r="L870" s="7" t="str">
        <f t="shared" ca="1" si="30"/>
        <v/>
      </c>
    </row>
    <row r="871" spans="12:12" x14ac:dyDescent="0.3">
      <c r="L871" s="7" t="str">
        <f t="shared" ca="1" si="30"/>
        <v/>
      </c>
    </row>
    <row r="872" spans="12:12" x14ac:dyDescent="0.3">
      <c r="L872" s="7" t="str">
        <f t="shared" ca="1" si="30"/>
        <v/>
      </c>
    </row>
    <row r="873" spans="12:12" x14ac:dyDescent="0.3">
      <c r="L873" s="7" t="str">
        <f t="shared" ca="1" si="30"/>
        <v/>
      </c>
    </row>
    <row r="874" spans="12:12" x14ac:dyDescent="0.3">
      <c r="L874" s="7" t="str">
        <f t="shared" ca="1" si="30"/>
        <v/>
      </c>
    </row>
    <row r="875" spans="12:12" x14ac:dyDescent="0.3">
      <c r="L875" s="7" t="str">
        <f t="shared" ca="1" si="30"/>
        <v/>
      </c>
    </row>
    <row r="876" spans="12:12" x14ac:dyDescent="0.3">
      <c r="L876" s="7" t="str">
        <f t="shared" ca="1" si="30"/>
        <v/>
      </c>
    </row>
    <row r="877" spans="12:12" x14ac:dyDescent="0.3">
      <c r="L877" s="7" t="str">
        <f t="shared" ca="1" si="30"/>
        <v/>
      </c>
    </row>
    <row r="878" spans="12:12" x14ac:dyDescent="0.3">
      <c r="L878" s="7" t="str">
        <f t="shared" ca="1" si="30"/>
        <v/>
      </c>
    </row>
    <row r="879" spans="12:12" x14ac:dyDescent="0.3">
      <c r="L879" s="7" t="str">
        <f t="shared" ca="1" si="30"/>
        <v/>
      </c>
    </row>
    <row r="880" spans="12:12" x14ac:dyDescent="0.3">
      <c r="L880" s="7" t="str">
        <f t="shared" ca="1" si="30"/>
        <v/>
      </c>
    </row>
    <row r="881" spans="12:12" x14ac:dyDescent="0.3">
      <c r="L881" s="7" t="str">
        <f t="shared" ca="1" si="30"/>
        <v/>
      </c>
    </row>
    <row r="882" spans="12:12" x14ac:dyDescent="0.3">
      <c r="L882" s="7" t="str">
        <f t="shared" ca="1" si="30"/>
        <v/>
      </c>
    </row>
    <row r="883" spans="12:12" x14ac:dyDescent="0.3">
      <c r="L883" s="7" t="str">
        <f t="shared" ca="1" si="30"/>
        <v/>
      </c>
    </row>
    <row r="884" spans="12:12" x14ac:dyDescent="0.3">
      <c r="L884" s="7" t="str">
        <f t="shared" ca="1" si="30"/>
        <v/>
      </c>
    </row>
    <row r="885" spans="12:12" x14ac:dyDescent="0.3">
      <c r="L885" s="7" t="str">
        <f t="shared" ca="1" si="30"/>
        <v/>
      </c>
    </row>
    <row r="886" spans="12:12" x14ac:dyDescent="0.3">
      <c r="L886" s="7" t="str">
        <f t="shared" ca="1" si="30"/>
        <v/>
      </c>
    </row>
    <row r="887" spans="12:12" x14ac:dyDescent="0.3">
      <c r="L887" s="7" t="str">
        <f t="shared" ca="1" si="30"/>
        <v/>
      </c>
    </row>
    <row r="888" spans="12:12" x14ac:dyDescent="0.3">
      <c r="L888" s="7" t="str">
        <f t="shared" ca="1" si="30"/>
        <v/>
      </c>
    </row>
    <row r="889" spans="12:12" x14ac:dyDescent="0.3">
      <c r="L889" s="7" t="str">
        <f t="shared" ca="1" si="30"/>
        <v/>
      </c>
    </row>
    <row r="890" spans="12:12" x14ac:dyDescent="0.3">
      <c r="L890" s="7" t="str">
        <f t="shared" ca="1" si="30"/>
        <v/>
      </c>
    </row>
    <row r="891" spans="12:12" x14ac:dyDescent="0.3">
      <c r="L891" s="7" t="str">
        <f t="shared" ca="1" si="30"/>
        <v/>
      </c>
    </row>
    <row r="892" spans="12:12" x14ac:dyDescent="0.3">
      <c r="L892" s="7" t="str">
        <f t="shared" ca="1" si="30"/>
        <v/>
      </c>
    </row>
    <row r="893" spans="12:12" x14ac:dyDescent="0.3">
      <c r="L893" s="7" t="str">
        <f t="shared" ca="1" si="30"/>
        <v/>
      </c>
    </row>
    <row r="894" spans="12:12" x14ac:dyDescent="0.3">
      <c r="L894" s="7" t="str">
        <f t="shared" ca="1" si="30"/>
        <v/>
      </c>
    </row>
    <row r="895" spans="12:12" x14ac:dyDescent="0.3">
      <c r="L895" s="7" t="str">
        <f t="shared" ca="1" si="30"/>
        <v/>
      </c>
    </row>
    <row r="896" spans="12:12" x14ac:dyDescent="0.3">
      <c r="L896" s="7" t="str">
        <f t="shared" ca="1" si="30"/>
        <v/>
      </c>
    </row>
    <row r="897" spans="12:12" x14ac:dyDescent="0.3">
      <c r="L897" s="7" t="str">
        <f t="shared" ca="1" si="30"/>
        <v/>
      </c>
    </row>
    <row r="898" spans="12:12" x14ac:dyDescent="0.3">
      <c r="L898" s="7" t="str">
        <f t="shared" ca="1" si="30"/>
        <v/>
      </c>
    </row>
    <row r="899" spans="12:12" x14ac:dyDescent="0.3">
      <c r="L899" s="7" t="str">
        <f t="shared" ca="1" si="30"/>
        <v/>
      </c>
    </row>
    <row r="900" spans="12:12" x14ac:dyDescent="0.3">
      <c r="L900" s="7" t="str">
        <f t="shared" ref="L900:L963" ca="1" si="31">IF(I900="Completed",0,IF(H900="","",H900-TODAY()))</f>
        <v/>
      </c>
    </row>
    <row r="901" spans="12:12" x14ac:dyDescent="0.3">
      <c r="L901" s="7" t="str">
        <f t="shared" ca="1" si="31"/>
        <v/>
      </c>
    </row>
    <row r="902" spans="12:12" x14ac:dyDescent="0.3">
      <c r="L902" s="7" t="str">
        <f t="shared" ca="1" si="31"/>
        <v/>
      </c>
    </row>
    <row r="903" spans="12:12" x14ac:dyDescent="0.3">
      <c r="L903" s="7" t="str">
        <f t="shared" ca="1" si="31"/>
        <v/>
      </c>
    </row>
    <row r="904" spans="12:12" x14ac:dyDescent="0.3">
      <c r="L904" s="7" t="str">
        <f t="shared" ca="1" si="31"/>
        <v/>
      </c>
    </row>
    <row r="905" spans="12:12" x14ac:dyDescent="0.3">
      <c r="L905" s="7" t="str">
        <f t="shared" ca="1" si="31"/>
        <v/>
      </c>
    </row>
    <row r="906" spans="12:12" x14ac:dyDescent="0.3">
      <c r="L906" s="7" t="str">
        <f t="shared" ca="1" si="31"/>
        <v/>
      </c>
    </row>
    <row r="907" spans="12:12" x14ac:dyDescent="0.3">
      <c r="L907" s="7" t="str">
        <f t="shared" ca="1" si="31"/>
        <v/>
      </c>
    </row>
    <row r="908" spans="12:12" x14ac:dyDescent="0.3">
      <c r="L908" s="7" t="str">
        <f t="shared" ca="1" si="31"/>
        <v/>
      </c>
    </row>
    <row r="909" spans="12:12" x14ac:dyDescent="0.3">
      <c r="L909" s="7" t="str">
        <f t="shared" ca="1" si="31"/>
        <v/>
      </c>
    </row>
    <row r="910" spans="12:12" x14ac:dyDescent="0.3">
      <c r="L910" s="7" t="str">
        <f t="shared" ca="1" si="31"/>
        <v/>
      </c>
    </row>
    <row r="911" spans="12:12" x14ac:dyDescent="0.3">
      <c r="L911" s="7" t="str">
        <f t="shared" ca="1" si="31"/>
        <v/>
      </c>
    </row>
    <row r="912" spans="12:12" x14ac:dyDescent="0.3">
      <c r="L912" s="7" t="str">
        <f t="shared" ca="1" si="31"/>
        <v/>
      </c>
    </row>
    <row r="913" spans="12:12" x14ac:dyDescent="0.3">
      <c r="L913" s="7" t="str">
        <f t="shared" ca="1" si="31"/>
        <v/>
      </c>
    </row>
    <row r="914" spans="12:12" x14ac:dyDescent="0.3">
      <c r="L914" s="7" t="str">
        <f t="shared" ca="1" si="31"/>
        <v/>
      </c>
    </row>
    <row r="915" spans="12:12" x14ac:dyDescent="0.3">
      <c r="L915" s="7" t="str">
        <f t="shared" ca="1" si="31"/>
        <v/>
      </c>
    </row>
    <row r="916" spans="12:12" x14ac:dyDescent="0.3">
      <c r="L916" s="7" t="str">
        <f t="shared" ca="1" si="31"/>
        <v/>
      </c>
    </row>
    <row r="917" spans="12:12" x14ac:dyDescent="0.3">
      <c r="L917" s="7" t="str">
        <f t="shared" ca="1" si="31"/>
        <v/>
      </c>
    </row>
    <row r="918" spans="12:12" x14ac:dyDescent="0.3">
      <c r="L918" s="7" t="str">
        <f t="shared" ca="1" si="31"/>
        <v/>
      </c>
    </row>
    <row r="919" spans="12:12" x14ac:dyDescent="0.3">
      <c r="L919" s="7" t="str">
        <f t="shared" ca="1" si="31"/>
        <v/>
      </c>
    </row>
    <row r="920" spans="12:12" x14ac:dyDescent="0.3">
      <c r="L920" s="7" t="str">
        <f t="shared" ca="1" si="31"/>
        <v/>
      </c>
    </row>
    <row r="921" spans="12:12" x14ac:dyDescent="0.3">
      <c r="L921" s="7" t="str">
        <f t="shared" ca="1" si="31"/>
        <v/>
      </c>
    </row>
    <row r="922" spans="12:12" x14ac:dyDescent="0.3">
      <c r="L922" s="7" t="str">
        <f t="shared" ca="1" si="31"/>
        <v/>
      </c>
    </row>
    <row r="923" spans="12:12" x14ac:dyDescent="0.3">
      <c r="L923" s="7" t="str">
        <f t="shared" ca="1" si="31"/>
        <v/>
      </c>
    </row>
    <row r="924" spans="12:12" x14ac:dyDescent="0.3">
      <c r="L924" s="7" t="str">
        <f t="shared" ca="1" si="31"/>
        <v/>
      </c>
    </row>
    <row r="925" spans="12:12" x14ac:dyDescent="0.3">
      <c r="L925" s="7" t="str">
        <f t="shared" ca="1" si="31"/>
        <v/>
      </c>
    </row>
    <row r="926" spans="12:12" x14ac:dyDescent="0.3">
      <c r="L926" s="7" t="str">
        <f t="shared" ca="1" si="31"/>
        <v/>
      </c>
    </row>
    <row r="927" spans="12:12" x14ac:dyDescent="0.3">
      <c r="L927" s="7" t="str">
        <f t="shared" ca="1" si="31"/>
        <v/>
      </c>
    </row>
    <row r="928" spans="12:12" x14ac:dyDescent="0.3">
      <c r="L928" s="7" t="str">
        <f t="shared" ca="1" si="31"/>
        <v/>
      </c>
    </row>
    <row r="929" spans="12:12" x14ac:dyDescent="0.3">
      <c r="L929" s="7" t="str">
        <f t="shared" ca="1" si="31"/>
        <v/>
      </c>
    </row>
    <row r="930" spans="12:12" x14ac:dyDescent="0.3">
      <c r="L930" s="7" t="str">
        <f t="shared" ca="1" si="31"/>
        <v/>
      </c>
    </row>
    <row r="931" spans="12:12" x14ac:dyDescent="0.3">
      <c r="L931" s="7" t="str">
        <f t="shared" ca="1" si="31"/>
        <v/>
      </c>
    </row>
    <row r="932" spans="12:12" x14ac:dyDescent="0.3">
      <c r="L932" s="7" t="str">
        <f t="shared" ca="1" si="31"/>
        <v/>
      </c>
    </row>
    <row r="933" spans="12:12" x14ac:dyDescent="0.3">
      <c r="L933" s="7" t="str">
        <f t="shared" ca="1" si="31"/>
        <v/>
      </c>
    </row>
    <row r="934" spans="12:12" x14ac:dyDescent="0.3">
      <c r="L934" s="7" t="str">
        <f t="shared" ca="1" si="31"/>
        <v/>
      </c>
    </row>
    <row r="935" spans="12:12" x14ac:dyDescent="0.3">
      <c r="L935" s="7" t="str">
        <f t="shared" ca="1" si="31"/>
        <v/>
      </c>
    </row>
    <row r="936" spans="12:12" x14ac:dyDescent="0.3">
      <c r="L936" s="7" t="str">
        <f t="shared" ca="1" si="31"/>
        <v/>
      </c>
    </row>
    <row r="937" spans="12:12" x14ac:dyDescent="0.3">
      <c r="L937" s="7" t="str">
        <f t="shared" ca="1" si="31"/>
        <v/>
      </c>
    </row>
    <row r="938" spans="12:12" x14ac:dyDescent="0.3">
      <c r="L938" s="7" t="str">
        <f t="shared" ca="1" si="31"/>
        <v/>
      </c>
    </row>
    <row r="939" spans="12:12" x14ac:dyDescent="0.3">
      <c r="L939" s="7" t="str">
        <f t="shared" ca="1" si="31"/>
        <v/>
      </c>
    </row>
    <row r="940" spans="12:12" x14ac:dyDescent="0.3">
      <c r="L940" s="7" t="str">
        <f t="shared" ca="1" si="31"/>
        <v/>
      </c>
    </row>
    <row r="941" spans="12:12" x14ac:dyDescent="0.3">
      <c r="L941" s="7" t="str">
        <f t="shared" ca="1" si="31"/>
        <v/>
      </c>
    </row>
    <row r="942" spans="12:12" x14ac:dyDescent="0.3">
      <c r="L942" s="7" t="str">
        <f t="shared" ca="1" si="31"/>
        <v/>
      </c>
    </row>
    <row r="943" spans="12:12" x14ac:dyDescent="0.3">
      <c r="L943" s="7" t="str">
        <f t="shared" ca="1" si="31"/>
        <v/>
      </c>
    </row>
    <row r="944" spans="12:12" x14ac:dyDescent="0.3">
      <c r="L944" s="7" t="str">
        <f t="shared" ca="1" si="31"/>
        <v/>
      </c>
    </row>
    <row r="945" spans="12:12" x14ac:dyDescent="0.3">
      <c r="L945" s="7" t="str">
        <f t="shared" ca="1" si="31"/>
        <v/>
      </c>
    </row>
    <row r="946" spans="12:12" x14ac:dyDescent="0.3">
      <c r="L946" s="7" t="str">
        <f t="shared" ca="1" si="31"/>
        <v/>
      </c>
    </row>
    <row r="947" spans="12:12" x14ac:dyDescent="0.3">
      <c r="L947" s="7" t="str">
        <f t="shared" ca="1" si="31"/>
        <v/>
      </c>
    </row>
    <row r="948" spans="12:12" x14ac:dyDescent="0.3">
      <c r="L948" s="7" t="str">
        <f t="shared" ca="1" si="31"/>
        <v/>
      </c>
    </row>
    <row r="949" spans="12:12" x14ac:dyDescent="0.3">
      <c r="L949" s="7" t="str">
        <f t="shared" ca="1" si="31"/>
        <v/>
      </c>
    </row>
    <row r="950" spans="12:12" x14ac:dyDescent="0.3">
      <c r="L950" s="7" t="str">
        <f t="shared" ca="1" si="31"/>
        <v/>
      </c>
    </row>
    <row r="951" spans="12:12" x14ac:dyDescent="0.3">
      <c r="L951" s="7" t="str">
        <f t="shared" ca="1" si="31"/>
        <v/>
      </c>
    </row>
    <row r="952" spans="12:12" x14ac:dyDescent="0.3">
      <c r="L952" s="7" t="str">
        <f t="shared" ca="1" si="31"/>
        <v/>
      </c>
    </row>
    <row r="953" spans="12:12" x14ac:dyDescent="0.3">
      <c r="L953" s="7" t="str">
        <f t="shared" ca="1" si="31"/>
        <v/>
      </c>
    </row>
    <row r="954" spans="12:12" x14ac:dyDescent="0.3">
      <c r="L954" s="7" t="str">
        <f t="shared" ca="1" si="31"/>
        <v/>
      </c>
    </row>
    <row r="955" spans="12:12" x14ac:dyDescent="0.3">
      <c r="L955" s="7" t="str">
        <f t="shared" ca="1" si="31"/>
        <v/>
      </c>
    </row>
    <row r="956" spans="12:12" x14ac:dyDescent="0.3">
      <c r="L956" s="7" t="str">
        <f t="shared" ca="1" si="31"/>
        <v/>
      </c>
    </row>
    <row r="957" spans="12:12" x14ac:dyDescent="0.3">
      <c r="L957" s="7" t="str">
        <f t="shared" ca="1" si="31"/>
        <v/>
      </c>
    </row>
    <row r="958" spans="12:12" x14ac:dyDescent="0.3">
      <c r="L958" s="7" t="str">
        <f t="shared" ca="1" si="31"/>
        <v/>
      </c>
    </row>
    <row r="959" spans="12:12" x14ac:dyDescent="0.3">
      <c r="L959" s="7" t="str">
        <f t="shared" ca="1" si="31"/>
        <v/>
      </c>
    </row>
    <row r="960" spans="12:12" x14ac:dyDescent="0.3">
      <c r="L960" s="7" t="str">
        <f t="shared" ca="1" si="31"/>
        <v/>
      </c>
    </row>
    <row r="961" spans="12:12" x14ac:dyDescent="0.3">
      <c r="L961" s="7" t="str">
        <f t="shared" ca="1" si="31"/>
        <v/>
      </c>
    </row>
    <row r="962" spans="12:12" x14ac:dyDescent="0.3">
      <c r="L962" s="7" t="str">
        <f t="shared" ca="1" si="31"/>
        <v/>
      </c>
    </row>
    <row r="963" spans="12:12" x14ac:dyDescent="0.3">
      <c r="L963" s="7" t="str">
        <f t="shared" ca="1" si="31"/>
        <v/>
      </c>
    </row>
    <row r="964" spans="12:12" x14ac:dyDescent="0.3">
      <c r="L964" s="7" t="str">
        <f t="shared" ref="L964:L1027" ca="1" si="32">IF(I964="Completed",0,IF(H964="","",H964-TODAY()))</f>
        <v/>
      </c>
    </row>
    <row r="965" spans="12:12" x14ac:dyDescent="0.3">
      <c r="L965" s="7" t="str">
        <f t="shared" ca="1" si="32"/>
        <v/>
      </c>
    </row>
    <row r="966" spans="12:12" x14ac:dyDescent="0.3">
      <c r="L966" s="7" t="str">
        <f t="shared" ca="1" si="32"/>
        <v/>
      </c>
    </row>
    <row r="967" spans="12:12" x14ac:dyDescent="0.3">
      <c r="L967" s="7" t="str">
        <f t="shared" ca="1" si="32"/>
        <v/>
      </c>
    </row>
    <row r="968" spans="12:12" x14ac:dyDescent="0.3">
      <c r="L968" s="7" t="str">
        <f t="shared" ca="1" si="32"/>
        <v/>
      </c>
    </row>
    <row r="969" spans="12:12" x14ac:dyDescent="0.3">
      <c r="L969" s="7" t="str">
        <f t="shared" ca="1" si="32"/>
        <v/>
      </c>
    </row>
    <row r="970" spans="12:12" x14ac:dyDescent="0.3">
      <c r="L970" s="7" t="str">
        <f t="shared" ca="1" si="32"/>
        <v/>
      </c>
    </row>
    <row r="971" spans="12:12" x14ac:dyDescent="0.3">
      <c r="L971" s="7" t="str">
        <f t="shared" ca="1" si="32"/>
        <v/>
      </c>
    </row>
    <row r="972" spans="12:12" x14ac:dyDescent="0.3">
      <c r="L972" s="7" t="str">
        <f t="shared" ca="1" si="32"/>
        <v/>
      </c>
    </row>
    <row r="973" spans="12:12" x14ac:dyDescent="0.3">
      <c r="L973" s="7" t="str">
        <f t="shared" ca="1" si="32"/>
        <v/>
      </c>
    </row>
    <row r="974" spans="12:12" x14ac:dyDescent="0.3">
      <c r="L974" s="7" t="str">
        <f t="shared" ca="1" si="32"/>
        <v/>
      </c>
    </row>
    <row r="975" spans="12:12" x14ac:dyDescent="0.3">
      <c r="L975" s="7" t="str">
        <f t="shared" ca="1" si="32"/>
        <v/>
      </c>
    </row>
    <row r="976" spans="12:12" x14ac:dyDescent="0.3">
      <c r="L976" s="7" t="str">
        <f t="shared" ca="1" si="32"/>
        <v/>
      </c>
    </row>
    <row r="977" spans="12:12" x14ac:dyDescent="0.3">
      <c r="L977" s="7" t="str">
        <f t="shared" ca="1" si="32"/>
        <v/>
      </c>
    </row>
    <row r="978" spans="12:12" x14ac:dyDescent="0.3">
      <c r="L978" s="7" t="str">
        <f t="shared" ca="1" si="32"/>
        <v/>
      </c>
    </row>
    <row r="979" spans="12:12" x14ac:dyDescent="0.3">
      <c r="L979" s="7" t="str">
        <f t="shared" ca="1" si="32"/>
        <v/>
      </c>
    </row>
    <row r="980" spans="12:12" x14ac:dyDescent="0.3">
      <c r="L980" s="7" t="str">
        <f t="shared" ca="1" si="32"/>
        <v/>
      </c>
    </row>
    <row r="981" spans="12:12" x14ac:dyDescent="0.3">
      <c r="L981" s="7" t="str">
        <f t="shared" ca="1" si="32"/>
        <v/>
      </c>
    </row>
    <row r="982" spans="12:12" x14ac:dyDescent="0.3">
      <c r="L982" s="7" t="str">
        <f t="shared" ca="1" si="32"/>
        <v/>
      </c>
    </row>
    <row r="983" spans="12:12" x14ac:dyDescent="0.3">
      <c r="L983" s="7" t="str">
        <f t="shared" ca="1" si="32"/>
        <v/>
      </c>
    </row>
    <row r="984" spans="12:12" x14ac:dyDescent="0.3">
      <c r="L984" s="7" t="str">
        <f t="shared" ca="1" si="32"/>
        <v/>
      </c>
    </row>
    <row r="985" spans="12:12" x14ac:dyDescent="0.3">
      <c r="L985" s="7" t="str">
        <f t="shared" ca="1" si="32"/>
        <v/>
      </c>
    </row>
    <row r="986" spans="12:12" x14ac:dyDescent="0.3">
      <c r="L986" s="7" t="str">
        <f t="shared" ca="1" si="32"/>
        <v/>
      </c>
    </row>
    <row r="987" spans="12:12" x14ac:dyDescent="0.3">
      <c r="L987" s="7" t="str">
        <f t="shared" ca="1" si="32"/>
        <v/>
      </c>
    </row>
    <row r="988" spans="12:12" x14ac:dyDescent="0.3">
      <c r="L988" s="7" t="str">
        <f t="shared" ca="1" si="32"/>
        <v/>
      </c>
    </row>
    <row r="989" spans="12:12" x14ac:dyDescent="0.3">
      <c r="L989" s="7" t="str">
        <f t="shared" ca="1" si="32"/>
        <v/>
      </c>
    </row>
    <row r="990" spans="12:12" x14ac:dyDescent="0.3">
      <c r="L990" s="7" t="str">
        <f t="shared" ca="1" si="32"/>
        <v/>
      </c>
    </row>
    <row r="991" spans="12:12" x14ac:dyDescent="0.3">
      <c r="L991" s="7" t="str">
        <f t="shared" ca="1" si="32"/>
        <v/>
      </c>
    </row>
    <row r="992" spans="12:12" x14ac:dyDescent="0.3">
      <c r="L992" s="7" t="str">
        <f t="shared" ca="1" si="32"/>
        <v/>
      </c>
    </row>
    <row r="993" spans="12:12" x14ac:dyDescent="0.3">
      <c r="L993" s="7" t="str">
        <f t="shared" ca="1" si="32"/>
        <v/>
      </c>
    </row>
    <row r="994" spans="12:12" x14ac:dyDescent="0.3">
      <c r="L994" s="7" t="str">
        <f t="shared" ca="1" si="32"/>
        <v/>
      </c>
    </row>
    <row r="995" spans="12:12" x14ac:dyDescent="0.3">
      <c r="L995" s="7" t="str">
        <f t="shared" ca="1" si="32"/>
        <v/>
      </c>
    </row>
    <row r="996" spans="12:12" x14ac:dyDescent="0.3">
      <c r="L996" s="7" t="str">
        <f t="shared" ca="1" si="32"/>
        <v/>
      </c>
    </row>
    <row r="997" spans="12:12" x14ac:dyDescent="0.3">
      <c r="L997" s="7" t="str">
        <f t="shared" ca="1" si="32"/>
        <v/>
      </c>
    </row>
    <row r="998" spans="12:12" x14ac:dyDescent="0.3">
      <c r="L998" s="7" t="str">
        <f t="shared" ca="1" si="32"/>
        <v/>
      </c>
    </row>
    <row r="999" spans="12:12" x14ac:dyDescent="0.3">
      <c r="L999" s="7" t="str">
        <f t="shared" ca="1" si="32"/>
        <v/>
      </c>
    </row>
    <row r="1000" spans="12:12" x14ac:dyDescent="0.3">
      <c r="L1000" s="7" t="str">
        <f t="shared" ca="1" si="32"/>
        <v/>
      </c>
    </row>
    <row r="1001" spans="12:12" x14ac:dyDescent="0.3">
      <c r="L1001" s="7" t="str">
        <f t="shared" ca="1" si="32"/>
        <v/>
      </c>
    </row>
    <row r="1002" spans="12:12" x14ac:dyDescent="0.3">
      <c r="L1002" s="7" t="str">
        <f t="shared" ca="1" si="32"/>
        <v/>
      </c>
    </row>
    <row r="1003" spans="12:12" x14ac:dyDescent="0.3">
      <c r="L1003" s="7" t="str">
        <f t="shared" ca="1" si="32"/>
        <v/>
      </c>
    </row>
    <row r="1004" spans="12:12" x14ac:dyDescent="0.3">
      <c r="L1004" s="7" t="str">
        <f t="shared" ca="1" si="32"/>
        <v/>
      </c>
    </row>
    <row r="1005" spans="12:12" x14ac:dyDescent="0.3">
      <c r="L1005" s="7" t="str">
        <f t="shared" ca="1" si="32"/>
        <v/>
      </c>
    </row>
    <row r="1006" spans="12:12" x14ac:dyDescent="0.3">
      <c r="L1006" s="7" t="str">
        <f t="shared" ca="1" si="32"/>
        <v/>
      </c>
    </row>
    <row r="1007" spans="12:12" x14ac:dyDescent="0.3">
      <c r="L1007" s="7" t="str">
        <f t="shared" ca="1" si="32"/>
        <v/>
      </c>
    </row>
    <row r="1008" spans="12:12" x14ac:dyDescent="0.3">
      <c r="L1008" s="7" t="str">
        <f t="shared" ca="1" si="32"/>
        <v/>
      </c>
    </row>
    <row r="1009" spans="12:12" x14ac:dyDescent="0.3">
      <c r="L1009" s="7" t="str">
        <f t="shared" ca="1" si="32"/>
        <v/>
      </c>
    </row>
    <row r="1010" spans="12:12" x14ac:dyDescent="0.3">
      <c r="L1010" s="7" t="str">
        <f t="shared" ca="1" si="32"/>
        <v/>
      </c>
    </row>
    <row r="1011" spans="12:12" x14ac:dyDescent="0.3">
      <c r="L1011" s="7" t="str">
        <f t="shared" ca="1" si="32"/>
        <v/>
      </c>
    </row>
    <row r="1012" spans="12:12" x14ac:dyDescent="0.3">
      <c r="L1012" s="7" t="str">
        <f t="shared" ca="1" si="32"/>
        <v/>
      </c>
    </row>
    <row r="1013" spans="12:12" x14ac:dyDescent="0.3">
      <c r="L1013" s="7" t="str">
        <f t="shared" ca="1" si="32"/>
        <v/>
      </c>
    </row>
    <row r="1014" spans="12:12" x14ac:dyDescent="0.3">
      <c r="L1014" s="7" t="str">
        <f t="shared" ca="1" si="32"/>
        <v/>
      </c>
    </row>
    <row r="1015" spans="12:12" x14ac:dyDescent="0.3">
      <c r="L1015" s="7" t="str">
        <f t="shared" ca="1" si="32"/>
        <v/>
      </c>
    </row>
    <row r="1016" spans="12:12" x14ac:dyDescent="0.3">
      <c r="L1016" s="7" t="str">
        <f t="shared" ca="1" si="32"/>
        <v/>
      </c>
    </row>
    <row r="1017" spans="12:12" x14ac:dyDescent="0.3">
      <c r="L1017" s="7" t="str">
        <f t="shared" ca="1" si="32"/>
        <v/>
      </c>
    </row>
    <row r="1018" spans="12:12" x14ac:dyDescent="0.3">
      <c r="L1018" s="7" t="str">
        <f t="shared" ca="1" si="32"/>
        <v/>
      </c>
    </row>
    <row r="1019" spans="12:12" x14ac:dyDescent="0.3">
      <c r="L1019" s="7" t="str">
        <f t="shared" ca="1" si="32"/>
        <v/>
      </c>
    </row>
    <row r="1020" spans="12:12" x14ac:dyDescent="0.3">
      <c r="L1020" s="7" t="str">
        <f t="shared" ca="1" si="32"/>
        <v/>
      </c>
    </row>
    <row r="1021" spans="12:12" x14ac:dyDescent="0.3">
      <c r="L1021" s="7" t="str">
        <f t="shared" ca="1" si="32"/>
        <v/>
      </c>
    </row>
    <row r="1022" spans="12:12" x14ac:dyDescent="0.3">
      <c r="L1022" s="7" t="str">
        <f t="shared" ca="1" si="32"/>
        <v/>
      </c>
    </row>
    <row r="1023" spans="12:12" x14ac:dyDescent="0.3">
      <c r="L1023" s="7" t="str">
        <f t="shared" ca="1" si="32"/>
        <v/>
      </c>
    </row>
    <row r="1024" spans="12:12" x14ac:dyDescent="0.3">
      <c r="L1024" s="7" t="str">
        <f t="shared" ca="1" si="32"/>
        <v/>
      </c>
    </row>
    <row r="1025" spans="12:12" x14ac:dyDescent="0.3">
      <c r="L1025" s="7" t="str">
        <f t="shared" ca="1" si="32"/>
        <v/>
      </c>
    </row>
    <row r="1026" spans="12:12" x14ac:dyDescent="0.3">
      <c r="L1026" s="7" t="str">
        <f t="shared" ca="1" si="32"/>
        <v/>
      </c>
    </row>
    <row r="1027" spans="12:12" x14ac:dyDescent="0.3">
      <c r="L1027" s="7" t="str">
        <f t="shared" ca="1" si="32"/>
        <v/>
      </c>
    </row>
    <row r="1028" spans="12:12" x14ac:dyDescent="0.3">
      <c r="L1028" s="7" t="str">
        <f t="shared" ref="L1028:L1091" ca="1" si="33">IF(I1028="Completed",0,IF(H1028="","",H1028-TODAY()))</f>
        <v/>
      </c>
    </row>
    <row r="1029" spans="12:12" x14ac:dyDescent="0.3">
      <c r="L1029" s="7" t="str">
        <f t="shared" ca="1" si="33"/>
        <v/>
      </c>
    </row>
    <row r="1030" spans="12:12" x14ac:dyDescent="0.3">
      <c r="L1030" s="7" t="str">
        <f t="shared" ca="1" si="33"/>
        <v/>
      </c>
    </row>
    <row r="1031" spans="12:12" x14ac:dyDescent="0.3">
      <c r="L1031" s="7" t="str">
        <f t="shared" ca="1" si="33"/>
        <v/>
      </c>
    </row>
    <row r="1032" spans="12:12" x14ac:dyDescent="0.3">
      <c r="L1032" s="7" t="str">
        <f t="shared" ca="1" si="33"/>
        <v/>
      </c>
    </row>
    <row r="1033" spans="12:12" x14ac:dyDescent="0.3">
      <c r="L1033" s="7" t="str">
        <f t="shared" ca="1" si="33"/>
        <v/>
      </c>
    </row>
    <row r="1034" spans="12:12" x14ac:dyDescent="0.3">
      <c r="L1034" s="7" t="str">
        <f t="shared" ca="1" si="33"/>
        <v/>
      </c>
    </row>
    <row r="1035" spans="12:12" x14ac:dyDescent="0.3">
      <c r="L1035" s="7" t="str">
        <f t="shared" ca="1" si="33"/>
        <v/>
      </c>
    </row>
    <row r="1036" spans="12:12" x14ac:dyDescent="0.3">
      <c r="L1036" s="7" t="str">
        <f t="shared" ca="1" si="33"/>
        <v/>
      </c>
    </row>
    <row r="1037" spans="12:12" x14ac:dyDescent="0.3">
      <c r="L1037" s="7" t="str">
        <f t="shared" ca="1" si="33"/>
        <v/>
      </c>
    </row>
    <row r="1038" spans="12:12" x14ac:dyDescent="0.3">
      <c r="L1038" s="7" t="str">
        <f t="shared" ca="1" si="33"/>
        <v/>
      </c>
    </row>
    <row r="1039" spans="12:12" x14ac:dyDescent="0.3">
      <c r="L1039" s="7" t="str">
        <f t="shared" ca="1" si="33"/>
        <v/>
      </c>
    </row>
    <row r="1040" spans="12:12" x14ac:dyDescent="0.3">
      <c r="L1040" s="7" t="str">
        <f t="shared" ca="1" si="33"/>
        <v/>
      </c>
    </row>
    <row r="1041" spans="12:12" x14ac:dyDescent="0.3">
      <c r="L1041" s="7" t="str">
        <f t="shared" ca="1" si="33"/>
        <v/>
      </c>
    </row>
    <row r="1042" spans="12:12" x14ac:dyDescent="0.3">
      <c r="L1042" s="7" t="str">
        <f t="shared" ca="1" si="33"/>
        <v/>
      </c>
    </row>
    <row r="1043" spans="12:12" x14ac:dyDescent="0.3">
      <c r="L1043" s="7" t="str">
        <f t="shared" ca="1" si="33"/>
        <v/>
      </c>
    </row>
    <row r="1044" spans="12:12" x14ac:dyDescent="0.3">
      <c r="L1044" s="7" t="str">
        <f t="shared" ca="1" si="33"/>
        <v/>
      </c>
    </row>
    <row r="1045" spans="12:12" x14ac:dyDescent="0.3">
      <c r="L1045" s="7" t="str">
        <f t="shared" ca="1" si="33"/>
        <v/>
      </c>
    </row>
    <row r="1046" spans="12:12" x14ac:dyDescent="0.3">
      <c r="L1046" s="7" t="str">
        <f t="shared" ca="1" si="33"/>
        <v/>
      </c>
    </row>
    <row r="1047" spans="12:12" x14ac:dyDescent="0.3">
      <c r="L1047" s="7" t="str">
        <f t="shared" ca="1" si="33"/>
        <v/>
      </c>
    </row>
    <row r="1048" spans="12:12" x14ac:dyDescent="0.3">
      <c r="L1048" s="7" t="str">
        <f t="shared" ca="1" si="33"/>
        <v/>
      </c>
    </row>
    <row r="1049" spans="12:12" x14ac:dyDescent="0.3">
      <c r="L1049" s="7" t="str">
        <f t="shared" ca="1" si="33"/>
        <v/>
      </c>
    </row>
    <row r="1050" spans="12:12" x14ac:dyDescent="0.3">
      <c r="L1050" s="7" t="str">
        <f t="shared" ca="1" si="33"/>
        <v/>
      </c>
    </row>
    <row r="1051" spans="12:12" x14ac:dyDescent="0.3">
      <c r="L1051" s="7" t="str">
        <f t="shared" ca="1" si="33"/>
        <v/>
      </c>
    </row>
    <row r="1052" spans="12:12" x14ac:dyDescent="0.3">
      <c r="L1052" s="7" t="str">
        <f t="shared" ca="1" si="33"/>
        <v/>
      </c>
    </row>
    <row r="1053" spans="12:12" x14ac:dyDescent="0.3">
      <c r="L1053" s="7" t="str">
        <f t="shared" ca="1" si="33"/>
        <v/>
      </c>
    </row>
    <row r="1054" spans="12:12" x14ac:dyDescent="0.3">
      <c r="L1054" s="7" t="str">
        <f t="shared" ca="1" si="33"/>
        <v/>
      </c>
    </row>
    <row r="1055" spans="12:12" x14ac:dyDescent="0.3">
      <c r="L1055" s="7" t="str">
        <f t="shared" ca="1" si="33"/>
        <v/>
      </c>
    </row>
    <row r="1056" spans="12:12" x14ac:dyDescent="0.3">
      <c r="L1056" s="7" t="str">
        <f t="shared" ca="1" si="33"/>
        <v/>
      </c>
    </row>
    <row r="1057" spans="12:12" x14ac:dyDescent="0.3">
      <c r="L1057" s="7" t="str">
        <f t="shared" ca="1" si="33"/>
        <v/>
      </c>
    </row>
    <row r="1058" spans="12:12" x14ac:dyDescent="0.3">
      <c r="L1058" s="7" t="str">
        <f t="shared" ca="1" si="33"/>
        <v/>
      </c>
    </row>
    <row r="1059" spans="12:12" x14ac:dyDescent="0.3">
      <c r="L1059" s="7" t="str">
        <f t="shared" ca="1" si="33"/>
        <v/>
      </c>
    </row>
    <row r="1060" spans="12:12" x14ac:dyDescent="0.3">
      <c r="L1060" s="7" t="str">
        <f t="shared" ca="1" si="33"/>
        <v/>
      </c>
    </row>
    <row r="1061" spans="12:12" x14ac:dyDescent="0.3">
      <c r="L1061" s="7" t="str">
        <f t="shared" ca="1" si="33"/>
        <v/>
      </c>
    </row>
    <row r="1062" spans="12:12" x14ac:dyDescent="0.3">
      <c r="L1062" s="7" t="str">
        <f t="shared" ca="1" si="33"/>
        <v/>
      </c>
    </row>
    <row r="1063" spans="12:12" x14ac:dyDescent="0.3">
      <c r="L1063" s="7" t="str">
        <f t="shared" ca="1" si="33"/>
        <v/>
      </c>
    </row>
    <row r="1064" spans="12:12" x14ac:dyDescent="0.3">
      <c r="L1064" s="7" t="str">
        <f t="shared" ca="1" si="33"/>
        <v/>
      </c>
    </row>
    <row r="1065" spans="12:12" x14ac:dyDescent="0.3">
      <c r="L1065" s="7" t="str">
        <f t="shared" ca="1" si="33"/>
        <v/>
      </c>
    </row>
    <row r="1066" spans="12:12" x14ac:dyDescent="0.3">
      <c r="L1066" s="7" t="str">
        <f t="shared" ca="1" si="33"/>
        <v/>
      </c>
    </row>
    <row r="1067" spans="12:12" x14ac:dyDescent="0.3">
      <c r="L1067" s="7" t="str">
        <f t="shared" ca="1" si="33"/>
        <v/>
      </c>
    </row>
    <row r="1068" spans="12:12" x14ac:dyDescent="0.3">
      <c r="L1068" s="7" t="str">
        <f t="shared" ca="1" si="33"/>
        <v/>
      </c>
    </row>
    <row r="1069" spans="12:12" x14ac:dyDescent="0.3">
      <c r="L1069" s="7" t="str">
        <f t="shared" ca="1" si="33"/>
        <v/>
      </c>
    </row>
    <row r="1070" spans="12:12" x14ac:dyDescent="0.3">
      <c r="L1070" s="7" t="str">
        <f t="shared" ca="1" si="33"/>
        <v/>
      </c>
    </row>
    <row r="1071" spans="12:12" x14ac:dyDescent="0.3">
      <c r="L1071" s="7" t="str">
        <f t="shared" ca="1" si="33"/>
        <v/>
      </c>
    </row>
    <row r="1072" spans="12:12" x14ac:dyDescent="0.3">
      <c r="L1072" s="7" t="str">
        <f t="shared" ca="1" si="33"/>
        <v/>
      </c>
    </row>
    <row r="1073" spans="12:12" x14ac:dyDescent="0.3">
      <c r="L1073" s="7" t="str">
        <f t="shared" ca="1" si="33"/>
        <v/>
      </c>
    </row>
    <row r="1074" spans="12:12" x14ac:dyDescent="0.3">
      <c r="L1074" s="7" t="str">
        <f t="shared" ca="1" si="33"/>
        <v/>
      </c>
    </row>
    <row r="1075" spans="12:12" x14ac:dyDescent="0.3">
      <c r="L1075" s="7" t="str">
        <f t="shared" ca="1" si="33"/>
        <v/>
      </c>
    </row>
    <row r="1076" spans="12:12" x14ac:dyDescent="0.3">
      <c r="L1076" s="7" t="str">
        <f t="shared" ca="1" si="33"/>
        <v/>
      </c>
    </row>
    <row r="1077" spans="12:12" x14ac:dyDescent="0.3">
      <c r="L1077" s="7" t="str">
        <f t="shared" ca="1" si="33"/>
        <v/>
      </c>
    </row>
    <row r="1078" spans="12:12" x14ac:dyDescent="0.3">
      <c r="L1078" s="7" t="str">
        <f t="shared" ca="1" si="33"/>
        <v/>
      </c>
    </row>
    <row r="1079" spans="12:12" x14ac:dyDescent="0.3">
      <c r="L1079" s="7" t="str">
        <f t="shared" ca="1" si="33"/>
        <v/>
      </c>
    </row>
    <row r="1080" spans="12:12" x14ac:dyDescent="0.3">
      <c r="L1080" s="7" t="str">
        <f t="shared" ca="1" si="33"/>
        <v/>
      </c>
    </row>
    <row r="1081" spans="12:12" x14ac:dyDescent="0.3">
      <c r="L1081" s="7" t="str">
        <f t="shared" ca="1" si="33"/>
        <v/>
      </c>
    </row>
    <row r="1082" spans="12:12" x14ac:dyDescent="0.3">
      <c r="L1082" s="7" t="str">
        <f t="shared" ca="1" si="33"/>
        <v/>
      </c>
    </row>
    <row r="1083" spans="12:12" x14ac:dyDescent="0.3">
      <c r="L1083" s="7" t="str">
        <f t="shared" ca="1" si="33"/>
        <v/>
      </c>
    </row>
    <row r="1084" spans="12:12" x14ac:dyDescent="0.3">
      <c r="L1084" s="7" t="str">
        <f t="shared" ca="1" si="33"/>
        <v/>
      </c>
    </row>
    <row r="1085" spans="12:12" x14ac:dyDescent="0.3">
      <c r="L1085" s="7" t="str">
        <f t="shared" ca="1" si="33"/>
        <v/>
      </c>
    </row>
    <row r="1086" spans="12:12" x14ac:dyDescent="0.3">
      <c r="L1086" s="7" t="str">
        <f t="shared" ca="1" si="33"/>
        <v/>
      </c>
    </row>
    <row r="1087" spans="12:12" x14ac:dyDescent="0.3">
      <c r="L1087" s="7" t="str">
        <f t="shared" ca="1" si="33"/>
        <v/>
      </c>
    </row>
    <row r="1088" spans="12:12" x14ac:dyDescent="0.3">
      <c r="L1088" s="7" t="str">
        <f t="shared" ca="1" si="33"/>
        <v/>
      </c>
    </row>
    <row r="1089" spans="12:12" x14ac:dyDescent="0.3">
      <c r="L1089" s="7" t="str">
        <f t="shared" ca="1" si="33"/>
        <v/>
      </c>
    </row>
    <row r="1090" spans="12:12" x14ac:dyDescent="0.3">
      <c r="L1090" s="7" t="str">
        <f t="shared" ca="1" si="33"/>
        <v/>
      </c>
    </row>
    <row r="1091" spans="12:12" x14ac:dyDescent="0.3">
      <c r="L1091" s="7" t="str">
        <f t="shared" ca="1" si="33"/>
        <v/>
      </c>
    </row>
    <row r="1092" spans="12:12" x14ac:dyDescent="0.3">
      <c r="L1092" s="7" t="str">
        <f t="shared" ref="L1092:L1155" ca="1" si="34">IF(I1092="Completed",0,IF(H1092="","",H1092-TODAY()))</f>
        <v/>
      </c>
    </row>
    <row r="1093" spans="12:12" x14ac:dyDescent="0.3">
      <c r="L1093" s="7" t="str">
        <f t="shared" ca="1" si="34"/>
        <v/>
      </c>
    </row>
    <row r="1094" spans="12:12" x14ac:dyDescent="0.3">
      <c r="L1094" s="7" t="str">
        <f t="shared" ca="1" si="34"/>
        <v/>
      </c>
    </row>
    <row r="1095" spans="12:12" x14ac:dyDescent="0.3">
      <c r="L1095" s="7" t="str">
        <f t="shared" ca="1" si="34"/>
        <v/>
      </c>
    </row>
    <row r="1096" spans="12:12" x14ac:dyDescent="0.3">
      <c r="L1096" s="7" t="str">
        <f t="shared" ca="1" si="34"/>
        <v/>
      </c>
    </row>
    <row r="1097" spans="12:12" x14ac:dyDescent="0.3">
      <c r="L1097" s="7" t="str">
        <f t="shared" ca="1" si="34"/>
        <v/>
      </c>
    </row>
    <row r="1098" spans="12:12" x14ac:dyDescent="0.3">
      <c r="L1098" s="7" t="str">
        <f t="shared" ca="1" si="34"/>
        <v/>
      </c>
    </row>
    <row r="1099" spans="12:12" x14ac:dyDescent="0.3">
      <c r="L1099" s="7" t="str">
        <f t="shared" ca="1" si="34"/>
        <v/>
      </c>
    </row>
    <row r="1100" spans="12:12" x14ac:dyDescent="0.3">
      <c r="L1100" s="7" t="str">
        <f t="shared" ca="1" si="34"/>
        <v/>
      </c>
    </row>
    <row r="1101" spans="12:12" x14ac:dyDescent="0.3">
      <c r="L1101" s="7" t="str">
        <f t="shared" ca="1" si="34"/>
        <v/>
      </c>
    </row>
    <row r="1102" spans="12:12" x14ac:dyDescent="0.3">
      <c r="L1102" s="7" t="str">
        <f t="shared" ca="1" si="34"/>
        <v/>
      </c>
    </row>
    <row r="1103" spans="12:12" x14ac:dyDescent="0.3">
      <c r="L1103" s="7" t="str">
        <f t="shared" ca="1" si="34"/>
        <v/>
      </c>
    </row>
    <row r="1104" spans="12:12" x14ac:dyDescent="0.3">
      <c r="L1104" s="7" t="str">
        <f t="shared" ca="1" si="34"/>
        <v/>
      </c>
    </row>
    <row r="1105" spans="12:12" x14ac:dyDescent="0.3">
      <c r="L1105" s="7" t="str">
        <f t="shared" ca="1" si="34"/>
        <v/>
      </c>
    </row>
    <row r="1106" spans="12:12" x14ac:dyDescent="0.3">
      <c r="L1106" s="7" t="str">
        <f t="shared" ca="1" si="34"/>
        <v/>
      </c>
    </row>
    <row r="1107" spans="12:12" x14ac:dyDescent="0.3">
      <c r="L1107" s="7" t="str">
        <f t="shared" ca="1" si="34"/>
        <v/>
      </c>
    </row>
    <row r="1108" spans="12:12" x14ac:dyDescent="0.3">
      <c r="L1108" s="7" t="str">
        <f t="shared" ca="1" si="34"/>
        <v/>
      </c>
    </row>
    <row r="1109" spans="12:12" x14ac:dyDescent="0.3">
      <c r="L1109" s="7" t="str">
        <f t="shared" ca="1" si="34"/>
        <v/>
      </c>
    </row>
    <row r="1110" spans="12:12" x14ac:dyDescent="0.3">
      <c r="L1110" s="7" t="str">
        <f t="shared" ca="1" si="34"/>
        <v/>
      </c>
    </row>
    <row r="1111" spans="12:12" x14ac:dyDescent="0.3">
      <c r="L1111" s="7" t="str">
        <f t="shared" ca="1" si="34"/>
        <v/>
      </c>
    </row>
    <row r="1112" spans="12:12" x14ac:dyDescent="0.3">
      <c r="L1112" s="7" t="str">
        <f t="shared" ca="1" si="34"/>
        <v/>
      </c>
    </row>
    <row r="1113" spans="12:12" x14ac:dyDescent="0.3">
      <c r="L1113" s="7" t="str">
        <f t="shared" ca="1" si="34"/>
        <v/>
      </c>
    </row>
    <row r="1114" spans="12:12" x14ac:dyDescent="0.3">
      <c r="L1114" s="7" t="str">
        <f t="shared" ca="1" si="34"/>
        <v/>
      </c>
    </row>
    <row r="1115" spans="12:12" x14ac:dyDescent="0.3">
      <c r="L1115" s="7" t="str">
        <f t="shared" ca="1" si="34"/>
        <v/>
      </c>
    </row>
    <row r="1116" spans="12:12" x14ac:dyDescent="0.3">
      <c r="L1116" s="7" t="str">
        <f t="shared" ca="1" si="34"/>
        <v/>
      </c>
    </row>
    <row r="1117" spans="12:12" x14ac:dyDescent="0.3">
      <c r="L1117" s="7" t="str">
        <f t="shared" ca="1" si="34"/>
        <v/>
      </c>
    </row>
    <row r="1118" spans="12:12" x14ac:dyDescent="0.3">
      <c r="L1118" s="7" t="str">
        <f t="shared" ca="1" si="34"/>
        <v/>
      </c>
    </row>
    <row r="1119" spans="12:12" x14ac:dyDescent="0.3">
      <c r="L1119" s="7" t="str">
        <f t="shared" ca="1" si="34"/>
        <v/>
      </c>
    </row>
    <row r="1120" spans="12:12" x14ac:dyDescent="0.3">
      <c r="L1120" s="7" t="str">
        <f t="shared" ca="1" si="34"/>
        <v/>
      </c>
    </row>
    <row r="1121" spans="12:12" x14ac:dyDescent="0.3">
      <c r="L1121" s="7" t="str">
        <f t="shared" ca="1" si="34"/>
        <v/>
      </c>
    </row>
    <row r="1122" spans="12:12" x14ac:dyDescent="0.3">
      <c r="L1122" s="7" t="str">
        <f t="shared" ca="1" si="34"/>
        <v/>
      </c>
    </row>
    <row r="1123" spans="12:12" x14ac:dyDescent="0.3">
      <c r="L1123" s="7" t="str">
        <f t="shared" ca="1" si="34"/>
        <v/>
      </c>
    </row>
    <row r="1124" spans="12:12" x14ac:dyDescent="0.3">
      <c r="L1124" s="7" t="str">
        <f t="shared" ca="1" si="34"/>
        <v/>
      </c>
    </row>
    <row r="1125" spans="12:12" x14ac:dyDescent="0.3">
      <c r="L1125" s="7" t="str">
        <f t="shared" ca="1" si="34"/>
        <v/>
      </c>
    </row>
    <row r="1126" spans="12:12" x14ac:dyDescent="0.3">
      <c r="L1126" s="7" t="str">
        <f t="shared" ca="1" si="34"/>
        <v/>
      </c>
    </row>
    <row r="1127" spans="12:12" x14ac:dyDescent="0.3">
      <c r="L1127" s="7" t="str">
        <f t="shared" ca="1" si="34"/>
        <v/>
      </c>
    </row>
    <row r="1128" spans="12:12" x14ac:dyDescent="0.3">
      <c r="L1128" s="7" t="str">
        <f t="shared" ca="1" si="34"/>
        <v/>
      </c>
    </row>
    <row r="1129" spans="12:12" x14ac:dyDescent="0.3">
      <c r="L1129" s="7" t="str">
        <f t="shared" ca="1" si="34"/>
        <v/>
      </c>
    </row>
    <row r="1130" spans="12:12" x14ac:dyDescent="0.3">
      <c r="L1130" s="7" t="str">
        <f t="shared" ca="1" si="34"/>
        <v/>
      </c>
    </row>
    <row r="1131" spans="12:12" x14ac:dyDescent="0.3">
      <c r="L1131" s="7" t="str">
        <f t="shared" ca="1" si="34"/>
        <v/>
      </c>
    </row>
    <row r="1132" spans="12:12" x14ac:dyDescent="0.3">
      <c r="L1132" s="7" t="str">
        <f t="shared" ca="1" si="34"/>
        <v/>
      </c>
    </row>
    <row r="1133" spans="12:12" x14ac:dyDescent="0.3">
      <c r="L1133" s="7" t="str">
        <f t="shared" ca="1" si="34"/>
        <v/>
      </c>
    </row>
    <row r="1134" spans="12:12" x14ac:dyDescent="0.3">
      <c r="L1134" s="7" t="str">
        <f t="shared" ca="1" si="34"/>
        <v/>
      </c>
    </row>
    <row r="1135" spans="12:12" x14ac:dyDescent="0.3">
      <c r="L1135" s="7" t="str">
        <f t="shared" ca="1" si="34"/>
        <v/>
      </c>
    </row>
    <row r="1136" spans="12:12" x14ac:dyDescent="0.3">
      <c r="L1136" s="7" t="str">
        <f t="shared" ca="1" si="34"/>
        <v/>
      </c>
    </row>
    <row r="1137" spans="12:12" x14ac:dyDescent="0.3">
      <c r="L1137" s="7" t="str">
        <f t="shared" ca="1" si="34"/>
        <v/>
      </c>
    </row>
    <row r="1138" spans="12:12" x14ac:dyDescent="0.3">
      <c r="L1138" s="7" t="str">
        <f t="shared" ca="1" si="34"/>
        <v/>
      </c>
    </row>
    <row r="1139" spans="12:12" x14ac:dyDescent="0.3">
      <c r="L1139" s="7" t="str">
        <f t="shared" ca="1" si="34"/>
        <v/>
      </c>
    </row>
    <row r="1140" spans="12:12" x14ac:dyDescent="0.3">
      <c r="L1140" s="7" t="str">
        <f t="shared" ca="1" si="34"/>
        <v/>
      </c>
    </row>
    <row r="1141" spans="12:12" x14ac:dyDescent="0.3">
      <c r="L1141" s="7" t="str">
        <f t="shared" ca="1" si="34"/>
        <v/>
      </c>
    </row>
    <row r="1142" spans="12:12" x14ac:dyDescent="0.3">
      <c r="L1142" s="7" t="str">
        <f t="shared" ca="1" si="34"/>
        <v/>
      </c>
    </row>
    <row r="1143" spans="12:12" x14ac:dyDescent="0.3">
      <c r="L1143" s="7" t="str">
        <f t="shared" ca="1" si="34"/>
        <v/>
      </c>
    </row>
    <row r="1144" spans="12:12" x14ac:dyDescent="0.3">
      <c r="L1144" s="7" t="str">
        <f t="shared" ca="1" si="34"/>
        <v/>
      </c>
    </row>
    <row r="1145" spans="12:12" x14ac:dyDescent="0.3">
      <c r="L1145" s="7" t="str">
        <f t="shared" ca="1" si="34"/>
        <v/>
      </c>
    </row>
    <row r="1146" spans="12:12" x14ac:dyDescent="0.3">
      <c r="L1146" s="7" t="str">
        <f t="shared" ca="1" si="34"/>
        <v/>
      </c>
    </row>
    <row r="1147" spans="12:12" x14ac:dyDescent="0.3">
      <c r="L1147" s="7" t="str">
        <f t="shared" ca="1" si="34"/>
        <v/>
      </c>
    </row>
    <row r="1148" spans="12:12" x14ac:dyDescent="0.3">
      <c r="L1148" s="7" t="str">
        <f t="shared" ca="1" si="34"/>
        <v/>
      </c>
    </row>
    <row r="1149" spans="12:12" x14ac:dyDescent="0.3">
      <c r="L1149" s="7" t="str">
        <f t="shared" ca="1" si="34"/>
        <v/>
      </c>
    </row>
    <row r="1150" spans="12:12" x14ac:dyDescent="0.3">
      <c r="L1150" s="7" t="str">
        <f t="shared" ca="1" si="34"/>
        <v/>
      </c>
    </row>
    <row r="1151" spans="12:12" x14ac:dyDescent="0.3">
      <c r="L1151" s="7" t="str">
        <f t="shared" ca="1" si="34"/>
        <v/>
      </c>
    </row>
    <row r="1152" spans="12:12" x14ac:dyDescent="0.3">
      <c r="L1152" s="7" t="str">
        <f t="shared" ca="1" si="34"/>
        <v/>
      </c>
    </row>
    <row r="1153" spans="12:12" x14ac:dyDescent="0.3">
      <c r="L1153" s="7" t="str">
        <f t="shared" ca="1" si="34"/>
        <v/>
      </c>
    </row>
    <row r="1154" spans="12:12" x14ac:dyDescent="0.3">
      <c r="L1154" s="7" t="str">
        <f t="shared" ca="1" si="34"/>
        <v/>
      </c>
    </row>
    <row r="1155" spans="12:12" x14ac:dyDescent="0.3">
      <c r="L1155" s="7" t="str">
        <f t="shared" ca="1" si="34"/>
        <v/>
      </c>
    </row>
    <row r="1156" spans="12:12" x14ac:dyDescent="0.3">
      <c r="L1156" s="7" t="str">
        <f t="shared" ref="L1156:L1219" ca="1" si="35">IF(I1156="Completed",0,IF(H1156="","",H1156-TODAY()))</f>
        <v/>
      </c>
    </row>
    <row r="1157" spans="12:12" x14ac:dyDescent="0.3">
      <c r="L1157" s="7" t="str">
        <f t="shared" ca="1" si="35"/>
        <v/>
      </c>
    </row>
    <row r="1158" spans="12:12" x14ac:dyDescent="0.3">
      <c r="L1158" s="7" t="str">
        <f t="shared" ca="1" si="35"/>
        <v/>
      </c>
    </row>
    <row r="1159" spans="12:12" x14ac:dyDescent="0.3">
      <c r="L1159" s="7" t="str">
        <f t="shared" ca="1" si="35"/>
        <v/>
      </c>
    </row>
    <row r="1160" spans="12:12" x14ac:dyDescent="0.3">
      <c r="L1160" s="7" t="str">
        <f t="shared" ca="1" si="35"/>
        <v/>
      </c>
    </row>
    <row r="1161" spans="12:12" x14ac:dyDescent="0.3">
      <c r="L1161" s="7" t="str">
        <f t="shared" ca="1" si="35"/>
        <v/>
      </c>
    </row>
    <row r="1162" spans="12:12" x14ac:dyDescent="0.3">
      <c r="L1162" s="7" t="str">
        <f t="shared" ca="1" si="35"/>
        <v/>
      </c>
    </row>
    <row r="1163" spans="12:12" x14ac:dyDescent="0.3">
      <c r="L1163" s="7" t="str">
        <f t="shared" ca="1" si="35"/>
        <v/>
      </c>
    </row>
    <row r="1164" spans="12:12" x14ac:dyDescent="0.3">
      <c r="L1164" s="7" t="str">
        <f t="shared" ca="1" si="35"/>
        <v/>
      </c>
    </row>
    <row r="1165" spans="12:12" x14ac:dyDescent="0.3">
      <c r="L1165" s="7" t="str">
        <f t="shared" ca="1" si="35"/>
        <v/>
      </c>
    </row>
    <row r="1166" spans="12:12" x14ac:dyDescent="0.3">
      <c r="L1166" s="7" t="str">
        <f t="shared" ca="1" si="35"/>
        <v/>
      </c>
    </row>
    <row r="1167" spans="12:12" x14ac:dyDescent="0.3">
      <c r="L1167" s="7" t="str">
        <f t="shared" ca="1" si="35"/>
        <v/>
      </c>
    </row>
    <row r="1168" spans="12:12" x14ac:dyDescent="0.3">
      <c r="L1168" s="7" t="str">
        <f t="shared" ca="1" si="35"/>
        <v/>
      </c>
    </row>
    <row r="1169" spans="12:12" x14ac:dyDescent="0.3">
      <c r="L1169" s="7" t="str">
        <f t="shared" ca="1" si="35"/>
        <v/>
      </c>
    </row>
    <row r="1170" spans="12:12" x14ac:dyDescent="0.3">
      <c r="L1170" s="7" t="str">
        <f t="shared" ca="1" si="35"/>
        <v/>
      </c>
    </row>
    <row r="1171" spans="12:12" x14ac:dyDescent="0.3">
      <c r="L1171" s="7" t="str">
        <f t="shared" ca="1" si="35"/>
        <v/>
      </c>
    </row>
    <row r="1172" spans="12:12" x14ac:dyDescent="0.3">
      <c r="L1172" s="7" t="str">
        <f t="shared" ca="1" si="35"/>
        <v/>
      </c>
    </row>
    <row r="1173" spans="12:12" x14ac:dyDescent="0.3">
      <c r="L1173" s="7" t="str">
        <f t="shared" ca="1" si="35"/>
        <v/>
      </c>
    </row>
    <row r="1174" spans="12:12" x14ac:dyDescent="0.3">
      <c r="L1174" s="7" t="str">
        <f t="shared" ca="1" si="35"/>
        <v/>
      </c>
    </row>
    <row r="1175" spans="12:12" x14ac:dyDescent="0.3">
      <c r="L1175" s="7" t="str">
        <f t="shared" ca="1" si="35"/>
        <v/>
      </c>
    </row>
    <row r="1176" spans="12:12" x14ac:dyDescent="0.3">
      <c r="L1176" s="7" t="str">
        <f t="shared" ca="1" si="35"/>
        <v/>
      </c>
    </row>
    <row r="1177" spans="12:12" x14ac:dyDescent="0.3">
      <c r="L1177" s="7" t="str">
        <f t="shared" ca="1" si="35"/>
        <v/>
      </c>
    </row>
    <row r="1178" spans="12:12" x14ac:dyDescent="0.3">
      <c r="L1178" s="7" t="str">
        <f t="shared" ca="1" si="35"/>
        <v/>
      </c>
    </row>
    <row r="1179" spans="12:12" x14ac:dyDescent="0.3">
      <c r="L1179" s="7" t="str">
        <f t="shared" ca="1" si="35"/>
        <v/>
      </c>
    </row>
    <row r="1180" spans="12:12" x14ac:dyDescent="0.3">
      <c r="L1180" s="7" t="str">
        <f t="shared" ca="1" si="35"/>
        <v/>
      </c>
    </row>
    <row r="1181" spans="12:12" x14ac:dyDescent="0.3">
      <c r="L1181" s="7" t="str">
        <f t="shared" ca="1" si="35"/>
        <v/>
      </c>
    </row>
    <row r="1182" spans="12:12" x14ac:dyDescent="0.3">
      <c r="L1182" s="7" t="str">
        <f t="shared" ca="1" si="35"/>
        <v/>
      </c>
    </row>
    <row r="1183" spans="12:12" x14ac:dyDescent="0.3">
      <c r="L1183" s="7" t="str">
        <f t="shared" ca="1" si="35"/>
        <v/>
      </c>
    </row>
    <row r="1184" spans="12:12" x14ac:dyDescent="0.3">
      <c r="L1184" s="7" t="str">
        <f t="shared" ca="1" si="35"/>
        <v/>
      </c>
    </row>
    <row r="1185" spans="12:12" x14ac:dyDescent="0.3">
      <c r="L1185" s="7" t="str">
        <f t="shared" ca="1" si="35"/>
        <v/>
      </c>
    </row>
    <row r="1186" spans="12:12" x14ac:dyDescent="0.3">
      <c r="L1186" s="7" t="str">
        <f t="shared" ca="1" si="35"/>
        <v/>
      </c>
    </row>
    <row r="1187" spans="12:12" x14ac:dyDescent="0.3">
      <c r="L1187" s="7" t="str">
        <f t="shared" ca="1" si="35"/>
        <v/>
      </c>
    </row>
    <row r="1188" spans="12:12" x14ac:dyDescent="0.3">
      <c r="L1188" s="7" t="str">
        <f t="shared" ca="1" si="35"/>
        <v/>
      </c>
    </row>
    <row r="1189" spans="12:12" x14ac:dyDescent="0.3">
      <c r="L1189" s="7" t="str">
        <f t="shared" ca="1" si="35"/>
        <v/>
      </c>
    </row>
    <row r="1190" spans="12:12" x14ac:dyDescent="0.3">
      <c r="L1190" s="7" t="str">
        <f t="shared" ca="1" si="35"/>
        <v/>
      </c>
    </row>
    <row r="1191" spans="12:12" x14ac:dyDescent="0.3">
      <c r="L1191" s="7" t="str">
        <f t="shared" ca="1" si="35"/>
        <v/>
      </c>
    </row>
    <row r="1192" spans="12:12" x14ac:dyDescent="0.3">
      <c r="L1192" s="7" t="str">
        <f t="shared" ca="1" si="35"/>
        <v/>
      </c>
    </row>
    <row r="1193" spans="12:12" x14ac:dyDescent="0.3">
      <c r="L1193" s="7" t="str">
        <f t="shared" ca="1" si="35"/>
        <v/>
      </c>
    </row>
    <row r="1194" spans="12:12" x14ac:dyDescent="0.3">
      <c r="L1194" s="7" t="str">
        <f t="shared" ca="1" si="35"/>
        <v/>
      </c>
    </row>
    <row r="1195" spans="12:12" x14ac:dyDescent="0.3">
      <c r="L1195" s="7" t="str">
        <f t="shared" ca="1" si="35"/>
        <v/>
      </c>
    </row>
    <row r="1196" spans="12:12" x14ac:dyDescent="0.3">
      <c r="L1196" s="7" t="str">
        <f t="shared" ca="1" si="35"/>
        <v/>
      </c>
    </row>
    <row r="1197" spans="12:12" x14ac:dyDescent="0.3">
      <c r="L1197" s="7" t="str">
        <f t="shared" ca="1" si="35"/>
        <v/>
      </c>
    </row>
    <row r="1198" spans="12:12" x14ac:dyDescent="0.3">
      <c r="L1198" s="7" t="str">
        <f t="shared" ca="1" si="35"/>
        <v/>
      </c>
    </row>
    <row r="1199" spans="12:12" x14ac:dyDescent="0.3">
      <c r="L1199" s="7" t="str">
        <f t="shared" ca="1" si="35"/>
        <v/>
      </c>
    </row>
    <row r="1200" spans="12:12" x14ac:dyDescent="0.3">
      <c r="L1200" s="7" t="str">
        <f t="shared" ca="1" si="35"/>
        <v/>
      </c>
    </row>
    <row r="1201" spans="12:12" x14ac:dyDescent="0.3">
      <c r="L1201" s="7" t="str">
        <f t="shared" ca="1" si="35"/>
        <v/>
      </c>
    </row>
    <row r="1202" spans="12:12" x14ac:dyDescent="0.3">
      <c r="L1202" s="7" t="str">
        <f t="shared" ca="1" si="35"/>
        <v/>
      </c>
    </row>
    <row r="1203" spans="12:12" x14ac:dyDescent="0.3">
      <c r="L1203" s="7" t="str">
        <f t="shared" ca="1" si="35"/>
        <v/>
      </c>
    </row>
    <row r="1204" spans="12:12" x14ac:dyDescent="0.3">
      <c r="L1204" s="7" t="str">
        <f t="shared" ca="1" si="35"/>
        <v/>
      </c>
    </row>
    <row r="1205" spans="12:12" x14ac:dyDescent="0.3">
      <c r="L1205" s="7" t="str">
        <f t="shared" ca="1" si="35"/>
        <v/>
      </c>
    </row>
    <row r="1206" spans="12:12" x14ac:dyDescent="0.3">
      <c r="L1206" s="7" t="str">
        <f t="shared" ca="1" si="35"/>
        <v/>
      </c>
    </row>
    <row r="1207" spans="12:12" x14ac:dyDescent="0.3">
      <c r="L1207" s="7" t="str">
        <f t="shared" ca="1" si="35"/>
        <v/>
      </c>
    </row>
    <row r="1208" spans="12:12" x14ac:dyDescent="0.3">
      <c r="L1208" s="7" t="str">
        <f t="shared" ca="1" si="35"/>
        <v/>
      </c>
    </row>
    <row r="1209" spans="12:12" x14ac:dyDescent="0.3">
      <c r="L1209" s="7" t="str">
        <f t="shared" ca="1" si="35"/>
        <v/>
      </c>
    </row>
    <row r="1210" spans="12:12" x14ac:dyDescent="0.3">
      <c r="L1210" s="7" t="str">
        <f t="shared" ca="1" si="35"/>
        <v/>
      </c>
    </row>
    <row r="1211" spans="12:12" x14ac:dyDescent="0.3">
      <c r="L1211" s="7" t="str">
        <f t="shared" ca="1" si="35"/>
        <v/>
      </c>
    </row>
    <row r="1212" spans="12:12" x14ac:dyDescent="0.3">
      <c r="L1212" s="7" t="str">
        <f t="shared" ca="1" si="35"/>
        <v/>
      </c>
    </row>
    <row r="1213" spans="12:12" x14ac:dyDescent="0.3">
      <c r="L1213" s="7" t="str">
        <f t="shared" ca="1" si="35"/>
        <v/>
      </c>
    </row>
    <row r="1214" spans="12:12" x14ac:dyDescent="0.3">
      <c r="L1214" s="7" t="str">
        <f t="shared" ca="1" si="35"/>
        <v/>
      </c>
    </row>
    <row r="1215" spans="12:12" x14ac:dyDescent="0.3">
      <c r="L1215" s="7" t="str">
        <f t="shared" ca="1" si="35"/>
        <v/>
      </c>
    </row>
    <row r="1216" spans="12:12" x14ac:dyDescent="0.3">
      <c r="L1216" s="7" t="str">
        <f t="shared" ca="1" si="35"/>
        <v/>
      </c>
    </row>
    <row r="1217" spans="12:12" x14ac:dyDescent="0.3">
      <c r="L1217" s="7" t="str">
        <f t="shared" ca="1" si="35"/>
        <v/>
      </c>
    </row>
    <row r="1218" spans="12:12" x14ac:dyDescent="0.3">
      <c r="L1218" s="7" t="str">
        <f t="shared" ca="1" si="35"/>
        <v/>
      </c>
    </row>
    <row r="1219" spans="12:12" x14ac:dyDescent="0.3">
      <c r="L1219" s="7" t="str">
        <f t="shared" ca="1" si="35"/>
        <v/>
      </c>
    </row>
    <row r="1220" spans="12:12" x14ac:dyDescent="0.3">
      <c r="L1220" s="7" t="str">
        <f t="shared" ref="L1220:L1283" ca="1" si="36">IF(I1220="Completed",0,IF(H1220="","",H1220-TODAY()))</f>
        <v/>
      </c>
    </row>
    <row r="1221" spans="12:12" x14ac:dyDescent="0.3">
      <c r="L1221" s="7" t="str">
        <f t="shared" ca="1" si="36"/>
        <v/>
      </c>
    </row>
    <row r="1222" spans="12:12" x14ac:dyDescent="0.3">
      <c r="L1222" s="7" t="str">
        <f t="shared" ca="1" si="36"/>
        <v/>
      </c>
    </row>
    <row r="1223" spans="12:12" x14ac:dyDescent="0.3">
      <c r="L1223" s="7" t="str">
        <f t="shared" ca="1" si="36"/>
        <v/>
      </c>
    </row>
    <row r="1224" spans="12:12" x14ac:dyDescent="0.3">
      <c r="L1224" s="7" t="str">
        <f t="shared" ca="1" si="36"/>
        <v/>
      </c>
    </row>
    <row r="1225" spans="12:12" x14ac:dyDescent="0.3">
      <c r="L1225" s="7" t="str">
        <f t="shared" ca="1" si="36"/>
        <v/>
      </c>
    </row>
    <row r="1226" spans="12:12" x14ac:dyDescent="0.3">
      <c r="L1226" s="7" t="str">
        <f t="shared" ca="1" si="36"/>
        <v/>
      </c>
    </row>
    <row r="1227" spans="12:12" x14ac:dyDescent="0.3">
      <c r="L1227" s="7" t="str">
        <f t="shared" ca="1" si="36"/>
        <v/>
      </c>
    </row>
    <row r="1228" spans="12:12" x14ac:dyDescent="0.3">
      <c r="L1228" s="7" t="str">
        <f t="shared" ca="1" si="36"/>
        <v/>
      </c>
    </row>
    <row r="1229" spans="12:12" x14ac:dyDescent="0.3">
      <c r="L1229" s="7" t="str">
        <f t="shared" ca="1" si="36"/>
        <v/>
      </c>
    </row>
    <row r="1230" spans="12:12" x14ac:dyDescent="0.3">
      <c r="L1230" s="7" t="str">
        <f t="shared" ca="1" si="36"/>
        <v/>
      </c>
    </row>
    <row r="1231" spans="12:12" x14ac:dyDescent="0.3">
      <c r="L1231" s="7" t="str">
        <f t="shared" ca="1" si="36"/>
        <v/>
      </c>
    </row>
    <row r="1232" spans="12:12" x14ac:dyDescent="0.3">
      <c r="L1232" s="7" t="str">
        <f t="shared" ca="1" si="36"/>
        <v/>
      </c>
    </row>
    <row r="1233" spans="12:12" x14ac:dyDescent="0.3">
      <c r="L1233" s="7" t="str">
        <f t="shared" ca="1" si="36"/>
        <v/>
      </c>
    </row>
    <row r="1234" spans="12:12" x14ac:dyDescent="0.3">
      <c r="L1234" s="7" t="str">
        <f t="shared" ca="1" si="36"/>
        <v/>
      </c>
    </row>
    <row r="1235" spans="12:12" x14ac:dyDescent="0.3">
      <c r="L1235" s="7" t="str">
        <f t="shared" ca="1" si="36"/>
        <v/>
      </c>
    </row>
    <row r="1236" spans="12:12" x14ac:dyDescent="0.3">
      <c r="L1236" s="7" t="str">
        <f t="shared" ca="1" si="36"/>
        <v/>
      </c>
    </row>
    <row r="1237" spans="12:12" x14ac:dyDescent="0.3">
      <c r="L1237" s="7" t="str">
        <f t="shared" ca="1" si="36"/>
        <v/>
      </c>
    </row>
    <row r="1238" spans="12:12" x14ac:dyDescent="0.3">
      <c r="L1238" s="7" t="str">
        <f t="shared" ca="1" si="36"/>
        <v/>
      </c>
    </row>
    <row r="1239" spans="12:12" x14ac:dyDescent="0.3">
      <c r="L1239" s="7" t="str">
        <f t="shared" ca="1" si="36"/>
        <v/>
      </c>
    </row>
    <row r="1240" spans="12:12" x14ac:dyDescent="0.3">
      <c r="L1240" s="7" t="str">
        <f t="shared" ca="1" si="36"/>
        <v/>
      </c>
    </row>
    <row r="1241" spans="12:12" x14ac:dyDescent="0.3">
      <c r="L1241" s="7" t="str">
        <f t="shared" ca="1" si="36"/>
        <v/>
      </c>
    </row>
    <row r="1242" spans="12:12" x14ac:dyDescent="0.3">
      <c r="L1242" s="7" t="str">
        <f t="shared" ca="1" si="36"/>
        <v/>
      </c>
    </row>
    <row r="1243" spans="12:12" x14ac:dyDescent="0.3">
      <c r="L1243" s="7" t="str">
        <f t="shared" ca="1" si="36"/>
        <v/>
      </c>
    </row>
    <row r="1244" spans="12:12" x14ac:dyDescent="0.3">
      <c r="L1244" s="7" t="str">
        <f t="shared" ca="1" si="36"/>
        <v/>
      </c>
    </row>
    <row r="1245" spans="12:12" x14ac:dyDescent="0.3">
      <c r="L1245" s="7" t="str">
        <f t="shared" ca="1" si="36"/>
        <v/>
      </c>
    </row>
    <row r="1246" spans="12:12" x14ac:dyDescent="0.3">
      <c r="L1246" s="7" t="str">
        <f t="shared" ca="1" si="36"/>
        <v/>
      </c>
    </row>
    <row r="1247" spans="12:12" x14ac:dyDescent="0.3">
      <c r="L1247" s="7" t="str">
        <f t="shared" ca="1" si="36"/>
        <v/>
      </c>
    </row>
    <row r="1248" spans="12:12" x14ac:dyDescent="0.3">
      <c r="L1248" s="7" t="str">
        <f t="shared" ca="1" si="36"/>
        <v/>
      </c>
    </row>
    <row r="1249" spans="12:12" x14ac:dyDescent="0.3">
      <c r="L1249" s="7" t="str">
        <f t="shared" ca="1" si="36"/>
        <v/>
      </c>
    </row>
    <row r="1250" spans="12:12" x14ac:dyDescent="0.3">
      <c r="L1250" s="7" t="str">
        <f t="shared" ca="1" si="36"/>
        <v/>
      </c>
    </row>
    <row r="1251" spans="12:12" x14ac:dyDescent="0.3">
      <c r="L1251" s="7" t="str">
        <f t="shared" ca="1" si="36"/>
        <v/>
      </c>
    </row>
    <row r="1252" spans="12:12" x14ac:dyDescent="0.3">
      <c r="L1252" s="7" t="str">
        <f t="shared" ca="1" si="36"/>
        <v/>
      </c>
    </row>
    <row r="1253" spans="12:12" x14ac:dyDescent="0.3">
      <c r="L1253" s="7" t="str">
        <f t="shared" ca="1" si="36"/>
        <v/>
      </c>
    </row>
    <row r="1254" spans="12:12" x14ac:dyDescent="0.3">
      <c r="L1254" s="7" t="str">
        <f t="shared" ca="1" si="36"/>
        <v/>
      </c>
    </row>
    <row r="1255" spans="12:12" x14ac:dyDescent="0.3">
      <c r="L1255" s="7" t="str">
        <f t="shared" ca="1" si="36"/>
        <v/>
      </c>
    </row>
    <row r="1256" spans="12:12" x14ac:dyDescent="0.3">
      <c r="L1256" s="7" t="str">
        <f t="shared" ca="1" si="36"/>
        <v/>
      </c>
    </row>
    <row r="1257" spans="12:12" x14ac:dyDescent="0.3">
      <c r="L1257" s="7" t="str">
        <f t="shared" ca="1" si="36"/>
        <v/>
      </c>
    </row>
    <row r="1258" spans="12:12" x14ac:dyDescent="0.3">
      <c r="L1258" s="7" t="str">
        <f t="shared" ca="1" si="36"/>
        <v/>
      </c>
    </row>
    <row r="1259" spans="12:12" x14ac:dyDescent="0.3">
      <c r="L1259" s="7" t="str">
        <f t="shared" ca="1" si="36"/>
        <v/>
      </c>
    </row>
    <row r="1260" spans="12:12" x14ac:dyDescent="0.3">
      <c r="L1260" s="7" t="str">
        <f t="shared" ca="1" si="36"/>
        <v/>
      </c>
    </row>
    <row r="1261" spans="12:12" x14ac:dyDescent="0.3">
      <c r="L1261" s="7" t="str">
        <f t="shared" ca="1" si="36"/>
        <v/>
      </c>
    </row>
    <row r="1262" spans="12:12" x14ac:dyDescent="0.3">
      <c r="L1262" s="7" t="str">
        <f t="shared" ca="1" si="36"/>
        <v/>
      </c>
    </row>
    <row r="1263" spans="12:12" x14ac:dyDescent="0.3">
      <c r="L1263" s="7" t="str">
        <f t="shared" ca="1" si="36"/>
        <v/>
      </c>
    </row>
    <row r="1264" spans="12:12" x14ac:dyDescent="0.3">
      <c r="L1264" s="7" t="str">
        <f t="shared" ca="1" si="36"/>
        <v/>
      </c>
    </row>
    <row r="1265" spans="12:12" x14ac:dyDescent="0.3">
      <c r="L1265" s="7" t="str">
        <f t="shared" ca="1" si="36"/>
        <v/>
      </c>
    </row>
    <row r="1266" spans="12:12" x14ac:dyDescent="0.3">
      <c r="L1266" s="7" t="str">
        <f t="shared" ca="1" si="36"/>
        <v/>
      </c>
    </row>
    <row r="1267" spans="12:12" x14ac:dyDescent="0.3">
      <c r="L1267" s="7" t="str">
        <f t="shared" ca="1" si="36"/>
        <v/>
      </c>
    </row>
    <row r="1268" spans="12:12" x14ac:dyDescent="0.3">
      <c r="L1268" s="7" t="str">
        <f t="shared" ca="1" si="36"/>
        <v/>
      </c>
    </row>
    <row r="1269" spans="12:12" x14ac:dyDescent="0.3">
      <c r="L1269" s="7" t="str">
        <f t="shared" ca="1" si="36"/>
        <v/>
      </c>
    </row>
    <row r="1270" spans="12:12" x14ac:dyDescent="0.3">
      <c r="L1270" s="7" t="str">
        <f t="shared" ca="1" si="36"/>
        <v/>
      </c>
    </row>
    <row r="1271" spans="12:12" x14ac:dyDescent="0.3">
      <c r="L1271" s="7" t="str">
        <f t="shared" ca="1" si="36"/>
        <v/>
      </c>
    </row>
    <row r="1272" spans="12:12" x14ac:dyDescent="0.3">
      <c r="L1272" s="7" t="str">
        <f t="shared" ca="1" si="36"/>
        <v/>
      </c>
    </row>
    <row r="1273" spans="12:12" x14ac:dyDescent="0.3">
      <c r="L1273" s="7" t="str">
        <f t="shared" ca="1" si="36"/>
        <v/>
      </c>
    </row>
    <row r="1274" spans="12:12" x14ac:dyDescent="0.3">
      <c r="L1274" s="7" t="str">
        <f t="shared" ca="1" si="36"/>
        <v/>
      </c>
    </row>
    <row r="1275" spans="12:12" x14ac:dyDescent="0.3">
      <c r="L1275" s="7" t="str">
        <f t="shared" ca="1" si="36"/>
        <v/>
      </c>
    </row>
    <row r="1276" spans="12:12" x14ac:dyDescent="0.3">
      <c r="L1276" s="7" t="str">
        <f t="shared" ca="1" si="36"/>
        <v/>
      </c>
    </row>
    <row r="1277" spans="12:12" x14ac:dyDescent="0.3">
      <c r="L1277" s="7" t="str">
        <f t="shared" ca="1" si="36"/>
        <v/>
      </c>
    </row>
    <row r="1278" spans="12:12" x14ac:dyDescent="0.3">
      <c r="L1278" s="7" t="str">
        <f t="shared" ca="1" si="36"/>
        <v/>
      </c>
    </row>
    <row r="1279" spans="12:12" x14ac:dyDescent="0.3">
      <c r="L1279" s="7" t="str">
        <f t="shared" ca="1" si="36"/>
        <v/>
      </c>
    </row>
    <row r="1280" spans="12:12" x14ac:dyDescent="0.3">
      <c r="L1280" s="7" t="str">
        <f t="shared" ca="1" si="36"/>
        <v/>
      </c>
    </row>
    <row r="1281" spans="12:12" x14ac:dyDescent="0.3">
      <c r="L1281" s="7" t="str">
        <f t="shared" ca="1" si="36"/>
        <v/>
      </c>
    </row>
    <row r="1282" spans="12:12" x14ac:dyDescent="0.3">
      <c r="L1282" s="7" t="str">
        <f t="shared" ca="1" si="36"/>
        <v/>
      </c>
    </row>
    <row r="1283" spans="12:12" x14ac:dyDescent="0.3">
      <c r="L1283" s="7" t="str">
        <f t="shared" ca="1" si="36"/>
        <v/>
      </c>
    </row>
    <row r="1284" spans="12:12" x14ac:dyDescent="0.3">
      <c r="L1284" s="7" t="str">
        <f t="shared" ref="L1284:L1347" ca="1" si="37">IF(I1284="Completed",0,IF(H1284="","",H1284-TODAY()))</f>
        <v/>
      </c>
    </row>
    <row r="1285" spans="12:12" x14ac:dyDescent="0.3">
      <c r="L1285" s="7" t="str">
        <f t="shared" ca="1" si="37"/>
        <v/>
      </c>
    </row>
    <row r="1286" spans="12:12" x14ac:dyDescent="0.3">
      <c r="L1286" s="7" t="str">
        <f t="shared" ca="1" si="37"/>
        <v/>
      </c>
    </row>
    <row r="1287" spans="12:12" x14ac:dyDescent="0.3">
      <c r="L1287" s="7" t="str">
        <f t="shared" ca="1" si="37"/>
        <v/>
      </c>
    </row>
    <row r="1288" spans="12:12" x14ac:dyDescent="0.3">
      <c r="L1288" s="7" t="str">
        <f t="shared" ca="1" si="37"/>
        <v/>
      </c>
    </row>
    <row r="1289" spans="12:12" x14ac:dyDescent="0.3">
      <c r="L1289" s="7" t="str">
        <f t="shared" ca="1" si="37"/>
        <v/>
      </c>
    </row>
    <row r="1290" spans="12:12" x14ac:dyDescent="0.3">
      <c r="L1290" s="7" t="str">
        <f t="shared" ca="1" si="37"/>
        <v/>
      </c>
    </row>
    <row r="1291" spans="12:12" x14ac:dyDescent="0.3">
      <c r="L1291" s="7" t="str">
        <f t="shared" ca="1" si="37"/>
        <v/>
      </c>
    </row>
    <row r="1292" spans="12:12" x14ac:dyDescent="0.3">
      <c r="L1292" s="7" t="str">
        <f t="shared" ca="1" si="37"/>
        <v/>
      </c>
    </row>
    <row r="1293" spans="12:12" x14ac:dyDescent="0.3">
      <c r="L1293" s="7" t="str">
        <f t="shared" ca="1" si="37"/>
        <v/>
      </c>
    </row>
    <row r="1294" spans="12:12" x14ac:dyDescent="0.3">
      <c r="L1294" s="7" t="str">
        <f t="shared" ca="1" si="37"/>
        <v/>
      </c>
    </row>
    <row r="1295" spans="12:12" x14ac:dyDescent="0.3">
      <c r="L1295" s="7" t="str">
        <f t="shared" ca="1" si="37"/>
        <v/>
      </c>
    </row>
    <row r="1296" spans="12:12" x14ac:dyDescent="0.3">
      <c r="L1296" s="7" t="str">
        <f t="shared" ca="1" si="37"/>
        <v/>
      </c>
    </row>
    <row r="1297" spans="12:12" x14ac:dyDescent="0.3">
      <c r="L1297" s="7" t="str">
        <f t="shared" ca="1" si="37"/>
        <v/>
      </c>
    </row>
    <row r="1298" spans="12:12" x14ac:dyDescent="0.3">
      <c r="L1298" s="7" t="str">
        <f t="shared" ca="1" si="37"/>
        <v/>
      </c>
    </row>
    <row r="1299" spans="12:12" x14ac:dyDescent="0.3">
      <c r="L1299" s="7" t="str">
        <f t="shared" ca="1" si="37"/>
        <v/>
      </c>
    </row>
    <row r="1300" spans="12:12" x14ac:dyDescent="0.3">
      <c r="L1300" s="7" t="str">
        <f t="shared" ca="1" si="37"/>
        <v/>
      </c>
    </row>
    <row r="1301" spans="12:12" x14ac:dyDescent="0.3">
      <c r="L1301" s="7" t="str">
        <f t="shared" ca="1" si="37"/>
        <v/>
      </c>
    </row>
    <row r="1302" spans="12:12" x14ac:dyDescent="0.3">
      <c r="L1302" s="7" t="str">
        <f t="shared" ca="1" si="37"/>
        <v/>
      </c>
    </row>
    <row r="1303" spans="12:12" x14ac:dyDescent="0.3">
      <c r="L1303" s="7" t="str">
        <f t="shared" ca="1" si="37"/>
        <v/>
      </c>
    </row>
    <row r="1304" spans="12:12" x14ac:dyDescent="0.3">
      <c r="L1304" s="7" t="str">
        <f t="shared" ca="1" si="37"/>
        <v/>
      </c>
    </row>
    <row r="1305" spans="12:12" x14ac:dyDescent="0.3">
      <c r="L1305" s="7" t="str">
        <f t="shared" ca="1" si="37"/>
        <v/>
      </c>
    </row>
    <row r="1306" spans="12:12" x14ac:dyDescent="0.3">
      <c r="L1306" s="7" t="str">
        <f t="shared" ca="1" si="37"/>
        <v/>
      </c>
    </row>
    <row r="1307" spans="12:12" x14ac:dyDescent="0.3">
      <c r="L1307" s="7" t="str">
        <f t="shared" ca="1" si="37"/>
        <v/>
      </c>
    </row>
    <row r="1308" spans="12:12" x14ac:dyDescent="0.3">
      <c r="L1308" s="7" t="str">
        <f t="shared" ca="1" si="37"/>
        <v/>
      </c>
    </row>
    <row r="1309" spans="12:12" x14ac:dyDescent="0.3">
      <c r="L1309" s="7" t="str">
        <f t="shared" ca="1" si="37"/>
        <v/>
      </c>
    </row>
    <row r="1310" spans="12:12" x14ac:dyDescent="0.3">
      <c r="L1310" s="7" t="str">
        <f t="shared" ca="1" si="37"/>
        <v/>
      </c>
    </row>
    <row r="1311" spans="12:12" x14ac:dyDescent="0.3">
      <c r="L1311" s="7" t="str">
        <f t="shared" ca="1" si="37"/>
        <v/>
      </c>
    </row>
    <row r="1312" spans="12:12" x14ac:dyDescent="0.3">
      <c r="L1312" s="7" t="str">
        <f t="shared" ca="1" si="37"/>
        <v/>
      </c>
    </row>
    <row r="1313" spans="12:12" x14ac:dyDescent="0.3">
      <c r="L1313" s="7" t="str">
        <f t="shared" ca="1" si="37"/>
        <v/>
      </c>
    </row>
    <row r="1314" spans="12:12" x14ac:dyDescent="0.3">
      <c r="L1314" s="7" t="str">
        <f t="shared" ca="1" si="37"/>
        <v/>
      </c>
    </row>
    <row r="1315" spans="12:12" x14ac:dyDescent="0.3">
      <c r="L1315" s="7" t="str">
        <f t="shared" ca="1" si="37"/>
        <v/>
      </c>
    </row>
    <row r="1316" spans="12:12" x14ac:dyDescent="0.3">
      <c r="L1316" s="7" t="str">
        <f t="shared" ca="1" si="37"/>
        <v/>
      </c>
    </row>
    <row r="1317" spans="12:12" x14ac:dyDescent="0.3">
      <c r="L1317" s="7" t="str">
        <f t="shared" ca="1" si="37"/>
        <v/>
      </c>
    </row>
    <row r="1318" spans="12:12" x14ac:dyDescent="0.3">
      <c r="L1318" s="7" t="str">
        <f t="shared" ca="1" si="37"/>
        <v/>
      </c>
    </row>
    <row r="1319" spans="12:12" x14ac:dyDescent="0.3">
      <c r="L1319" s="7" t="str">
        <f t="shared" ca="1" si="37"/>
        <v/>
      </c>
    </row>
    <row r="1320" spans="12:12" x14ac:dyDescent="0.3">
      <c r="L1320" s="7" t="str">
        <f t="shared" ca="1" si="37"/>
        <v/>
      </c>
    </row>
    <row r="1321" spans="12:12" x14ac:dyDescent="0.3">
      <c r="L1321" s="7" t="str">
        <f t="shared" ca="1" si="37"/>
        <v/>
      </c>
    </row>
    <row r="1322" spans="12:12" x14ac:dyDescent="0.3">
      <c r="L1322" s="7" t="str">
        <f t="shared" ca="1" si="37"/>
        <v/>
      </c>
    </row>
    <row r="1323" spans="12:12" x14ac:dyDescent="0.3">
      <c r="L1323" s="7" t="str">
        <f t="shared" ca="1" si="37"/>
        <v/>
      </c>
    </row>
    <row r="1324" spans="12:12" x14ac:dyDescent="0.3">
      <c r="L1324" s="7" t="str">
        <f t="shared" ca="1" si="37"/>
        <v/>
      </c>
    </row>
    <row r="1325" spans="12:12" x14ac:dyDescent="0.3">
      <c r="L1325" s="7" t="str">
        <f t="shared" ca="1" si="37"/>
        <v/>
      </c>
    </row>
    <row r="1326" spans="12:12" x14ac:dyDescent="0.3">
      <c r="L1326" s="7" t="str">
        <f t="shared" ca="1" si="37"/>
        <v/>
      </c>
    </row>
    <row r="1327" spans="12:12" x14ac:dyDescent="0.3">
      <c r="L1327" s="7" t="str">
        <f t="shared" ca="1" si="37"/>
        <v/>
      </c>
    </row>
    <row r="1328" spans="12:12" x14ac:dyDescent="0.3">
      <c r="L1328" s="7" t="str">
        <f t="shared" ca="1" si="37"/>
        <v/>
      </c>
    </row>
    <row r="1329" spans="12:12" x14ac:dyDescent="0.3">
      <c r="L1329" s="7" t="str">
        <f t="shared" ca="1" si="37"/>
        <v/>
      </c>
    </row>
    <row r="1330" spans="12:12" x14ac:dyDescent="0.3">
      <c r="L1330" s="7" t="str">
        <f t="shared" ca="1" si="37"/>
        <v/>
      </c>
    </row>
    <row r="1331" spans="12:12" x14ac:dyDescent="0.3">
      <c r="L1331" s="7" t="str">
        <f t="shared" ca="1" si="37"/>
        <v/>
      </c>
    </row>
    <row r="1332" spans="12:12" x14ac:dyDescent="0.3">
      <c r="L1332" s="7" t="str">
        <f t="shared" ca="1" si="37"/>
        <v/>
      </c>
    </row>
    <row r="1333" spans="12:12" x14ac:dyDescent="0.3">
      <c r="L1333" s="7" t="str">
        <f t="shared" ca="1" si="37"/>
        <v/>
      </c>
    </row>
    <row r="1334" spans="12:12" x14ac:dyDescent="0.3">
      <c r="L1334" s="7" t="str">
        <f t="shared" ca="1" si="37"/>
        <v/>
      </c>
    </row>
    <row r="1335" spans="12:12" x14ac:dyDescent="0.3">
      <c r="L1335" s="7" t="str">
        <f t="shared" ca="1" si="37"/>
        <v/>
      </c>
    </row>
    <row r="1336" spans="12:12" x14ac:dyDescent="0.3">
      <c r="L1336" s="7" t="str">
        <f t="shared" ca="1" si="37"/>
        <v/>
      </c>
    </row>
    <row r="1337" spans="12:12" x14ac:dyDescent="0.3">
      <c r="L1337" s="7" t="str">
        <f t="shared" ca="1" si="37"/>
        <v/>
      </c>
    </row>
    <row r="1338" spans="12:12" x14ac:dyDescent="0.3">
      <c r="L1338" s="7" t="str">
        <f t="shared" ca="1" si="37"/>
        <v/>
      </c>
    </row>
    <row r="1339" spans="12:12" x14ac:dyDescent="0.3">
      <c r="L1339" s="7" t="str">
        <f t="shared" ca="1" si="37"/>
        <v/>
      </c>
    </row>
    <row r="1340" spans="12:12" x14ac:dyDescent="0.3">
      <c r="L1340" s="7" t="str">
        <f t="shared" ca="1" si="37"/>
        <v/>
      </c>
    </row>
    <row r="1341" spans="12:12" x14ac:dyDescent="0.3">
      <c r="L1341" s="7" t="str">
        <f t="shared" ca="1" si="37"/>
        <v/>
      </c>
    </row>
    <row r="1342" spans="12:12" x14ac:dyDescent="0.3">
      <c r="L1342" s="7" t="str">
        <f t="shared" ca="1" si="37"/>
        <v/>
      </c>
    </row>
    <row r="1343" spans="12:12" x14ac:dyDescent="0.3">
      <c r="L1343" s="7" t="str">
        <f t="shared" ca="1" si="37"/>
        <v/>
      </c>
    </row>
    <row r="1344" spans="12:12" x14ac:dyDescent="0.3">
      <c r="L1344" s="7" t="str">
        <f t="shared" ca="1" si="37"/>
        <v/>
      </c>
    </row>
    <row r="1345" spans="12:12" x14ac:dyDescent="0.3">
      <c r="L1345" s="7" t="str">
        <f t="shared" ca="1" si="37"/>
        <v/>
      </c>
    </row>
    <row r="1346" spans="12:12" x14ac:dyDescent="0.3">
      <c r="L1346" s="7" t="str">
        <f t="shared" ca="1" si="37"/>
        <v/>
      </c>
    </row>
    <row r="1347" spans="12:12" x14ac:dyDescent="0.3">
      <c r="L1347" s="7" t="str">
        <f t="shared" ca="1" si="37"/>
        <v/>
      </c>
    </row>
    <row r="1348" spans="12:12" x14ac:dyDescent="0.3">
      <c r="L1348" s="7" t="str">
        <f t="shared" ref="L1348:L1411" ca="1" si="38">IF(I1348="Completed",0,IF(H1348="","",H1348-TODAY()))</f>
        <v/>
      </c>
    </row>
    <row r="1349" spans="12:12" x14ac:dyDescent="0.3">
      <c r="L1349" s="7" t="str">
        <f t="shared" ca="1" si="38"/>
        <v/>
      </c>
    </row>
    <row r="1350" spans="12:12" x14ac:dyDescent="0.3">
      <c r="L1350" s="7" t="str">
        <f t="shared" ca="1" si="38"/>
        <v/>
      </c>
    </row>
    <row r="1351" spans="12:12" x14ac:dyDescent="0.3">
      <c r="L1351" s="7" t="str">
        <f t="shared" ca="1" si="38"/>
        <v/>
      </c>
    </row>
    <row r="1352" spans="12:12" x14ac:dyDescent="0.3">
      <c r="L1352" s="7" t="str">
        <f t="shared" ca="1" si="38"/>
        <v/>
      </c>
    </row>
    <row r="1353" spans="12:12" x14ac:dyDescent="0.3">
      <c r="L1353" s="7" t="str">
        <f t="shared" ca="1" si="38"/>
        <v/>
      </c>
    </row>
    <row r="1354" spans="12:12" x14ac:dyDescent="0.3">
      <c r="L1354" s="7" t="str">
        <f t="shared" ca="1" si="38"/>
        <v/>
      </c>
    </row>
    <row r="1355" spans="12:12" x14ac:dyDescent="0.3">
      <c r="L1355" s="7" t="str">
        <f t="shared" ca="1" si="38"/>
        <v/>
      </c>
    </row>
    <row r="1356" spans="12:12" x14ac:dyDescent="0.3">
      <c r="L1356" s="7" t="str">
        <f t="shared" ca="1" si="38"/>
        <v/>
      </c>
    </row>
    <row r="1357" spans="12:12" x14ac:dyDescent="0.3">
      <c r="L1357" s="7" t="str">
        <f t="shared" ca="1" si="38"/>
        <v/>
      </c>
    </row>
    <row r="1358" spans="12:12" x14ac:dyDescent="0.3">
      <c r="L1358" s="7" t="str">
        <f t="shared" ca="1" si="38"/>
        <v/>
      </c>
    </row>
    <row r="1359" spans="12:12" x14ac:dyDescent="0.3">
      <c r="L1359" s="7" t="str">
        <f t="shared" ca="1" si="38"/>
        <v/>
      </c>
    </row>
    <row r="1360" spans="12:12" x14ac:dyDescent="0.3">
      <c r="L1360" s="7" t="str">
        <f t="shared" ca="1" si="38"/>
        <v/>
      </c>
    </row>
    <row r="1361" spans="12:12" x14ac:dyDescent="0.3">
      <c r="L1361" s="7" t="str">
        <f t="shared" ca="1" si="38"/>
        <v/>
      </c>
    </row>
    <row r="1362" spans="12:12" x14ac:dyDescent="0.3">
      <c r="L1362" s="7" t="str">
        <f t="shared" ca="1" si="38"/>
        <v/>
      </c>
    </row>
    <row r="1363" spans="12:12" x14ac:dyDescent="0.3">
      <c r="L1363" s="7" t="str">
        <f t="shared" ca="1" si="38"/>
        <v/>
      </c>
    </row>
    <row r="1364" spans="12:12" x14ac:dyDescent="0.3">
      <c r="L1364" s="7" t="str">
        <f t="shared" ca="1" si="38"/>
        <v/>
      </c>
    </row>
    <row r="1365" spans="12:12" x14ac:dyDescent="0.3">
      <c r="L1365" s="7" t="str">
        <f t="shared" ca="1" si="38"/>
        <v/>
      </c>
    </row>
    <row r="1366" spans="12:12" x14ac:dyDescent="0.3">
      <c r="L1366" s="7" t="str">
        <f t="shared" ca="1" si="38"/>
        <v/>
      </c>
    </row>
    <row r="1367" spans="12:12" x14ac:dyDescent="0.3">
      <c r="L1367" s="7" t="str">
        <f t="shared" ca="1" si="38"/>
        <v/>
      </c>
    </row>
    <row r="1368" spans="12:12" x14ac:dyDescent="0.3">
      <c r="L1368" s="7" t="str">
        <f t="shared" ca="1" si="38"/>
        <v/>
      </c>
    </row>
    <row r="1369" spans="12:12" x14ac:dyDescent="0.3">
      <c r="L1369" s="7" t="str">
        <f t="shared" ca="1" si="38"/>
        <v/>
      </c>
    </row>
    <row r="1370" spans="12:12" x14ac:dyDescent="0.3">
      <c r="L1370" s="7" t="str">
        <f t="shared" ca="1" si="38"/>
        <v/>
      </c>
    </row>
    <row r="1371" spans="12:12" x14ac:dyDescent="0.3">
      <c r="L1371" s="7" t="str">
        <f t="shared" ca="1" si="38"/>
        <v/>
      </c>
    </row>
    <row r="1372" spans="12:12" x14ac:dyDescent="0.3">
      <c r="L1372" s="7" t="str">
        <f t="shared" ca="1" si="38"/>
        <v/>
      </c>
    </row>
    <row r="1373" spans="12:12" x14ac:dyDescent="0.3">
      <c r="L1373" s="7" t="str">
        <f t="shared" ca="1" si="38"/>
        <v/>
      </c>
    </row>
    <row r="1374" spans="12:12" x14ac:dyDescent="0.3">
      <c r="L1374" s="7" t="str">
        <f t="shared" ca="1" si="38"/>
        <v/>
      </c>
    </row>
    <row r="1375" spans="12:12" x14ac:dyDescent="0.3">
      <c r="L1375" s="7" t="str">
        <f t="shared" ca="1" si="38"/>
        <v/>
      </c>
    </row>
    <row r="1376" spans="12:12" x14ac:dyDescent="0.3">
      <c r="L1376" s="7" t="str">
        <f t="shared" ca="1" si="38"/>
        <v/>
      </c>
    </row>
    <row r="1377" spans="12:12" x14ac:dyDescent="0.3">
      <c r="L1377" s="7" t="str">
        <f t="shared" ca="1" si="38"/>
        <v/>
      </c>
    </row>
    <row r="1378" spans="12:12" x14ac:dyDescent="0.3">
      <c r="L1378" s="7" t="str">
        <f t="shared" ca="1" si="38"/>
        <v/>
      </c>
    </row>
    <row r="1379" spans="12:12" x14ac:dyDescent="0.3">
      <c r="L1379" s="7" t="str">
        <f t="shared" ca="1" si="38"/>
        <v/>
      </c>
    </row>
    <row r="1380" spans="12:12" x14ac:dyDescent="0.3">
      <c r="L1380" s="7" t="str">
        <f t="shared" ca="1" si="38"/>
        <v/>
      </c>
    </row>
    <row r="1381" spans="12:12" x14ac:dyDescent="0.3">
      <c r="L1381" s="7" t="str">
        <f t="shared" ca="1" si="38"/>
        <v/>
      </c>
    </row>
    <row r="1382" spans="12:12" x14ac:dyDescent="0.3">
      <c r="L1382" s="7" t="str">
        <f t="shared" ca="1" si="38"/>
        <v/>
      </c>
    </row>
    <row r="1383" spans="12:12" x14ac:dyDescent="0.3">
      <c r="L1383" s="7" t="str">
        <f t="shared" ca="1" si="38"/>
        <v/>
      </c>
    </row>
    <row r="1384" spans="12:12" x14ac:dyDescent="0.3">
      <c r="L1384" s="7" t="str">
        <f t="shared" ca="1" si="38"/>
        <v/>
      </c>
    </row>
    <row r="1385" spans="12:12" x14ac:dyDescent="0.3">
      <c r="L1385" s="7" t="str">
        <f t="shared" ca="1" si="38"/>
        <v/>
      </c>
    </row>
    <row r="1386" spans="12:12" x14ac:dyDescent="0.3">
      <c r="L1386" s="7" t="str">
        <f t="shared" ca="1" si="38"/>
        <v/>
      </c>
    </row>
    <row r="1387" spans="12:12" x14ac:dyDescent="0.3">
      <c r="L1387" s="7" t="str">
        <f t="shared" ca="1" si="38"/>
        <v/>
      </c>
    </row>
    <row r="1388" spans="12:12" x14ac:dyDescent="0.3">
      <c r="L1388" s="7" t="str">
        <f t="shared" ca="1" si="38"/>
        <v/>
      </c>
    </row>
    <row r="1389" spans="12:12" x14ac:dyDescent="0.3">
      <c r="L1389" s="7" t="str">
        <f t="shared" ca="1" si="38"/>
        <v/>
      </c>
    </row>
    <row r="1390" spans="12:12" x14ac:dyDescent="0.3">
      <c r="L1390" s="7" t="str">
        <f t="shared" ca="1" si="38"/>
        <v/>
      </c>
    </row>
    <row r="1391" spans="12:12" x14ac:dyDescent="0.3">
      <c r="L1391" s="7" t="str">
        <f t="shared" ca="1" si="38"/>
        <v/>
      </c>
    </row>
    <row r="1392" spans="12:12" x14ac:dyDescent="0.3">
      <c r="L1392" s="7" t="str">
        <f t="shared" ca="1" si="38"/>
        <v/>
      </c>
    </row>
    <row r="1393" spans="12:12" x14ac:dyDescent="0.3">
      <c r="L1393" s="7" t="str">
        <f t="shared" ca="1" si="38"/>
        <v/>
      </c>
    </row>
    <row r="1394" spans="12:12" x14ac:dyDescent="0.3">
      <c r="L1394" s="7" t="str">
        <f t="shared" ca="1" si="38"/>
        <v/>
      </c>
    </row>
    <row r="1395" spans="12:12" x14ac:dyDescent="0.3">
      <c r="L1395" s="7" t="str">
        <f t="shared" ca="1" si="38"/>
        <v/>
      </c>
    </row>
    <row r="1396" spans="12:12" x14ac:dyDescent="0.3">
      <c r="L1396" s="7" t="str">
        <f t="shared" ca="1" si="38"/>
        <v/>
      </c>
    </row>
    <row r="1397" spans="12:12" x14ac:dyDescent="0.3">
      <c r="L1397" s="7" t="str">
        <f t="shared" ca="1" si="38"/>
        <v/>
      </c>
    </row>
    <row r="1398" spans="12:12" x14ac:dyDescent="0.3">
      <c r="L1398" s="7" t="str">
        <f t="shared" ca="1" si="38"/>
        <v/>
      </c>
    </row>
    <row r="1399" spans="12:12" x14ac:dyDescent="0.3">
      <c r="L1399" s="7" t="str">
        <f t="shared" ca="1" si="38"/>
        <v/>
      </c>
    </row>
    <row r="1400" spans="12:12" x14ac:dyDescent="0.3">
      <c r="L1400" s="7" t="str">
        <f t="shared" ca="1" si="38"/>
        <v/>
      </c>
    </row>
    <row r="1401" spans="12:12" x14ac:dyDescent="0.3">
      <c r="L1401" s="7" t="str">
        <f t="shared" ca="1" si="38"/>
        <v/>
      </c>
    </row>
    <row r="1402" spans="12:12" x14ac:dyDescent="0.3">
      <c r="L1402" s="7" t="str">
        <f t="shared" ca="1" si="38"/>
        <v/>
      </c>
    </row>
    <row r="1403" spans="12:12" x14ac:dyDescent="0.3">
      <c r="L1403" s="7" t="str">
        <f t="shared" ca="1" si="38"/>
        <v/>
      </c>
    </row>
    <row r="1404" spans="12:12" x14ac:dyDescent="0.3">
      <c r="L1404" s="7" t="str">
        <f t="shared" ca="1" si="38"/>
        <v/>
      </c>
    </row>
    <row r="1405" spans="12:12" x14ac:dyDescent="0.3">
      <c r="L1405" s="7" t="str">
        <f t="shared" ca="1" si="38"/>
        <v/>
      </c>
    </row>
    <row r="1406" spans="12:12" x14ac:dyDescent="0.3">
      <c r="L1406" s="7" t="str">
        <f t="shared" ca="1" si="38"/>
        <v/>
      </c>
    </row>
    <row r="1407" spans="12:12" x14ac:dyDescent="0.3">
      <c r="L1407" s="7" t="str">
        <f t="shared" ca="1" si="38"/>
        <v/>
      </c>
    </row>
    <row r="1408" spans="12:12" x14ac:dyDescent="0.3">
      <c r="L1408" s="7" t="str">
        <f t="shared" ca="1" si="38"/>
        <v/>
      </c>
    </row>
    <row r="1409" spans="12:12" x14ac:dyDescent="0.3">
      <c r="L1409" s="7" t="str">
        <f t="shared" ca="1" si="38"/>
        <v/>
      </c>
    </row>
    <row r="1410" spans="12:12" x14ac:dyDescent="0.3">
      <c r="L1410" s="7" t="str">
        <f t="shared" ca="1" si="38"/>
        <v/>
      </c>
    </row>
    <row r="1411" spans="12:12" x14ac:dyDescent="0.3">
      <c r="L1411" s="7" t="str">
        <f t="shared" ca="1" si="38"/>
        <v/>
      </c>
    </row>
    <row r="1412" spans="12:12" x14ac:dyDescent="0.3">
      <c r="L1412" s="7" t="str">
        <f t="shared" ref="L1412:L1475" ca="1" si="39">IF(I1412="Completed",0,IF(H1412="","",H1412-TODAY()))</f>
        <v/>
      </c>
    </row>
    <row r="1413" spans="12:12" x14ac:dyDescent="0.3">
      <c r="L1413" s="7" t="str">
        <f t="shared" ca="1" si="39"/>
        <v/>
      </c>
    </row>
    <row r="1414" spans="12:12" x14ac:dyDescent="0.3">
      <c r="L1414" s="7" t="str">
        <f t="shared" ca="1" si="39"/>
        <v/>
      </c>
    </row>
    <row r="1415" spans="12:12" x14ac:dyDescent="0.3">
      <c r="L1415" s="7" t="str">
        <f t="shared" ca="1" si="39"/>
        <v/>
      </c>
    </row>
    <row r="1416" spans="12:12" x14ac:dyDescent="0.3">
      <c r="L1416" s="7" t="str">
        <f t="shared" ca="1" si="39"/>
        <v/>
      </c>
    </row>
    <row r="1417" spans="12:12" x14ac:dyDescent="0.3">
      <c r="L1417" s="7" t="str">
        <f t="shared" ca="1" si="39"/>
        <v/>
      </c>
    </row>
    <row r="1418" spans="12:12" x14ac:dyDescent="0.3">
      <c r="L1418" s="7" t="str">
        <f t="shared" ca="1" si="39"/>
        <v/>
      </c>
    </row>
    <row r="1419" spans="12:12" x14ac:dyDescent="0.3">
      <c r="L1419" s="7" t="str">
        <f t="shared" ca="1" si="39"/>
        <v/>
      </c>
    </row>
    <row r="1420" spans="12:12" x14ac:dyDescent="0.3">
      <c r="L1420" s="7" t="str">
        <f t="shared" ca="1" si="39"/>
        <v/>
      </c>
    </row>
    <row r="1421" spans="12:12" x14ac:dyDescent="0.3">
      <c r="L1421" s="7" t="str">
        <f t="shared" ca="1" si="39"/>
        <v/>
      </c>
    </row>
    <row r="1422" spans="12:12" x14ac:dyDescent="0.3">
      <c r="L1422" s="7" t="str">
        <f t="shared" ca="1" si="39"/>
        <v/>
      </c>
    </row>
    <row r="1423" spans="12:12" x14ac:dyDescent="0.3">
      <c r="L1423" s="7" t="str">
        <f t="shared" ca="1" si="39"/>
        <v/>
      </c>
    </row>
    <row r="1424" spans="12:12" x14ac:dyDescent="0.3">
      <c r="L1424" s="7" t="str">
        <f t="shared" ca="1" si="39"/>
        <v/>
      </c>
    </row>
    <row r="1425" spans="12:12" x14ac:dyDescent="0.3">
      <c r="L1425" s="7" t="str">
        <f t="shared" ca="1" si="39"/>
        <v/>
      </c>
    </row>
    <row r="1426" spans="12:12" x14ac:dyDescent="0.3">
      <c r="L1426" s="7" t="str">
        <f t="shared" ca="1" si="39"/>
        <v/>
      </c>
    </row>
    <row r="1427" spans="12:12" x14ac:dyDescent="0.3">
      <c r="L1427" s="7" t="str">
        <f t="shared" ca="1" si="39"/>
        <v/>
      </c>
    </row>
    <row r="1428" spans="12:12" x14ac:dyDescent="0.3">
      <c r="L1428" s="7" t="str">
        <f t="shared" ca="1" si="39"/>
        <v/>
      </c>
    </row>
    <row r="1429" spans="12:12" x14ac:dyDescent="0.3">
      <c r="L1429" s="7" t="str">
        <f t="shared" ca="1" si="39"/>
        <v/>
      </c>
    </row>
    <row r="1430" spans="12:12" x14ac:dyDescent="0.3">
      <c r="L1430" s="7" t="str">
        <f t="shared" ca="1" si="39"/>
        <v/>
      </c>
    </row>
    <row r="1431" spans="12:12" x14ac:dyDescent="0.3">
      <c r="L1431" s="7" t="str">
        <f t="shared" ca="1" si="39"/>
        <v/>
      </c>
    </row>
    <row r="1432" spans="12:12" x14ac:dyDescent="0.3">
      <c r="L1432" s="7" t="str">
        <f t="shared" ca="1" si="39"/>
        <v/>
      </c>
    </row>
    <row r="1433" spans="12:12" x14ac:dyDescent="0.3">
      <c r="L1433" s="7" t="str">
        <f t="shared" ca="1" si="39"/>
        <v/>
      </c>
    </row>
    <row r="1434" spans="12:12" x14ac:dyDescent="0.3">
      <c r="L1434" s="7" t="str">
        <f t="shared" ca="1" si="39"/>
        <v/>
      </c>
    </row>
    <row r="1435" spans="12:12" x14ac:dyDescent="0.3">
      <c r="L1435" s="7" t="str">
        <f t="shared" ca="1" si="39"/>
        <v/>
      </c>
    </row>
    <row r="1436" spans="12:12" x14ac:dyDescent="0.3">
      <c r="L1436" s="7" t="str">
        <f t="shared" ca="1" si="39"/>
        <v/>
      </c>
    </row>
    <row r="1437" spans="12:12" x14ac:dyDescent="0.3">
      <c r="L1437" s="7" t="str">
        <f t="shared" ca="1" si="39"/>
        <v/>
      </c>
    </row>
    <row r="1438" spans="12:12" x14ac:dyDescent="0.3">
      <c r="L1438" s="7" t="str">
        <f t="shared" ca="1" si="39"/>
        <v/>
      </c>
    </row>
    <row r="1439" spans="12:12" x14ac:dyDescent="0.3">
      <c r="L1439" s="7" t="str">
        <f t="shared" ca="1" si="39"/>
        <v/>
      </c>
    </row>
    <row r="1440" spans="12:12" x14ac:dyDescent="0.3">
      <c r="L1440" s="7" t="str">
        <f t="shared" ca="1" si="39"/>
        <v/>
      </c>
    </row>
    <row r="1441" spans="12:12" x14ac:dyDescent="0.3">
      <c r="L1441" s="7" t="str">
        <f t="shared" ca="1" si="39"/>
        <v/>
      </c>
    </row>
    <row r="1442" spans="12:12" x14ac:dyDescent="0.3">
      <c r="L1442" s="7" t="str">
        <f t="shared" ca="1" si="39"/>
        <v/>
      </c>
    </row>
    <row r="1443" spans="12:12" x14ac:dyDescent="0.3">
      <c r="L1443" s="7" t="str">
        <f t="shared" ca="1" si="39"/>
        <v/>
      </c>
    </row>
    <row r="1444" spans="12:12" x14ac:dyDescent="0.3">
      <c r="L1444" s="7" t="str">
        <f t="shared" ca="1" si="39"/>
        <v/>
      </c>
    </row>
    <row r="1445" spans="12:12" x14ac:dyDescent="0.3">
      <c r="L1445" s="7" t="str">
        <f t="shared" ca="1" si="39"/>
        <v/>
      </c>
    </row>
    <row r="1446" spans="12:12" x14ac:dyDescent="0.3">
      <c r="L1446" s="7" t="str">
        <f t="shared" ca="1" si="39"/>
        <v/>
      </c>
    </row>
    <row r="1447" spans="12:12" x14ac:dyDescent="0.3">
      <c r="L1447" s="7" t="str">
        <f t="shared" ca="1" si="39"/>
        <v/>
      </c>
    </row>
    <row r="1448" spans="12:12" x14ac:dyDescent="0.3">
      <c r="L1448" s="7" t="str">
        <f t="shared" ca="1" si="39"/>
        <v/>
      </c>
    </row>
    <row r="1449" spans="12:12" x14ac:dyDescent="0.3">
      <c r="L1449" s="7" t="str">
        <f t="shared" ca="1" si="39"/>
        <v/>
      </c>
    </row>
    <row r="1450" spans="12:12" x14ac:dyDescent="0.3">
      <c r="L1450" s="7" t="str">
        <f t="shared" ca="1" si="39"/>
        <v/>
      </c>
    </row>
    <row r="1451" spans="12:12" x14ac:dyDescent="0.3">
      <c r="L1451" s="7" t="str">
        <f t="shared" ca="1" si="39"/>
        <v/>
      </c>
    </row>
    <row r="1452" spans="12:12" x14ac:dyDescent="0.3">
      <c r="L1452" s="7" t="str">
        <f t="shared" ca="1" si="39"/>
        <v/>
      </c>
    </row>
    <row r="1453" spans="12:12" x14ac:dyDescent="0.3">
      <c r="L1453" s="7" t="str">
        <f t="shared" ca="1" si="39"/>
        <v/>
      </c>
    </row>
    <row r="1454" spans="12:12" x14ac:dyDescent="0.3">
      <c r="L1454" s="7" t="str">
        <f t="shared" ca="1" si="39"/>
        <v/>
      </c>
    </row>
    <row r="1455" spans="12:12" x14ac:dyDescent="0.3">
      <c r="L1455" s="7" t="str">
        <f t="shared" ca="1" si="39"/>
        <v/>
      </c>
    </row>
    <row r="1456" spans="12:12" x14ac:dyDescent="0.3">
      <c r="L1456" s="7" t="str">
        <f t="shared" ca="1" si="39"/>
        <v/>
      </c>
    </row>
    <row r="1457" spans="12:12" x14ac:dyDescent="0.3">
      <c r="L1457" s="7" t="str">
        <f t="shared" ca="1" si="39"/>
        <v/>
      </c>
    </row>
    <row r="1458" spans="12:12" x14ac:dyDescent="0.3">
      <c r="L1458" s="7" t="str">
        <f t="shared" ca="1" si="39"/>
        <v/>
      </c>
    </row>
    <row r="1459" spans="12:12" x14ac:dyDescent="0.3">
      <c r="L1459" s="7" t="str">
        <f t="shared" ca="1" si="39"/>
        <v/>
      </c>
    </row>
    <row r="1460" spans="12:12" x14ac:dyDescent="0.3">
      <c r="L1460" s="7" t="str">
        <f t="shared" ca="1" si="39"/>
        <v/>
      </c>
    </row>
    <row r="1461" spans="12:12" x14ac:dyDescent="0.3">
      <c r="L1461" s="7" t="str">
        <f t="shared" ca="1" si="39"/>
        <v/>
      </c>
    </row>
    <row r="1462" spans="12:12" x14ac:dyDescent="0.3">
      <c r="L1462" s="7" t="str">
        <f t="shared" ca="1" si="39"/>
        <v/>
      </c>
    </row>
    <row r="1463" spans="12:12" x14ac:dyDescent="0.3">
      <c r="L1463" s="7" t="str">
        <f t="shared" ca="1" si="39"/>
        <v/>
      </c>
    </row>
    <row r="1464" spans="12:12" x14ac:dyDescent="0.3">
      <c r="L1464" s="7" t="str">
        <f t="shared" ca="1" si="39"/>
        <v/>
      </c>
    </row>
    <row r="1465" spans="12:12" x14ac:dyDescent="0.3">
      <c r="L1465" s="7" t="str">
        <f t="shared" ca="1" si="39"/>
        <v/>
      </c>
    </row>
    <row r="1466" spans="12:12" x14ac:dyDescent="0.3">
      <c r="L1466" s="7" t="str">
        <f t="shared" ca="1" si="39"/>
        <v/>
      </c>
    </row>
    <row r="1467" spans="12:12" x14ac:dyDescent="0.3">
      <c r="L1467" s="7" t="str">
        <f t="shared" ca="1" si="39"/>
        <v/>
      </c>
    </row>
    <row r="1468" spans="12:12" x14ac:dyDescent="0.3">
      <c r="L1468" s="7" t="str">
        <f t="shared" ca="1" si="39"/>
        <v/>
      </c>
    </row>
    <row r="1469" spans="12:12" x14ac:dyDescent="0.3">
      <c r="L1469" s="7" t="str">
        <f t="shared" ca="1" si="39"/>
        <v/>
      </c>
    </row>
    <row r="1470" spans="12:12" x14ac:dyDescent="0.3">
      <c r="L1470" s="7" t="str">
        <f t="shared" ca="1" si="39"/>
        <v/>
      </c>
    </row>
    <row r="1471" spans="12:12" x14ac:dyDescent="0.3">
      <c r="L1471" s="7" t="str">
        <f t="shared" ca="1" si="39"/>
        <v/>
      </c>
    </row>
    <row r="1472" spans="12:12" x14ac:dyDescent="0.3">
      <c r="L1472" s="7" t="str">
        <f t="shared" ca="1" si="39"/>
        <v/>
      </c>
    </row>
    <row r="1473" spans="12:12" x14ac:dyDescent="0.3">
      <c r="L1473" s="7" t="str">
        <f t="shared" ca="1" si="39"/>
        <v/>
      </c>
    </row>
    <row r="1474" spans="12:12" x14ac:dyDescent="0.3">
      <c r="L1474" s="7" t="str">
        <f t="shared" ca="1" si="39"/>
        <v/>
      </c>
    </row>
    <row r="1475" spans="12:12" x14ac:dyDescent="0.3">
      <c r="L1475" s="7" t="str">
        <f t="shared" ca="1" si="39"/>
        <v/>
      </c>
    </row>
    <row r="1476" spans="12:12" x14ac:dyDescent="0.3">
      <c r="L1476" s="7" t="str">
        <f t="shared" ref="L1476:L1539" ca="1" si="40">IF(I1476="Completed",0,IF(H1476="","",H1476-TODAY()))</f>
        <v/>
      </c>
    </row>
    <row r="1477" spans="12:12" x14ac:dyDescent="0.3">
      <c r="L1477" s="7" t="str">
        <f t="shared" ca="1" si="40"/>
        <v/>
      </c>
    </row>
    <row r="1478" spans="12:12" x14ac:dyDescent="0.3">
      <c r="L1478" s="7" t="str">
        <f t="shared" ca="1" si="40"/>
        <v/>
      </c>
    </row>
    <row r="1479" spans="12:12" x14ac:dyDescent="0.3">
      <c r="L1479" s="7" t="str">
        <f t="shared" ca="1" si="40"/>
        <v/>
      </c>
    </row>
    <row r="1480" spans="12:12" x14ac:dyDescent="0.3">
      <c r="L1480" s="7" t="str">
        <f t="shared" ca="1" si="40"/>
        <v/>
      </c>
    </row>
    <row r="1481" spans="12:12" x14ac:dyDescent="0.3">
      <c r="L1481" s="7" t="str">
        <f t="shared" ca="1" si="40"/>
        <v/>
      </c>
    </row>
    <row r="1482" spans="12:12" x14ac:dyDescent="0.3">
      <c r="L1482" s="7" t="str">
        <f t="shared" ca="1" si="40"/>
        <v/>
      </c>
    </row>
    <row r="1483" spans="12:12" x14ac:dyDescent="0.3">
      <c r="L1483" s="7" t="str">
        <f t="shared" ca="1" si="40"/>
        <v/>
      </c>
    </row>
    <row r="1484" spans="12:12" x14ac:dyDescent="0.3">
      <c r="L1484" s="7" t="str">
        <f t="shared" ca="1" si="40"/>
        <v/>
      </c>
    </row>
    <row r="1485" spans="12:12" x14ac:dyDescent="0.3">
      <c r="L1485" s="7" t="str">
        <f t="shared" ca="1" si="40"/>
        <v/>
      </c>
    </row>
    <row r="1486" spans="12:12" x14ac:dyDescent="0.3">
      <c r="L1486" s="7" t="str">
        <f t="shared" ca="1" si="40"/>
        <v/>
      </c>
    </row>
    <row r="1487" spans="12:12" x14ac:dyDescent="0.3">
      <c r="L1487" s="7" t="str">
        <f t="shared" ca="1" si="40"/>
        <v/>
      </c>
    </row>
    <row r="1488" spans="12:12" x14ac:dyDescent="0.3">
      <c r="L1488" s="7" t="str">
        <f t="shared" ca="1" si="40"/>
        <v/>
      </c>
    </row>
    <row r="1489" spans="12:12" x14ac:dyDescent="0.3">
      <c r="L1489" s="7" t="str">
        <f t="shared" ca="1" si="40"/>
        <v/>
      </c>
    </row>
    <row r="1490" spans="12:12" x14ac:dyDescent="0.3">
      <c r="L1490" s="7" t="str">
        <f t="shared" ca="1" si="40"/>
        <v/>
      </c>
    </row>
    <row r="1491" spans="12:12" x14ac:dyDescent="0.3">
      <c r="L1491" s="7" t="str">
        <f t="shared" ca="1" si="40"/>
        <v/>
      </c>
    </row>
    <row r="1492" spans="12:12" x14ac:dyDescent="0.3">
      <c r="L1492" s="7" t="str">
        <f t="shared" ca="1" si="40"/>
        <v/>
      </c>
    </row>
    <row r="1493" spans="12:12" x14ac:dyDescent="0.3">
      <c r="L1493" s="7" t="str">
        <f t="shared" ca="1" si="40"/>
        <v/>
      </c>
    </row>
    <row r="1494" spans="12:12" x14ac:dyDescent="0.3">
      <c r="L1494" s="7" t="str">
        <f t="shared" ca="1" si="40"/>
        <v/>
      </c>
    </row>
    <row r="1495" spans="12:12" x14ac:dyDescent="0.3">
      <c r="L1495" s="7" t="str">
        <f t="shared" ca="1" si="40"/>
        <v/>
      </c>
    </row>
    <row r="1496" spans="12:12" x14ac:dyDescent="0.3">
      <c r="L1496" s="7" t="str">
        <f t="shared" ca="1" si="40"/>
        <v/>
      </c>
    </row>
    <row r="1497" spans="12:12" x14ac:dyDescent="0.3">
      <c r="L1497" s="7" t="str">
        <f t="shared" ca="1" si="40"/>
        <v/>
      </c>
    </row>
    <row r="1498" spans="12:12" x14ac:dyDescent="0.3">
      <c r="L1498" s="7" t="str">
        <f t="shared" ca="1" si="40"/>
        <v/>
      </c>
    </row>
    <row r="1499" spans="12:12" x14ac:dyDescent="0.3">
      <c r="L1499" s="7" t="str">
        <f t="shared" ca="1" si="40"/>
        <v/>
      </c>
    </row>
    <row r="1500" spans="12:12" x14ac:dyDescent="0.3">
      <c r="L1500" s="7" t="str">
        <f t="shared" ca="1" si="40"/>
        <v/>
      </c>
    </row>
    <row r="1501" spans="12:12" x14ac:dyDescent="0.3">
      <c r="L1501" s="7" t="str">
        <f t="shared" ca="1" si="40"/>
        <v/>
      </c>
    </row>
    <row r="1502" spans="12:12" x14ac:dyDescent="0.3">
      <c r="L1502" s="7" t="str">
        <f t="shared" ca="1" si="40"/>
        <v/>
      </c>
    </row>
    <row r="1503" spans="12:12" x14ac:dyDescent="0.3">
      <c r="L1503" s="7" t="str">
        <f t="shared" ca="1" si="40"/>
        <v/>
      </c>
    </row>
    <row r="1504" spans="12:12" x14ac:dyDescent="0.3">
      <c r="L1504" s="7" t="str">
        <f t="shared" ca="1" si="40"/>
        <v/>
      </c>
    </row>
    <row r="1505" spans="12:12" x14ac:dyDescent="0.3">
      <c r="L1505" s="7" t="str">
        <f t="shared" ca="1" si="40"/>
        <v/>
      </c>
    </row>
    <row r="1506" spans="12:12" x14ac:dyDescent="0.3">
      <c r="L1506" s="7" t="str">
        <f t="shared" ca="1" si="40"/>
        <v/>
      </c>
    </row>
    <row r="1507" spans="12:12" x14ac:dyDescent="0.3">
      <c r="L1507" s="7" t="str">
        <f t="shared" ca="1" si="40"/>
        <v/>
      </c>
    </row>
    <row r="1508" spans="12:12" x14ac:dyDescent="0.3">
      <c r="L1508" s="7" t="str">
        <f t="shared" ca="1" si="40"/>
        <v/>
      </c>
    </row>
    <row r="1509" spans="12:12" x14ac:dyDescent="0.3">
      <c r="L1509" s="7" t="str">
        <f t="shared" ca="1" si="40"/>
        <v/>
      </c>
    </row>
    <row r="1510" spans="12:12" x14ac:dyDescent="0.3">
      <c r="L1510" s="7" t="str">
        <f t="shared" ca="1" si="40"/>
        <v/>
      </c>
    </row>
    <row r="1511" spans="12:12" x14ac:dyDescent="0.3">
      <c r="L1511" s="7" t="str">
        <f t="shared" ca="1" si="40"/>
        <v/>
      </c>
    </row>
    <row r="1512" spans="12:12" x14ac:dyDescent="0.3">
      <c r="L1512" s="7" t="str">
        <f t="shared" ca="1" si="40"/>
        <v/>
      </c>
    </row>
    <row r="1513" spans="12:12" x14ac:dyDescent="0.3">
      <c r="L1513" s="7" t="str">
        <f t="shared" ca="1" si="40"/>
        <v/>
      </c>
    </row>
    <row r="1514" spans="12:12" x14ac:dyDescent="0.3">
      <c r="L1514" s="7" t="str">
        <f t="shared" ca="1" si="40"/>
        <v/>
      </c>
    </row>
    <row r="1515" spans="12:12" x14ac:dyDescent="0.3">
      <c r="L1515" s="7" t="str">
        <f t="shared" ca="1" si="40"/>
        <v/>
      </c>
    </row>
    <row r="1516" spans="12:12" x14ac:dyDescent="0.3">
      <c r="L1516" s="7" t="str">
        <f t="shared" ca="1" si="40"/>
        <v/>
      </c>
    </row>
    <row r="1517" spans="12:12" x14ac:dyDescent="0.3">
      <c r="L1517" s="7" t="str">
        <f t="shared" ca="1" si="40"/>
        <v/>
      </c>
    </row>
    <row r="1518" spans="12:12" x14ac:dyDescent="0.3">
      <c r="L1518" s="7" t="str">
        <f t="shared" ca="1" si="40"/>
        <v/>
      </c>
    </row>
    <row r="1519" spans="12:12" x14ac:dyDescent="0.3">
      <c r="L1519" s="7" t="str">
        <f t="shared" ca="1" si="40"/>
        <v/>
      </c>
    </row>
    <row r="1520" spans="12:12" x14ac:dyDescent="0.3">
      <c r="L1520" s="7" t="str">
        <f t="shared" ca="1" si="40"/>
        <v/>
      </c>
    </row>
    <row r="1521" spans="12:12" x14ac:dyDescent="0.3">
      <c r="L1521" s="7" t="str">
        <f t="shared" ca="1" si="40"/>
        <v/>
      </c>
    </row>
    <row r="1522" spans="12:12" x14ac:dyDescent="0.3">
      <c r="L1522" s="7" t="str">
        <f t="shared" ca="1" si="40"/>
        <v/>
      </c>
    </row>
    <row r="1523" spans="12:12" x14ac:dyDescent="0.3">
      <c r="L1523" s="7" t="str">
        <f t="shared" ca="1" si="40"/>
        <v/>
      </c>
    </row>
    <row r="1524" spans="12:12" x14ac:dyDescent="0.3">
      <c r="L1524" s="7" t="str">
        <f t="shared" ca="1" si="40"/>
        <v/>
      </c>
    </row>
    <row r="1525" spans="12:12" x14ac:dyDescent="0.3">
      <c r="L1525" s="7" t="str">
        <f t="shared" ca="1" si="40"/>
        <v/>
      </c>
    </row>
    <row r="1526" spans="12:12" x14ac:dyDescent="0.3">
      <c r="L1526" s="7" t="str">
        <f t="shared" ca="1" si="40"/>
        <v/>
      </c>
    </row>
    <row r="1527" spans="12:12" x14ac:dyDescent="0.3">
      <c r="L1527" s="7" t="str">
        <f t="shared" ca="1" si="40"/>
        <v/>
      </c>
    </row>
    <row r="1528" spans="12:12" x14ac:dyDescent="0.3">
      <c r="L1528" s="7" t="str">
        <f t="shared" ca="1" si="40"/>
        <v/>
      </c>
    </row>
    <row r="1529" spans="12:12" x14ac:dyDescent="0.3">
      <c r="L1529" s="7" t="str">
        <f t="shared" ca="1" si="40"/>
        <v/>
      </c>
    </row>
    <row r="1530" spans="12:12" x14ac:dyDescent="0.3">
      <c r="L1530" s="7" t="str">
        <f t="shared" ca="1" si="40"/>
        <v/>
      </c>
    </row>
    <row r="1531" spans="12:12" x14ac:dyDescent="0.3">
      <c r="L1531" s="7" t="str">
        <f t="shared" ca="1" si="40"/>
        <v/>
      </c>
    </row>
    <row r="1532" spans="12:12" x14ac:dyDescent="0.3">
      <c r="L1532" s="7" t="str">
        <f t="shared" ca="1" si="40"/>
        <v/>
      </c>
    </row>
    <row r="1533" spans="12:12" x14ac:dyDescent="0.3">
      <c r="L1533" s="7" t="str">
        <f t="shared" ca="1" si="40"/>
        <v/>
      </c>
    </row>
    <row r="1534" spans="12:12" x14ac:dyDescent="0.3">
      <c r="L1534" s="7" t="str">
        <f t="shared" ca="1" si="40"/>
        <v/>
      </c>
    </row>
    <row r="1535" spans="12:12" x14ac:dyDescent="0.3">
      <c r="L1535" s="7" t="str">
        <f t="shared" ca="1" si="40"/>
        <v/>
      </c>
    </row>
    <row r="1536" spans="12:12" x14ac:dyDescent="0.3">
      <c r="L1536" s="7" t="str">
        <f t="shared" ca="1" si="40"/>
        <v/>
      </c>
    </row>
    <row r="1537" spans="12:12" x14ac:dyDescent="0.3">
      <c r="L1537" s="7" t="str">
        <f t="shared" ca="1" si="40"/>
        <v/>
      </c>
    </row>
    <row r="1538" spans="12:12" x14ac:dyDescent="0.3">
      <c r="L1538" s="7" t="str">
        <f t="shared" ca="1" si="40"/>
        <v/>
      </c>
    </row>
    <row r="1539" spans="12:12" x14ac:dyDescent="0.3">
      <c r="L1539" s="7" t="str">
        <f t="shared" ca="1" si="40"/>
        <v/>
      </c>
    </row>
    <row r="1540" spans="12:12" x14ac:dyDescent="0.3">
      <c r="L1540" s="7" t="str">
        <f t="shared" ref="L1540:L1603" ca="1" si="41">IF(I1540="Completed",0,IF(H1540="","",H1540-TODAY()))</f>
        <v/>
      </c>
    </row>
    <row r="1541" spans="12:12" x14ac:dyDescent="0.3">
      <c r="L1541" s="7" t="str">
        <f t="shared" ca="1" si="41"/>
        <v/>
      </c>
    </row>
    <row r="1542" spans="12:12" x14ac:dyDescent="0.3">
      <c r="L1542" s="7" t="str">
        <f t="shared" ca="1" si="41"/>
        <v/>
      </c>
    </row>
    <row r="1543" spans="12:12" x14ac:dyDescent="0.3">
      <c r="L1543" s="7" t="str">
        <f t="shared" ca="1" si="41"/>
        <v/>
      </c>
    </row>
    <row r="1544" spans="12:12" x14ac:dyDescent="0.3">
      <c r="L1544" s="7" t="str">
        <f t="shared" ca="1" si="41"/>
        <v/>
      </c>
    </row>
    <row r="1545" spans="12:12" x14ac:dyDescent="0.3">
      <c r="L1545" s="7" t="str">
        <f t="shared" ca="1" si="41"/>
        <v/>
      </c>
    </row>
    <row r="1546" spans="12:12" x14ac:dyDescent="0.3">
      <c r="L1546" s="7" t="str">
        <f t="shared" ca="1" si="41"/>
        <v/>
      </c>
    </row>
    <row r="1547" spans="12:12" x14ac:dyDescent="0.3">
      <c r="L1547" s="7" t="str">
        <f t="shared" ca="1" si="41"/>
        <v/>
      </c>
    </row>
    <row r="1548" spans="12:12" x14ac:dyDescent="0.3">
      <c r="L1548" s="7" t="str">
        <f t="shared" ca="1" si="41"/>
        <v/>
      </c>
    </row>
    <row r="1549" spans="12:12" x14ac:dyDescent="0.3">
      <c r="L1549" s="7" t="str">
        <f t="shared" ca="1" si="41"/>
        <v/>
      </c>
    </row>
    <row r="1550" spans="12:12" x14ac:dyDescent="0.3">
      <c r="L1550" s="7" t="str">
        <f t="shared" ca="1" si="41"/>
        <v/>
      </c>
    </row>
    <row r="1551" spans="12:12" x14ac:dyDescent="0.3">
      <c r="L1551" s="7" t="str">
        <f t="shared" ca="1" si="41"/>
        <v/>
      </c>
    </row>
    <row r="1552" spans="12:12" x14ac:dyDescent="0.3">
      <c r="L1552" s="7" t="str">
        <f t="shared" ca="1" si="41"/>
        <v/>
      </c>
    </row>
    <row r="1553" spans="12:12" x14ac:dyDescent="0.3">
      <c r="L1553" s="7" t="str">
        <f t="shared" ca="1" si="41"/>
        <v/>
      </c>
    </row>
    <row r="1554" spans="12:12" x14ac:dyDescent="0.3">
      <c r="L1554" s="7" t="str">
        <f t="shared" ca="1" si="41"/>
        <v/>
      </c>
    </row>
    <row r="1555" spans="12:12" x14ac:dyDescent="0.3">
      <c r="L1555" s="7" t="str">
        <f t="shared" ca="1" si="41"/>
        <v/>
      </c>
    </row>
    <row r="1556" spans="12:12" x14ac:dyDescent="0.3">
      <c r="L1556" s="7" t="str">
        <f t="shared" ca="1" si="41"/>
        <v/>
      </c>
    </row>
    <row r="1557" spans="12:12" x14ac:dyDescent="0.3">
      <c r="L1557" s="7" t="str">
        <f t="shared" ca="1" si="41"/>
        <v/>
      </c>
    </row>
    <row r="1558" spans="12:12" x14ac:dyDescent="0.3">
      <c r="L1558" s="7" t="str">
        <f t="shared" ca="1" si="41"/>
        <v/>
      </c>
    </row>
    <row r="1559" spans="12:12" x14ac:dyDescent="0.3">
      <c r="L1559" s="7" t="str">
        <f t="shared" ca="1" si="41"/>
        <v/>
      </c>
    </row>
    <row r="1560" spans="12:12" x14ac:dyDescent="0.3">
      <c r="L1560" s="7" t="str">
        <f t="shared" ca="1" si="41"/>
        <v/>
      </c>
    </row>
    <row r="1561" spans="12:12" x14ac:dyDescent="0.3">
      <c r="L1561" s="7" t="str">
        <f t="shared" ca="1" si="41"/>
        <v/>
      </c>
    </row>
    <row r="1562" spans="12:12" x14ac:dyDescent="0.3">
      <c r="L1562" s="7" t="str">
        <f t="shared" ca="1" si="41"/>
        <v/>
      </c>
    </row>
    <row r="1563" spans="12:12" x14ac:dyDescent="0.3">
      <c r="L1563" s="7" t="str">
        <f t="shared" ca="1" si="41"/>
        <v/>
      </c>
    </row>
    <row r="1564" spans="12:12" x14ac:dyDescent="0.3">
      <c r="L1564" s="7" t="str">
        <f t="shared" ca="1" si="41"/>
        <v/>
      </c>
    </row>
    <row r="1565" spans="12:12" x14ac:dyDescent="0.3">
      <c r="L1565" s="7" t="str">
        <f t="shared" ca="1" si="41"/>
        <v/>
      </c>
    </row>
    <row r="1566" spans="12:12" x14ac:dyDescent="0.3">
      <c r="L1566" s="7" t="str">
        <f t="shared" ca="1" si="41"/>
        <v/>
      </c>
    </row>
    <row r="1567" spans="12:12" x14ac:dyDescent="0.3">
      <c r="L1567" s="7" t="str">
        <f t="shared" ca="1" si="41"/>
        <v/>
      </c>
    </row>
    <row r="1568" spans="12:12" x14ac:dyDescent="0.3">
      <c r="L1568" s="7" t="str">
        <f t="shared" ca="1" si="41"/>
        <v/>
      </c>
    </row>
    <row r="1569" spans="12:12" x14ac:dyDescent="0.3">
      <c r="L1569" s="7" t="str">
        <f t="shared" ca="1" si="41"/>
        <v/>
      </c>
    </row>
    <row r="1570" spans="12:12" x14ac:dyDescent="0.3">
      <c r="L1570" s="7" t="str">
        <f t="shared" ca="1" si="41"/>
        <v/>
      </c>
    </row>
    <row r="1571" spans="12:12" x14ac:dyDescent="0.3">
      <c r="L1571" s="7" t="str">
        <f t="shared" ca="1" si="41"/>
        <v/>
      </c>
    </row>
    <row r="1572" spans="12:12" x14ac:dyDescent="0.3">
      <c r="L1572" s="7" t="str">
        <f t="shared" ca="1" si="41"/>
        <v/>
      </c>
    </row>
    <row r="1573" spans="12:12" x14ac:dyDescent="0.3">
      <c r="L1573" s="7" t="str">
        <f t="shared" ca="1" si="41"/>
        <v/>
      </c>
    </row>
    <row r="1574" spans="12:12" x14ac:dyDescent="0.3">
      <c r="L1574" s="7" t="str">
        <f t="shared" ca="1" si="41"/>
        <v/>
      </c>
    </row>
    <row r="1575" spans="12:12" x14ac:dyDescent="0.3">
      <c r="L1575" s="7" t="str">
        <f t="shared" ca="1" si="41"/>
        <v/>
      </c>
    </row>
    <row r="1576" spans="12:12" x14ac:dyDescent="0.3">
      <c r="L1576" s="7" t="str">
        <f t="shared" ca="1" si="41"/>
        <v/>
      </c>
    </row>
    <row r="1577" spans="12:12" x14ac:dyDescent="0.3">
      <c r="L1577" s="7" t="str">
        <f t="shared" ca="1" si="41"/>
        <v/>
      </c>
    </row>
    <row r="1578" spans="12:12" x14ac:dyDescent="0.3">
      <c r="L1578" s="7" t="str">
        <f t="shared" ca="1" si="41"/>
        <v/>
      </c>
    </row>
    <row r="1579" spans="12:12" x14ac:dyDescent="0.3">
      <c r="L1579" s="7" t="str">
        <f t="shared" ca="1" si="41"/>
        <v/>
      </c>
    </row>
    <row r="1580" spans="12:12" x14ac:dyDescent="0.3">
      <c r="L1580" s="7" t="str">
        <f t="shared" ca="1" si="41"/>
        <v/>
      </c>
    </row>
    <row r="1581" spans="12:12" x14ac:dyDescent="0.3">
      <c r="L1581" s="7" t="str">
        <f t="shared" ca="1" si="41"/>
        <v/>
      </c>
    </row>
    <row r="1582" spans="12:12" x14ac:dyDescent="0.3">
      <c r="L1582" s="7" t="str">
        <f t="shared" ca="1" si="41"/>
        <v/>
      </c>
    </row>
    <row r="1583" spans="12:12" x14ac:dyDescent="0.3">
      <c r="L1583" s="7" t="str">
        <f t="shared" ca="1" si="41"/>
        <v/>
      </c>
    </row>
    <row r="1584" spans="12:12" x14ac:dyDescent="0.3">
      <c r="L1584" s="7" t="str">
        <f t="shared" ca="1" si="41"/>
        <v/>
      </c>
    </row>
    <row r="1585" spans="12:12" x14ac:dyDescent="0.3">
      <c r="L1585" s="7" t="str">
        <f t="shared" ca="1" si="41"/>
        <v/>
      </c>
    </row>
    <row r="1586" spans="12:12" x14ac:dyDescent="0.3">
      <c r="L1586" s="7" t="str">
        <f t="shared" ca="1" si="41"/>
        <v/>
      </c>
    </row>
    <row r="1587" spans="12:12" x14ac:dyDescent="0.3">
      <c r="L1587" s="7" t="str">
        <f t="shared" ca="1" si="41"/>
        <v/>
      </c>
    </row>
    <row r="1588" spans="12:12" x14ac:dyDescent="0.3">
      <c r="L1588" s="7" t="str">
        <f t="shared" ca="1" si="41"/>
        <v/>
      </c>
    </row>
    <row r="1589" spans="12:12" x14ac:dyDescent="0.3">
      <c r="L1589" s="7" t="str">
        <f t="shared" ca="1" si="41"/>
        <v/>
      </c>
    </row>
    <row r="1590" spans="12:12" x14ac:dyDescent="0.3">
      <c r="L1590" s="7" t="str">
        <f t="shared" ca="1" si="41"/>
        <v/>
      </c>
    </row>
    <row r="1591" spans="12:12" x14ac:dyDescent="0.3">
      <c r="L1591" s="7" t="str">
        <f t="shared" ca="1" si="41"/>
        <v/>
      </c>
    </row>
    <row r="1592" spans="12:12" x14ac:dyDescent="0.3">
      <c r="L1592" s="7" t="str">
        <f t="shared" ca="1" si="41"/>
        <v/>
      </c>
    </row>
    <row r="1593" spans="12:12" x14ac:dyDescent="0.3">
      <c r="L1593" s="7" t="str">
        <f t="shared" ca="1" si="41"/>
        <v/>
      </c>
    </row>
    <row r="1594" spans="12:12" x14ac:dyDescent="0.3">
      <c r="L1594" s="7" t="str">
        <f t="shared" ca="1" si="41"/>
        <v/>
      </c>
    </row>
    <row r="1595" spans="12:12" x14ac:dyDescent="0.3">
      <c r="L1595" s="7" t="str">
        <f t="shared" ca="1" si="41"/>
        <v/>
      </c>
    </row>
    <row r="1596" spans="12:12" x14ac:dyDescent="0.3">
      <c r="L1596" s="7" t="str">
        <f t="shared" ca="1" si="41"/>
        <v/>
      </c>
    </row>
    <row r="1597" spans="12:12" x14ac:dyDescent="0.3">
      <c r="L1597" s="7" t="str">
        <f t="shared" ca="1" si="41"/>
        <v/>
      </c>
    </row>
    <row r="1598" spans="12:12" x14ac:dyDescent="0.3">
      <c r="L1598" s="7" t="str">
        <f t="shared" ca="1" si="41"/>
        <v/>
      </c>
    </row>
    <row r="1599" spans="12:12" x14ac:dyDescent="0.3">
      <c r="L1599" s="7" t="str">
        <f t="shared" ca="1" si="41"/>
        <v/>
      </c>
    </row>
    <row r="1600" spans="12:12" x14ac:dyDescent="0.3">
      <c r="L1600" s="7" t="str">
        <f t="shared" ca="1" si="41"/>
        <v/>
      </c>
    </row>
    <row r="1601" spans="12:12" x14ac:dyDescent="0.3">
      <c r="L1601" s="7" t="str">
        <f t="shared" ca="1" si="41"/>
        <v/>
      </c>
    </row>
    <row r="1602" spans="12:12" x14ac:dyDescent="0.3">
      <c r="L1602" s="7" t="str">
        <f t="shared" ca="1" si="41"/>
        <v/>
      </c>
    </row>
    <row r="1603" spans="12:12" x14ac:dyDescent="0.3">
      <c r="L1603" s="7" t="str">
        <f t="shared" ca="1" si="41"/>
        <v/>
      </c>
    </row>
    <row r="1604" spans="12:12" x14ac:dyDescent="0.3">
      <c r="L1604" s="7" t="str">
        <f t="shared" ref="L1604:L1606" ca="1" si="42">IF(I1604="Completed",0,IF(H1604="","",H1604-TODAY()))</f>
        <v/>
      </c>
    </row>
    <row r="1605" spans="12:12" x14ac:dyDescent="0.3">
      <c r="L1605" s="7" t="str">
        <f t="shared" ca="1" si="42"/>
        <v/>
      </c>
    </row>
    <row r="1606" spans="12:12" x14ac:dyDescent="0.3">
      <c r="L1606" s="7" t="str">
        <f t="shared" ca="1" si="42"/>
        <v/>
      </c>
    </row>
  </sheetData>
  <autoFilter ref="A3:N312" xr:uid="{00000000-0001-0000-0700-000000000000}"/>
  <mergeCells count="1">
    <mergeCell ref="A2:N2"/>
  </mergeCells>
  <conditionalFormatting sqref="M4:M312">
    <cfRule type="cellIs" dxfId="37" priority="27" operator="equal">
      <formula>"Green"</formula>
    </cfRule>
    <cfRule type="cellIs" dxfId="36" priority="28" operator="equal">
      <formula>"Amber"</formula>
    </cfRule>
    <cfRule type="cellIs" dxfId="35" priority="29" operator="equal">
      <formula>"Red"</formula>
    </cfRule>
  </conditionalFormatting>
  <conditionalFormatting sqref="I4:I142">
    <cfRule type="expression" dxfId="34" priority="9">
      <formula>EXACT($I4,"Completed")</formula>
    </cfRule>
  </conditionalFormatting>
  <conditionalFormatting sqref="I4:I142">
    <cfRule type="expression" dxfId="33" priority="10">
      <formula>EXACT($I4,"Inprogress")</formula>
    </cfRule>
  </conditionalFormatting>
  <conditionalFormatting sqref="I4:I142">
    <cfRule type="expression" dxfId="32" priority="30">
      <formula>EXACT($I4,"Not Started")</formula>
    </cfRule>
  </conditionalFormatting>
  <conditionalFormatting sqref="I4:I142">
    <cfRule type="expression" dxfId="31" priority="31">
      <formula>EXACT($I4,"Overdue")</formula>
    </cfRule>
  </conditionalFormatting>
  <conditionalFormatting sqref="K4:K243">
    <cfRule type="expression" dxfId="30" priority="5">
      <formula>EXACT($K4,"No")</formula>
    </cfRule>
  </conditionalFormatting>
  <conditionalFormatting sqref="K4:K243">
    <cfRule type="expression" dxfId="29" priority="6">
      <formula>EXACT($K4,"Yes")</formula>
    </cfRule>
  </conditionalFormatting>
  <conditionalFormatting sqref="K4:K243">
    <cfRule type="expression" dxfId="28" priority="34">
      <formula>EXACT($K4,"-")</formula>
    </cfRule>
  </conditionalFormatting>
  <conditionalFormatting sqref="A4:A2000">
    <cfRule type="expression" dxfId="27" priority="24" stopIfTrue="1">
      <formula>A4=""</formula>
    </cfRule>
    <cfRule type="expression" dxfId="26" priority="26">
      <formula>C4=""</formula>
    </cfRule>
  </conditionalFormatting>
  <conditionalFormatting sqref="B4:B2000">
    <cfRule type="expression" dxfId="25" priority="21" stopIfTrue="1">
      <formula>$A4=""</formula>
    </cfRule>
    <cfRule type="expression" dxfId="24" priority="22">
      <formula>$C4=""</formula>
    </cfRule>
  </conditionalFormatting>
  <conditionalFormatting sqref="C4:C2000">
    <cfRule type="expression" dxfId="23" priority="23" stopIfTrue="1">
      <formula>$A4=""</formula>
    </cfRule>
    <cfRule type="expression" dxfId="22" priority="25">
      <formula>$C4=""</formula>
    </cfRule>
  </conditionalFormatting>
  <conditionalFormatting sqref="D4:D2000">
    <cfRule type="expression" dxfId="21" priority="19" stopIfTrue="1">
      <formula>$A4=""</formula>
    </cfRule>
    <cfRule type="expression" dxfId="20" priority="20">
      <formula>$C4=""</formula>
    </cfRule>
  </conditionalFormatting>
  <conditionalFormatting sqref="E4:E2000">
    <cfRule type="expression" dxfId="19" priority="17" stopIfTrue="1">
      <formula>$A4=""</formula>
    </cfRule>
    <cfRule type="expression" dxfId="18" priority="18">
      <formula>$C4=""</formula>
    </cfRule>
  </conditionalFormatting>
  <conditionalFormatting sqref="F4:F2000">
    <cfRule type="expression" dxfId="17" priority="15" stopIfTrue="1">
      <formula>$A4=""</formula>
    </cfRule>
    <cfRule type="expression" dxfId="16" priority="16">
      <formula>$C4=""</formula>
    </cfRule>
  </conditionalFormatting>
  <conditionalFormatting sqref="G4:G2000">
    <cfRule type="expression" dxfId="15" priority="13" stopIfTrue="1">
      <formula>$A4=""</formula>
    </cfRule>
    <cfRule type="expression" dxfId="14" priority="14">
      <formula>$C4=""</formula>
    </cfRule>
  </conditionalFormatting>
  <conditionalFormatting sqref="H4:H2000">
    <cfRule type="expression" dxfId="13" priority="11" stopIfTrue="1">
      <formula>$A4=""</formula>
    </cfRule>
    <cfRule type="expression" dxfId="12" priority="12">
      <formula>$C4=""</formula>
    </cfRule>
  </conditionalFormatting>
  <conditionalFormatting sqref="I4:I2000">
    <cfRule type="expression" dxfId="11" priority="32" stopIfTrue="1">
      <formula>$A4=""</formula>
    </cfRule>
    <cfRule type="expression" dxfId="10" priority="33">
      <formula>$C4=""</formula>
    </cfRule>
  </conditionalFormatting>
  <conditionalFormatting sqref="J4:J2000">
    <cfRule type="expression" dxfId="9" priority="7" stopIfTrue="1">
      <formula>$A4=""</formula>
    </cfRule>
    <cfRule type="expression" dxfId="8" priority="8">
      <formula>$C4=""</formula>
    </cfRule>
  </conditionalFormatting>
  <conditionalFormatting sqref="K4:K2000">
    <cfRule type="expression" dxfId="7" priority="35" stopIfTrue="1">
      <formula>$A4=""</formula>
    </cfRule>
    <cfRule type="expression" dxfId="6" priority="36">
      <formula>$C4=""</formula>
    </cfRule>
  </conditionalFormatting>
  <conditionalFormatting sqref="L1607:L2000">
    <cfRule type="expression" dxfId="5" priority="3" stopIfTrue="1">
      <formula>$A1607=""</formula>
    </cfRule>
    <cfRule type="expression" dxfId="4" priority="4">
      <formula>$C1607=""</formula>
    </cfRule>
  </conditionalFormatting>
  <conditionalFormatting sqref="L4:L1606">
    <cfRule type="expression" dxfId="3" priority="1" stopIfTrue="1">
      <formula>$A4=""</formula>
    </cfRule>
    <cfRule type="expression" dxfId="2" priority="2">
      <formula>$C4=""</formula>
    </cfRule>
  </conditionalFormatting>
  <dataValidations count="1">
    <dataValidation type="list" allowBlank="1" sqref="I4:I312" xr:uid="{248EDE9E-F158-4B53-9564-1465B426B495}">
      <formula1>"Not Started,In Progress,Complete"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208C2-5EF6-4249-8996-76121E230C20}">
  <sheetPr codeName="Sheet11">
    <tabColor rgb="FF0B1B3A"/>
    <outlinePr summaryBelow="0" summaryRight="0"/>
  </sheetPr>
  <dimension ref="A1:Z59"/>
  <sheetViews>
    <sheetView workbookViewId="0">
      <selection activeCell="J21" sqref="J21"/>
    </sheetView>
  </sheetViews>
  <sheetFormatPr defaultColWidth="12.6640625" defaultRowHeight="12.75" customHeight="1" x14ac:dyDescent="0.25"/>
  <cols>
    <col min="1" max="4" width="12.6640625" style="15"/>
    <col min="5" max="5" width="3.6640625" style="15" customWidth="1"/>
    <col min="6" max="6" width="3.33203125" style="15" customWidth="1"/>
    <col min="7" max="8" width="10.33203125" style="15" customWidth="1"/>
    <col min="9" max="9" width="3.33203125" style="15" customWidth="1"/>
    <col min="10" max="11" width="10.33203125" style="15" customWidth="1"/>
    <col min="12" max="12" width="3.33203125" style="15" customWidth="1"/>
    <col min="13" max="14" width="10.33203125" style="15" customWidth="1"/>
    <col min="15" max="15" width="3.33203125" style="15" customWidth="1"/>
    <col min="16" max="17" width="10.33203125" style="15" customWidth="1"/>
    <col min="18" max="18" width="3.33203125" style="15" customWidth="1"/>
    <col min="19" max="20" width="10.33203125" style="15" customWidth="1"/>
    <col min="21" max="21" width="5.5546875" style="15" customWidth="1"/>
    <col min="22" max="16384" width="12.6640625" style="15"/>
  </cols>
  <sheetData>
    <row r="1" spans="1:26" ht="16.2" customHeight="1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4"/>
    </row>
    <row r="2" spans="1:26" ht="18" customHeight="1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4"/>
    </row>
    <row r="3" spans="1:26" ht="18" customHeight="1" x14ac:dyDescent="0.25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4"/>
    </row>
    <row r="4" spans="1:26" ht="18" customHeight="1" x14ac:dyDescent="0.25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4"/>
    </row>
    <row r="5" spans="1:26" ht="18" customHeight="1" x14ac:dyDescent="0.25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4"/>
    </row>
    <row r="6" spans="1:26" ht="18" customHeight="1" x14ac:dyDescent="0.2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4"/>
    </row>
    <row r="7" spans="1:26" ht="18" customHeight="1" x14ac:dyDescent="0.25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4"/>
    </row>
    <row r="8" spans="1:26" ht="18" customHeight="1" x14ac:dyDescent="0.25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4"/>
    </row>
    <row r="9" spans="1:26" ht="18" customHeight="1" x14ac:dyDescent="0.25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4"/>
    </row>
    <row r="10" spans="1:26" ht="18" customHeight="1" x14ac:dyDescent="0.25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4"/>
    </row>
    <row r="11" spans="1:26" ht="18" customHeight="1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4"/>
    </row>
    <row r="12" spans="1:26" ht="12" customHeight="1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4"/>
    </row>
    <row r="13" spans="1:26" ht="37.950000000000003" customHeight="1" x14ac:dyDescent="0.25">
      <c r="A13" s="13"/>
      <c r="B13" s="13"/>
      <c r="C13" s="13"/>
      <c r="D13" s="13"/>
      <c r="E13" s="13"/>
      <c r="F13" s="21" t="s">
        <v>776</v>
      </c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13"/>
      <c r="V13" s="13"/>
      <c r="W13" s="13"/>
      <c r="X13" s="13"/>
      <c r="Y13" s="13"/>
      <c r="Z13" s="14"/>
    </row>
    <row r="14" spans="1:26" ht="10.199999999999999" customHeight="1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4"/>
    </row>
    <row r="15" spans="1:26" ht="4.2" customHeight="1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6"/>
      <c r="K15" s="16"/>
      <c r="L15" s="16"/>
      <c r="M15" s="16"/>
      <c r="N15" s="16"/>
      <c r="O15" s="16"/>
      <c r="P15" s="16"/>
      <c r="Q15" s="13"/>
      <c r="R15" s="13"/>
      <c r="S15" s="13"/>
      <c r="T15" s="13"/>
      <c r="U15" s="13"/>
      <c r="V15" s="13"/>
      <c r="W15" s="13"/>
      <c r="X15" s="13"/>
      <c r="Y15" s="13"/>
      <c r="Z15" s="14"/>
    </row>
    <row r="16" spans="1:26" ht="16.2" customHeight="1" x14ac:dyDescent="0.25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4"/>
    </row>
    <row r="17" spans="1:26" ht="18" customHeight="1" x14ac:dyDescent="0.25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4"/>
    </row>
    <row r="18" spans="1:26" ht="10.199999999999999" customHeight="1" x14ac:dyDescent="0.25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4"/>
    </row>
    <row r="19" spans="1:26" ht="30" customHeight="1" thickBot="1" x14ac:dyDescent="0.3">
      <c r="A19" s="13"/>
      <c r="B19" s="13"/>
      <c r="C19" s="13"/>
      <c r="D19" s="13"/>
      <c r="E19" s="13"/>
      <c r="F19" s="13"/>
      <c r="G19" s="22"/>
      <c r="H19" s="2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4"/>
    </row>
    <row r="20" spans="1:26" ht="10.199999999999999" customHeight="1" x14ac:dyDescent="0.25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4"/>
    </row>
    <row r="21" spans="1:26" ht="30" customHeight="1" x14ac:dyDescent="0.25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4"/>
    </row>
    <row r="22" spans="1:26" ht="16.2" customHeight="1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4"/>
    </row>
    <row r="23" spans="1:26" ht="18" customHeight="1" x14ac:dyDescent="0.25">
      <c r="A23" s="13"/>
      <c r="B23" s="13"/>
      <c r="C23" s="13"/>
      <c r="D23" s="13"/>
      <c r="E23" s="13"/>
      <c r="F23" s="19" t="s">
        <v>777</v>
      </c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13"/>
      <c r="V23" s="13"/>
      <c r="W23" s="13"/>
      <c r="X23" s="13"/>
      <c r="Y23" s="13"/>
      <c r="Z23" s="14"/>
    </row>
    <row r="24" spans="1:26" ht="16.2" customHeight="1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4"/>
    </row>
    <row r="25" spans="1:26" ht="15" customHeight="1" x14ac:dyDescent="0.25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4"/>
    </row>
    <row r="26" spans="1:26" ht="11.25" customHeight="1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4"/>
    </row>
    <row r="27" spans="1:26" ht="15" customHeight="1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4"/>
    </row>
    <row r="28" spans="1:26" ht="7.5" customHeight="1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4"/>
    </row>
    <row r="29" spans="1:26" ht="12.75" customHeight="1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4"/>
    </row>
    <row r="30" spans="1:26" ht="12.75" customHeight="1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4"/>
    </row>
    <row r="31" spans="1:26" ht="12.75" customHeight="1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4"/>
    </row>
    <row r="32" spans="1:26" ht="12.75" customHeight="1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4"/>
    </row>
    <row r="33" spans="1:26" ht="12.75" customHeight="1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4"/>
    </row>
    <row r="34" spans="1:26" ht="12.75" customHeight="1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4"/>
    </row>
    <row r="35" spans="1:26" ht="12.75" customHeight="1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4"/>
    </row>
    <row r="36" spans="1:26" ht="12.75" customHeight="1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4"/>
    </row>
    <row r="37" spans="1:26" ht="12.75" customHeight="1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4"/>
    </row>
    <row r="38" spans="1:26" ht="12.75" customHeight="1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4"/>
    </row>
    <row r="39" spans="1:26" ht="12.75" customHeight="1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4"/>
    </row>
    <row r="40" spans="1:26" ht="12.75" customHeight="1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4"/>
    </row>
    <row r="41" spans="1:26" ht="12.75" customHeight="1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4"/>
    </row>
    <row r="42" spans="1:26" ht="12.75" customHeight="1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4"/>
    </row>
    <row r="43" spans="1:26" ht="12.75" customHeight="1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4"/>
    </row>
    <row r="44" spans="1:26" ht="12.75" customHeight="1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4"/>
    </row>
    <row r="45" spans="1:26" ht="12.75" customHeight="1" x14ac:dyDescent="0.25"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</row>
    <row r="46" spans="1:26" ht="12.75" customHeight="1" x14ac:dyDescent="0.25"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</row>
    <row r="47" spans="1:26" ht="12.75" customHeight="1" x14ac:dyDescent="0.25"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</row>
    <row r="48" spans="1:26" ht="12.75" customHeight="1" x14ac:dyDescent="0.25"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</row>
    <row r="49" spans="5:26" ht="12.75" customHeight="1" x14ac:dyDescent="0.25"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</row>
    <row r="50" spans="5:26" ht="12.75" customHeight="1" x14ac:dyDescent="0.25"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</row>
    <row r="51" spans="5:26" ht="12.75" customHeight="1" x14ac:dyDescent="0.25"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5:26" ht="12.75" customHeight="1" x14ac:dyDescent="0.25"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5:26" ht="12.75" customHeight="1" x14ac:dyDescent="0.25"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5:26" ht="12.75" customHeight="1" x14ac:dyDescent="0.25"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5:26" ht="12.75" customHeight="1" x14ac:dyDescent="0.25"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5:26" ht="12.75" customHeight="1" x14ac:dyDescent="0.25"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5:26" ht="12.75" customHeight="1" x14ac:dyDescent="0.25"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5:26" ht="12.75" customHeight="1" x14ac:dyDescent="0.25"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5:26" ht="12.75" customHeight="1" x14ac:dyDescent="0.25"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</sheetData>
  <mergeCells count="3">
    <mergeCell ref="F23:T23"/>
    <mergeCell ref="F13:T13"/>
    <mergeCell ref="G19:H19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69A6C8FD8D4DB468F29CBE52D27E50D" ma:contentTypeVersion="7" ma:contentTypeDescription="Create a new document." ma:contentTypeScope="" ma:versionID="e8a70434582f7baab9caef275be87ed0">
  <xsd:schema xmlns:xsd="http://www.w3.org/2001/XMLSchema" xmlns:xs="http://www.w3.org/2001/XMLSchema" xmlns:p="http://schemas.microsoft.com/office/2006/metadata/properties" xmlns:ns2="8719df14-e7fa-4b3b-b282-13401c914bfc" targetNamespace="http://schemas.microsoft.com/office/2006/metadata/properties" ma:root="true" ma:fieldsID="b56bd5917062ba6f38aa38b26161175d" ns2:_="">
    <xsd:import namespace="8719df14-e7fa-4b3b-b282-13401c914bf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19df14-e7fa-4b3b-b282-13401c914bf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9ADEB34-3BE2-4C63-9C48-17332F31C0A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32BFA3E-5646-42CE-88BC-A5B43491C8B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719df14-e7fa-4b3b-b282-13401c914b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F92C138-CA9E-4FA6-B4E9-106CDB3D71F7}">
  <ds:schemaRefs>
    <ds:schemaRef ds:uri="http://www.w3.org/XML/1998/namespace"/>
    <ds:schemaRef ds:uri="8719df14-e7fa-4b3b-b282-13401c914bfc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purl.org/dc/dcmitype/"/>
    <ds:schemaRef ds:uri="http://purl.org/dc/terms/"/>
  </ds:schemaRefs>
</ds:datastoreItem>
</file>

<file path=docMetadata/LabelInfo.xml><?xml version="1.0" encoding="utf-8"?>
<clbl:labelList xmlns:clbl="http://schemas.microsoft.com/office/2020/mipLabelMetadata">
  <clbl:label id="{1b0a4361-dbb7-4cd9-9df3-ff4e535cce1f}" enabled="0" method="" siteId="{1b0a4361-dbb7-4cd9-9df3-ff4e535cce1f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SLW NOA</vt:lpstr>
      <vt:lpstr>DRJ</vt:lpstr>
      <vt:lpstr>HPT</vt:lpstr>
      <vt:lpstr>CRI</vt:lpstr>
      <vt:lpstr>SLR</vt:lpstr>
      <vt:lpstr>SLNX</vt:lpstr>
      <vt:lpstr>Lotus</vt:lpstr>
      <vt:lpstr>Keys 52</vt:lpstr>
      <vt:lpstr>Encore</vt:lpstr>
      <vt:lpstr>Refresh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Omar Tamamm</dc:creator>
  <cp:lastModifiedBy>Omar Tamamm</cp:lastModifiedBy>
  <dcterms:created xsi:type="dcterms:W3CDTF">2026-06-28T13:10:13Z</dcterms:created>
  <dcterms:modified xsi:type="dcterms:W3CDTF">2026-07-05T14:42:50Z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0x010100D69A6C8FD8D4DB468F29CBE52D27E50D</vt:lpwstr>
  </property>
  <property fmtid="{D5CDD505-2E9C-101B-9397-08002B2CF9AE}" pid="3" name="type" linkTarget="prop_type">
    <vt:lpwstr>#REF!</vt:lpwstr>
  </property>
</Properties>
</file>